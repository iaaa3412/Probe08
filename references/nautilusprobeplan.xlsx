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ahmed\Downloads\"/>
    </mc:Choice>
  </mc:AlternateContent>
  <xr:revisionPtr revIDLastSave="0" documentId="13_ncr:1_{E2248FF9-D250-4F90-B414-978906CD4A91}" xr6:coauthVersionLast="47" xr6:coauthVersionMax="47" xr10:uidLastSave="{00000000-0000-0000-0000-000000000000}"/>
  <bookViews>
    <workbookView xWindow="-120" yWindow="-120" windowWidth="24240" windowHeight="13020" tabRatio="500" firstSheet="2" activeTab="6" xr2:uid="{00000000-000D-0000-FFFF-FFFF00000000}"/>
  </bookViews>
  <sheets>
    <sheet name="Read Me" sheetId="1" r:id="rId1"/>
    <sheet name="Shot Map" sheetId="2" r:id="rId2"/>
    <sheet name="Serial Reference" sheetId="3" r:id="rId3"/>
    <sheet name="Reference Dies" sheetId="4" r:id="rId4"/>
    <sheet name="Probe Plan" sheetId="6" r:id="rId5"/>
    <sheet name="Die Map" sheetId="5" r:id="rId6"/>
    <sheet name="Probe Overlay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9" i="6" l="1"/>
  <c r="E109" i="6" s="1"/>
  <c r="F109" i="6" s="1"/>
  <c r="B109" i="6"/>
  <c r="C109" i="6" s="1"/>
  <c r="C108" i="6"/>
  <c r="B108" i="6"/>
  <c r="D108" i="6" s="1"/>
  <c r="E108" i="6" s="1"/>
  <c r="F108" i="6" s="1"/>
  <c r="D107" i="6"/>
  <c r="E107" i="6" s="1"/>
  <c r="F107" i="6" s="1"/>
  <c r="C107" i="6"/>
  <c r="B107" i="6"/>
  <c r="D106" i="6"/>
  <c r="E106" i="6" s="1"/>
  <c r="F106" i="6" s="1"/>
  <c r="C106" i="6"/>
  <c r="B106" i="6"/>
  <c r="F105" i="6"/>
  <c r="E105" i="6"/>
  <c r="D105" i="6"/>
  <c r="C105" i="6"/>
  <c r="B105" i="6"/>
  <c r="D104" i="6"/>
  <c r="E104" i="6" s="1"/>
  <c r="F104" i="6" s="1"/>
  <c r="C104" i="6"/>
  <c r="B104" i="6"/>
  <c r="E103" i="6"/>
  <c r="F103" i="6" s="1"/>
  <c r="D103" i="6"/>
  <c r="B103" i="6"/>
  <c r="C103" i="6" s="1"/>
  <c r="E102" i="6"/>
  <c r="F102" i="6" s="1"/>
  <c r="D102" i="6"/>
  <c r="C102" i="6"/>
  <c r="B102" i="6"/>
  <c r="E101" i="6"/>
  <c r="F101" i="6" s="1"/>
  <c r="D101" i="6"/>
  <c r="B101" i="6"/>
  <c r="C101" i="6" s="1"/>
  <c r="C100" i="6"/>
  <c r="B100" i="6"/>
  <c r="D100" i="6" s="1"/>
  <c r="E100" i="6" s="1"/>
  <c r="F100" i="6" s="1"/>
  <c r="B99" i="6"/>
  <c r="D99" i="6" s="1"/>
  <c r="C98" i="6"/>
  <c r="B98" i="6"/>
  <c r="D98" i="6" s="1"/>
  <c r="E98" i="6" s="1"/>
  <c r="F98" i="6" s="1"/>
  <c r="B97" i="6"/>
  <c r="D97" i="6" s="1"/>
  <c r="D96" i="6"/>
  <c r="E96" i="6" s="1"/>
  <c r="F96" i="6" s="1"/>
  <c r="C96" i="6"/>
  <c r="B96" i="6"/>
  <c r="C95" i="6"/>
  <c r="B95" i="6"/>
  <c r="D95" i="6" s="1"/>
  <c r="E95" i="6" s="1"/>
  <c r="F95" i="6" s="1"/>
  <c r="E94" i="6"/>
  <c r="F94" i="6" s="1"/>
  <c r="D94" i="6"/>
  <c r="C94" i="6"/>
  <c r="B94" i="6"/>
  <c r="E93" i="6"/>
  <c r="F93" i="6" s="1"/>
  <c r="D93" i="6"/>
  <c r="B93" i="6"/>
  <c r="C93" i="6" s="1"/>
  <c r="C92" i="6"/>
  <c r="B92" i="6"/>
  <c r="D92" i="6" s="1"/>
  <c r="E92" i="6" s="1"/>
  <c r="F92" i="6" s="1"/>
  <c r="B91" i="6"/>
  <c r="D91" i="6" s="1"/>
  <c r="C90" i="6"/>
  <c r="B90" i="6"/>
  <c r="D90" i="6" s="1"/>
  <c r="E90" i="6" s="1"/>
  <c r="F90" i="6" s="1"/>
  <c r="B89" i="6"/>
  <c r="D89" i="6" s="1"/>
  <c r="D88" i="6"/>
  <c r="E88" i="6" s="1"/>
  <c r="F88" i="6" s="1"/>
  <c r="C88" i="6"/>
  <c r="B88" i="6"/>
  <c r="C87" i="6"/>
  <c r="B87" i="6"/>
  <c r="D87" i="6" s="1"/>
  <c r="E87" i="6" s="1"/>
  <c r="F87" i="6" s="1"/>
  <c r="E86" i="6"/>
  <c r="F86" i="6" s="1"/>
  <c r="D86" i="6"/>
  <c r="C86" i="6"/>
  <c r="B86" i="6"/>
  <c r="E85" i="6"/>
  <c r="F85" i="6" s="1"/>
  <c r="D85" i="6"/>
  <c r="B85" i="6"/>
  <c r="C85" i="6" s="1"/>
  <c r="C84" i="6"/>
  <c r="B84" i="6"/>
  <c r="D84" i="6" s="1"/>
  <c r="E84" i="6" s="1"/>
  <c r="F84" i="6" s="1"/>
  <c r="B83" i="6"/>
  <c r="D83" i="6" s="1"/>
  <c r="C82" i="6"/>
  <c r="B82" i="6"/>
  <c r="D82" i="6" s="1"/>
  <c r="E82" i="6" s="1"/>
  <c r="F82" i="6" s="1"/>
  <c r="B81" i="6"/>
  <c r="D81" i="6" s="1"/>
  <c r="D80" i="6"/>
  <c r="E80" i="6" s="1"/>
  <c r="F80" i="6" s="1"/>
  <c r="C80" i="6"/>
  <c r="B80" i="6"/>
  <c r="F79" i="6"/>
  <c r="E79" i="6"/>
  <c r="D79" i="6"/>
  <c r="C79" i="6"/>
  <c r="B79" i="6"/>
  <c r="E78" i="6"/>
  <c r="F78" i="6" s="1"/>
  <c r="D78" i="6"/>
  <c r="C78" i="6"/>
  <c r="B78" i="6"/>
  <c r="E77" i="6"/>
  <c r="F77" i="6" s="1"/>
  <c r="D77" i="6"/>
  <c r="B77" i="6"/>
  <c r="C77" i="6" s="1"/>
  <c r="C76" i="6"/>
  <c r="B76" i="6"/>
  <c r="D76" i="6" s="1"/>
  <c r="E76" i="6" s="1"/>
  <c r="F76" i="6" s="1"/>
  <c r="B75" i="6"/>
  <c r="D75" i="6" s="1"/>
  <c r="C74" i="6"/>
  <c r="B74" i="6"/>
  <c r="D74" i="6" s="1"/>
  <c r="E74" i="6" s="1"/>
  <c r="F74" i="6" s="1"/>
  <c r="B73" i="6"/>
  <c r="D73" i="6" s="1"/>
  <c r="D72" i="6"/>
  <c r="E72" i="6" s="1"/>
  <c r="F72" i="6" s="1"/>
  <c r="C72" i="6"/>
  <c r="B72" i="6"/>
  <c r="F71" i="6"/>
  <c r="E71" i="6"/>
  <c r="D71" i="6"/>
  <c r="C71" i="6"/>
  <c r="B71" i="6"/>
  <c r="E70" i="6"/>
  <c r="F70" i="6" s="1"/>
  <c r="D70" i="6"/>
  <c r="C70" i="6"/>
  <c r="B70" i="6"/>
  <c r="E69" i="6"/>
  <c r="F69" i="6" s="1"/>
  <c r="D69" i="6"/>
  <c r="B69" i="6"/>
  <c r="C69" i="6" s="1"/>
  <c r="C68" i="6"/>
  <c r="B68" i="6"/>
  <c r="D68" i="6" s="1"/>
  <c r="E68" i="6" s="1"/>
  <c r="F68" i="6" s="1"/>
  <c r="B67" i="6"/>
  <c r="D67" i="6" s="1"/>
  <c r="C66" i="6"/>
  <c r="B66" i="6"/>
  <c r="D66" i="6" s="1"/>
  <c r="E66" i="6" s="1"/>
  <c r="F66" i="6" s="1"/>
  <c r="B65" i="6"/>
  <c r="D65" i="6" s="1"/>
  <c r="D64" i="6"/>
  <c r="E64" i="6" s="1"/>
  <c r="F64" i="6" s="1"/>
  <c r="C64" i="6"/>
  <c r="B64" i="6"/>
  <c r="F63" i="6"/>
  <c r="E63" i="6"/>
  <c r="D63" i="6"/>
  <c r="C63" i="6"/>
  <c r="B63" i="6"/>
  <c r="E62" i="6"/>
  <c r="F62" i="6" s="1"/>
  <c r="D62" i="6"/>
  <c r="C62" i="6"/>
  <c r="B62" i="6"/>
  <c r="E61" i="6"/>
  <c r="F61" i="6" s="1"/>
  <c r="D61" i="6"/>
  <c r="B61" i="6"/>
  <c r="C61" i="6" s="1"/>
  <c r="C60" i="6"/>
  <c r="B60" i="6"/>
  <c r="D60" i="6" s="1"/>
  <c r="E60" i="6" s="1"/>
  <c r="F60" i="6" s="1"/>
  <c r="B59" i="6"/>
  <c r="D59" i="6" s="1"/>
  <c r="C58" i="6"/>
  <c r="B58" i="6"/>
  <c r="D58" i="6" s="1"/>
  <c r="E58" i="6" s="1"/>
  <c r="F58" i="6" s="1"/>
  <c r="B57" i="6"/>
  <c r="D57" i="6" s="1"/>
  <c r="D56" i="6"/>
  <c r="E56" i="6" s="1"/>
  <c r="F56" i="6" s="1"/>
  <c r="C56" i="6"/>
  <c r="B56" i="6"/>
  <c r="F55" i="6"/>
  <c r="E55" i="6"/>
  <c r="D55" i="6"/>
  <c r="C55" i="6"/>
  <c r="B55" i="6"/>
  <c r="E54" i="6"/>
  <c r="F54" i="6" s="1"/>
  <c r="D54" i="6"/>
  <c r="C54" i="6"/>
  <c r="B54" i="6"/>
  <c r="E53" i="6"/>
  <c r="F53" i="6" s="1"/>
  <c r="D53" i="6"/>
  <c r="B53" i="6"/>
  <c r="C53" i="6" s="1"/>
  <c r="C52" i="6"/>
  <c r="B52" i="6"/>
  <c r="D52" i="6" s="1"/>
  <c r="E52" i="6" s="1"/>
  <c r="F52" i="6" s="1"/>
  <c r="B51" i="6"/>
  <c r="D51" i="6" s="1"/>
  <c r="C50" i="6"/>
  <c r="B50" i="6"/>
  <c r="D50" i="6" s="1"/>
  <c r="E50" i="6" s="1"/>
  <c r="F50" i="6" s="1"/>
  <c r="B49" i="6"/>
  <c r="D49" i="6" s="1"/>
  <c r="D48" i="6"/>
  <c r="E48" i="6" s="1"/>
  <c r="F48" i="6" s="1"/>
  <c r="C48" i="6"/>
  <c r="B48" i="6"/>
  <c r="F47" i="6"/>
  <c r="E47" i="6"/>
  <c r="D47" i="6"/>
  <c r="C47" i="6"/>
  <c r="B47" i="6"/>
  <c r="E46" i="6"/>
  <c r="F46" i="6" s="1"/>
  <c r="D46" i="6"/>
  <c r="C46" i="6"/>
  <c r="B46" i="6"/>
  <c r="E45" i="6"/>
  <c r="F45" i="6" s="1"/>
  <c r="D45" i="6"/>
  <c r="B45" i="6"/>
  <c r="C45" i="6" s="1"/>
  <c r="C44" i="6"/>
  <c r="B44" i="6"/>
  <c r="D44" i="6" s="1"/>
  <c r="E44" i="6" s="1"/>
  <c r="F44" i="6" s="1"/>
  <c r="B43" i="6"/>
  <c r="D43" i="6" s="1"/>
  <c r="C42" i="6"/>
  <c r="B42" i="6"/>
  <c r="D42" i="6" s="1"/>
  <c r="E42" i="6" s="1"/>
  <c r="F42" i="6" s="1"/>
  <c r="B41" i="6"/>
  <c r="D41" i="6" s="1"/>
  <c r="D40" i="6"/>
  <c r="E40" i="6" s="1"/>
  <c r="F40" i="6" s="1"/>
  <c r="C40" i="6"/>
  <c r="B40" i="6"/>
  <c r="F39" i="6"/>
  <c r="E39" i="6"/>
  <c r="D39" i="6"/>
  <c r="C39" i="6"/>
  <c r="B39" i="6"/>
  <c r="E38" i="6"/>
  <c r="F38" i="6" s="1"/>
  <c r="D38" i="6"/>
  <c r="C38" i="6"/>
  <c r="B38" i="6"/>
  <c r="E37" i="6"/>
  <c r="F37" i="6" s="1"/>
  <c r="D37" i="6"/>
  <c r="B37" i="6"/>
  <c r="C37" i="6" s="1"/>
  <c r="C36" i="6"/>
  <c r="B36" i="6"/>
  <c r="D36" i="6" s="1"/>
  <c r="E36" i="6" s="1"/>
  <c r="F36" i="6" s="1"/>
  <c r="B35" i="6"/>
  <c r="D35" i="6" s="1"/>
  <c r="C34" i="6"/>
  <c r="B34" i="6"/>
  <c r="D34" i="6" s="1"/>
  <c r="E34" i="6" s="1"/>
  <c r="F34" i="6" s="1"/>
  <c r="B33" i="6"/>
  <c r="D33" i="6" s="1"/>
  <c r="D32" i="6"/>
  <c r="E32" i="6" s="1"/>
  <c r="F32" i="6" s="1"/>
  <c r="C32" i="6"/>
  <c r="B32" i="6"/>
  <c r="F31" i="6"/>
  <c r="E31" i="6"/>
  <c r="D31" i="6"/>
  <c r="C31" i="6"/>
  <c r="B31" i="6"/>
  <c r="E30" i="6"/>
  <c r="F30" i="6" s="1"/>
  <c r="D30" i="6"/>
  <c r="C30" i="6"/>
  <c r="B30" i="6"/>
  <c r="E29" i="6"/>
  <c r="F29" i="6" s="1"/>
  <c r="D29" i="6"/>
  <c r="B29" i="6"/>
  <c r="C29" i="6" s="1"/>
  <c r="C28" i="6"/>
  <c r="B28" i="6"/>
  <c r="D28" i="6" s="1"/>
  <c r="E28" i="6" s="1"/>
  <c r="F28" i="6" s="1"/>
  <c r="C27" i="6"/>
  <c r="B27" i="6"/>
  <c r="D27" i="6" s="1"/>
  <c r="E27" i="6" s="1"/>
  <c r="F27" i="6" s="1"/>
  <c r="D26" i="6"/>
  <c r="E26" i="6" s="1"/>
  <c r="F26" i="6" s="1"/>
  <c r="C26" i="6"/>
  <c r="B26" i="6"/>
  <c r="D25" i="6"/>
  <c r="B25" i="6"/>
  <c r="C25" i="6" s="1"/>
  <c r="E25" i="6" s="1"/>
  <c r="F25" i="6" s="1"/>
  <c r="F24" i="6"/>
  <c r="M24" i="6" s="1"/>
  <c r="N24" i="6" s="1"/>
  <c r="E24" i="6"/>
  <c r="D24" i="6"/>
  <c r="C24" i="6"/>
  <c r="B24" i="6"/>
  <c r="D23" i="6"/>
  <c r="E23" i="6" s="1"/>
  <c r="F23" i="6" s="1"/>
  <c r="C23" i="6"/>
  <c r="B23" i="6"/>
  <c r="B22" i="6"/>
  <c r="D22" i="6" s="1"/>
  <c r="C21" i="6"/>
  <c r="B21" i="6"/>
  <c r="D21" i="6" s="1"/>
  <c r="E21" i="6" s="1"/>
  <c r="F21" i="6" s="1"/>
  <c r="B20" i="6"/>
  <c r="D20" i="6" s="1"/>
  <c r="C19" i="6"/>
  <c r="B19" i="6"/>
  <c r="D19" i="6" s="1"/>
  <c r="E19" i="6" s="1"/>
  <c r="F19" i="6" s="1"/>
  <c r="D18" i="6"/>
  <c r="E18" i="6" s="1"/>
  <c r="F18" i="6" s="1"/>
  <c r="C18" i="6"/>
  <c r="B18" i="6"/>
  <c r="D17" i="6"/>
  <c r="B17" i="6"/>
  <c r="C17" i="6" s="1"/>
  <c r="E17" i="6" s="1"/>
  <c r="F17" i="6" s="1"/>
  <c r="F16" i="6"/>
  <c r="M16" i="6" s="1"/>
  <c r="N16" i="6" s="1"/>
  <c r="E16" i="6"/>
  <c r="D16" i="6"/>
  <c r="C16" i="6"/>
  <c r="B16" i="6"/>
  <c r="D15" i="6"/>
  <c r="E15" i="6" s="1"/>
  <c r="F15" i="6" s="1"/>
  <c r="C15" i="6"/>
  <c r="B15" i="6"/>
  <c r="B14" i="6"/>
  <c r="D14" i="6" s="1"/>
  <c r="C13" i="6"/>
  <c r="B13" i="6"/>
  <c r="D13" i="6" s="1"/>
  <c r="E13" i="6" s="1"/>
  <c r="F13" i="6" s="1"/>
  <c r="B12" i="6"/>
  <c r="D12" i="6" s="1"/>
  <c r="C11" i="6"/>
  <c r="B11" i="6"/>
  <c r="D11" i="6" s="1"/>
  <c r="E11" i="6" s="1"/>
  <c r="F11" i="6" s="1"/>
  <c r="D10" i="6"/>
  <c r="E10" i="6" s="1"/>
  <c r="F10" i="6" s="1"/>
  <c r="C10" i="6"/>
  <c r="B10" i="6"/>
  <c r="D9" i="6"/>
  <c r="B9" i="6"/>
  <c r="C9" i="6" s="1"/>
  <c r="E9" i="6" s="1"/>
  <c r="F9" i="6" s="1"/>
  <c r="F8" i="6"/>
  <c r="M8" i="6" s="1"/>
  <c r="N8" i="6" s="1"/>
  <c r="E8" i="6"/>
  <c r="D8" i="6"/>
  <c r="C8" i="6"/>
  <c r="B8" i="6"/>
  <c r="D7" i="6"/>
  <c r="E7" i="6" s="1"/>
  <c r="F7" i="6" s="1"/>
  <c r="C7" i="6"/>
  <c r="B7" i="6"/>
  <c r="B6" i="6"/>
  <c r="D6" i="6" s="1"/>
  <c r="C5" i="6"/>
  <c r="B5" i="6"/>
  <c r="D5" i="6" s="1"/>
  <c r="E5" i="6" s="1"/>
  <c r="DB107" i="5"/>
  <c r="DB107" i="7" s="1"/>
  <c r="DA107" i="5"/>
  <c r="DA107" i="7" s="1"/>
  <c r="CZ107" i="5"/>
  <c r="CZ107" i="7" s="1"/>
  <c r="CY107" i="5"/>
  <c r="CY107" i="7" s="1"/>
  <c r="CX107" i="5"/>
  <c r="CX107" i="7" s="1"/>
  <c r="CW107" i="5"/>
  <c r="CW107" i="7" s="1"/>
  <c r="CV107" i="5"/>
  <c r="CV107" i="7" s="1"/>
  <c r="CU107" i="5"/>
  <c r="CU107" i="7" s="1"/>
  <c r="CT107" i="5"/>
  <c r="CT107" i="7" s="1"/>
  <c r="CS107" i="5"/>
  <c r="CS107" i="7" s="1"/>
  <c r="CR107" i="5"/>
  <c r="CR107" i="7" s="1"/>
  <c r="CQ107" i="5"/>
  <c r="CQ107" i="7" s="1"/>
  <c r="CP107" i="5"/>
  <c r="CP107" i="7" s="1"/>
  <c r="CO107" i="5"/>
  <c r="CO107" i="7" s="1"/>
  <c r="CN107" i="5"/>
  <c r="CN107" i="7" s="1"/>
  <c r="CM107" i="5"/>
  <c r="CM107" i="7" s="1"/>
  <c r="CL107" i="5"/>
  <c r="CL107" i="7" s="1"/>
  <c r="CK107" i="5"/>
  <c r="CK107" i="7" s="1"/>
  <c r="CJ107" i="5"/>
  <c r="CJ107" i="7" s="1"/>
  <c r="CI107" i="5"/>
  <c r="CI107" i="7" s="1"/>
  <c r="CH107" i="5"/>
  <c r="CH107" i="7" s="1"/>
  <c r="CG107" i="5"/>
  <c r="CG107" i="7" s="1"/>
  <c r="CF107" i="5"/>
  <c r="CF107" i="7" s="1"/>
  <c r="CE107" i="5"/>
  <c r="CE107" i="7" s="1"/>
  <c r="CD107" i="5"/>
  <c r="CD107" i="7" s="1"/>
  <c r="CC107" i="5"/>
  <c r="CC107" i="7" s="1"/>
  <c r="CB107" i="5"/>
  <c r="CB107" i="7" s="1"/>
  <c r="CA107" i="5"/>
  <c r="CA107" i="7" s="1"/>
  <c r="BZ107" i="5"/>
  <c r="BZ107" i="7" s="1"/>
  <c r="BY107" i="5"/>
  <c r="BY107" i="7" s="1"/>
  <c r="BX107" i="5"/>
  <c r="BX107" i="7" s="1"/>
  <c r="BW107" i="5"/>
  <c r="BW107" i="7" s="1"/>
  <c r="BV107" i="5"/>
  <c r="BV107" i="7" s="1"/>
  <c r="BU107" i="5"/>
  <c r="BU107" i="7" s="1"/>
  <c r="BT107" i="5"/>
  <c r="BT107" i="7" s="1"/>
  <c r="BS107" i="5"/>
  <c r="BS107" i="7" s="1"/>
  <c r="BR107" i="5"/>
  <c r="BR107" i="7" s="1"/>
  <c r="BQ107" i="5"/>
  <c r="BQ107" i="7" s="1"/>
  <c r="BP107" i="5"/>
  <c r="BP107" i="7" s="1"/>
  <c r="BO107" i="5"/>
  <c r="BO107" i="7" s="1"/>
  <c r="BN107" i="5"/>
  <c r="BN107" i="7" s="1"/>
  <c r="BM107" i="5"/>
  <c r="BM107" i="7" s="1"/>
  <c r="BL107" i="5"/>
  <c r="BL107" i="7" s="1"/>
  <c r="BK107" i="5"/>
  <c r="BK107" i="7" s="1"/>
  <c r="BJ107" i="5"/>
  <c r="BJ107" i="7" s="1"/>
  <c r="BI107" i="5"/>
  <c r="BI107" i="7" s="1"/>
  <c r="BH107" i="5"/>
  <c r="BH107" i="7" s="1"/>
  <c r="BG107" i="5"/>
  <c r="BG107" i="7" s="1"/>
  <c r="BF107" i="5"/>
  <c r="BF107" i="7" s="1"/>
  <c r="BE107" i="5"/>
  <c r="BE107" i="7" s="1"/>
  <c r="BD107" i="5"/>
  <c r="BD107" i="7" s="1"/>
  <c r="BC107" i="5"/>
  <c r="BC107" i="7" s="1"/>
  <c r="BB107" i="5"/>
  <c r="BB107" i="7" s="1"/>
  <c r="BA107" i="5"/>
  <c r="BA107" i="7" s="1"/>
  <c r="AZ107" i="5"/>
  <c r="AZ107" i="7" s="1"/>
  <c r="AY107" i="5"/>
  <c r="AY107" i="7" s="1"/>
  <c r="AX107" i="5"/>
  <c r="AX107" i="7" s="1"/>
  <c r="AW107" i="5"/>
  <c r="AW107" i="7" s="1"/>
  <c r="AV107" i="5"/>
  <c r="AV107" i="7" s="1"/>
  <c r="AU107" i="5"/>
  <c r="AU107" i="7" s="1"/>
  <c r="AT107" i="5"/>
  <c r="AT107" i="7" s="1"/>
  <c r="AS107" i="5"/>
  <c r="AS107" i="7" s="1"/>
  <c r="AR107" i="5"/>
  <c r="AR107" i="7" s="1"/>
  <c r="AQ107" i="5"/>
  <c r="AQ107" i="7" s="1"/>
  <c r="AP107" i="5"/>
  <c r="AP107" i="7" s="1"/>
  <c r="AO107" i="5"/>
  <c r="AO107" i="7" s="1"/>
  <c r="AN107" i="5"/>
  <c r="AN107" i="7" s="1"/>
  <c r="AM107" i="5"/>
  <c r="AM107" i="7" s="1"/>
  <c r="AL107" i="5"/>
  <c r="AL107" i="7" s="1"/>
  <c r="AK107" i="5"/>
  <c r="AK107" i="7" s="1"/>
  <c r="AJ107" i="5"/>
  <c r="AJ107" i="7" s="1"/>
  <c r="AI107" i="5"/>
  <c r="AI107" i="7" s="1"/>
  <c r="AH107" i="5"/>
  <c r="AH107" i="7" s="1"/>
  <c r="AG107" i="5"/>
  <c r="AG107" i="7" s="1"/>
  <c r="AF107" i="5"/>
  <c r="AF107" i="7" s="1"/>
  <c r="AE107" i="5"/>
  <c r="AE107" i="7" s="1"/>
  <c r="AD107" i="5"/>
  <c r="AD107" i="7" s="1"/>
  <c r="AC107" i="5"/>
  <c r="AC107" i="7" s="1"/>
  <c r="AB107" i="5"/>
  <c r="AB107" i="7" s="1"/>
  <c r="AA107" i="5"/>
  <c r="AA107" i="7" s="1"/>
  <c r="Z107" i="5"/>
  <c r="Z107" i="7" s="1"/>
  <c r="Y107" i="5"/>
  <c r="Y107" i="7" s="1"/>
  <c r="X107" i="5"/>
  <c r="X107" i="7" s="1"/>
  <c r="W107" i="5"/>
  <c r="W107" i="7" s="1"/>
  <c r="V107" i="5"/>
  <c r="V107" i="7" s="1"/>
  <c r="U107" i="5"/>
  <c r="U107" i="7" s="1"/>
  <c r="T107" i="5"/>
  <c r="T107" i="7" s="1"/>
  <c r="S107" i="5"/>
  <c r="S107" i="7" s="1"/>
  <c r="R107" i="5"/>
  <c r="R107" i="7" s="1"/>
  <c r="Q107" i="5"/>
  <c r="Q107" i="7" s="1"/>
  <c r="P107" i="5"/>
  <c r="P107" i="7" s="1"/>
  <c r="O107" i="5"/>
  <c r="O107" i="7" s="1"/>
  <c r="N107" i="5"/>
  <c r="N107" i="7" s="1"/>
  <c r="M107" i="5"/>
  <c r="M107" i="7" s="1"/>
  <c r="L107" i="5"/>
  <c r="L107" i="7" s="1"/>
  <c r="K107" i="5"/>
  <c r="K107" i="7" s="1"/>
  <c r="J107" i="5"/>
  <c r="J107" i="7" s="1"/>
  <c r="I107" i="5"/>
  <c r="I107" i="7" s="1"/>
  <c r="H107" i="5"/>
  <c r="H107" i="7" s="1"/>
  <c r="G107" i="5"/>
  <c r="G107" i="7" s="1"/>
  <c r="F107" i="5"/>
  <c r="F107" i="7" s="1"/>
  <c r="E107" i="5"/>
  <c r="E107" i="7" s="1"/>
  <c r="D107" i="5"/>
  <c r="D107" i="7" s="1"/>
  <c r="C107" i="5"/>
  <c r="C107" i="7" s="1"/>
  <c r="B107" i="5"/>
  <c r="B107" i="7" s="1"/>
  <c r="DB106" i="5"/>
  <c r="DB106" i="7" s="1"/>
  <c r="DA106" i="5"/>
  <c r="DA106" i="7" s="1"/>
  <c r="CZ106" i="5"/>
  <c r="CZ106" i="7" s="1"/>
  <c r="CY106" i="5"/>
  <c r="CY106" i="7" s="1"/>
  <c r="CX106" i="5"/>
  <c r="CX106" i="7" s="1"/>
  <c r="CW106" i="5"/>
  <c r="CW106" i="7" s="1"/>
  <c r="CV106" i="5"/>
  <c r="CV106" i="7" s="1"/>
  <c r="CU106" i="5"/>
  <c r="CU106" i="7" s="1"/>
  <c r="CT106" i="5"/>
  <c r="CT106" i="7" s="1"/>
  <c r="CS106" i="5"/>
  <c r="CS106" i="7" s="1"/>
  <c r="CR106" i="5"/>
  <c r="CR106" i="7" s="1"/>
  <c r="CQ106" i="5"/>
  <c r="CQ106" i="7" s="1"/>
  <c r="CP106" i="5"/>
  <c r="CP106" i="7" s="1"/>
  <c r="CO106" i="5"/>
  <c r="CO106" i="7" s="1"/>
  <c r="CN106" i="5"/>
  <c r="CN106" i="7" s="1"/>
  <c r="CM106" i="5"/>
  <c r="CM106" i="7" s="1"/>
  <c r="CL106" i="5"/>
  <c r="CL106" i="7" s="1"/>
  <c r="CK106" i="5"/>
  <c r="CK106" i="7" s="1"/>
  <c r="CJ106" i="5"/>
  <c r="CJ106" i="7" s="1"/>
  <c r="CI106" i="5"/>
  <c r="CI106" i="7" s="1"/>
  <c r="CH106" i="5"/>
  <c r="CH106" i="7" s="1"/>
  <c r="CG106" i="5"/>
  <c r="CG106" i="7" s="1"/>
  <c r="CF106" i="5"/>
  <c r="CF106" i="7" s="1"/>
  <c r="CE106" i="5"/>
  <c r="CE106" i="7" s="1"/>
  <c r="CD106" i="5"/>
  <c r="CD106" i="7" s="1"/>
  <c r="CC106" i="5"/>
  <c r="CC106" i="7" s="1"/>
  <c r="CB106" i="5"/>
  <c r="CB106" i="7" s="1"/>
  <c r="CA106" i="5"/>
  <c r="CA106" i="7" s="1"/>
  <c r="BZ106" i="5"/>
  <c r="BZ106" i="7" s="1"/>
  <c r="BY106" i="5"/>
  <c r="BY106" i="7" s="1"/>
  <c r="BX106" i="5"/>
  <c r="BX106" i="7" s="1"/>
  <c r="BW106" i="5"/>
  <c r="BW106" i="7" s="1"/>
  <c r="BV106" i="5"/>
  <c r="BV106" i="7" s="1"/>
  <c r="BU106" i="5"/>
  <c r="BU106" i="7" s="1"/>
  <c r="BT106" i="5"/>
  <c r="BT106" i="7" s="1"/>
  <c r="BS106" i="5"/>
  <c r="BS106" i="7" s="1"/>
  <c r="BR106" i="5"/>
  <c r="BR106" i="7" s="1"/>
  <c r="BQ106" i="5"/>
  <c r="BQ106" i="7" s="1"/>
  <c r="BP106" i="5"/>
  <c r="BP106" i="7" s="1"/>
  <c r="BO106" i="5"/>
  <c r="BO106" i="7" s="1"/>
  <c r="BN106" i="5"/>
  <c r="BN106" i="7" s="1"/>
  <c r="BM106" i="5"/>
  <c r="BM106" i="7" s="1"/>
  <c r="BL106" i="5"/>
  <c r="BL106" i="7" s="1"/>
  <c r="BK106" i="5"/>
  <c r="BK106" i="7" s="1"/>
  <c r="BJ106" i="5"/>
  <c r="BJ106" i="7" s="1"/>
  <c r="BI106" i="5"/>
  <c r="BI106" i="7" s="1"/>
  <c r="BH106" i="5"/>
  <c r="BH106" i="7" s="1"/>
  <c r="BG106" i="5"/>
  <c r="BG106" i="7" s="1"/>
  <c r="BF106" i="5"/>
  <c r="BF106" i="7" s="1"/>
  <c r="BE106" i="5"/>
  <c r="BE106" i="7" s="1"/>
  <c r="BD106" i="5"/>
  <c r="BD106" i="7" s="1"/>
  <c r="BC106" i="5"/>
  <c r="BC106" i="7" s="1"/>
  <c r="BB106" i="5"/>
  <c r="BB106" i="7" s="1"/>
  <c r="BA106" i="5"/>
  <c r="BA106" i="7" s="1"/>
  <c r="AZ106" i="5"/>
  <c r="AZ106" i="7" s="1"/>
  <c r="AY106" i="5"/>
  <c r="AY106" i="7" s="1"/>
  <c r="AX106" i="5"/>
  <c r="AX106" i="7" s="1"/>
  <c r="AW106" i="5"/>
  <c r="AW106" i="7" s="1"/>
  <c r="AV106" i="5"/>
  <c r="AV106" i="7" s="1"/>
  <c r="AU106" i="5"/>
  <c r="AU106" i="7" s="1"/>
  <c r="AT106" i="5"/>
  <c r="AT106" i="7" s="1"/>
  <c r="AS106" i="5"/>
  <c r="AS106" i="7" s="1"/>
  <c r="AR106" i="5"/>
  <c r="AR106" i="7" s="1"/>
  <c r="AQ106" i="5"/>
  <c r="AQ106" i="7" s="1"/>
  <c r="AP106" i="5"/>
  <c r="AP106" i="7" s="1"/>
  <c r="AO106" i="5"/>
  <c r="AO106" i="7" s="1"/>
  <c r="AN106" i="5"/>
  <c r="AN106" i="7" s="1"/>
  <c r="AM106" i="5"/>
  <c r="AM106" i="7" s="1"/>
  <c r="AL106" i="5"/>
  <c r="AL106" i="7" s="1"/>
  <c r="AK106" i="5"/>
  <c r="AK106" i="7" s="1"/>
  <c r="AJ106" i="5"/>
  <c r="AJ106" i="7" s="1"/>
  <c r="AI106" i="5"/>
  <c r="AI106" i="7" s="1"/>
  <c r="AH106" i="5"/>
  <c r="AH106" i="7" s="1"/>
  <c r="AG106" i="5"/>
  <c r="AG106" i="7" s="1"/>
  <c r="AF106" i="5"/>
  <c r="AF106" i="7" s="1"/>
  <c r="AE106" i="5"/>
  <c r="AE106" i="7" s="1"/>
  <c r="AD106" i="5"/>
  <c r="AD106" i="7" s="1"/>
  <c r="AC106" i="5"/>
  <c r="AC106" i="7" s="1"/>
  <c r="AB106" i="5"/>
  <c r="AB106" i="7" s="1"/>
  <c r="AA106" i="5"/>
  <c r="AA106" i="7" s="1"/>
  <c r="Z106" i="5"/>
  <c r="Z106" i="7" s="1"/>
  <c r="Y106" i="5"/>
  <c r="Y106" i="7" s="1"/>
  <c r="X106" i="5"/>
  <c r="X106" i="7" s="1"/>
  <c r="W106" i="5"/>
  <c r="W106" i="7" s="1"/>
  <c r="V106" i="5"/>
  <c r="V106" i="7" s="1"/>
  <c r="U106" i="5"/>
  <c r="U106" i="7" s="1"/>
  <c r="T106" i="5"/>
  <c r="T106" i="7" s="1"/>
  <c r="S106" i="5"/>
  <c r="S106" i="7" s="1"/>
  <c r="R106" i="5"/>
  <c r="R106" i="7" s="1"/>
  <c r="Q106" i="5"/>
  <c r="Q106" i="7" s="1"/>
  <c r="P106" i="5"/>
  <c r="P106" i="7" s="1"/>
  <c r="O106" i="5"/>
  <c r="O106" i="7" s="1"/>
  <c r="N106" i="5"/>
  <c r="N106" i="7" s="1"/>
  <c r="M106" i="5"/>
  <c r="M106" i="7" s="1"/>
  <c r="L106" i="5"/>
  <c r="L106" i="7" s="1"/>
  <c r="K106" i="5"/>
  <c r="K106" i="7" s="1"/>
  <c r="J106" i="5"/>
  <c r="J106" i="7" s="1"/>
  <c r="I106" i="5"/>
  <c r="I106" i="7" s="1"/>
  <c r="H106" i="5"/>
  <c r="H106" i="7" s="1"/>
  <c r="G106" i="5"/>
  <c r="G106" i="7" s="1"/>
  <c r="F106" i="5"/>
  <c r="F106" i="7" s="1"/>
  <c r="E106" i="5"/>
  <c r="E106" i="7" s="1"/>
  <c r="D106" i="5"/>
  <c r="D106" i="7" s="1"/>
  <c r="C106" i="5"/>
  <c r="C106" i="7" s="1"/>
  <c r="B106" i="5"/>
  <c r="B106" i="7" s="1"/>
  <c r="DB105" i="5"/>
  <c r="DB105" i="7" s="1"/>
  <c r="DA105" i="5"/>
  <c r="DA105" i="7" s="1"/>
  <c r="CZ105" i="5"/>
  <c r="CZ105" i="7" s="1"/>
  <c r="CY105" i="5"/>
  <c r="CY105" i="7" s="1"/>
  <c r="CX105" i="5"/>
  <c r="CX105" i="7" s="1"/>
  <c r="CW105" i="5"/>
  <c r="CW105" i="7" s="1"/>
  <c r="CV105" i="5"/>
  <c r="CV105" i="7" s="1"/>
  <c r="CU105" i="5"/>
  <c r="CU105" i="7" s="1"/>
  <c r="CT105" i="5"/>
  <c r="CT105" i="7" s="1"/>
  <c r="CS105" i="5"/>
  <c r="CS105" i="7" s="1"/>
  <c r="CR105" i="5"/>
  <c r="CR105" i="7" s="1"/>
  <c r="CQ105" i="5"/>
  <c r="CQ105" i="7" s="1"/>
  <c r="CP105" i="5"/>
  <c r="CP105" i="7" s="1"/>
  <c r="CO105" i="5"/>
  <c r="CO105" i="7" s="1"/>
  <c r="CN105" i="5"/>
  <c r="CN105" i="7" s="1"/>
  <c r="CM105" i="5"/>
  <c r="CM105" i="7" s="1"/>
  <c r="CL105" i="5"/>
  <c r="CL105" i="7" s="1"/>
  <c r="CK105" i="5"/>
  <c r="CK105" i="7" s="1"/>
  <c r="CJ105" i="5"/>
  <c r="CJ105" i="7" s="1"/>
  <c r="CI105" i="5"/>
  <c r="CI105" i="7" s="1"/>
  <c r="CH105" i="5"/>
  <c r="CH105" i="7" s="1"/>
  <c r="CG105" i="5"/>
  <c r="CG105" i="7" s="1"/>
  <c r="CF105" i="5"/>
  <c r="CF105" i="7" s="1"/>
  <c r="CE105" i="5"/>
  <c r="CE105" i="7" s="1"/>
  <c r="CD105" i="5"/>
  <c r="CD105" i="7" s="1"/>
  <c r="CC105" i="5"/>
  <c r="CC105" i="7" s="1"/>
  <c r="CB105" i="5"/>
  <c r="CB105" i="7" s="1"/>
  <c r="CA105" i="5"/>
  <c r="CA105" i="7" s="1"/>
  <c r="BZ105" i="5"/>
  <c r="BZ105" i="7" s="1"/>
  <c r="BY105" i="5"/>
  <c r="BY105" i="7" s="1"/>
  <c r="BX105" i="5"/>
  <c r="BX105" i="7" s="1"/>
  <c r="BW105" i="5"/>
  <c r="BW105" i="7" s="1"/>
  <c r="BV105" i="5"/>
  <c r="BV105" i="7" s="1"/>
  <c r="BU105" i="5"/>
  <c r="BU105" i="7" s="1"/>
  <c r="BT105" i="5"/>
  <c r="BT105" i="7" s="1"/>
  <c r="BS105" i="5"/>
  <c r="BS105" i="7" s="1"/>
  <c r="BR105" i="5"/>
  <c r="BR105" i="7" s="1"/>
  <c r="BQ105" i="5"/>
  <c r="BQ105" i="7" s="1"/>
  <c r="BP105" i="5"/>
  <c r="BP105" i="7" s="1"/>
  <c r="BO105" i="5"/>
  <c r="BO105" i="7" s="1"/>
  <c r="BN105" i="5"/>
  <c r="BN105" i="7" s="1"/>
  <c r="BM105" i="5"/>
  <c r="BM105" i="7" s="1"/>
  <c r="BL105" i="5"/>
  <c r="BL105" i="7" s="1"/>
  <c r="BK105" i="5"/>
  <c r="BK105" i="7" s="1"/>
  <c r="BJ105" i="5"/>
  <c r="BJ105" i="7" s="1"/>
  <c r="BI105" i="5"/>
  <c r="BI105" i="7" s="1"/>
  <c r="BH105" i="5"/>
  <c r="BH105" i="7" s="1"/>
  <c r="BG105" i="5"/>
  <c r="BG105" i="7" s="1"/>
  <c r="BF105" i="5"/>
  <c r="BF105" i="7" s="1"/>
  <c r="BE105" i="5"/>
  <c r="BE105" i="7" s="1"/>
  <c r="BD105" i="5"/>
  <c r="BD105" i="7" s="1"/>
  <c r="BC105" i="5"/>
  <c r="BC105" i="7" s="1"/>
  <c r="BB105" i="5"/>
  <c r="BB105" i="7" s="1"/>
  <c r="BA105" i="5"/>
  <c r="BA105" i="7" s="1"/>
  <c r="AZ105" i="5"/>
  <c r="AZ105" i="7" s="1"/>
  <c r="AY105" i="5"/>
  <c r="AY105" i="7" s="1"/>
  <c r="AX105" i="5"/>
  <c r="AX105" i="7" s="1"/>
  <c r="AW105" i="5"/>
  <c r="AW105" i="7" s="1"/>
  <c r="AV105" i="5"/>
  <c r="AV105" i="7" s="1"/>
  <c r="AU105" i="5"/>
  <c r="AU105" i="7" s="1"/>
  <c r="AT105" i="5"/>
  <c r="AT105" i="7" s="1"/>
  <c r="AS105" i="5"/>
  <c r="AS105" i="7" s="1"/>
  <c r="AR105" i="5"/>
  <c r="AR105" i="7" s="1"/>
  <c r="AQ105" i="5"/>
  <c r="AQ105" i="7" s="1"/>
  <c r="AP105" i="5"/>
  <c r="AP105" i="7" s="1"/>
  <c r="AO105" i="5"/>
  <c r="AO105" i="7" s="1"/>
  <c r="AN105" i="5"/>
  <c r="AN105" i="7" s="1"/>
  <c r="AM105" i="5"/>
  <c r="AM105" i="7" s="1"/>
  <c r="AL105" i="5"/>
  <c r="AL105" i="7" s="1"/>
  <c r="AK105" i="5"/>
  <c r="AK105" i="7" s="1"/>
  <c r="AJ105" i="5"/>
  <c r="AJ105" i="7" s="1"/>
  <c r="AI105" i="5"/>
  <c r="AI105" i="7" s="1"/>
  <c r="AH105" i="5"/>
  <c r="AH105" i="7" s="1"/>
  <c r="AG105" i="5"/>
  <c r="AG105" i="7" s="1"/>
  <c r="AF105" i="5"/>
  <c r="AF105" i="7" s="1"/>
  <c r="AE105" i="5"/>
  <c r="AE105" i="7" s="1"/>
  <c r="AD105" i="5"/>
  <c r="AD105" i="7" s="1"/>
  <c r="AC105" i="5"/>
  <c r="AC105" i="7" s="1"/>
  <c r="AB105" i="5"/>
  <c r="AB105" i="7" s="1"/>
  <c r="AA105" i="5"/>
  <c r="AA105" i="7" s="1"/>
  <c r="Z105" i="5"/>
  <c r="Z105" i="7" s="1"/>
  <c r="Y105" i="5"/>
  <c r="Y105" i="7" s="1"/>
  <c r="X105" i="5"/>
  <c r="X105" i="7" s="1"/>
  <c r="W105" i="5"/>
  <c r="W105" i="7" s="1"/>
  <c r="V105" i="5"/>
  <c r="V105" i="7" s="1"/>
  <c r="U105" i="5"/>
  <c r="U105" i="7" s="1"/>
  <c r="T105" i="5"/>
  <c r="T105" i="7" s="1"/>
  <c r="S105" i="5"/>
  <c r="S105" i="7" s="1"/>
  <c r="R105" i="5"/>
  <c r="R105" i="7" s="1"/>
  <c r="Q105" i="5"/>
  <c r="Q105" i="7" s="1"/>
  <c r="P105" i="5"/>
  <c r="P105" i="7" s="1"/>
  <c r="O105" i="5"/>
  <c r="O105" i="7" s="1"/>
  <c r="N105" i="5"/>
  <c r="N105" i="7" s="1"/>
  <c r="M105" i="5"/>
  <c r="M105" i="7" s="1"/>
  <c r="L105" i="5"/>
  <c r="L105" i="7" s="1"/>
  <c r="K105" i="5"/>
  <c r="K105" i="7" s="1"/>
  <c r="J105" i="5"/>
  <c r="J105" i="7" s="1"/>
  <c r="I105" i="5"/>
  <c r="I105" i="7" s="1"/>
  <c r="H105" i="5"/>
  <c r="H105" i="7" s="1"/>
  <c r="G105" i="5"/>
  <c r="G105" i="7" s="1"/>
  <c r="F105" i="5"/>
  <c r="F105" i="7" s="1"/>
  <c r="E105" i="5"/>
  <c r="E105" i="7" s="1"/>
  <c r="D105" i="5"/>
  <c r="D105" i="7" s="1"/>
  <c r="C105" i="5"/>
  <c r="C105" i="7" s="1"/>
  <c r="B105" i="5"/>
  <c r="B105" i="7" s="1"/>
  <c r="DB104" i="5"/>
  <c r="DB104" i="7" s="1"/>
  <c r="DA104" i="5"/>
  <c r="DA104" i="7" s="1"/>
  <c r="CZ104" i="5"/>
  <c r="CZ104" i="7" s="1"/>
  <c r="CY104" i="5"/>
  <c r="CY104" i="7" s="1"/>
  <c r="CX104" i="5"/>
  <c r="CX104" i="7" s="1"/>
  <c r="CW104" i="5"/>
  <c r="CW104" i="7" s="1"/>
  <c r="CV104" i="5"/>
  <c r="CV104" i="7" s="1"/>
  <c r="CU104" i="5"/>
  <c r="CU104" i="7" s="1"/>
  <c r="CT104" i="5"/>
  <c r="CT104" i="7" s="1"/>
  <c r="CS104" i="5"/>
  <c r="CS104" i="7" s="1"/>
  <c r="CR104" i="5"/>
  <c r="CR104" i="7" s="1"/>
  <c r="CQ104" i="5"/>
  <c r="CQ104" i="7" s="1"/>
  <c r="CP104" i="5"/>
  <c r="CP104" i="7" s="1"/>
  <c r="CO104" i="5"/>
  <c r="CO104" i="7" s="1"/>
  <c r="CN104" i="5"/>
  <c r="CN104" i="7" s="1"/>
  <c r="CM104" i="5"/>
  <c r="CM104" i="7" s="1"/>
  <c r="CL104" i="5"/>
  <c r="CL104" i="7" s="1"/>
  <c r="CK104" i="5"/>
  <c r="CK104" i="7" s="1"/>
  <c r="CJ104" i="5"/>
  <c r="CJ104" i="7" s="1"/>
  <c r="CI104" i="5"/>
  <c r="CI104" i="7" s="1"/>
  <c r="CH104" i="5"/>
  <c r="CH104" i="7" s="1"/>
  <c r="CG104" i="5"/>
  <c r="CG104" i="7" s="1"/>
  <c r="CF104" i="5"/>
  <c r="CF104" i="7" s="1"/>
  <c r="CE104" i="5"/>
  <c r="CE104" i="7" s="1"/>
  <c r="CD104" i="5"/>
  <c r="CD104" i="7" s="1"/>
  <c r="CC104" i="5"/>
  <c r="CC104" i="7" s="1"/>
  <c r="CB104" i="5"/>
  <c r="CB104" i="7" s="1"/>
  <c r="CA104" i="5"/>
  <c r="CA104" i="7" s="1"/>
  <c r="BZ104" i="5"/>
  <c r="BZ104" i="7" s="1"/>
  <c r="BY104" i="5"/>
  <c r="BY104" i="7" s="1"/>
  <c r="BX104" i="5"/>
  <c r="BX104" i="7" s="1"/>
  <c r="BW104" i="5"/>
  <c r="BW104" i="7" s="1"/>
  <c r="BV104" i="5"/>
  <c r="BV104" i="7" s="1"/>
  <c r="BU104" i="5"/>
  <c r="BU104" i="7" s="1"/>
  <c r="BT104" i="5"/>
  <c r="BT104" i="7" s="1"/>
  <c r="BS104" i="5"/>
  <c r="BS104" i="7" s="1"/>
  <c r="BR104" i="5"/>
  <c r="BR104" i="7" s="1"/>
  <c r="BQ104" i="5"/>
  <c r="BQ104" i="7" s="1"/>
  <c r="BP104" i="5"/>
  <c r="BP104" i="7" s="1"/>
  <c r="BO104" i="5"/>
  <c r="BO104" i="7" s="1"/>
  <c r="BN104" i="5"/>
  <c r="BN104" i="7" s="1"/>
  <c r="BM104" i="5"/>
  <c r="BM104" i="7" s="1"/>
  <c r="BL104" i="5"/>
  <c r="BL104" i="7" s="1"/>
  <c r="BK104" i="5"/>
  <c r="BK104" i="7" s="1"/>
  <c r="BJ104" i="5"/>
  <c r="BJ104" i="7" s="1"/>
  <c r="BI104" i="5"/>
  <c r="BI104" i="7" s="1"/>
  <c r="BH104" i="5"/>
  <c r="BH104" i="7" s="1"/>
  <c r="BG104" i="5"/>
  <c r="BG104" i="7" s="1"/>
  <c r="BF104" i="5"/>
  <c r="BF104" i="7" s="1"/>
  <c r="BE104" i="5"/>
  <c r="BE104" i="7" s="1"/>
  <c r="BD104" i="5"/>
  <c r="BD104" i="7" s="1"/>
  <c r="BC104" i="5"/>
  <c r="BC104" i="7" s="1"/>
  <c r="BB104" i="5"/>
  <c r="BB104" i="7" s="1"/>
  <c r="BA104" i="5"/>
  <c r="BA104" i="7" s="1"/>
  <c r="AZ104" i="5"/>
  <c r="AZ104" i="7" s="1"/>
  <c r="AY104" i="5"/>
  <c r="AY104" i="7" s="1"/>
  <c r="AX104" i="5"/>
  <c r="AX104" i="7" s="1"/>
  <c r="AW104" i="5"/>
  <c r="AW104" i="7" s="1"/>
  <c r="AV104" i="5"/>
  <c r="AV104" i="7" s="1"/>
  <c r="AU104" i="5"/>
  <c r="AU104" i="7" s="1"/>
  <c r="AT104" i="5"/>
  <c r="AT104" i="7" s="1"/>
  <c r="AS104" i="5"/>
  <c r="AS104" i="7" s="1"/>
  <c r="AR104" i="5"/>
  <c r="AR104" i="7" s="1"/>
  <c r="AQ104" i="5"/>
  <c r="AQ104" i="7" s="1"/>
  <c r="AP104" i="5"/>
  <c r="AP104" i="7" s="1"/>
  <c r="AO104" i="5"/>
  <c r="AO104" i="7" s="1"/>
  <c r="AN104" i="5"/>
  <c r="AN104" i="7" s="1"/>
  <c r="AM104" i="5"/>
  <c r="AM104" i="7" s="1"/>
  <c r="AL104" i="5"/>
  <c r="AL104" i="7" s="1"/>
  <c r="AK104" i="5"/>
  <c r="AK104" i="7" s="1"/>
  <c r="AJ104" i="5"/>
  <c r="AJ104" i="7" s="1"/>
  <c r="AI104" i="5"/>
  <c r="AI104" i="7" s="1"/>
  <c r="AH104" i="5"/>
  <c r="AH104" i="7" s="1"/>
  <c r="AG104" i="5"/>
  <c r="AG104" i="7" s="1"/>
  <c r="AF104" i="5"/>
  <c r="AF104" i="7" s="1"/>
  <c r="AE104" i="5"/>
  <c r="AE104" i="7" s="1"/>
  <c r="AD104" i="5"/>
  <c r="AD104" i="7" s="1"/>
  <c r="AC104" i="5"/>
  <c r="AC104" i="7" s="1"/>
  <c r="AB104" i="5"/>
  <c r="AB104" i="7" s="1"/>
  <c r="AA104" i="5"/>
  <c r="AA104" i="7" s="1"/>
  <c r="Z104" i="5"/>
  <c r="Z104" i="7" s="1"/>
  <c r="Y104" i="5"/>
  <c r="Y104" i="7" s="1"/>
  <c r="X104" i="5"/>
  <c r="X104" i="7" s="1"/>
  <c r="W104" i="5"/>
  <c r="W104" i="7" s="1"/>
  <c r="V104" i="5"/>
  <c r="V104" i="7" s="1"/>
  <c r="U104" i="5"/>
  <c r="U104" i="7" s="1"/>
  <c r="T104" i="5"/>
  <c r="T104" i="7" s="1"/>
  <c r="S104" i="5"/>
  <c r="S104" i="7" s="1"/>
  <c r="R104" i="5"/>
  <c r="R104" i="7" s="1"/>
  <c r="Q104" i="5"/>
  <c r="Q104" i="7" s="1"/>
  <c r="P104" i="5"/>
  <c r="P104" i="7" s="1"/>
  <c r="O104" i="5"/>
  <c r="O104" i="7" s="1"/>
  <c r="N104" i="5"/>
  <c r="N104" i="7" s="1"/>
  <c r="M104" i="5"/>
  <c r="M104" i="7" s="1"/>
  <c r="L104" i="5"/>
  <c r="L104" i="7" s="1"/>
  <c r="K104" i="5"/>
  <c r="K104" i="7" s="1"/>
  <c r="J104" i="5"/>
  <c r="J104" i="7" s="1"/>
  <c r="I104" i="5"/>
  <c r="I104" i="7" s="1"/>
  <c r="H104" i="5"/>
  <c r="H104" i="7" s="1"/>
  <c r="G104" i="5"/>
  <c r="G104" i="7" s="1"/>
  <c r="F104" i="5"/>
  <c r="F104" i="7" s="1"/>
  <c r="E104" i="5"/>
  <c r="E104" i="7" s="1"/>
  <c r="D104" i="5"/>
  <c r="D104" i="7" s="1"/>
  <c r="C104" i="5"/>
  <c r="C104" i="7" s="1"/>
  <c r="B104" i="5"/>
  <c r="B104" i="7" s="1"/>
  <c r="DB103" i="5"/>
  <c r="DB103" i="7" s="1"/>
  <c r="DA103" i="5"/>
  <c r="DA103" i="7" s="1"/>
  <c r="CZ103" i="5"/>
  <c r="CZ103" i="7" s="1"/>
  <c r="CY103" i="5"/>
  <c r="CY103" i="7" s="1"/>
  <c r="CX103" i="5"/>
  <c r="CX103" i="7" s="1"/>
  <c r="CW103" i="5"/>
  <c r="CW103" i="7" s="1"/>
  <c r="CV103" i="5"/>
  <c r="CV103" i="7" s="1"/>
  <c r="CU103" i="5"/>
  <c r="CU103" i="7" s="1"/>
  <c r="CT103" i="5"/>
  <c r="CT103" i="7" s="1"/>
  <c r="CS103" i="5"/>
  <c r="CS103" i="7" s="1"/>
  <c r="CR103" i="5"/>
  <c r="CR103" i="7" s="1"/>
  <c r="CQ103" i="5"/>
  <c r="CQ103" i="7" s="1"/>
  <c r="CP103" i="5"/>
  <c r="CP103" i="7" s="1"/>
  <c r="CO103" i="5"/>
  <c r="CO103" i="7" s="1"/>
  <c r="CN103" i="5"/>
  <c r="CN103" i="7" s="1"/>
  <c r="CM103" i="5"/>
  <c r="CM103" i="7" s="1"/>
  <c r="CL103" i="5"/>
  <c r="CL103" i="7" s="1"/>
  <c r="CK103" i="5"/>
  <c r="CK103" i="7" s="1"/>
  <c r="CJ103" i="5"/>
  <c r="CJ103" i="7" s="1"/>
  <c r="CI103" i="5"/>
  <c r="CI103" i="7" s="1"/>
  <c r="CH103" i="5"/>
  <c r="CH103" i="7" s="1"/>
  <c r="CG103" i="5"/>
  <c r="CG103" i="7" s="1"/>
  <c r="CF103" i="5"/>
  <c r="CF103" i="7" s="1"/>
  <c r="CE103" i="5"/>
  <c r="CE103" i="7" s="1"/>
  <c r="CD103" i="5"/>
  <c r="CD103" i="7" s="1"/>
  <c r="CC103" i="5"/>
  <c r="CC103" i="7" s="1"/>
  <c r="CB103" i="5"/>
  <c r="CB103" i="7" s="1"/>
  <c r="CA103" i="5"/>
  <c r="CA103" i="7" s="1"/>
  <c r="BZ103" i="5"/>
  <c r="BZ103" i="7" s="1"/>
  <c r="BY103" i="5"/>
  <c r="BY103" i="7" s="1"/>
  <c r="BX103" i="5"/>
  <c r="BX103" i="7" s="1"/>
  <c r="BW103" i="5"/>
  <c r="BW103" i="7" s="1"/>
  <c r="BV103" i="5"/>
  <c r="BV103" i="7" s="1"/>
  <c r="BU103" i="5"/>
  <c r="BU103" i="7" s="1"/>
  <c r="BT103" i="5"/>
  <c r="BT103" i="7" s="1"/>
  <c r="BS103" i="5"/>
  <c r="BS103" i="7" s="1"/>
  <c r="BR103" i="5"/>
  <c r="BR103" i="7" s="1"/>
  <c r="BQ103" i="5"/>
  <c r="BQ103" i="7" s="1"/>
  <c r="BP103" i="5"/>
  <c r="BP103" i="7" s="1"/>
  <c r="BO103" i="5"/>
  <c r="BO103" i="7" s="1"/>
  <c r="BN103" i="5"/>
  <c r="BN103" i="7" s="1"/>
  <c r="BM103" i="5"/>
  <c r="BM103" i="7" s="1"/>
  <c r="BL103" i="5"/>
  <c r="BL103" i="7" s="1"/>
  <c r="BK103" i="5"/>
  <c r="BK103" i="7" s="1"/>
  <c r="BJ103" i="5"/>
  <c r="BJ103" i="7" s="1"/>
  <c r="BI103" i="5"/>
  <c r="BI103" i="7" s="1"/>
  <c r="BH103" i="5"/>
  <c r="BH103" i="7" s="1"/>
  <c r="BG103" i="5"/>
  <c r="BG103" i="7" s="1"/>
  <c r="BF103" i="5"/>
  <c r="BF103" i="7" s="1"/>
  <c r="BE103" i="5"/>
  <c r="BE103" i="7" s="1"/>
  <c r="BD103" i="5"/>
  <c r="BD103" i="7" s="1"/>
  <c r="BC103" i="5"/>
  <c r="BC103" i="7" s="1"/>
  <c r="BB103" i="5"/>
  <c r="BB103" i="7" s="1"/>
  <c r="BA103" i="5"/>
  <c r="BA103" i="7" s="1"/>
  <c r="AZ103" i="5"/>
  <c r="AZ103" i="7" s="1"/>
  <c r="AY103" i="5"/>
  <c r="AY103" i="7" s="1"/>
  <c r="AX103" i="5"/>
  <c r="AX103" i="7" s="1"/>
  <c r="AW103" i="5"/>
  <c r="AW103" i="7" s="1"/>
  <c r="AV103" i="5"/>
  <c r="AV103" i="7" s="1"/>
  <c r="AU103" i="5"/>
  <c r="AU103" i="7" s="1"/>
  <c r="AT103" i="5"/>
  <c r="AT103" i="7" s="1"/>
  <c r="AS103" i="5"/>
  <c r="AS103" i="7" s="1"/>
  <c r="AR103" i="5"/>
  <c r="AR103" i="7" s="1"/>
  <c r="AQ103" i="5"/>
  <c r="AQ103" i="7" s="1"/>
  <c r="AP103" i="5"/>
  <c r="AP103" i="7" s="1"/>
  <c r="AO103" i="5"/>
  <c r="AO103" i="7" s="1"/>
  <c r="AN103" i="5"/>
  <c r="AN103" i="7" s="1"/>
  <c r="AM103" i="5"/>
  <c r="AM103" i="7" s="1"/>
  <c r="AL103" i="5"/>
  <c r="AL103" i="7" s="1"/>
  <c r="AK103" i="5"/>
  <c r="AK103" i="7" s="1"/>
  <c r="AJ103" i="5"/>
  <c r="AJ103" i="7" s="1"/>
  <c r="AI103" i="5"/>
  <c r="AI103" i="7" s="1"/>
  <c r="AH103" i="5"/>
  <c r="AH103" i="7" s="1"/>
  <c r="AG103" i="5"/>
  <c r="AG103" i="7" s="1"/>
  <c r="AF103" i="5"/>
  <c r="AF103" i="7" s="1"/>
  <c r="AE103" i="5"/>
  <c r="AE103" i="7" s="1"/>
  <c r="AD103" i="5"/>
  <c r="AD103" i="7" s="1"/>
  <c r="AC103" i="5"/>
  <c r="AC103" i="7" s="1"/>
  <c r="AB103" i="5"/>
  <c r="AB103" i="7" s="1"/>
  <c r="AA103" i="5"/>
  <c r="AA103" i="7" s="1"/>
  <c r="Z103" i="5"/>
  <c r="Z103" i="7" s="1"/>
  <c r="Y103" i="5"/>
  <c r="Y103" i="7" s="1"/>
  <c r="X103" i="5"/>
  <c r="X103" i="7" s="1"/>
  <c r="W103" i="5"/>
  <c r="W103" i="7" s="1"/>
  <c r="V103" i="5"/>
  <c r="V103" i="7" s="1"/>
  <c r="U103" i="5"/>
  <c r="U103" i="7" s="1"/>
  <c r="T103" i="5"/>
  <c r="T103" i="7" s="1"/>
  <c r="S103" i="5"/>
  <c r="S103" i="7" s="1"/>
  <c r="R103" i="5"/>
  <c r="R103" i="7" s="1"/>
  <c r="Q103" i="5"/>
  <c r="Q103" i="7" s="1"/>
  <c r="P103" i="5"/>
  <c r="P103" i="7" s="1"/>
  <c r="O103" i="5"/>
  <c r="O103" i="7" s="1"/>
  <c r="N103" i="5"/>
  <c r="N103" i="7" s="1"/>
  <c r="M103" i="5"/>
  <c r="M103" i="7" s="1"/>
  <c r="L103" i="5"/>
  <c r="L103" i="7" s="1"/>
  <c r="K103" i="5"/>
  <c r="K103" i="7" s="1"/>
  <c r="J103" i="5"/>
  <c r="J103" i="7" s="1"/>
  <c r="I103" i="5"/>
  <c r="I103" i="7" s="1"/>
  <c r="H103" i="5"/>
  <c r="H103" i="7" s="1"/>
  <c r="G103" i="5"/>
  <c r="G103" i="7" s="1"/>
  <c r="F103" i="5"/>
  <c r="F103" i="7" s="1"/>
  <c r="E103" i="5"/>
  <c r="E103" i="7" s="1"/>
  <c r="D103" i="5"/>
  <c r="D103" i="7" s="1"/>
  <c r="C103" i="5"/>
  <c r="C103" i="7" s="1"/>
  <c r="B103" i="5"/>
  <c r="B103" i="7" s="1"/>
  <c r="DB102" i="5"/>
  <c r="DB102" i="7" s="1"/>
  <c r="DA102" i="5"/>
  <c r="DA102" i="7" s="1"/>
  <c r="CZ102" i="5"/>
  <c r="CZ102" i="7" s="1"/>
  <c r="CY102" i="5"/>
  <c r="CY102" i="7" s="1"/>
  <c r="CX102" i="5"/>
  <c r="CX102" i="7" s="1"/>
  <c r="CW102" i="5"/>
  <c r="CW102" i="7" s="1"/>
  <c r="CV102" i="5"/>
  <c r="CV102" i="7" s="1"/>
  <c r="CU102" i="5"/>
  <c r="CU102" i="7" s="1"/>
  <c r="CT102" i="5"/>
  <c r="CT102" i="7" s="1"/>
  <c r="CS102" i="5"/>
  <c r="CS102" i="7" s="1"/>
  <c r="CR102" i="5"/>
  <c r="CR102" i="7" s="1"/>
  <c r="CQ102" i="5"/>
  <c r="CQ102" i="7" s="1"/>
  <c r="CP102" i="5"/>
  <c r="CP102" i="7" s="1"/>
  <c r="CO102" i="5"/>
  <c r="CO102" i="7" s="1"/>
  <c r="CN102" i="5"/>
  <c r="CN102" i="7" s="1"/>
  <c r="CM102" i="5"/>
  <c r="CM102" i="7" s="1"/>
  <c r="CL102" i="5"/>
  <c r="CL102" i="7" s="1"/>
  <c r="CK102" i="5"/>
  <c r="CK102" i="7" s="1"/>
  <c r="CJ102" i="5"/>
  <c r="CJ102" i="7" s="1"/>
  <c r="CI102" i="5"/>
  <c r="CI102" i="7" s="1"/>
  <c r="CH102" i="5"/>
  <c r="CH102" i="7" s="1"/>
  <c r="CG102" i="5"/>
  <c r="CG102" i="7" s="1"/>
  <c r="CF102" i="5"/>
  <c r="CF102" i="7" s="1"/>
  <c r="CE102" i="5"/>
  <c r="CE102" i="7" s="1"/>
  <c r="CD102" i="5"/>
  <c r="CD102" i="7" s="1"/>
  <c r="CC102" i="5"/>
  <c r="CC102" i="7" s="1"/>
  <c r="CB102" i="5"/>
  <c r="CB102" i="7" s="1"/>
  <c r="CA102" i="5"/>
  <c r="CA102" i="7" s="1"/>
  <c r="BZ102" i="5"/>
  <c r="BZ102" i="7" s="1"/>
  <c r="BY102" i="5"/>
  <c r="BY102" i="7" s="1"/>
  <c r="BX102" i="5"/>
  <c r="BX102" i="7" s="1"/>
  <c r="BW102" i="5"/>
  <c r="BW102" i="7" s="1"/>
  <c r="BV102" i="5"/>
  <c r="BV102" i="7" s="1"/>
  <c r="BU102" i="5"/>
  <c r="BU102" i="7" s="1"/>
  <c r="BT102" i="5"/>
  <c r="BT102" i="7" s="1"/>
  <c r="BS102" i="5"/>
  <c r="BS102" i="7" s="1"/>
  <c r="BR102" i="5"/>
  <c r="BR102" i="7" s="1"/>
  <c r="BQ102" i="5"/>
  <c r="BQ102" i="7" s="1"/>
  <c r="BP102" i="5"/>
  <c r="BP102" i="7" s="1"/>
  <c r="BO102" i="5"/>
  <c r="BO102" i="7" s="1"/>
  <c r="BN102" i="5"/>
  <c r="BN102" i="7" s="1"/>
  <c r="BM102" i="5"/>
  <c r="BM102" i="7" s="1"/>
  <c r="BL102" i="5"/>
  <c r="BL102" i="7" s="1"/>
  <c r="BK102" i="5"/>
  <c r="BK102" i="7" s="1"/>
  <c r="BJ102" i="5"/>
  <c r="BJ102" i="7" s="1"/>
  <c r="BI102" i="5"/>
  <c r="BI102" i="7" s="1"/>
  <c r="BH102" i="5"/>
  <c r="BH102" i="7" s="1"/>
  <c r="BG102" i="5"/>
  <c r="BG102" i="7" s="1"/>
  <c r="BF102" i="5"/>
  <c r="BF102" i="7" s="1"/>
  <c r="BE102" i="5"/>
  <c r="BE102" i="7" s="1"/>
  <c r="BD102" i="5"/>
  <c r="BD102" i="7" s="1"/>
  <c r="BC102" i="5"/>
  <c r="BC102" i="7" s="1"/>
  <c r="BB102" i="5"/>
  <c r="BB102" i="7" s="1"/>
  <c r="BA102" i="5"/>
  <c r="BA102" i="7" s="1"/>
  <c r="AZ102" i="5"/>
  <c r="AZ102" i="7" s="1"/>
  <c r="AY102" i="5"/>
  <c r="AY102" i="7" s="1"/>
  <c r="AX102" i="5"/>
  <c r="AX102" i="7" s="1"/>
  <c r="AW102" i="5"/>
  <c r="AW102" i="7" s="1"/>
  <c r="AV102" i="5"/>
  <c r="AV102" i="7" s="1"/>
  <c r="AU102" i="5"/>
  <c r="AU102" i="7" s="1"/>
  <c r="AT102" i="5"/>
  <c r="AT102" i="7" s="1"/>
  <c r="AS102" i="5"/>
  <c r="AS102" i="7" s="1"/>
  <c r="AR102" i="5"/>
  <c r="AR102" i="7" s="1"/>
  <c r="AQ102" i="5"/>
  <c r="AQ102" i="7" s="1"/>
  <c r="AP102" i="5"/>
  <c r="AP102" i="7" s="1"/>
  <c r="AO102" i="5"/>
  <c r="AO102" i="7" s="1"/>
  <c r="AN102" i="5"/>
  <c r="AN102" i="7" s="1"/>
  <c r="AM102" i="5"/>
  <c r="AM102" i="7" s="1"/>
  <c r="AL102" i="5"/>
  <c r="AL102" i="7" s="1"/>
  <c r="AK102" i="5"/>
  <c r="AK102" i="7" s="1"/>
  <c r="AJ102" i="5"/>
  <c r="AJ102" i="7" s="1"/>
  <c r="AI102" i="5"/>
  <c r="AI102" i="7" s="1"/>
  <c r="AH102" i="5"/>
  <c r="AH102" i="7" s="1"/>
  <c r="AG102" i="5"/>
  <c r="AG102" i="7" s="1"/>
  <c r="AF102" i="5"/>
  <c r="AF102" i="7" s="1"/>
  <c r="AE102" i="5"/>
  <c r="AE102" i="7" s="1"/>
  <c r="AD102" i="5"/>
  <c r="AD102" i="7" s="1"/>
  <c r="AC102" i="5"/>
  <c r="AC102" i="7" s="1"/>
  <c r="AB102" i="5"/>
  <c r="AB102" i="7" s="1"/>
  <c r="AA102" i="5"/>
  <c r="AA102" i="7" s="1"/>
  <c r="Z102" i="5"/>
  <c r="Z102" i="7" s="1"/>
  <c r="Y102" i="5"/>
  <c r="Y102" i="7" s="1"/>
  <c r="X102" i="5"/>
  <c r="X102" i="7" s="1"/>
  <c r="W102" i="5"/>
  <c r="W102" i="7" s="1"/>
  <c r="V102" i="5"/>
  <c r="V102" i="7" s="1"/>
  <c r="U102" i="5"/>
  <c r="U102" i="7" s="1"/>
  <c r="T102" i="5"/>
  <c r="T102" i="7" s="1"/>
  <c r="S102" i="5"/>
  <c r="S102" i="7" s="1"/>
  <c r="R102" i="5"/>
  <c r="R102" i="7" s="1"/>
  <c r="Q102" i="5"/>
  <c r="Q102" i="7" s="1"/>
  <c r="P102" i="5"/>
  <c r="P102" i="7" s="1"/>
  <c r="O102" i="5"/>
  <c r="O102" i="7" s="1"/>
  <c r="N102" i="5"/>
  <c r="N102" i="7" s="1"/>
  <c r="M102" i="5"/>
  <c r="M102" i="7" s="1"/>
  <c r="L102" i="5"/>
  <c r="L102" i="7" s="1"/>
  <c r="K102" i="5"/>
  <c r="K102" i="7" s="1"/>
  <c r="J102" i="5"/>
  <c r="J102" i="7" s="1"/>
  <c r="I102" i="5"/>
  <c r="I102" i="7" s="1"/>
  <c r="H102" i="5"/>
  <c r="H102" i="7" s="1"/>
  <c r="G102" i="5"/>
  <c r="G102" i="7" s="1"/>
  <c r="F102" i="5"/>
  <c r="F102" i="7" s="1"/>
  <c r="E102" i="5"/>
  <c r="E102" i="7" s="1"/>
  <c r="D102" i="5"/>
  <c r="D102" i="7" s="1"/>
  <c r="C102" i="5"/>
  <c r="C102" i="7" s="1"/>
  <c r="B102" i="5"/>
  <c r="B102" i="7" s="1"/>
  <c r="DB101" i="5"/>
  <c r="DB101" i="7" s="1"/>
  <c r="DA101" i="5"/>
  <c r="DA101" i="7" s="1"/>
  <c r="CZ101" i="5"/>
  <c r="CZ101" i="7" s="1"/>
  <c r="CY101" i="5"/>
  <c r="CY101" i="7" s="1"/>
  <c r="CX101" i="5"/>
  <c r="CX101" i="7" s="1"/>
  <c r="CW101" i="5"/>
  <c r="CW101" i="7" s="1"/>
  <c r="CV101" i="5"/>
  <c r="CV101" i="7" s="1"/>
  <c r="CU101" i="5"/>
  <c r="CU101" i="7" s="1"/>
  <c r="CT101" i="5"/>
  <c r="CT101" i="7" s="1"/>
  <c r="CS101" i="5"/>
  <c r="CS101" i="7" s="1"/>
  <c r="CR101" i="5"/>
  <c r="CR101" i="7" s="1"/>
  <c r="CQ101" i="5"/>
  <c r="CQ101" i="7" s="1"/>
  <c r="CP101" i="5"/>
  <c r="CP101" i="7" s="1"/>
  <c r="CO101" i="5"/>
  <c r="CO101" i="7" s="1"/>
  <c r="CN101" i="5"/>
  <c r="CN101" i="7" s="1"/>
  <c r="CM101" i="5"/>
  <c r="CM101" i="7" s="1"/>
  <c r="CL101" i="5"/>
  <c r="CL101" i="7" s="1"/>
  <c r="CK101" i="5"/>
  <c r="CK101" i="7" s="1"/>
  <c r="CJ101" i="5"/>
  <c r="CJ101" i="7" s="1"/>
  <c r="CI101" i="5"/>
  <c r="CI101" i="7" s="1"/>
  <c r="CH101" i="5"/>
  <c r="CH101" i="7" s="1"/>
  <c r="CG101" i="5"/>
  <c r="CG101" i="7" s="1"/>
  <c r="CF101" i="5"/>
  <c r="CF101" i="7" s="1"/>
  <c r="CE101" i="5"/>
  <c r="CE101" i="7" s="1"/>
  <c r="CD101" i="5"/>
  <c r="CD101" i="7" s="1"/>
  <c r="CC101" i="5"/>
  <c r="CC101" i="7" s="1"/>
  <c r="CB101" i="5"/>
  <c r="CB101" i="7" s="1"/>
  <c r="CA101" i="5"/>
  <c r="CA101" i="7" s="1"/>
  <c r="BZ101" i="5"/>
  <c r="BZ101" i="7" s="1"/>
  <c r="BY101" i="5"/>
  <c r="BY101" i="7" s="1"/>
  <c r="BX101" i="5"/>
  <c r="BX101" i="7" s="1"/>
  <c r="BW101" i="5"/>
  <c r="BW101" i="7" s="1"/>
  <c r="BV101" i="5"/>
  <c r="BV101" i="7" s="1"/>
  <c r="BU101" i="5"/>
  <c r="BU101" i="7" s="1"/>
  <c r="BT101" i="5"/>
  <c r="BT101" i="7" s="1"/>
  <c r="BS101" i="5"/>
  <c r="BS101" i="7" s="1"/>
  <c r="BR101" i="5"/>
  <c r="BR101" i="7" s="1"/>
  <c r="BQ101" i="5"/>
  <c r="BQ101" i="7" s="1"/>
  <c r="BP101" i="5"/>
  <c r="BP101" i="7" s="1"/>
  <c r="BO101" i="5"/>
  <c r="BO101" i="7" s="1"/>
  <c r="BN101" i="5"/>
  <c r="BN101" i="7" s="1"/>
  <c r="BM101" i="5"/>
  <c r="BM101" i="7" s="1"/>
  <c r="BL101" i="5"/>
  <c r="BL101" i="7" s="1"/>
  <c r="BK101" i="5"/>
  <c r="BK101" i="7" s="1"/>
  <c r="BJ101" i="5"/>
  <c r="BJ101" i="7" s="1"/>
  <c r="BI101" i="5"/>
  <c r="BI101" i="7" s="1"/>
  <c r="BH101" i="5"/>
  <c r="BH101" i="7" s="1"/>
  <c r="BG101" i="5"/>
  <c r="BG101" i="7" s="1"/>
  <c r="BF101" i="5"/>
  <c r="BF101" i="7" s="1"/>
  <c r="BE101" i="5"/>
  <c r="BE101" i="7" s="1"/>
  <c r="BD101" i="5"/>
  <c r="BD101" i="7" s="1"/>
  <c r="BC101" i="5"/>
  <c r="BC101" i="7" s="1"/>
  <c r="BB101" i="5"/>
  <c r="BB101" i="7" s="1"/>
  <c r="BA101" i="5"/>
  <c r="BA101" i="7" s="1"/>
  <c r="AZ101" i="5"/>
  <c r="AZ101" i="7" s="1"/>
  <c r="AY101" i="5"/>
  <c r="AY101" i="7" s="1"/>
  <c r="AX101" i="5"/>
  <c r="AX101" i="7" s="1"/>
  <c r="AW101" i="5"/>
  <c r="AW101" i="7" s="1"/>
  <c r="AV101" i="5"/>
  <c r="AV101" i="7" s="1"/>
  <c r="AU101" i="5"/>
  <c r="AU101" i="7" s="1"/>
  <c r="AT101" i="5"/>
  <c r="AT101" i="7" s="1"/>
  <c r="AS101" i="5"/>
  <c r="AS101" i="7" s="1"/>
  <c r="AR101" i="5"/>
  <c r="AR101" i="7" s="1"/>
  <c r="AQ101" i="5"/>
  <c r="AQ101" i="7" s="1"/>
  <c r="AP101" i="5"/>
  <c r="AP101" i="7" s="1"/>
  <c r="AO101" i="5"/>
  <c r="AO101" i="7" s="1"/>
  <c r="AN101" i="5"/>
  <c r="AN101" i="7" s="1"/>
  <c r="AM101" i="5"/>
  <c r="AM101" i="7" s="1"/>
  <c r="AL101" i="5"/>
  <c r="AL101" i="7" s="1"/>
  <c r="AK101" i="5"/>
  <c r="AK101" i="7" s="1"/>
  <c r="AJ101" i="5"/>
  <c r="AJ101" i="7" s="1"/>
  <c r="AI101" i="5"/>
  <c r="AI101" i="7" s="1"/>
  <c r="AH101" i="5"/>
  <c r="AH101" i="7" s="1"/>
  <c r="AG101" i="5"/>
  <c r="AG101" i="7" s="1"/>
  <c r="AF101" i="5"/>
  <c r="AF101" i="7" s="1"/>
  <c r="AE101" i="5"/>
  <c r="AE101" i="7" s="1"/>
  <c r="AD101" i="5"/>
  <c r="AD101" i="7" s="1"/>
  <c r="AC101" i="5"/>
  <c r="AC101" i="7" s="1"/>
  <c r="AB101" i="5"/>
  <c r="AB101" i="7" s="1"/>
  <c r="AA101" i="5"/>
  <c r="AA101" i="7" s="1"/>
  <c r="Z101" i="5"/>
  <c r="Z101" i="7" s="1"/>
  <c r="Y101" i="5"/>
  <c r="Y101" i="7" s="1"/>
  <c r="X101" i="5"/>
  <c r="X101" i="7" s="1"/>
  <c r="W101" i="5"/>
  <c r="W101" i="7" s="1"/>
  <c r="V101" i="5"/>
  <c r="V101" i="7" s="1"/>
  <c r="U101" i="5"/>
  <c r="U101" i="7" s="1"/>
  <c r="T101" i="5"/>
  <c r="T101" i="7" s="1"/>
  <c r="S101" i="5"/>
  <c r="S101" i="7" s="1"/>
  <c r="R101" i="5"/>
  <c r="R101" i="7" s="1"/>
  <c r="Q101" i="5"/>
  <c r="Q101" i="7" s="1"/>
  <c r="P101" i="5"/>
  <c r="P101" i="7" s="1"/>
  <c r="O101" i="5"/>
  <c r="O101" i="7" s="1"/>
  <c r="N101" i="5"/>
  <c r="N101" i="7" s="1"/>
  <c r="M101" i="5"/>
  <c r="M101" i="7" s="1"/>
  <c r="L101" i="5"/>
  <c r="L101" i="7" s="1"/>
  <c r="K101" i="5"/>
  <c r="K101" i="7" s="1"/>
  <c r="J101" i="5"/>
  <c r="J101" i="7" s="1"/>
  <c r="I101" i="5"/>
  <c r="I101" i="7" s="1"/>
  <c r="H101" i="5"/>
  <c r="H101" i="7" s="1"/>
  <c r="G101" i="5"/>
  <c r="G101" i="7" s="1"/>
  <c r="F101" i="5"/>
  <c r="F101" i="7" s="1"/>
  <c r="E101" i="5"/>
  <c r="E101" i="7" s="1"/>
  <c r="D101" i="5"/>
  <c r="D101" i="7" s="1"/>
  <c r="C101" i="5"/>
  <c r="C101" i="7" s="1"/>
  <c r="B101" i="5"/>
  <c r="B101" i="7" s="1"/>
  <c r="DB100" i="5"/>
  <c r="DB100" i="7" s="1"/>
  <c r="DA100" i="5"/>
  <c r="DA100" i="7" s="1"/>
  <c r="CZ100" i="5"/>
  <c r="CZ100" i="7" s="1"/>
  <c r="CY100" i="5"/>
  <c r="CY100" i="7" s="1"/>
  <c r="CX100" i="5"/>
  <c r="CX100" i="7" s="1"/>
  <c r="CW100" i="5"/>
  <c r="CW100" i="7" s="1"/>
  <c r="CV100" i="5"/>
  <c r="CV100" i="7" s="1"/>
  <c r="CU100" i="5"/>
  <c r="CU100" i="7" s="1"/>
  <c r="CT100" i="5"/>
  <c r="CT100" i="7" s="1"/>
  <c r="CS100" i="5"/>
  <c r="CS100" i="7" s="1"/>
  <c r="CR100" i="5"/>
  <c r="CR100" i="7" s="1"/>
  <c r="CQ100" i="5"/>
  <c r="CQ100" i="7" s="1"/>
  <c r="CP100" i="5"/>
  <c r="CP100" i="7" s="1"/>
  <c r="CO100" i="5"/>
  <c r="CO100" i="7" s="1"/>
  <c r="CN100" i="5"/>
  <c r="CN100" i="7" s="1"/>
  <c r="CM100" i="5"/>
  <c r="CM100" i="7" s="1"/>
  <c r="CL100" i="5"/>
  <c r="CL100" i="7" s="1"/>
  <c r="CK100" i="5"/>
  <c r="CK100" i="7" s="1"/>
  <c r="CJ100" i="5"/>
  <c r="CJ100" i="7" s="1"/>
  <c r="CI100" i="5"/>
  <c r="CI100" i="7" s="1"/>
  <c r="CH100" i="5"/>
  <c r="CH100" i="7" s="1"/>
  <c r="CG100" i="5"/>
  <c r="CG100" i="7" s="1"/>
  <c r="CF100" i="5"/>
  <c r="CF100" i="7" s="1"/>
  <c r="CE100" i="5"/>
  <c r="CE100" i="7" s="1"/>
  <c r="CD100" i="5"/>
  <c r="CD100" i="7" s="1"/>
  <c r="CC100" i="5"/>
  <c r="CC100" i="7" s="1"/>
  <c r="CB100" i="5"/>
  <c r="CB100" i="7" s="1"/>
  <c r="CA100" i="5"/>
  <c r="CA100" i="7" s="1"/>
  <c r="BZ100" i="5"/>
  <c r="BZ100" i="7" s="1"/>
  <c r="BY100" i="5"/>
  <c r="BY100" i="7" s="1"/>
  <c r="BX100" i="5"/>
  <c r="BX100" i="7" s="1"/>
  <c r="BW100" i="5"/>
  <c r="BW100" i="7" s="1"/>
  <c r="BV100" i="5"/>
  <c r="BV100" i="7" s="1"/>
  <c r="BU100" i="5"/>
  <c r="BU100" i="7" s="1"/>
  <c r="BT100" i="5"/>
  <c r="BT100" i="7" s="1"/>
  <c r="BS100" i="5"/>
  <c r="BS100" i="7" s="1"/>
  <c r="BR100" i="5"/>
  <c r="BR100" i="7" s="1"/>
  <c r="BQ100" i="5"/>
  <c r="BQ100" i="7" s="1"/>
  <c r="BP100" i="5"/>
  <c r="BP100" i="7" s="1"/>
  <c r="BO100" i="5"/>
  <c r="BO100" i="7" s="1"/>
  <c r="BN100" i="5"/>
  <c r="BN100" i="7" s="1"/>
  <c r="BM100" i="5"/>
  <c r="BM100" i="7" s="1"/>
  <c r="BL100" i="5"/>
  <c r="BL100" i="7" s="1"/>
  <c r="BK100" i="5"/>
  <c r="BK100" i="7" s="1"/>
  <c r="BJ100" i="5"/>
  <c r="BJ100" i="7" s="1"/>
  <c r="BI100" i="5"/>
  <c r="BI100" i="7" s="1"/>
  <c r="BH100" i="5"/>
  <c r="BH100" i="7" s="1"/>
  <c r="BG100" i="5"/>
  <c r="BG100" i="7" s="1"/>
  <c r="BF100" i="5"/>
  <c r="BF100" i="7" s="1"/>
  <c r="BE100" i="5"/>
  <c r="BE100" i="7" s="1"/>
  <c r="BD100" i="5"/>
  <c r="BD100" i="7" s="1"/>
  <c r="BC100" i="5"/>
  <c r="BC100" i="7" s="1"/>
  <c r="BB100" i="5"/>
  <c r="BB100" i="7" s="1"/>
  <c r="BA100" i="5"/>
  <c r="BA100" i="7" s="1"/>
  <c r="AZ100" i="5"/>
  <c r="AZ100" i="7" s="1"/>
  <c r="AY100" i="5"/>
  <c r="AY100" i="7" s="1"/>
  <c r="AX100" i="5"/>
  <c r="AX100" i="7" s="1"/>
  <c r="AW100" i="5"/>
  <c r="AW100" i="7" s="1"/>
  <c r="AV100" i="5"/>
  <c r="AV100" i="7" s="1"/>
  <c r="AU100" i="5"/>
  <c r="AU100" i="7" s="1"/>
  <c r="AT100" i="5"/>
  <c r="AT100" i="7" s="1"/>
  <c r="AS100" i="5"/>
  <c r="AS100" i="7" s="1"/>
  <c r="AR100" i="5"/>
  <c r="AR100" i="7" s="1"/>
  <c r="AQ100" i="5"/>
  <c r="AQ100" i="7" s="1"/>
  <c r="AP100" i="5"/>
  <c r="AP100" i="7" s="1"/>
  <c r="AO100" i="5"/>
  <c r="AO100" i="7" s="1"/>
  <c r="AN100" i="5"/>
  <c r="AN100" i="7" s="1"/>
  <c r="AM100" i="5"/>
  <c r="AM100" i="7" s="1"/>
  <c r="AL100" i="5"/>
  <c r="AL100" i="7" s="1"/>
  <c r="AK100" i="5"/>
  <c r="AK100" i="7" s="1"/>
  <c r="AJ100" i="5"/>
  <c r="AJ100" i="7" s="1"/>
  <c r="AI100" i="5"/>
  <c r="AI100" i="7" s="1"/>
  <c r="AH100" i="5"/>
  <c r="AH100" i="7" s="1"/>
  <c r="AG100" i="5"/>
  <c r="AG100" i="7" s="1"/>
  <c r="AF100" i="5"/>
  <c r="AF100" i="7" s="1"/>
  <c r="AE100" i="5"/>
  <c r="AE100" i="7" s="1"/>
  <c r="AD100" i="5"/>
  <c r="AD100" i="7" s="1"/>
  <c r="AC100" i="5"/>
  <c r="AC100" i="7" s="1"/>
  <c r="AB100" i="5"/>
  <c r="AB100" i="7" s="1"/>
  <c r="AA100" i="5"/>
  <c r="AA100" i="7" s="1"/>
  <c r="Z100" i="5"/>
  <c r="Z100" i="7" s="1"/>
  <c r="Y100" i="5"/>
  <c r="Y100" i="7" s="1"/>
  <c r="X100" i="5"/>
  <c r="X100" i="7" s="1"/>
  <c r="W100" i="5"/>
  <c r="W100" i="7" s="1"/>
  <c r="V100" i="5"/>
  <c r="V100" i="7" s="1"/>
  <c r="U100" i="5"/>
  <c r="U100" i="7" s="1"/>
  <c r="T100" i="5"/>
  <c r="T100" i="7" s="1"/>
  <c r="S100" i="5"/>
  <c r="S100" i="7" s="1"/>
  <c r="R100" i="5"/>
  <c r="R100" i="7" s="1"/>
  <c r="Q100" i="5"/>
  <c r="Q100" i="7" s="1"/>
  <c r="P100" i="5"/>
  <c r="P100" i="7" s="1"/>
  <c r="O100" i="5"/>
  <c r="O100" i="7" s="1"/>
  <c r="N100" i="5"/>
  <c r="N100" i="7" s="1"/>
  <c r="M100" i="5"/>
  <c r="M100" i="7" s="1"/>
  <c r="L100" i="5"/>
  <c r="L100" i="7" s="1"/>
  <c r="K100" i="5"/>
  <c r="K100" i="7" s="1"/>
  <c r="J100" i="5"/>
  <c r="J100" i="7" s="1"/>
  <c r="I100" i="5"/>
  <c r="I100" i="7" s="1"/>
  <c r="H100" i="5"/>
  <c r="H100" i="7" s="1"/>
  <c r="G100" i="5"/>
  <c r="G100" i="7" s="1"/>
  <c r="F100" i="5"/>
  <c r="F100" i="7" s="1"/>
  <c r="E100" i="5"/>
  <c r="E100" i="7" s="1"/>
  <c r="D100" i="5"/>
  <c r="D100" i="7" s="1"/>
  <c r="C100" i="5"/>
  <c r="C100" i="7" s="1"/>
  <c r="B100" i="5"/>
  <c r="B100" i="7" s="1"/>
  <c r="DB99" i="5"/>
  <c r="DB99" i="7" s="1"/>
  <c r="DA99" i="5"/>
  <c r="DA99" i="7" s="1"/>
  <c r="CZ99" i="5"/>
  <c r="CZ99" i="7" s="1"/>
  <c r="CY99" i="5"/>
  <c r="CY99" i="7" s="1"/>
  <c r="CX99" i="5"/>
  <c r="CX99" i="7" s="1"/>
  <c r="CW99" i="5"/>
  <c r="CW99" i="7" s="1"/>
  <c r="CV99" i="5"/>
  <c r="CV99" i="7" s="1"/>
  <c r="CU99" i="5"/>
  <c r="CU99" i="7" s="1"/>
  <c r="CT99" i="5"/>
  <c r="CT99" i="7" s="1"/>
  <c r="CS99" i="5"/>
  <c r="CS99" i="7" s="1"/>
  <c r="CR99" i="5"/>
  <c r="CR99" i="7" s="1"/>
  <c r="CQ99" i="5"/>
  <c r="CQ99" i="7" s="1"/>
  <c r="CP99" i="5"/>
  <c r="CP99" i="7" s="1"/>
  <c r="CO99" i="5"/>
  <c r="CO99" i="7" s="1"/>
  <c r="CN99" i="5"/>
  <c r="CN99" i="7" s="1"/>
  <c r="CM99" i="5"/>
  <c r="CM99" i="7" s="1"/>
  <c r="CL99" i="5"/>
  <c r="CL99" i="7" s="1"/>
  <c r="CK99" i="5"/>
  <c r="CK99" i="7" s="1"/>
  <c r="CJ99" i="5"/>
  <c r="CJ99" i="7" s="1"/>
  <c r="CI99" i="5"/>
  <c r="CI99" i="7" s="1"/>
  <c r="CH99" i="5"/>
  <c r="CH99" i="7" s="1"/>
  <c r="CG99" i="5"/>
  <c r="CG99" i="7" s="1"/>
  <c r="CF99" i="5"/>
  <c r="CF99" i="7" s="1"/>
  <c r="CE99" i="5"/>
  <c r="CE99" i="7" s="1"/>
  <c r="CD99" i="5"/>
  <c r="CD99" i="7" s="1"/>
  <c r="CC99" i="5"/>
  <c r="CC99" i="7" s="1"/>
  <c r="CB99" i="5"/>
  <c r="CB99" i="7" s="1"/>
  <c r="CA99" i="5"/>
  <c r="CA99" i="7" s="1"/>
  <c r="BZ99" i="5"/>
  <c r="BZ99" i="7" s="1"/>
  <c r="BY99" i="5"/>
  <c r="BY99" i="7" s="1"/>
  <c r="BX99" i="5"/>
  <c r="BX99" i="7" s="1"/>
  <c r="BW99" i="5"/>
  <c r="BW99" i="7" s="1"/>
  <c r="BV99" i="5"/>
  <c r="BV99" i="7" s="1"/>
  <c r="BU99" i="5"/>
  <c r="BU99" i="7" s="1"/>
  <c r="BT99" i="5"/>
  <c r="BT99" i="7" s="1"/>
  <c r="BS99" i="5"/>
  <c r="BS99" i="7" s="1"/>
  <c r="BR99" i="5"/>
  <c r="BR99" i="7" s="1"/>
  <c r="BQ99" i="5"/>
  <c r="BQ99" i="7" s="1"/>
  <c r="BP99" i="5"/>
  <c r="BP99" i="7" s="1"/>
  <c r="BO99" i="5"/>
  <c r="BO99" i="7" s="1"/>
  <c r="BN99" i="5"/>
  <c r="BN99" i="7" s="1"/>
  <c r="BM99" i="5"/>
  <c r="BM99" i="7" s="1"/>
  <c r="BL99" i="5"/>
  <c r="BL99" i="7" s="1"/>
  <c r="BK99" i="5"/>
  <c r="BK99" i="7" s="1"/>
  <c r="BJ99" i="5"/>
  <c r="BJ99" i="7" s="1"/>
  <c r="BI99" i="5"/>
  <c r="BI99" i="7" s="1"/>
  <c r="BH99" i="5"/>
  <c r="BH99" i="7" s="1"/>
  <c r="BG99" i="5"/>
  <c r="BG99" i="7" s="1"/>
  <c r="BF99" i="5"/>
  <c r="BF99" i="7" s="1"/>
  <c r="BE99" i="5"/>
  <c r="BE99" i="7" s="1"/>
  <c r="BD99" i="5"/>
  <c r="BD99" i="7" s="1"/>
  <c r="BC99" i="5"/>
  <c r="BC99" i="7" s="1"/>
  <c r="BB99" i="5"/>
  <c r="BB99" i="7" s="1"/>
  <c r="BA99" i="5"/>
  <c r="BA99" i="7" s="1"/>
  <c r="AZ99" i="5"/>
  <c r="AZ99" i="7" s="1"/>
  <c r="AY99" i="5"/>
  <c r="AY99" i="7" s="1"/>
  <c r="AX99" i="5"/>
  <c r="AX99" i="7" s="1"/>
  <c r="AW99" i="5"/>
  <c r="AW99" i="7" s="1"/>
  <c r="AV99" i="5"/>
  <c r="AV99" i="7" s="1"/>
  <c r="AU99" i="5"/>
  <c r="AU99" i="7" s="1"/>
  <c r="AT99" i="5"/>
  <c r="AT99" i="7" s="1"/>
  <c r="AS99" i="5"/>
  <c r="AS99" i="7" s="1"/>
  <c r="AR99" i="5"/>
  <c r="AR99" i="7" s="1"/>
  <c r="AQ99" i="5"/>
  <c r="AQ99" i="7" s="1"/>
  <c r="AP99" i="5"/>
  <c r="AP99" i="7" s="1"/>
  <c r="AO99" i="5"/>
  <c r="AO99" i="7" s="1"/>
  <c r="AN99" i="5"/>
  <c r="AN99" i="7" s="1"/>
  <c r="AM99" i="5"/>
  <c r="AM99" i="7" s="1"/>
  <c r="AL99" i="5"/>
  <c r="AL99" i="7" s="1"/>
  <c r="AK99" i="5"/>
  <c r="AK99" i="7" s="1"/>
  <c r="AJ99" i="5"/>
  <c r="AJ99" i="7" s="1"/>
  <c r="AI99" i="5"/>
  <c r="AI99" i="7" s="1"/>
  <c r="AH99" i="5"/>
  <c r="AH99" i="7" s="1"/>
  <c r="AG99" i="5"/>
  <c r="AG99" i="7" s="1"/>
  <c r="AF99" i="5"/>
  <c r="AF99" i="7" s="1"/>
  <c r="AE99" i="5"/>
  <c r="AE99" i="7" s="1"/>
  <c r="AD99" i="5"/>
  <c r="AD99" i="7" s="1"/>
  <c r="AC99" i="5"/>
  <c r="AC99" i="7" s="1"/>
  <c r="AB99" i="5"/>
  <c r="AB99" i="7" s="1"/>
  <c r="AA99" i="5"/>
  <c r="AA99" i="7" s="1"/>
  <c r="Z99" i="5"/>
  <c r="Z99" i="7" s="1"/>
  <c r="Y99" i="5"/>
  <c r="Y99" i="7" s="1"/>
  <c r="X99" i="5"/>
  <c r="X99" i="7" s="1"/>
  <c r="W99" i="5"/>
  <c r="W99" i="7" s="1"/>
  <c r="V99" i="5"/>
  <c r="V99" i="7" s="1"/>
  <c r="U99" i="5"/>
  <c r="U99" i="7" s="1"/>
  <c r="T99" i="5"/>
  <c r="T99" i="7" s="1"/>
  <c r="S99" i="5"/>
  <c r="S99" i="7" s="1"/>
  <c r="R99" i="5"/>
  <c r="R99" i="7" s="1"/>
  <c r="Q99" i="5"/>
  <c r="Q99" i="7" s="1"/>
  <c r="P99" i="5"/>
  <c r="P99" i="7" s="1"/>
  <c r="O99" i="5"/>
  <c r="O99" i="7" s="1"/>
  <c r="N99" i="5"/>
  <c r="N99" i="7" s="1"/>
  <c r="M99" i="5"/>
  <c r="M99" i="7" s="1"/>
  <c r="L99" i="5"/>
  <c r="L99" i="7" s="1"/>
  <c r="K99" i="5"/>
  <c r="K99" i="7" s="1"/>
  <c r="J99" i="5"/>
  <c r="J99" i="7" s="1"/>
  <c r="I99" i="5"/>
  <c r="I99" i="7" s="1"/>
  <c r="H99" i="5"/>
  <c r="H99" i="7" s="1"/>
  <c r="G99" i="5"/>
  <c r="G99" i="7" s="1"/>
  <c r="F99" i="5"/>
  <c r="F99" i="7" s="1"/>
  <c r="E99" i="5"/>
  <c r="E99" i="7" s="1"/>
  <c r="D99" i="5"/>
  <c r="D99" i="7" s="1"/>
  <c r="C99" i="5"/>
  <c r="C99" i="7" s="1"/>
  <c r="B99" i="5"/>
  <c r="B99" i="7" s="1"/>
  <c r="DB98" i="5"/>
  <c r="DB98" i="7" s="1"/>
  <c r="DA98" i="5"/>
  <c r="DA98" i="7" s="1"/>
  <c r="CZ98" i="5"/>
  <c r="CZ98" i="7" s="1"/>
  <c r="CY98" i="5"/>
  <c r="CY98" i="7" s="1"/>
  <c r="CX98" i="5"/>
  <c r="CX98" i="7" s="1"/>
  <c r="CW98" i="5"/>
  <c r="CW98" i="7" s="1"/>
  <c r="CV98" i="5"/>
  <c r="CV98" i="7" s="1"/>
  <c r="CU98" i="5"/>
  <c r="CU98" i="7" s="1"/>
  <c r="CT98" i="5"/>
  <c r="CT98" i="7" s="1"/>
  <c r="CS98" i="5"/>
  <c r="CS98" i="7" s="1"/>
  <c r="CR98" i="5"/>
  <c r="CR98" i="7" s="1"/>
  <c r="CQ98" i="5"/>
  <c r="CQ98" i="7" s="1"/>
  <c r="CP98" i="5"/>
  <c r="CP98" i="7" s="1"/>
  <c r="CO98" i="5"/>
  <c r="CO98" i="7" s="1"/>
  <c r="CN98" i="5"/>
  <c r="CN98" i="7" s="1"/>
  <c r="CM98" i="5"/>
  <c r="CM98" i="7" s="1"/>
  <c r="CL98" i="5"/>
  <c r="CL98" i="7" s="1"/>
  <c r="CK98" i="5"/>
  <c r="CK98" i="7" s="1"/>
  <c r="CJ98" i="5"/>
  <c r="CJ98" i="7" s="1"/>
  <c r="CI98" i="5"/>
  <c r="CI98" i="7" s="1"/>
  <c r="CH98" i="5"/>
  <c r="CH98" i="7" s="1"/>
  <c r="CG98" i="5"/>
  <c r="CG98" i="7" s="1"/>
  <c r="CF98" i="5"/>
  <c r="CF98" i="7" s="1"/>
  <c r="CE98" i="5"/>
  <c r="CE98" i="7" s="1"/>
  <c r="CD98" i="5"/>
  <c r="CD98" i="7" s="1"/>
  <c r="CC98" i="5"/>
  <c r="CC98" i="7" s="1"/>
  <c r="CB98" i="5"/>
  <c r="CB98" i="7" s="1"/>
  <c r="CA98" i="5"/>
  <c r="CA98" i="7" s="1"/>
  <c r="BZ98" i="5"/>
  <c r="BZ98" i="7" s="1"/>
  <c r="BY98" i="5"/>
  <c r="BY98" i="7" s="1"/>
  <c r="BX98" i="5"/>
  <c r="BX98" i="7" s="1"/>
  <c r="BW98" i="5"/>
  <c r="BW98" i="7" s="1"/>
  <c r="BV98" i="5"/>
  <c r="BV98" i="7" s="1"/>
  <c r="BU98" i="5"/>
  <c r="BU98" i="7" s="1"/>
  <c r="BT98" i="5"/>
  <c r="BT98" i="7" s="1"/>
  <c r="BS98" i="5"/>
  <c r="BS98" i="7" s="1"/>
  <c r="BR98" i="5"/>
  <c r="BR98" i="7" s="1"/>
  <c r="BQ98" i="5"/>
  <c r="BQ98" i="7" s="1"/>
  <c r="BP98" i="5"/>
  <c r="BP98" i="7" s="1"/>
  <c r="BO98" i="5"/>
  <c r="BO98" i="7" s="1"/>
  <c r="BN98" i="5"/>
  <c r="BN98" i="7" s="1"/>
  <c r="BM98" i="5"/>
  <c r="BM98" i="7" s="1"/>
  <c r="BL98" i="5"/>
  <c r="BL98" i="7" s="1"/>
  <c r="BK98" i="5"/>
  <c r="BK98" i="7" s="1"/>
  <c r="BJ98" i="5"/>
  <c r="BJ98" i="7" s="1"/>
  <c r="BI98" i="5"/>
  <c r="BI98" i="7" s="1"/>
  <c r="BH98" i="5"/>
  <c r="BH98" i="7" s="1"/>
  <c r="BG98" i="5"/>
  <c r="BG98" i="7" s="1"/>
  <c r="BF98" i="5"/>
  <c r="BF98" i="7" s="1"/>
  <c r="BE98" i="5"/>
  <c r="BE98" i="7" s="1"/>
  <c r="BD98" i="5"/>
  <c r="BD98" i="7" s="1"/>
  <c r="BC98" i="5"/>
  <c r="BC98" i="7" s="1"/>
  <c r="BB98" i="5"/>
  <c r="BB98" i="7" s="1"/>
  <c r="BA98" i="5"/>
  <c r="BA98" i="7" s="1"/>
  <c r="AZ98" i="5"/>
  <c r="AZ98" i="7" s="1"/>
  <c r="AY98" i="5"/>
  <c r="AY98" i="7" s="1"/>
  <c r="AX98" i="5"/>
  <c r="AX98" i="7" s="1"/>
  <c r="AW98" i="5"/>
  <c r="AW98" i="7" s="1"/>
  <c r="AV98" i="5"/>
  <c r="AV98" i="7" s="1"/>
  <c r="AU98" i="5"/>
  <c r="AU98" i="7" s="1"/>
  <c r="AT98" i="5"/>
  <c r="AT98" i="7" s="1"/>
  <c r="AS98" i="5"/>
  <c r="AS98" i="7" s="1"/>
  <c r="AR98" i="5"/>
  <c r="AR98" i="7" s="1"/>
  <c r="AQ98" i="5"/>
  <c r="AQ98" i="7" s="1"/>
  <c r="AP98" i="5"/>
  <c r="AP98" i="7" s="1"/>
  <c r="AO98" i="5"/>
  <c r="AO98" i="7" s="1"/>
  <c r="AN98" i="5"/>
  <c r="AN98" i="7" s="1"/>
  <c r="AM98" i="5"/>
  <c r="AM98" i="7" s="1"/>
  <c r="AL98" i="5"/>
  <c r="AL98" i="7" s="1"/>
  <c r="AK98" i="5"/>
  <c r="AK98" i="7" s="1"/>
  <c r="AJ98" i="5"/>
  <c r="AJ98" i="7" s="1"/>
  <c r="AI98" i="5"/>
  <c r="AI98" i="7" s="1"/>
  <c r="AH98" i="5"/>
  <c r="AH98" i="7" s="1"/>
  <c r="AG98" i="5"/>
  <c r="AG98" i="7" s="1"/>
  <c r="AF98" i="5"/>
  <c r="AF98" i="7" s="1"/>
  <c r="AE98" i="5"/>
  <c r="AE98" i="7" s="1"/>
  <c r="AD98" i="5"/>
  <c r="AD98" i="7" s="1"/>
  <c r="AC98" i="5"/>
  <c r="AC98" i="7" s="1"/>
  <c r="AB98" i="5"/>
  <c r="AB98" i="7" s="1"/>
  <c r="AA98" i="5"/>
  <c r="AA98" i="7" s="1"/>
  <c r="Z98" i="5"/>
  <c r="Z98" i="7" s="1"/>
  <c r="Y98" i="5"/>
  <c r="Y98" i="7" s="1"/>
  <c r="X98" i="5"/>
  <c r="X98" i="7" s="1"/>
  <c r="W98" i="5"/>
  <c r="W98" i="7" s="1"/>
  <c r="V98" i="5"/>
  <c r="V98" i="7" s="1"/>
  <c r="U98" i="5"/>
  <c r="U98" i="7" s="1"/>
  <c r="T98" i="5"/>
  <c r="T98" i="7" s="1"/>
  <c r="S98" i="5"/>
  <c r="S98" i="7" s="1"/>
  <c r="R98" i="5"/>
  <c r="R98" i="7" s="1"/>
  <c r="Q98" i="5"/>
  <c r="Q98" i="7" s="1"/>
  <c r="P98" i="5"/>
  <c r="P98" i="7" s="1"/>
  <c r="O98" i="5"/>
  <c r="O98" i="7" s="1"/>
  <c r="N98" i="5"/>
  <c r="N98" i="7" s="1"/>
  <c r="M98" i="5"/>
  <c r="M98" i="7" s="1"/>
  <c r="L98" i="5"/>
  <c r="L98" i="7" s="1"/>
  <c r="K98" i="5"/>
  <c r="K98" i="7" s="1"/>
  <c r="J98" i="5"/>
  <c r="J98" i="7" s="1"/>
  <c r="I98" i="5"/>
  <c r="I98" i="7" s="1"/>
  <c r="H98" i="5"/>
  <c r="H98" i="7" s="1"/>
  <c r="G98" i="5"/>
  <c r="G98" i="7" s="1"/>
  <c r="F98" i="5"/>
  <c r="F98" i="7" s="1"/>
  <c r="E98" i="5"/>
  <c r="E98" i="7" s="1"/>
  <c r="D98" i="5"/>
  <c r="D98" i="7" s="1"/>
  <c r="C98" i="5"/>
  <c r="C98" i="7" s="1"/>
  <c r="B98" i="5"/>
  <c r="B98" i="7" s="1"/>
  <c r="DB97" i="5"/>
  <c r="DB97" i="7" s="1"/>
  <c r="DA97" i="5"/>
  <c r="DA97" i="7" s="1"/>
  <c r="CZ97" i="5"/>
  <c r="CZ97" i="7" s="1"/>
  <c r="CY97" i="5"/>
  <c r="CY97" i="7" s="1"/>
  <c r="CX97" i="5"/>
  <c r="CX97" i="7" s="1"/>
  <c r="CW97" i="5"/>
  <c r="CW97" i="7" s="1"/>
  <c r="CV97" i="5"/>
  <c r="CV97" i="7" s="1"/>
  <c r="CU97" i="5"/>
  <c r="CU97" i="7" s="1"/>
  <c r="CT97" i="5"/>
  <c r="CT97" i="7" s="1"/>
  <c r="CS97" i="5"/>
  <c r="CS97" i="7" s="1"/>
  <c r="CR97" i="5"/>
  <c r="CR97" i="7" s="1"/>
  <c r="CQ97" i="5"/>
  <c r="CQ97" i="7" s="1"/>
  <c r="CP97" i="5"/>
  <c r="CP97" i="7" s="1"/>
  <c r="CO97" i="5"/>
  <c r="CO97" i="7" s="1"/>
  <c r="CN97" i="5"/>
  <c r="CN97" i="7" s="1"/>
  <c r="CM97" i="5"/>
  <c r="CM97" i="7" s="1"/>
  <c r="CL97" i="5"/>
  <c r="CL97" i="7" s="1"/>
  <c r="CK97" i="5"/>
  <c r="CK97" i="7" s="1"/>
  <c r="CJ97" i="5"/>
  <c r="CJ97" i="7" s="1"/>
  <c r="CI97" i="5"/>
  <c r="CI97" i="7" s="1"/>
  <c r="CH97" i="5"/>
  <c r="CH97" i="7" s="1"/>
  <c r="CG97" i="5"/>
  <c r="CG97" i="7" s="1"/>
  <c r="CF97" i="5"/>
  <c r="CF97" i="7" s="1"/>
  <c r="CE97" i="5"/>
  <c r="CE97" i="7" s="1"/>
  <c r="CD97" i="5"/>
  <c r="CD97" i="7" s="1"/>
  <c r="CC97" i="5"/>
  <c r="CC97" i="7" s="1"/>
  <c r="CB97" i="5"/>
  <c r="CB97" i="7" s="1"/>
  <c r="CA97" i="5"/>
  <c r="CA97" i="7" s="1"/>
  <c r="BZ97" i="5"/>
  <c r="BZ97" i="7" s="1"/>
  <c r="BY97" i="5"/>
  <c r="BY97" i="7" s="1"/>
  <c r="BX97" i="5"/>
  <c r="BX97" i="7" s="1"/>
  <c r="BW97" i="5"/>
  <c r="BW97" i="7" s="1"/>
  <c r="BV97" i="5"/>
  <c r="BV97" i="7" s="1"/>
  <c r="BU97" i="5"/>
  <c r="BU97" i="7" s="1"/>
  <c r="BT97" i="5"/>
  <c r="BT97" i="7" s="1"/>
  <c r="BS97" i="5"/>
  <c r="BS97" i="7" s="1"/>
  <c r="BR97" i="5"/>
  <c r="BR97" i="7" s="1"/>
  <c r="BQ97" i="5"/>
  <c r="BQ97" i="7" s="1"/>
  <c r="BP97" i="5"/>
  <c r="BP97" i="7" s="1"/>
  <c r="BO97" i="5"/>
  <c r="BO97" i="7" s="1"/>
  <c r="BN97" i="5"/>
  <c r="BN97" i="7" s="1"/>
  <c r="BM97" i="5"/>
  <c r="BM97" i="7" s="1"/>
  <c r="BL97" i="5"/>
  <c r="BL97" i="7" s="1"/>
  <c r="BK97" i="5"/>
  <c r="BK97" i="7" s="1"/>
  <c r="BJ97" i="5"/>
  <c r="BJ97" i="7" s="1"/>
  <c r="BI97" i="5"/>
  <c r="BI97" i="7" s="1"/>
  <c r="BH97" i="5"/>
  <c r="BH97" i="7" s="1"/>
  <c r="BG97" i="5"/>
  <c r="BG97" i="7" s="1"/>
  <c r="BF97" i="5"/>
  <c r="BF97" i="7" s="1"/>
  <c r="BE97" i="5"/>
  <c r="BE97" i="7" s="1"/>
  <c r="BD97" i="5"/>
  <c r="BD97" i="7" s="1"/>
  <c r="BC97" i="5"/>
  <c r="BC97" i="7" s="1"/>
  <c r="BB97" i="5"/>
  <c r="BB97" i="7" s="1"/>
  <c r="BA97" i="5"/>
  <c r="BA97" i="7" s="1"/>
  <c r="AZ97" i="5"/>
  <c r="AZ97" i="7" s="1"/>
  <c r="AY97" i="5"/>
  <c r="AY97" i="7" s="1"/>
  <c r="AX97" i="5"/>
  <c r="AX97" i="7" s="1"/>
  <c r="AW97" i="5"/>
  <c r="AW97" i="7" s="1"/>
  <c r="AV97" i="5"/>
  <c r="AV97" i="7" s="1"/>
  <c r="AU97" i="5"/>
  <c r="AU97" i="7" s="1"/>
  <c r="AT97" i="5"/>
  <c r="AT97" i="7" s="1"/>
  <c r="AS97" i="5"/>
  <c r="AS97" i="7" s="1"/>
  <c r="AR97" i="5"/>
  <c r="AR97" i="7" s="1"/>
  <c r="AQ97" i="5"/>
  <c r="AQ97" i="7" s="1"/>
  <c r="AP97" i="5"/>
  <c r="AP97" i="7" s="1"/>
  <c r="AO97" i="5"/>
  <c r="AO97" i="7" s="1"/>
  <c r="AN97" i="5"/>
  <c r="AN97" i="7" s="1"/>
  <c r="AM97" i="5"/>
  <c r="AM97" i="7" s="1"/>
  <c r="AL97" i="5"/>
  <c r="AL97" i="7" s="1"/>
  <c r="AK97" i="5"/>
  <c r="AK97" i="7" s="1"/>
  <c r="AJ97" i="5"/>
  <c r="AJ97" i="7" s="1"/>
  <c r="AI97" i="5"/>
  <c r="AI97" i="7" s="1"/>
  <c r="AH97" i="5"/>
  <c r="AH97" i="7" s="1"/>
  <c r="AG97" i="5"/>
  <c r="AG97" i="7" s="1"/>
  <c r="AF97" i="5"/>
  <c r="AF97" i="7" s="1"/>
  <c r="AE97" i="5"/>
  <c r="AE97" i="7" s="1"/>
  <c r="AD97" i="5"/>
  <c r="AD97" i="7" s="1"/>
  <c r="AC97" i="5"/>
  <c r="AC97" i="7" s="1"/>
  <c r="AB97" i="5"/>
  <c r="AB97" i="7" s="1"/>
  <c r="AA97" i="5"/>
  <c r="AA97" i="7" s="1"/>
  <c r="Z97" i="5"/>
  <c r="Z97" i="7" s="1"/>
  <c r="Y97" i="5"/>
  <c r="Y97" i="7" s="1"/>
  <c r="X97" i="5"/>
  <c r="X97" i="7" s="1"/>
  <c r="W97" i="5"/>
  <c r="W97" i="7" s="1"/>
  <c r="V97" i="5"/>
  <c r="V97" i="7" s="1"/>
  <c r="U97" i="5"/>
  <c r="U97" i="7" s="1"/>
  <c r="T97" i="5"/>
  <c r="T97" i="7" s="1"/>
  <c r="S97" i="5"/>
  <c r="S97" i="7" s="1"/>
  <c r="R97" i="5"/>
  <c r="R97" i="7" s="1"/>
  <c r="Q97" i="5"/>
  <c r="Q97" i="7" s="1"/>
  <c r="P97" i="5"/>
  <c r="P97" i="7" s="1"/>
  <c r="O97" i="5"/>
  <c r="O97" i="7" s="1"/>
  <c r="N97" i="5"/>
  <c r="N97" i="7" s="1"/>
  <c r="M97" i="5"/>
  <c r="M97" i="7" s="1"/>
  <c r="L97" i="5"/>
  <c r="L97" i="7" s="1"/>
  <c r="K97" i="5"/>
  <c r="K97" i="7" s="1"/>
  <c r="J97" i="5"/>
  <c r="J97" i="7" s="1"/>
  <c r="I97" i="5"/>
  <c r="I97" i="7" s="1"/>
  <c r="H97" i="5"/>
  <c r="H97" i="7" s="1"/>
  <c r="G97" i="5"/>
  <c r="G97" i="7" s="1"/>
  <c r="F97" i="5"/>
  <c r="F97" i="7" s="1"/>
  <c r="E97" i="5"/>
  <c r="E97" i="7" s="1"/>
  <c r="D97" i="5"/>
  <c r="D97" i="7" s="1"/>
  <c r="C97" i="5"/>
  <c r="C97" i="7" s="1"/>
  <c r="B97" i="5"/>
  <c r="B97" i="7" s="1"/>
  <c r="DB96" i="5"/>
  <c r="DB96" i="7" s="1"/>
  <c r="DA96" i="5"/>
  <c r="DA96" i="7" s="1"/>
  <c r="CZ96" i="5"/>
  <c r="CZ96" i="7" s="1"/>
  <c r="CY96" i="5"/>
  <c r="CY96" i="7" s="1"/>
  <c r="CX96" i="5"/>
  <c r="CX96" i="7" s="1"/>
  <c r="CW96" i="5"/>
  <c r="CW96" i="7" s="1"/>
  <c r="CV96" i="5"/>
  <c r="CV96" i="7" s="1"/>
  <c r="CU96" i="5"/>
  <c r="CU96" i="7" s="1"/>
  <c r="CT96" i="5"/>
  <c r="CT96" i="7" s="1"/>
  <c r="CS96" i="5"/>
  <c r="CS96" i="7" s="1"/>
  <c r="CR96" i="5"/>
  <c r="CR96" i="7" s="1"/>
  <c r="CQ96" i="5"/>
  <c r="CQ96" i="7" s="1"/>
  <c r="CP96" i="5"/>
  <c r="CP96" i="7" s="1"/>
  <c r="CO96" i="5"/>
  <c r="CO96" i="7" s="1"/>
  <c r="CN96" i="5"/>
  <c r="CN96" i="7" s="1"/>
  <c r="CM96" i="5"/>
  <c r="CM96" i="7" s="1"/>
  <c r="CL96" i="5"/>
  <c r="CL96" i="7" s="1"/>
  <c r="CK96" i="5"/>
  <c r="CK96" i="7" s="1"/>
  <c r="CJ96" i="5"/>
  <c r="CJ96" i="7" s="1"/>
  <c r="CI96" i="5"/>
  <c r="CI96" i="7" s="1"/>
  <c r="CH96" i="5"/>
  <c r="CH96" i="7" s="1"/>
  <c r="CG96" i="5"/>
  <c r="CG96" i="7" s="1"/>
  <c r="CF96" i="5"/>
  <c r="CF96" i="7" s="1"/>
  <c r="CE96" i="5"/>
  <c r="CE96" i="7" s="1"/>
  <c r="CD96" i="5"/>
  <c r="CD96" i="7" s="1"/>
  <c r="CC96" i="5"/>
  <c r="CC96" i="7" s="1"/>
  <c r="CB96" i="5"/>
  <c r="CB96" i="7" s="1"/>
  <c r="CA96" i="5"/>
  <c r="CA96" i="7" s="1"/>
  <c r="BZ96" i="5"/>
  <c r="BZ96" i="7" s="1"/>
  <c r="BY96" i="5"/>
  <c r="BY96" i="7" s="1"/>
  <c r="BX96" i="5"/>
  <c r="BX96" i="7" s="1"/>
  <c r="BW96" i="5"/>
  <c r="BW96" i="7" s="1"/>
  <c r="BV96" i="5"/>
  <c r="BV96" i="7" s="1"/>
  <c r="BU96" i="5"/>
  <c r="BU96" i="7" s="1"/>
  <c r="BT96" i="5"/>
  <c r="BT96" i="7" s="1"/>
  <c r="BS96" i="5"/>
  <c r="BS96" i="7" s="1"/>
  <c r="BR96" i="5"/>
  <c r="BR96" i="7" s="1"/>
  <c r="BQ96" i="5"/>
  <c r="BQ96" i="7" s="1"/>
  <c r="BP96" i="5"/>
  <c r="BP96" i="7" s="1"/>
  <c r="BO96" i="5"/>
  <c r="BO96" i="7" s="1"/>
  <c r="BN96" i="5"/>
  <c r="BN96" i="7" s="1"/>
  <c r="BM96" i="5"/>
  <c r="BM96" i="7" s="1"/>
  <c r="BL96" i="5"/>
  <c r="BL96" i="7" s="1"/>
  <c r="BK96" i="5"/>
  <c r="BK96" i="7" s="1"/>
  <c r="BJ96" i="5"/>
  <c r="BJ96" i="7" s="1"/>
  <c r="BI96" i="5"/>
  <c r="BI96" i="7" s="1"/>
  <c r="BH96" i="5"/>
  <c r="BH96" i="7" s="1"/>
  <c r="BG96" i="5"/>
  <c r="BG96" i="7" s="1"/>
  <c r="BF96" i="5"/>
  <c r="BF96" i="7" s="1"/>
  <c r="BE96" i="5"/>
  <c r="BE96" i="7" s="1"/>
  <c r="BD96" i="5"/>
  <c r="BD96" i="7" s="1"/>
  <c r="BC96" i="5"/>
  <c r="BC96" i="7" s="1"/>
  <c r="BB96" i="5"/>
  <c r="BB96" i="7" s="1"/>
  <c r="BA96" i="5"/>
  <c r="BA96" i="7" s="1"/>
  <c r="AZ96" i="5"/>
  <c r="AZ96" i="7" s="1"/>
  <c r="AY96" i="5"/>
  <c r="AY96" i="7" s="1"/>
  <c r="AX96" i="5"/>
  <c r="AX96" i="7" s="1"/>
  <c r="AW96" i="5"/>
  <c r="AW96" i="7" s="1"/>
  <c r="AV96" i="5"/>
  <c r="AV96" i="7" s="1"/>
  <c r="AU96" i="5"/>
  <c r="AU96" i="7" s="1"/>
  <c r="AT96" i="5"/>
  <c r="AT96" i="7" s="1"/>
  <c r="AS96" i="5"/>
  <c r="AS96" i="7" s="1"/>
  <c r="AR96" i="5"/>
  <c r="AR96" i="7" s="1"/>
  <c r="AQ96" i="5"/>
  <c r="AQ96" i="7" s="1"/>
  <c r="AP96" i="5"/>
  <c r="AP96" i="7" s="1"/>
  <c r="AO96" i="5"/>
  <c r="AO96" i="7" s="1"/>
  <c r="AN96" i="5"/>
  <c r="AN96" i="7" s="1"/>
  <c r="AM96" i="5"/>
  <c r="AM96" i="7" s="1"/>
  <c r="AL96" i="5"/>
  <c r="AL96" i="7" s="1"/>
  <c r="AK96" i="5"/>
  <c r="AK96" i="7" s="1"/>
  <c r="AJ96" i="5"/>
  <c r="AJ96" i="7" s="1"/>
  <c r="AI96" i="5"/>
  <c r="AI96" i="7" s="1"/>
  <c r="AH96" i="5"/>
  <c r="AH96" i="7" s="1"/>
  <c r="AG96" i="5"/>
  <c r="AG96" i="7" s="1"/>
  <c r="AF96" i="5"/>
  <c r="AF96" i="7" s="1"/>
  <c r="AE96" i="5"/>
  <c r="AE96" i="7" s="1"/>
  <c r="AD96" i="5"/>
  <c r="AD96" i="7" s="1"/>
  <c r="AC96" i="5"/>
  <c r="AC96" i="7" s="1"/>
  <c r="AB96" i="5"/>
  <c r="AB96" i="7" s="1"/>
  <c r="AA96" i="5"/>
  <c r="AA96" i="7" s="1"/>
  <c r="Z96" i="5"/>
  <c r="Z96" i="7" s="1"/>
  <c r="Y96" i="5"/>
  <c r="Y96" i="7" s="1"/>
  <c r="X96" i="5"/>
  <c r="X96" i="7" s="1"/>
  <c r="W96" i="5"/>
  <c r="W96" i="7" s="1"/>
  <c r="V96" i="5"/>
  <c r="V96" i="7" s="1"/>
  <c r="U96" i="5"/>
  <c r="U96" i="7" s="1"/>
  <c r="T96" i="5"/>
  <c r="T96" i="7" s="1"/>
  <c r="S96" i="5"/>
  <c r="S96" i="7" s="1"/>
  <c r="R96" i="5"/>
  <c r="R96" i="7" s="1"/>
  <c r="Q96" i="5"/>
  <c r="Q96" i="7" s="1"/>
  <c r="P96" i="5"/>
  <c r="P96" i="7" s="1"/>
  <c r="O96" i="5"/>
  <c r="O96" i="7" s="1"/>
  <c r="N96" i="5"/>
  <c r="N96" i="7" s="1"/>
  <c r="M96" i="5"/>
  <c r="M96" i="7" s="1"/>
  <c r="L96" i="5"/>
  <c r="L96" i="7" s="1"/>
  <c r="K96" i="5"/>
  <c r="K96" i="7" s="1"/>
  <c r="J96" i="5"/>
  <c r="J96" i="7" s="1"/>
  <c r="I96" i="5"/>
  <c r="I96" i="7" s="1"/>
  <c r="H96" i="5"/>
  <c r="H96" i="7" s="1"/>
  <c r="G96" i="5"/>
  <c r="G96" i="7" s="1"/>
  <c r="F96" i="5"/>
  <c r="F96" i="7" s="1"/>
  <c r="E96" i="5"/>
  <c r="E96" i="7" s="1"/>
  <c r="D96" i="5"/>
  <c r="D96" i="7" s="1"/>
  <c r="C96" i="5"/>
  <c r="C96" i="7" s="1"/>
  <c r="B96" i="5"/>
  <c r="B96" i="7" s="1"/>
  <c r="DB95" i="5"/>
  <c r="DB95" i="7" s="1"/>
  <c r="DA95" i="5"/>
  <c r="DA95" i="7" s="1"/>
  <c r="CZ95" i="5"/>
  <c r="CZ95" i="7" s="1"/>
  <c r="CY95" i="5"/>
  <c r="CY95" i="7" s="1"/>
  <c r="CX95" i="5"/>
  <c r="CX95" i="7" s="1"/>
  <c r="CW95" i="5"/>
  <c r="CW95" i="7" s="1"/>
  <c r="CV95" i="5"/>
  <c r="CV95" i="7" s="1"/>
  <c r="CU95" i="5"/>
  <c r="CU95" i="7" s="1"/>
  <c r="CT95" i="5"/>
  <c r="CT95" i="7" s="1"/>
  <c r="CS95" i="5"/>
  <c r="CS95" i="7" s="1"/>
  <c r="CR95" i="5"/>
  <c r="CR95" i="7" s="1"/>
  <c r="CQ95" i="5"/>
  <c r="CQ95" i="7" s="1"/>
  <c r="CP95" i="5"/>
  <c r="CP95" i="7" s="1"/>
  <c r="CO95" i="5"/>
  <c r="CO95" i="7" s="1"/>
  <c r="CN95" i="5"/>
  <c r="CN95" i="7" s="1"/>
  <c r="CM95" i="5"/>
  <c r="CM95" i="7" s="1"/>
  <c r="CL95" i="5"/>
  <c r="CL95" i="7" s="1"/>
  <c r="CK95" i="5"/>
  <c r="CK95" i="7" s="1"/>
  <c r="CJ95" i="5"/>
  <c r="CJ95" i="7" s="1"/>
  <c r="CI95" i="5"/>
  <c r="CI95" i="7" s="1"/>
  <c r="CH95" i="5"/>
  <c r="CH95" i="7" s="1"/>
  <c r="CG95" i="5"/>
  <c r="CG95" i="7" s="1"/>
  <c r="CF95" i="5"/>
  <c r="CF95" i="7" s="1"/>
  <c r="CE95" i="5"/>
  <c r="CE95" i="7" s="1"/>
  <c r="CD95" i="5"/>
  <c r="CD95" i="7" s="1"/>
  <c r="CC95" i="5"/>
  <c r="CC95" i="7" s="1"/>
  <c r="CB95" i="5"/>
  <c r="CB95" i="7" s="1"/>
  <c r="CA95" i="5"/>
  <c r="CA95" i="7" s="1"/>
  <c r="BZ95" i="5"/>
  <c r="BZ95" i="7" s="1"/>
  <c r="BY95" i="5"/>
  <c r="BY95" i="7" s="1"/>
  <c r="BX95" i="5"/>
  <c r="BX95" i="7" s="1"/>
  <c r="BW95" i="5"/>
  <c r="BW95" i="7" s="1"/>
  <c r="BV95" i="5"/>
  <c r="BV95" i="7" s="1"/>
  <c r="BU95" i="5"/>
  <c r="BU95" i="7" s="1"/>
  <c r="BT95" i="5"/>
  <c r="BT95" i="7" s="1"/>
  <c r="BS95" i="5"/>
  <c r="BS95" i="7" s="1"/>
  <c r="BR95" i="5"/>
  <c r="BR95" i="7" s="1"/>
  <c r="BQ95" i="5"/>
  <c r="BQ95" i="7" s="1"/>
  <c r="BP95" i="5"/>
  <c r="BP95" i="7" s="1"/>
  <c r="BO95" i="5"/>
  <c r="BO95" i="7" s="1"/>
  <c r="BN95" i="5"/>
  <c r="BN95" i="7" s="1"/>
  <c r="BM95" i="5"/>
  <c r="BM95" i="7" s="1"/>
  <c r="BL95" i="5"/>
  <c r="BL95" i="7" s="1"/>
  <c r="BK95" i="5"/>
  <c r="BK95" i="7" s="1"/>
  <c r="BJ95" i="5"/>
  <c r="BJ95" i="7" s="1"/>
  <c r="BI95" i="5"/>
  <c r="BI95" i="7" s="1"/>
  <c r="BH95" i="5"/>
  <c r="BH95" i="7" s="1"/>
  <c r="BG95" i="5"/>
  <c r="BG95" i="7" s="1"/>
  <c r="BF95" i="5"/>
  <c r="BF95" i="7" s="1"/>
  <c r="BE95" i="5"/>
  <c r="BE95" i="7" s="1"/>
  <c r="BD95" i="5"/>
  <c r="BD95" i="7" s="1"/>
  <c r="BC95" i="5"/>
  <c r="BC95" i="7" s="1"/>
  <c r="BB95" i="5"/>
  <c r="BB95" i="7" s="1"/>
  <c r="BA95" i="5"/>
  <c r="BA95" i="7" s="1"/>
  <c r="AZ95" i="5"/>
  <c r="AZ95" i="7" s="1"/>
  <c r="AY95" i="5"/>
  <c r="AY95" i="7" s="1"/>
  <c r="AX95" i="5"/>
  <c r="AX95" i="7" s="1"/>
  <c r="AW95" i="5"/>
  <c r="AW95" i="7" s="1"/>
  <c r="AV95" i="5"/>
  <c r="AV95" i="7" s="1"/>
  <c r="AU95" i="5"/>
  <c r="AU95" i="7" s="1"/>
  <c r="AT95" i="5"/>
  <c r="AT95" i="7" s="1"/>
  <c r="AS95" i="5"/>
  <c r="AS95" i="7" s="1"/>
  <c r="AR95" i="5"/>
  <c r="AR95" i="7" s="1"/>
  <c r="AQ95" i="5"/>
  <c r="AQ95" i="7" s="1"/>
  <c r="AP95" i="5"/>
  <c r="AP95" i="7" s="1"/>
  <c r="AO95" i="5"/>
  <c r="AO95" i="7" s="1"/>
  <c r="AN95" i="5"/>
  <c r="AN95" i="7" s="1"/>
  <c r="AM95" i="5"/>
  <c r="AM95" i="7" s="1"/>
  <c r="AL95" i="5"/>
  <c r="AL95" i="7" s="1"/>
  <c r="AK95" i="5"/>
  <c r="AK95" i="7" s="1"/>
  <c r="AJ95" i="5"/>
  <c r="AJ95" i="7" s="1"/>
  <c r="AI95" i="5"/>
  <c r="AI95" i="7" s="1"/>
  <c r="AH95" i="5"/>
  <c r="AH95" i="7" s="1"/>
  <c r="AG95" i="5"/>
  <c r="AG95" i="7" s="1"/>
  <c r="AF95" i="5"/>
  <c r="AF95" i="7" s="1"/>
  <c r="AE95" i="5"/>
  <c r="AE95" i="7" s="1"/>
  <c r="AD95" i="5"/>
  <c r="AD95" i="7" s="1"/>
  <c r="AC95" i="5"/>
  <c r="AC95" i="7" s="1"/>
  <c r="AB95" i="5"/>
  <c r="AB95" i="7" s="1"/>
  <c r="AA95" i="5"/>
  <c r="AA95" i="7" s="1"/>
  <c r="Z95" i="5"/>
  <c r="Z95" i="7" s="1"/>
  <c r="Y95" i="5"/>
  <c r="Y95" i="7" s="1"/>
  <c r="X95" i="5"/>
  <c r="X95" i="7" s="1"/>
  <c r="W95" i="5"/>
  <c r="W95" i="7" s="1"/>
  <c r="V95" i="5"/>
  <c r="V95" i="7" s="1"/>
  <c r="U95" i="5"/>
  <c r="U95" i="7" s="1"/>
  <c r="T95" i="5"/>
  <c r="T95" i="7" s="1"/>
  <c r="S95" i="5"/>
  <c r="S95" i="7" s="1"/>
  <c r="R95" i="5"/>
  <c r="R95" i="7" s="1"/>
  <c r="Q95" i="5"/>
  <c r="Q95" i="7" s="1"/>
  <c r="P95" i="5"/>
  <c r="P95" i="7" s="1"/>
  <c r="O95" i="5"/>
  <c r="O95" i="7" s="1"/>
  <c r="N95" i="5"/>
  <c r="N95" i="7" s="1"/>
  <c r="M95" i="5"/>
  <c r="M95" i="7" s="1"/>
  <c r="L95" i="5"/>
  <c r="L95" i="7" s="1"/>
  <c r="K95" i="5"/>
  <c r="K95" i="7" s="1"/>
  <c r="J95" i="5"/>
  <c r="J95" i="7" s="1"/>
  <c r="I95" i="5"/>
  <c r="I95" i="7" s="1"/>
  <c r="H95" i="5"/>
  <c r="H95" i="7" s="1"/>
  <c r="G95" i="5"/>
  <c r="G95" i="7" s="1"/>
  <c r="F95" i="5"/>
  <c r="F95" i="7" s="1"/>
  <c r="E95" i="5"/>
  <c r="E95" i="7" s="1"/>
  <c r="D95" i="5"/>
  <c r="D95" i="7" s="1"/>
  <c r="C95" i="5"/>
  <c r="C95" i="7" s="1"/>
  <c r="B95" i="5"/>
  <c r="B95" i="7" s="1"/>
  <c r="DB94" i="5"/>
  <c r="DB94" i="7" s="1"/>
  <c r="DA94" i="5"/>
  <c r="DA94" i="7" s="1"/>
  <c r="CZ94" i="5"/>
  <c r="CZ94" i="7" s="1"/>
  <c r="CY94" i="5"/>
  <c r="CY94" i="7" s="1"/>
  <c r="CX94" i="5"/>
  <c r="CX94" i="7" s="1"/>
  <c r="CW94" i="5"/>
  <c r="CW94" i="7" s="1"/>
  <c r="CV94" i="5"/>
  <c r="CV94" i="7" s="1"/>
  <c r="CU94" i="5"/>
  <c r="CU94" i="7" s="1"/>
  <c r="CT94" i="5"/>
  <c r="CT94" i="7" s="1"/>
  <c r="CS94" i="5"/>
  <c r="CS94" i="7" s="1"/>
  <c r="CR94" i="5"/>
  <c r="CR94" i="7" s="1"/>
  <c r="CQ94" i="5"/>
  <c r="CQ94" i="7" s="1"/>
  <c r="CP94" i="5"/>
  <c r="CP94" i="7" s="1"/>
  <c r="CO94" i="5"/>
  <c r="CO94" i="7" s="1"/>
  <c r="CN94" i="5"/>
  <c r="CN94" i="7" s="1"/>
  <c r="CM94" i="5"/>
  <c r="CM94" i="7" s="1"/>
  <c r="CL94" i="5"/>
  <c r="CL94" i="7" s="1"/>
  <c r="CK94" i="5"/>
  <c r="CK94" i="7" s="1"/>
  <c r="CJ94" i="5"/>
  <c r="CJ94" i="7" s="1"/>
  <c r="CI94" i="5"/>
  <c r="CI94" i="7" s="1"/>
  <c r="CH94" i="5"/>
  <c r="CH94" i="7" s="1"/>
  <c r="CG94" i="5"/>
  <c r="CG94" i="7" s="1"/>
  <c r="CF94" i="5"/>
  <c r="CF94" i="7" s="1"/>
  <c r="CE94" i="5"/>
  <c r="CE94" i="7" s="1"/>
  <c r="CD94" i="5"/>
  <c r="CD94" i="7" s="1"/>
  <c r="CC94" i="5"/>
  <c r="CC94" i="7" s="1"/>
  <c r="CB94" i="5"/>
  <c r="CB94" i="7" s="1"/>
  <c r="CA94" i="5"/>
  <c r="CA94" i="7" s="1"/>
  <c r="BZ94" i="5"/>
  <c r="BZ94" i="7" s="1"/>
  <c r="BY94" i="5"/>
  <c r="BY94" i="7" s="1"/>
  <c r="BX94" i="5"/>
  <c r="BX94" i="7" s="1"/>
  <c r="BW94" i="5"/>
  <c r="BW94" i="7" s="1"/>
  <c r="BV94" i="5"/>
  <c r="BV94" i="7" s="1"/>
  <c r="BU94" i="5"/>
  <c r="BU94" i="7" s="1"/>
  <c r="BT94" i="5"/>
  <c r="BT94" i="7" s="1"/>
  <c r="BS94" i="5"/>
  <c r="BS94" i="7" s="1"/>
  <c r="BR94" i="5"/>
  <c r="BR94" i="7" s="1"/>
  <c r="BQ94" i="5"/>
  <c r="BQ94" i="7" s="1"/>
  <c r="BP94" i="5"/>
  <c r="BP94" i="7" s="1"/>
  <c r="BO94" i="5"/>
  <c r="BO94" i="7" s="1"/>
  <c r="BN94" i="5"/>
  <c r="BN94" i="7" s="1"/>
  <c r="BM94" i="5"/>
  <c r="BM94" i="7" s="1"/>
  <c r="BL94" i="5"/>
  <c r="BL94" i="7" s="1"/>
  <c r="BK94" i="5"/>
  <c r="BK94" i="7" s="1"/>
  <c r="BJ94" i="5"/>
  <c r="BJ94" i="7" s="1"/>
  <c r="BI94" i="5"/>
  <c r="BI94" i="7" s="1"/>
  <c r="BH94" i="5"/>
  <c r="BH94" i="7" s="1"/>
  <c r="BG94" i="5"/>
  <c r="BG94" i="7" s="1"/>
  <c r="BF94" i="5"/>
  <c r="BF94" i="7" s="1"/>
  <c r="BE94" i="5"/>
  <c r="BE94" i="7" s="1"/>
  <c r="BD94" i="5"/>
  <c r="BD94" i="7" s="1"/>
  <c r="BC94" i="5"/>
  <c r="BC94" i="7" s="1"/>
  <c r="BB94" i="5"/>
  <c r="BB94" i="7" s="1"/>
  <c r="BA94" i="5"/>
  <c r="BA94" i="7" s="1"/>
  <c r="AZ94" i="5"/>
  <c r="AZ94" i="7" s="1"/>
  <c r="AY94" i="5"/>
  <c r="AY94" i="7" s="1"/>
  <c r="AX94" i="5"/>
  <c r="AX94" i="7" s="1"/>
  <c r="AW94" i="5"/>
  <c r="AW94" i="7" s="1"/>
  <c r="AV94" i="5"/>
  <c r="AV94" i="7" s="1"/>
  <c r="AU94" i="5"/>
  <c r="AU94" i="7" s="1"/>
  <c r="AT94" i="5"/>
  <c r="AT94" i="7" s="1"/>
  <c r="AS94" i="5"/>
  <c r="AS94" i="7" s="1"/>
  <c r="AR94" i="5"/>
  <c r="AR94" i="7" s="1"/>
  <c r="AQ94" i="5"/>
  <c r="AQ94" i="7" s="1"/>
  <c r="AP94" i="5"/>
  <c r="AP94" i="7" s="1"/>
  <c r="AO94" i="5"/>
  <c r="AO94" i="7" s="1"/>
  <c r="AN94" i="5"/>
  <c r="AN94" i="7" s="1"/>
  <c r="AM94" i="5"/>
  <c r="AM94" i="7" s="1"/>
  <c r="AL94" i="5"/>
  <c r="AL94" i="7" s="1"/>
  <c r="AK94" i="5"/>
  <c r="AK94" i="7" s="1"/>
  <c r="AJ94" i="5"/>
  <c r="AJ94" i="7" s="1"/>
  <c r="AI94" i="5"/>
  <c r="AI94" i="7" s="1"/>
  <c r="AH94" i="5"/>
  <c r="AH94" i="7" s="1"/>
  <c r="AG94" i="5"/>
  <c r="AG94" i="7" s="1"/>
  <c r="AF94" i="5"/>
  <c r="AF94" i="7" s="1"/>
  <c r="AE94" i="5"/>
  <c r="AE94" i="7" s="1"/>
  <c r="AD94" i="5"/>
  <c r="AD94" i="7" s="1"/>
  <c r="AC94" i="5"/>
  <c r="AC94" i="7" s="1"/>
  <c r="AB94" i="5"/>
  <c r="AB94" i="7" s="1"/>
  <c r="AA94" i="5"/>
  <c r="AA94" i="7" s="1"/>
  <c r="Z94" i="5"/>
  <c r="Z94" i="7" s="1"/>
  <c r="Y94" i="5"/>
  <c r="Y94" i="7" s="1"/>
  <c r="X94" i="5"/>
  <c r="X94" i="7" s="1"/>
  <c r="W94" i="5"/>
  <c r="W94" i="7" s="1"/>
  <c r="V94" i="5"/>
  <c r="V94" i="7" s="1"/>
  <c r="U94" i="5"/>
  <c r="U94" i="7" s="1"/>
  <c r="T94" i="5"/>
  <c r="T94" i="7" s="1"/>
  <c r="S94" i="5"/>
  <c r="S94" i="7" s="1"/>
  <c r="R94" i="5"/>
  <c r="R94" i="7" s="1"/>
  <c r="Q94" i="5"/>
  <c r="Q94" i="7" s="1"/>
  <c r="P94" i="5"/>
  <c r="P94" i="7" s="1"/>
  <c r="O94" i="5"/>
  <c r="O94" i="7" s="1"/>
  <c r="N94" i="5"/>
  <c r="N94" i="7" s="1"/>
  <c r="M94" i="5"/>
  <c r="M94" i="7" s="1"/>
  <c r="L94" i="5"/>
  <c r="L94" i="7" s="1"/>
  <c r="K94" i="5"/>
  <c r="K94" i="7" s="1"/>
  <c r="J94" i="5"/>
  <c r="J94" i="7" s="1"/>
  <c r="I94" i="5"/>
  <c r="I94" i="7" s="1"/>
  <c r="H94" i="5"/>
  <c r="H94" i="7" s="1"/>
  <c r="G94" i="5"/>
  <c r="G94" i="7" s="1"/>
  <c r="F94" i="5"/>
  <c r="F94" i="7" s="1"/>
  <c r="E94" i="5"/>
  <c r="E94" i="7" s="1"/>
  <c r="D94" i="5"/>
  <c r="D94" i="7" s="1"/>
  <c r="C94" i="5"/>
  <c r="C94" i="7" s="1"/>
  <c r="B94" i="5"/>
  <c r="B94" i="7" s="1"/>
  <c r="DB93" i="5"/>
  <c r="DB93" i="7" s="1"/>
  <c r="DA93" i="5"/>
  <c r="DA93" i="7" s="1"/>
  <c r="CZ93" i="5"/>
  <c r="CZ93" i="7" s="1"/>
  <c r="CY93" i="5"/>
  <c r="CY93" i="7" s="1"/>
  <c r="CX93" i="5"/>
  <c r="CX93" i="7" s="1"/>
  <c r="CW93" i="5"/>
  <c r="CW93" i="7" s="1"/>
  <c r="CV93" i="5"/>
  <c r="CV93" i="7" s="1"/>
  <c r="CU93" i="5"/>
  <c r="CU93" i="7" s="1"/>
  <c r="CT93" i="5"/>
  <c r="CT93" i="7" s="1"/>
  <c r="CS93" i="5"/>
  <c r="CS93" i="7" s="1"/>
  <c r="CR93" i="5"/>
  <c r="CR93" i="7" s="1"/>
  <c r="CQ93" i="5"/>
  <c r="CQ93" i="7" s="1"/>
  <c r="CP93" i="5"/>
  <c r="CP93" i="7" s="1"/>
  <c r="CO93" i="5"/>
  <c r="CO93" i="7" s="1"/>
  <c r="CN93" i="5"/>
  <c r="CN93" i="7" s="1"/>
  <c r="CM93" i="5"/>
  <c r="CM93" i="7" s="1"/>
  <c r="CL93" i="5"/>
  <c r="CL93" i="7" s="1"/>
  <c r="CK93" i="5"/>
  <c r="CK93" i="7" s="1"/>
  <c r="CJ93" i="5"/>
  <c r="CJ93" i="7" s="1"/>
  <c r="CI93" i="5"/>
  <c r="CI93" i="7" s="1"/>
  <c r="CH93" i="5"/>
  <c r="CH93" i="7" s="1"/>
  <c r="CG93" i="5"/>
  <c r="CG93" i="7" s="1"/>
  <c r="CF93" i="5"/>
  <c r="CF93" i="7" s="1"/>
  <c r="CE93" i="5"/>
  <c r="CE93" i="7" s="1"/>
  <c r="CD93" i="5"/>
  <c r="CD93" i="7" s="1"/>
  <c r="CC93" i="5"/>
  <c r="CC93" i="7" s="1"/>
  <c r="CB93" i="5"/>
  <c r="CB93" i="7" s="1"/>
  <c r="CA93" i="5"/>
  <c r="CA93" i="7" s="1"/>
  <c r="BZ93" i="5"/>
  <c r="BZ93" i="7" s="1"/>
  <c r="BY93" i="5"/>
  <c r="BY93" i="7" s="1"/>
  <c r="BX93" i="5"/>
  <c r="BX93" i="7" s="1"/>
  <c r="BW93" i="5"/>
  <c r="BW93" i="7" s="1"/>
  <c r="BV93" i="5"/>
  <c r="BV93" i="7" s="1"/>
  <c r="BU93" i="5"/>
  <c r="BU93" i="7" s="1"/>
  <c r="BT93" i="5"/>
  <c r="BT93" i="7" s="1"/>
  <c r="BS93" i="5"/>
  <c r="BS93" i="7" s="1"/>
  <c r="BR93" i="5"/>
  <c r="BR93" i="7" s="1"/>
  <c r="BQ93" i="5"/>
  <c r="BQ93" i="7" s="1"/>
  <c r="BP93" i="5"/>
  <c r="BP93" i="7" s="1"/>
  <c r="BO93" i="5"/>
  <c r="BO93" i="7" s="1"/>
  <c r="BN93" i="5"/>
  <c r="BN93" i="7" s="1"/>
  <c r="BM93" i="5"/>
  <c r="BM93" i="7" s="1"/>
  <c r="BL93" i="5"/>
  <c r="BL93" i="7" s="1"/>
  <c r="BK93" i="5"/>
  <c r="BK93" i="7" s="1"/>
  <c r="BJ93" i="5"/>
  <c r="BJ93" i="7" s="1"/>
  <c r="BI93" i="5"/>
  <c r="BI93" i="7" s="1"/>
  <c r="BH93" i="5"/>
  <c r="BH93" i="7" s="1"/>
  <c r="BG93" i="5"/>
  <c r="BG93" i="7" s="1"/>
  <c r="BF93" i="5"/>
  <c r="BF93" i="7" s="1"/>
  <c r="BE93" i="5"/>
  <c r="BE93" i="7" s="1"/>
  <c r="BD93" i="5"/>
  <c r="BD93" i="7" s="1"/>
  <c r="BC93" i="5"/>
  <c r="BC93" i="7" s="1"/>
  <c r="BB93" i="5"/>
  <c r="BB93" i="7" s="1"/>
  <c r="BA93" i="5"/>
  <c r="BA93" i="7" s="1"/>
  <c r="AZ93" i="5"/>
  <c r="AZ93" i="7" s="1"/>
  <c r="AY93" i="5"/>
  <c r="AY93" i="7" s="1"/>
  <c r="AX93" i="5"/>
  <c r="AX93" i="7" s="1"/>
  <c r="AW93" i="5"/>
  <c r="AW93" i="7" s="1"/>
  <c r="AV93" i="5"/>
  <c r="AV93" i="7" s="1"/>
  <c r="AU93" i="5"/>
  <c r="AU93" i="7" s="1"/>
  <c r="AT93" i="5"/>
  <c r="AT93" i="7" s="1"/>
  <c r="AS93" i="5"/>
  <c r="AS93" i="7" s="1"/>
  <c r="AR93" i="5"/>
  <c r="AR93" i="7" s="1"/>
  <c r="AQ93" i="5"/>
  <c r="AQ93" i="7" s="1"/>
  <c r="AP93" i="5"/>
  <c r="AP93" i="7" s="1"/>
  <c r="AO93" i="5"/>
  <c r="AO93" i="7" s="1"/>
  <c r="AN93" i="5"/>
  <c r="AN93" i="7" s="1"/>
  <c r="AM93" i="5"/>
  <c r="AM93" i="7" s="1"/>
  <c r="AL93" i="5"/>
  <c r="AL93" i="7" s="1"/>
  <c r="AK93" i="5"/>
  <c r="AK93" i="7" s="1"/>
  <c r="AJ93" i="5"/>
  <c r="AJ93" i="7" s="1"/>
  <c r="AI93" i="5"/>
  <c r="AI93" i="7" s="1"/>
  <c r="AH93" i="5"/>
  <c r="AH93" i="7" s="1"/>
  <c r="AG93" i="5"/>
  <c r="AG93" i="7" s="1"/>
  <c r="AF93" i="5"/>
  <c r="AF93" i="7" s="1"/>
  <c r="AE93" i="5"/>
  <c r="AE93" i="7" s="1"/>
  <c r="AD93" i="5"/>
  <c r="AD93" i="7" s="1"/>
  <c r="AC93" i="5"/>
  <c r="AC93" i="7" s="1"/>
  <c r="AB93" i="5"/>
  <c r="AB93" i="7" s="1"/>
  <c r="AA93" i="5"/>
  <c r="AA93" i="7" s="1"/>
  <c r="Z93" i="5"/>
  <c r="Z93" i="7" s="1"/>
  <c r="Y93" i="5"/>
  <c r="Y93" i="7" s="1"/>
  <c r="X93" i="5"/>
  <c r="X93" i="7" s="1"/>
  <c r="W93" i="5"/>
  <c r="W93" i="7" s="1"/>
  <c r="V93" i="5"/>
  <c r="V93" i="7" s="1"/>
  <c r="U93" i="5"/>
  <c r="U93" i="7" s="1"/>
  <c r="T93" i="5"/>
  <c r="T93" i="7" s="1"/>
  <c r="S93" i="5"/>
  <c r="S93" i="7" s="1"/>
  <c r="R93" i="5"/>
  <c r="R93" i="7" s="1"/>
  <c r="Q93" i="5"/>
  <c r="Q93" i="7" s="1"/>
  <c r="P93" i="5"/>
  <c r="P93" i="7" s="1"/>
  <c r="O93" i="5"/>
  <c r="O93" i="7" s="1"/>
  <c r="N93" i="5"/>
  <c r="N93" i="7" s="1"/>
  <c r="M93" i="5"/>
  <c r="M93" i="7" s="1"/>
  <c r="L93" i="5"/>
  <c r="L93" i="7" s="1"/>
  <c r="K93" i="5"/>
  <c r="K93" i="7" s="1"/>
  <c r="J93" i="5"/>
  <c r="J93" i="7" s="1"/>
  <c r="I93" i="5"/>
  <c r="I93" i="7" s="1"/>
  <c r="H93" i="5"/>
  <c r="H93" i="7" s="1"/>
  <c r="G93" i="5"/>
  <c r="G93" i="7" s="1"/>
  <c r="F93" i="5"/>
  <c r="F93" i="7" s="1"/>
  <c r="E93" i="5"/>
  <c r="E93" i="7" s="1"/>
  <c r="D93" i="5"/>
  <c r="D93" i="7" s="1"/>
  <c r="C93" i="5"/>
  <c r="C93" i="7" s="1"/>
  <c r="B93" i="5"/>
  <c r="B93" i="7" s="1"/>
  <c r="DB92" i="5"/>
  <c r="DB92" i="7" s="1"/>
  <c r="DA92" i="5"/>
  <c r="DA92" i="7" s="1"/>
  <c r="CZ92" i="5"/>
  <c r="CZ92" i="7" s="1"/>
  <c r="CY92" i="5"/>
  <c r="CY92" i="7" s="1"/>
  <c r="CX92" i="5"/>
  <c r="CX92" i="7" s="1"/>
  <c r="CW92" i="5"/>
  <c r="CW92" i="7" s="1"/>
  <c r="CV92" i="5"/>
  <c r="CV92" i="7" s="1"/>
  <c r="CU92" i="5"/>
  <c r="CU92" i="7" s="1"/>
  <c r="CT92" i="5"/>
  <c r="CT92" i="7" s="1"/>
  <c r="CS92" i="5"/>
  <c r="CS92" i="7" s="1"/>
  <c r="CR92" i="5"/>
  <c r="CR92" i="7" s="1"/>
  <c r="CQ92" i="5"/>
  <c r="CQ92" i="7" s="1"/>
  <c r="CP92" i="5"/>
  <c r="CP92" i="7" s="1"/>
  <c r="CO92" i="5"/>
  <c r="CO92" i="7" s="1"/>
  <c r="CN92" i="5"/>
  <c r="CN92" i="7" s="1"/>
  <c r="CM92" i="5"/>
  <c r="CM92" i="7" s="1"/>
  <c r="CL92" i="5"/>
  <c r="CL92" i="7" s="1"/>
  <c r="CK92" i="5"/>
  <c r="CK92" i="7" s="1"/>
  <c r="CJ92" i="5"/>
  <c r="CJ92" i="7" s="1"/>
  <c r="CI92" i="5"/>
  <c r="CI92" i="7" s="1"/>
  <c r="CH92" i="5"/>
  <c r="CH92" i="7" s="1"/>
  <c r="CG92" i="5"/>
  <c r="CG92" i="7" s="1"/>
  <c r="CF92" i="5"/>
  <c r="CF92" i="7" s="1"/>
  <c r="CE92" i="5"/>
  <c r="CE92" i="7" s="1"/>
  <c r="CD92" i="5"/>
  <c r="CD92" i="7" s="1"/>
  <c r="CC92" i="5"/>
  <c r="CC92" i="7" s="1"/>
  <c r="CB92" i="5"/>
  <c r="CB92" i="7" s="1"/>
  <c r="CA92" i="5"/>
  <c r="CA92" i="7" s="1"/>
  <c r="BZ92" i="5"/>
  <c r="BZ92" i="7" s="1"/>
  <c r="BY92" i="5"/>
  <c r="BY92" i="7" s="1"/>
  <c r="BX92" i="5"/>
  <c r="BX92" i="7" s="1"/>
  <c r="BW92" i="5"/>
  <c r="BW92" i="7" s="1"/>
  <c r="BV92" i="5"/>
  <c r="BV92" i="7" s="1"/>
  <c r="BU92" i="5"/>
  <c r="BU92" i="7" s="1"/>
  <c r="BT92" i="5"/>
  <c r="BT92" i="7" s="1"/>
  <c r="BS92" i="5"/>
  <c r="BS92" i="7" s="1"/>
  <c r="BR92" i="5"/>
  <c r="BR92" i="7" s="1"/>
  <c r="BQ92" i="5"/>
  <c r="BQ92" i="7" s="1"/>
  <c r="BP92" i="5"/>
  <c r="BP92" i="7" s="1"/>
  <c r="BO92" i="5"/>
  <c r="BO92" i="7" s="1"/>
  <c r="BN92" i="5"/>
  <c r="BN92" i="7" s="1"/>
  <c r="BM92" i="5"/>
  <c r="BM92" i="7" s="1"/>
  <c r="BL92" i="5"/>
  <c r="BL92" i="7" s="1"/>
  <c r="BK92" i="5"/>
  <c r="BK92" i="7" s="1"/>
  <c r="BJ92" i="5"/>
  <c r="BJ92" i="7" s="1"/>
  <c r="BI92" i="5"/>
  <c r="BI92" i="7" s="1"/>
  <c r="BH92" i="5"/>
  <c r="BH92" i="7" s="1"/>
  <c r="BG92" i="5"/>
  <c r="BG92" i="7" s="1"/>
  <c r="BF92" i="5"/>
  <c r="BF92" i="7" s="1"/>
  <c r="BE92" i="5"/>
  <c r="BE92" i="7" s="1"/>
  <c r="BD92" i="5"/>
  <c r="BD92" i="7" s="1"/>
  <c r="BC92" i="5"/>
  <c r="BC92" i="7" s="1"/>
  <c r="BB92" i="5"/>
  <c r="BB92" i="7" s="1"/>
  <c r="BA92" i="5"/>
  <c r="BA92" i="7" s="1"/>
  <c r="AZ92" i="5"/>
  <c r="AZ92" i="7" s="1"/>
  <c r="AY92" i="5"/>
  <c r="AY92" i="7" s="1"/>
  <c r="AX92" i="5"/>
  <c r="AX92" i="7" s="1"/>
  <c r="AW92" i="5"/>
  <c r="AW92" i="7" s="1"/>
  <c r="AV92" i="5"/>
  <c r="AV92" i="7" s="1"/>
  <c r="AU92" i="5"/>
  <c r="AU92" i="7" s="1"/>
  <c r="AT92" i="5"/>
  <c r="AT92" i="7" s="1"/>
  <c r="AS92" i="5"/>
  <c r="AS92" i="7" s="1"/>
  <c r="AR92" i="5"/>
  <c r="AR92" i="7" s="1"/>
  <c r="AQ92" i="5"/>
  <c r="AQ92" i="7" s="1"/>
  <c r="AP92" i="5"/>
  <c r="AP92" i="7" s="1"/>
  <c r="AO92" i="5"/>
  <c r="AO92" i="7" s="1"/>
  <c r="AN92" i="5"/>
  <c r="AN92" i="7" s="1"/>
  <c r="AM92" i="5"/>
  <c r="AM92" i="7" s="1"/>
  <c r="AL92" i="5"/>
  <c r="AL92" i="7" s="1"/>
  <c r="AK92" i="5"/>
  <c r="AK92" i="7" s="1"/>
  <c r="AJ92" i="5"/>
  <c r="AJ92" i="7" s="1"/>
  <c r="AI92" i="5"/>
  <c r="AI92" i="7" s="1"/>
  <c r="AH92" i="5"/>
  <c r="AH92" i="7" s="1"/>
  <c r="AG92" i="5"/>
  <c r="AG92" i="7" s="1"/>
  <c r="AF92" i="5"/>
  <c r="AF92" i="7" s="1"/>
  <c r="AE92" i="5"/>
  <c r="AE92" i="7" s="1"/>
  <c r="AD92" i="5"/>
  <c r="AD92" i="7" s="1"/>
  <c r="AC92" i="5"/>
  <c r="AC92" i="7" s="1"/>
  <c r="AB92" i="5"/>
  <c r="AB92" i="7" s="1"/>
  <c r="AA92" i="5"/>
  <c r="AA92" i="7" s="1"/>
  <c r="Z92" i="5"/>
  <c r="Z92" i="7" s="1"/>
  <c r="Y92" i="5"/>
  <c r="Y92" i="7" s="1"/>
  <c r="X92" i="5"/>
  <c r="X92" i="7" s="1"/>
  <c r="W92" i="5"/>
  <c r="W92" i="7" s="1"/>
  <c r="V92" i="5"/>
  <c r="V92" i="7" s="1"/>
  <c r="U92" i="5"/>
  <c r="U92" i="7" s="1"/>
  <c r="T92" i="5"/>
  <c r="T92" i="7" s="1"/>
  <c r="S92" i="5"/>
  <c r="S92" i="7" s="1"/>
  <c r="R92" i="5"/>
  <c r="R92" i="7" s="1"/>
  <c r="Q92" i="5"/>
  <c r="Q92" i="7" s="1"/>
  <c r="P92" i="5"/>
  <c r="P92" i="7" s="1"/>
  <c r="O92" i="5"/>
  <c r="O92" i="7" s="1"/>
  <c r="N92" i="5"/>
  <c r="N92" i="7" s="1"/>
  <c r="M92" i="5"/>
  <c r="M92" i="7" s="1"/>
  <c r="L92" i="5"/>
  <c r="L92" i="7" s="1"/>
  <c r="K92" i="5"/>
  <c r="K92" i="7" s="1"/>
  <c r="J92" i="5"/>
  <c r="J92" i="7" s="1"/>
  <c r="I92" i="5"/>
  <c r="I92" i="7" s="1"/>
  <c r="H92" i="5"/>
  <c r="H92" i="7" s="1"/>
  <c r="G92" i="5"/>
  <c r="G92" i="7" s="1"/>
  <c r="F92" i="5"/>
  <c r="F92" i="7" s="1"/>
  <c r="E92" i="5"/>
  <c r="E92" i="7" s="1"/>
  <c r="D92" i="5"/>
  <c r="D92" i="7" s="1"/>
  <c r="C92" i="5"/>
  <c r="C92" i="7" s="1"/>
  <c r="B92" i="5"/>
  <c r="B92" i="7" s="1"/>
  <c r="DB91" i="5"/>
  <c r="DB91" i="7" s="1"/>
  <c r="DA91" i="5"/>
  <c r="DA91" i="7" s="1"/>
  <c r="CZ91" i="5"/>
  <c r="CZ91" i="7" s="1"/>
  <c r="CY91" i="5"/>
  <c r="CY91" i="7" s="1"/>
  <c r="CX91" i="5"/>
  <c r="CX91" i="7" s="1"/>
  <c r="CW91" i="5"/>
  <c r="CW91" i="7" s="1"/>
  <c r="CV91" i="5"/>
  <c r="CV91" i="7" s="1"/>
  <c r="CU91" i="5"/>
  <c r="CU91" i="7" s="1"/>
  <c r="CT91" i="5"/>
  <c r="CT91" i="7" s="1"/>
  <c r="CS91" i="5"/>
  <c r="CS91" i="7" s="1"/>
  <c r="CR91" i="5"/>
  <c r="CR91" i="7" s="1"/>
  <c r="CQ91" i="5"/>
  <c r="CQ91" i="7" s="1"/>
  <c r="CP91" i="5"/>
  <c r="CP91" i="7" s="1"/>
  <c r="CO91" i="5"/>
  <c r="CO91" i="7" s="1"/>
  <c r="CN91" i="5"/>
  <c r="CN91" i="7" s="1"/>
  <c r="CM91" i="5"/>
  <c r="CM91" i="7" s="1"/>
  <c r="CL91" i="5"/>
  <c r="CL91" i="7" s="1"/>
  <c r="CK91" i="5"/>
  <c r="CK91" i="7" s="1"/>
  <c r="CJ91" i="5"/>
  <c r="CJ91" i="7" s="1"/>
  <c r="CI91" i="5"/>
  <c r="CI91" i="7" s="1"/>
  <c r="CH91" i="5"/>
  <c r="CH91" i="7" s="1"/>
  <c r="CG91" i="5"/>
  <c r="CG91" i="7" s="1"/>
  <c r="CF91" i="5"/>
  <c r="CF91" i="7" s="1"/>
  <c r="CE91" i="5"/>
  <c r="CE91" i="7" s="1"/>
  <c r="CD91" i="5"/>
  <c r="CD91" i="7" s="1"/>
  <c r="CC91" i="5"/>
  <c r="CC91" i="7" s="1"/>
  <c r="CB91" i="5"/>
  <c r="CB91" i="7" s="1"/>
  <c r="CA91" i="5"/>
  <c r="CA91" i="7" s="1"/>
  <c r="BZ91" i="5"/>
  <c r="BZ91" i="7" s="1"/>
  <c r="BY91" i="5"/>
  <c r="BY91" i="7" s="1"/>
  <c r="BX91" i="5"/>
  <c r="BX91" i="7" s="1"/>
  <c r="BW91" i="5"/>
  <c r="BW91" i="7" s="1"/>
  <c r="BV91" i="5"/>
  <c r="BV91" i="7" s="1"/>
  <c r="BU91" i="5"/>
  <c r="BU91" i="7" s="1"/>
  <c r="BT91" i="5"/>
  <c r="BT91" i="7" s="1"/>
  <c r="BS91" i="5"/>
  <c r="BS91" i="7" s="1"/>
  <c r="BR91" i="5"/>
  <c r="BR91" i="7" s="1"/>
  <c r="BQ91" i="5"/>
  <c r="BQ91" i="7" s="1"/>
  <c r="BP91" i="5"/>
  <c r="BP91" i="7" s="1"/>
  <c r="BO91" i="5"/>
  <c r="BO91" i="7" s="1"/>
  <c r="BN91" i="5"/>
  <c r="BN91" i="7" s="1"/>
  <c r="BM91" i="5"/>
  <c r="BM91" i="7" s="1"/>
  <c r="BL91" i="5"/>
  <c r="BL91" i="7" s="1"/>
  <c r="BK91" i="5"/>
  <c r="BK91" i="7" s="1"/>
  <c r="BJ91" i="5"/>
  <c r="BJ91" i="7" s="1"/>
  <c r="BI91" i="5"/>
  <c r="BI91" i="7" s="1"/>
  <c r="BH91" i="5"/>
  <c r="BH91" i="7" s="1"/>
  <c r="BG91" i="5"/>
  <c r="BG91" i="7" s="1"/>
  <c r="BF91" i="5"/>
  <c r="BF91" i="7" s="1"/>
  <c r="BE91" i="5"/>
  <c r="BE91" i="7" s="1"/>
  <c r="BD91" i="5"/>
  <c r="BD91" i="7" s="1"/>
  <c r="BC91" i="5"/>
  <c r="BC91" i="7" s="1"/>
  <c r="BB91" i="5"/>
  <c r="BB91" i="7" s="1"/>
  <c r="BA91" i="5"/>
  <c r="BA91" i="7" s="1"/>
  <c r="AZ91" i="5"/>
  <c r="AZ91" i="7" s="1"/>
  <c r="AY91" i="5"/>
  <c r="AY91" i="7" s="1"/>
  <c r="AX91" i="5"/>
  <c r="AX91" i="7" s="1"/>
  <c r="AW91" i="5"/>
  <c r="AW91" i="7" s="1"/>
  <c r="AV91" i="5"/>
  <c r="AV91" i="7" s="1"/>
  <c r="AU91" i="5"/>
  <c r="AU91" i="7" s="1"/>
  <c r="AT91" i="5"/>
  <c r="AT91" i="7" s="1"/>
  <c r="AS91" i="5"/>
  <c r="AS91" i="7" s="1"/>
  <c r="AR91" i="5"/>
  <c r="AR91" i="7" s="1"/>
  <c r="AQ91" i="5"/>
  <c r="AQ91" i="7" s="1"/>
  <c r="AP91" i="5"/>
  <c r="AP91" i="7" s="1"/>
  <c r="AO91" i="5"/>
  <c r="AO91" i="7" s="1"/>
  <c r="AN91" i="5"/>
  <c r="AN91" i="7" s="1"/>
  <c r="AM91" i="5"/>
  <c r="AM91" i="7" s="1"/>
  <c r="AL91" i="5"/>
  <c r="AL91" i="7" s="1"/>
  <c r="AK91" i="5"/>
  <c r="AK91" i="7" s="1"/>
  <c r="AJ91" i="5"/>
  <c r="AJ91" i="7" s="1"/>
  <c r="AI91" i="5"/>
  <c r="AI91" i="7" s="1"/>
  <c r="AH91" i="5"/>
  <c r="AH91" i="7" s="1"/>
  <c r="AG91" i="5"/>
  <c r="AG91" i="7" s="1"/>
  <c r="AF91" i="5"/>
  <c r="AF91" i="7" s="1"/>
  <c r="AE91" i="5"/>
  <c r="AE91" i="7" s="1"/>
  <c r="AD91" i="5"/>
  <c r="AD91" i="7" s="1"/>
  <c r="AC91" i="5"/>
  <c r="AC91" i="7" s="1"/>
  <c r="AB91" i="5"/>
  <c r="AB91" i="7" s="1"/>
  <c r="AA91" i="5"/>
  <c r="AA91" i="7" s="1"/>
  <c r="Z91" i="5"/>
  <c r="Z91" i="7" s="1"/>
  <c r="Y91" i="5"/>
  <c r="Y91" i="7" s="1"/>
  <c r="X91" i="5"/>
  <c r="X91" i="7" s="1"/>
  <c r="W91" i="5"/>
  <c r="W91" i="7" s="1"/>
  <c r="V91" i="5"/>
  <c r="V91" i="7" s="1"/>
  <c r="U91" i="5"/>
  <c r="U91" i="7" s="1"/>
  <c r="T91" i="5"/>
  <c r="T91" i="7" s="1"/>
  <c r="S91" i="5"/>
  <c r="S91" i="7" s="1"/>
  <c r="R91" i="5"/>
  <c r="R91" i="7" s="1"/>
  <c r="Q91" i="5"/>
  <c r="Q91" i="7" s="1"/>
  <c r="P91" i="5"/>
  <c r="P91" i="7" s="1"/>
  <c r="O91" i="5"/>
  <c r="O91" i="7" s="1"/>
  <c r="N91" i="5"/>
  <c r="N91" i="7" s="1"/>
  <c r="M91" i="5"/>
  <c r="M91" i="7" s="1"/>
  <c r="L91" i="5"/>
  <c r="L91" i="7" s="1"/>
  <c r="K91" i="5"/>
  <c r="K91" i="7" s="1"/>
  <c r="J91" i="5"/>
  <c r="J91" i="7" s="1"/>
  <c r="I91" i="5"/>
  <c r="I91" i="7" s="1"/>
  <c r="H91" i="5"/>
  <c r="H91" i="7" s="1"/>
  <c r="G91" i="5"/>
  <c r="G91" i="7" s="1"/>
  <c r="F91" i="5"/>
  <c r="F91" i="7" s="1"/>
  <c r="E91" i="5"/>
  <c r="E91" i="7" s="1"/>
  <c r="D91" i="5"/>
  <c r="D91" i="7" s="1"/>
  <c r="C91" i="5"/>
  <c r="C91" i="7" s="1"/>
  <c r="B91" i="5"/>
  <c r="B91" i="7" s="1"/>
  <c r="DB90" i="5"/>
  <c r="DB90" i="7" s="1"/>
  <c r="DA90" i="5"/>
  <c r="DA90" i="7" s="1"/>
  <c r="CZ90" i="5"/>
  <c r="CZ90" i="7" s="1"/>
  <c r="CY90" i="5"/>
  <c r="CY90" i="7" s="1"/>
  <c r="CX90" i="5"/>
  <c r="CX90" i="7" s="1"/>
  <c r="CW90" i="5"/>
  <c r="CW90" i="7" s="1"/>
  <c r="CV90" i="5"/>
  <c r="CV90" i="7" s="1"/>
  <c r="CU90" i="5"/>
  <c r="CU90" i="7" s="1"/>
  <c r="CT90" i="5"/>
  <c r="CT90" i="7" s="1"/>
  <c r="CS90" i="5"/>
  <c r="CS90" i="7" s="1"/>
  <c r="CR90" i="5"/>
  <c r="CR90" i="7" s="1"/>
  <c r="CQ90" i="5"/>
  <c r="CQ90" i="7" s="1"/>
  <c r="CP90" i="5"/>
  <c r="CP90" i="7" s="1"/>
  <c r="CO90" i="5"/>
  <c r="CO90" i="7" s="1"/>
  <c r="CN90" i="5"/>
  <c r="CN90" i="7" s="1"/>
  <c r="CM90" i="5"/>
  <c r="CM90" i="7" s="1"/>
  <c r="CL90" i="5"/>
  <c r="CL90" i="7" s="1"/>
  <c r="CK90" i="5"/>
  <c r="CK90" i="7" s="1"/>
  <c r="CJ90" i="5"/>
  <c r="CJ90" i="7" s="1"/>
  <c r="CI90" i="5"/>
  <c r="CI90" i="7" s="1"/>
  <c r="CH90" i="5"/>
  <c r="CH90" i="7" s="1"/>
  <c r="CG90" i="5"/>
  <c r="CG90" i="7" s="1"/>
  <c r="CF90" i="5"/>
  <c r="CF90" i="7" s="1"/>
  <c r="CE90" i="5"/>
  <c r="CE90" i="7" s="1"/>
  <c r="CD90" i="5"/>
  <c r="CD90" i="7" s="1"/>
  <c r="CC90" i="5"/>
  <c r="CC90" i="7" s="1"/>
  <c r="CB90" i="5"/>
  <c r="CB90" i="7" s="1"/>
  <c r="CA90" i="5"/>
  <c r="CA90" i="7" s="1"/>
  <c r="BZ90" i="5"/>
  <c r="BZ90" i="7" s="1"/>
  <c r="BY90" i="5"/>
  <c r="BY90" i="7" s="1"/>
  <c r="BX90" i="5"/>
  <c r="BX90" i="7" s="1"/>
  <c r="BW90" i="5"/>
  <c r="BW90" i="7" s="1"/>
  <c r="BV90" i="5"/>
  <c r="BV90" i="7" s="1"/>
  <c r="BU90" i="5"/>
  <c r="BU90" i="7" s="1"/>
  <c r="BT90" i="5"/>
  <c r="BT90" i="7" s="1"/>
  <c r="BS90" i="5"/>
  <c r="BS90" i="7" s="1"/>
  <c r="BR90" i="5"/>
  <c r="BR90" i="7" s="1"/>
  <c r="BQ90" i="5"/>
  <c r="BQ90" i="7" s="1"/>
  <c r="BP90" i="5"/>
  <c r="BP90" i="7" s="1"/>
  <c r="BO90" i="5"/>
  <c r="BO90" i="7" s="1"/>
  <c r="BN90" i="5"/>
  <c r="BN90" i="7" s="1"/>
  <c r="BM90" i="5"/>
  <c r="BM90" i="7" s="1"/>
  <c r="BL90" i="5"/>
  <c r="BL90" i="7" s="1"/>
  <c r="BK90" i="5"/>
  <c r="BK90" i="7" s="1"/>
  <c r="BJ90" i="5"/>
  <c r="BJ90" i="7" s="1"/>
  <c r="BI90" i="5"/>
  <c r="BI90" i="7" s="1"/>
  <c r="BH90" i="5"/>
  <c r="BH90" i="7" s="1"/>
  <c r="BG90" i="5"/>
  <c r="BG90" i="7" s="1"/>
  <c r="BF90" i="5"/>
  <c r="BF90" i="7" s="1"/>
  <c r="BE90" i="5"/>
  <c r="BE90" i="7" s="1"/>
  <c r="BD90" i="5"/>
  <c r="BD90" i="7" s="1"/>
  <c r="BC90" i="5"/>
  <c r="BC90" i="7" s="1"/>
  <c r="BB90" i="5"/>
  <c r="BB90" i="7" s="1"/>
  <c r="BA90" i="5"/>
  <c r="BA90" i="7" s="1"/>
  <c r="AZ90" i="5"/>
  <c r="AZ90" i="7" s="1"/>
  <c r="AY90" i="5"/>
  <c r="AY90" i="7" s="1"/>
  <c r="AX90" i="5"/>
  <c r="AX90" i="7" s="1"/>
  <c r="AW90" i="5"/>
  <c r="AW90" i="7" s="1"/>
  <c r="AV90" i="5"/>
  <c r="AV90" i="7" s="1"/>
  <c r="AU90" i="5"/>
  <c r="AU90" i="7" s="1"/>
  <c r="AT90" i="5"/>
  <c r="AT90" i="7" s="1"/>
  <c r="AS90" i="5"/>
  <c r="AS90" i="7" s="1"/>
  <c r="AR90" i="5"/>
  <c r="AR90" i="7" s="1"/>
  <c r="AQ90" i="5"/>
  <c r="AQ90" i="7" s="1"/>
  <c r="AP90" i="5"/>
  <c r="AP90" i="7" s="1"/>
  <c r="AO90" i="5"/>
  <c r="AO90" i="7" s="1"/>
  <c r="AN90" i="5"/>
  <c r="AN90" i="7" s="1"/>
  <c r="AM90" i="5"/>
  <c r="AM90" i="7" s="1"/>
  <c r="AL90" i="5"/>
  <c r="AL90" i="7" s="1"/>
  <c r="AK90" i="5"/>
  <c r="AK90" i="7" s="1"/>
  <c r="AJ90" i="5"/>
  <c r="AJ90" i="7" s="1"/>
  <c r="AI90" i="5"/>
  <c r="AI90" i="7" s="1"/>
  <c r="AH90" i="5"/>
  <c r="AH90" i="7" s="1"/>
  <c r="AG90" i="5"/>
  <c r="AG90" i="7" s="1"/>
  <c r="AF90" i="5"/>
  <c r="AF90" i="7" s="1"/>
  <c r="AE90" i="5"/>
  <c r="AE90" i="7" s="1"/>
  <c r="AD90" i="5"/>
  <c r="AD90" i="7" s="1"/>
  <c r="AC90" i="5"/>
  <c r="AC90" i="7" s="1"/>
  <c r="AB90" i="5"/>
  <c r="AB90" i="7" s="1"/>
  <c r="AA90" i="5"/>
  <c r="AA90" i="7" s="1"/>
  <c r="Z90" i="5"/>
  <c r="Z90" i="7" s="1"/>
  <c r="Y90" i="5"/>
  <c r="Y90" i="7" s="1"/>
  <c r="X90" i="5"/>
  <c r="X90" i="7" s="1"/>
  <c r="W90" i="5"/>
  <c r="W90" i="7" s="1"/>
  <c r="V90" i="5"/>
  <c r="V90" i="7" s="1"/>
  <c r="U90" i="5"/>
  <c r="U90" i="7" s="1"/>
  <c r="T90" i="5"/>
  <c r="T90" i="7" s="1"/>
  <c r="S90" i="5"/>
  <c r="S90" i="7" s="1"/>
  <c r="R90" i="5"/>
  <c r="R90" i="7" s="1"/>
  <c r="Q90" i="5"/>
  <c r="Q90" i="7" s="1"/>
  <c r="P90" i="5"/>
  <c r="P90" i="7" s="1"/>
  <c r="O90" i="5"/>
  <c r="O90" i="7" s="1"/>
  <c r="N90" i="5"/>
  <c r="N90" i="7" s="1"/>
  <c r="M90" i="5"/>
  <c r="M90" i="7" s="1"/>
  <c r="L90" i="5"/>
  <c r="L90" i="7" s="1"/>
  <c r="K90" i="5"/>
  <c r="K90" i="7" s="1"/>
  <c r="J90" i="5"/>
  <c r="J90" i="7" s="1"/>
  <c r="I90" i="5"/>
  <c r="I90" i="7" s="1"/>
  <c r="H90" i="5"/>
  <c r="H90" i="7" s="1"/>
  <c r="G90" i="5"/>
  <c r="G90" i="7" s="1"/>
  <c r="F90" i="5"/>
  <c r="F90" i="7" s="1"/>
  <c r="E90" i="5"/>
  <c r="E90" i="7" s="1"/>
  <c r="D90" i="5"/>
  <c r="D90" i="7" s="1"/>
  <c r="C90" i="5"/>
  <c r="C90" i="7" s="1"/>
  <c r="B90" i="5"/>
  <c r="B90" i="7" s="1"/>
  <c r="DB89" i="5"/>
  <c r="DB89" i="7" s="1"/>
  <c r="DA89" i="5"/>
  <c r="DA89" i="7" s="1"/>
  <c r="CZ89" i="5"/>
  <c r="CZ89" i="7" s="1"/>
  <c r="CY89" i="5"/>
  <c r="CY89" i="7" s="1"/>
  <c r="CX89" i="5"/>
  <c r="CX89" i="7" s="1"/>
  <c r="CW89" i="5"/>
  <c r="CW89" i="7" s="1"/>
  <c r="CV89" i="5"/>
  <c r="CV89" i="7" s="1"/>
  <c r="CU89" i="5"/>
  <c r="CU89" i="7" s="1"/>
  <c r="CT89" i="5"/>
  <c r="CT89" i="7" s="1"/>
  <c r="CS89" i="5"/>
  <c r="CS89" i="7" s="1"/>
  <c r="CR89" i="5"/>
  <c r="CR89" i="7" s="1"/>
  <c r="CQ89" i="5"/>
  <c r="CQ89" i="7" s="1"/>
  <c r="CP89" i="5"/>
  <c r="CP89" i="7" s="1"/>
  <c r="CO89" i="5"/>
  <c r="CO89" i="7" s="1"/>
  <c r="CN89" i="5"/>
  <c r="CN89" i="7" s="1"/>
  <c r="CM89" i="5"/>
  <c r="CM89" i="7" s="1"/>
  <c r="CL89" i="5"/>
  <c r="CL89" i="7" s="1"/>
  <c r="CK89" i="5"/>
  <c r="CK89" i="7" s="1"/>
  <c r="CJ89" i="5"/>
  <c r="CJ89" i="7" s="1"/>
  <c r="CI89" i="5"/>
  <c r="CI89" i="7" s="1"/>
  <c r="CH89" i="5"/>
  <c r="CH89" i="7" s="1"/>
  <c r="CG89" i="5"/>
  <c r="CG89" i="7" s="1"/>
  <c r="CF89" i="5"/>
  <c r="CF89" i="7" s="1"/>
  <c r="CE89" i="5"/>
  <c r="CE89" i="7" s="1"/>
  <c r="CD89" i="5"/>
  <c r="CD89" i="7" s="1"/>
  <c r="CC89" i="5"/>
  <c r="CC89" i="7" s="1"/>
  <c r="CB89" i="5"/>
  <c r="CB89" i="7" s="1"/>
  <c r="CA89" i="5"/>
  <c r="CA89" i="7" s="1"/>
  <c r="BZ89" i="5"/>
  <c r="BZ89" i="7" s="1"/>
  <c r="BY89" i="5"/>
  <c r="BY89" i="7" s="1"/>
  <c r="BX89" i="5"/>
  <c r="BX89" i="7" s="1"/>
  <c r="BW89" i="5"/>
  <c r="BW89" i="7" s="1"/>
  <c r="BV89" i="5"/>
  <c r="BV89" i="7" s="1"/>
  <c r="BU89" i="5"/>
  <c r="BU89" i="7" s="1"/>
  <c r="BT89" i="5"/>
  <c r="BT89" i="7" s="1"/>
  <c r="BS89" i="5"/>
  <c r="BS89" i="7" s="1"/>
  <c r="BR89" i="5"/>
  <c r="BR89" i="7" s="1"/>
  <c r="BQ89" i="5"/>
  <c r="BQ89" i="7" s="1"/>
  <c r="BP89" i="5"/>
  <c r="BP89" i="7" s="1"/>
  <c r="BO89" i="5"/>
  <c r="BO89" i="7" s="1"/>
  <c r="BN89" i="5"/>
  <c r="BN89" i="7" s="1"/>
  <c r="BM89" i="5"/>
  <c r="BM89" i="7" s="1"/>
  <c r="BL89" i="5"/>
  <c r="BL89" i="7" s="1"/>
  <c r="BK89" i="5"/>
  <c r="BK89" i="7" s="1"/>
  <c r="BJ89" i="5"/>
  <c r="BJ89" i="7" s="1"/>
  <c r="BI89" i="5"/>
  <c r="BI89" i="7" s="1"/>
  <c r="BH89" i="5"/>
  <c r="BH89" i="7" s="1"/>
  <c r="BG89" i="5"/>
  <c r="BG89" i="7" s="1"/>
  <c r="BF89" i="5"/>
  <c r="BF89" i="7" s="1"/>
  <c r="BE89" i="5"/>
  <c r="BE89" i="7" s="1"/>
  <c r="BD89" i="5"/>
  <c r="BD89" i="7" s="1"/>
  <c r="BC89" i="5"/>
  <c r="BC89" i="7" s="1"/>
  <c r="BB89" i="5"/>
  <c r="BB89" i="7" s="1"/>
  <c r="BA89" i="5"/>
  <c r="BA89" i="7" s="1"/>
  <c r="AZ89" i="5"/>
  <c r="AZ89" i="7" s="1"/>
  <c r="AY89" i="5"/>
  <c r="AY89" i="7" s="1"/>
  <c r="AX89" i="5"/>
  <c r="AX89" i="7" s="1"/>
  <c r="AW89" i="5"/>
  <c r="AW89" i="7" s="1"/>
  <c r="AV89" i="5"/>
  <c r="AV89" i="7" s="1"/>
  <c r="AU89" i="5"/>
  <c r="AU89" i="7" s="1"/>
  <c r="AT89" i="5"/>
  <c r="AT89" i="7" s="1"/>
  <c r="AS89" i="5"/>
  <c r="AS89" i="7" s="1"/>
  <c r="AR89" i="5"/>
  <c r="AR89" i="7" s="1"/>
  <c r="AQ89" i="5"/>
  <c r="AQ89" i="7" s="1"/>
  <c r="AP89" i="5"/>
  <c r="AP89" i="7" s="1"/>
  <c r="AO89" i="5"/>
  <c r="AO89" i="7" s="1"/>
  <c r="AN89" i="5"/>
  <c r="AN89" i="7" s="1"/>
  <c r="AM89" i="5"/>
  <c r="AM89" i="7" s="1"/>
  <c r="AL89" i="5"/>
  <c r="AL89" i="7" s="1"/>
  <c r="AK89" i="5"/>
  <c r="AK89" i="7" s="1"/>
  <c r="AJ89" i="5"/>
  <c r="AJ89" i="7" s="1"/>
  <c r="AI89" i="5"/>
  <c r="AI89" i="7" s="1"/>
  <c r="AH89" i="5"/>
  <c r="AH89" i="7" s="1"/>
  <c r="AG89" i="5"/>
  <c r="AG89" i="7" s="1"/>
  <c r="AF89" i="5"/>
  <c r="AF89" i="7" s="1"/>
  <c r="AE89" i="5"/>
  <c r="AE89" i="7" s="1"/>
  <c r="AD89" i="5"/>
  <c r="AD89" i="7" s="1"/>
  <c r="AC89" i="5"/>
  <c r="AC89" i="7" s="1"/>
  <c r="AB89" i="5"/>
  <c r="AB89" i="7" s="1"/>
  <c r="AA89" i="5"/>
  <c r="AA89" i="7" s="1"/>
  <c r="Z89" i="5"/>
  <c r="Z89" i="7" s="1"/>
  <c r="Y89" i="5"/>
  <c r="Y89" i="7" s="1"/>
  <c r="X89" i="5"/>
  <c r="X89" i="7" s="1"/>
  <c r="W89" i="5"/>
  <c r="W89" i="7" s="1"/>
  <c r="V89" i="5"/>
  <c r="V89" i="7" s="1"/>
  <c r="U89" i="5"/>
  <c r="U89" i="7" s="1"/>
  <c r="T89" i="5"/>
  <c r="T89" i="7" s="1"/>
  <c r="S89" i="5"/>
  <c r="S89" i="7" s="1"/>
  <c r="R89" i="5"/>
  <c r="R89" i="7" s="1"/>
  <c r="Q89" i="5"/>
  <c r="Q89" i="7" s="1"/>
  <c r="P89" i="5"/>
  <c r="P89" i="7" s="1"/>
  <c r="O89" i="5"/>
  <c r="O89" i="7" s="1"/>
  <c r="N89" i="5"/>
  <c r="N89" i="7" s="1"/>
  <c r="M89" i="5"/>
  <c r="M89" i="7" s="1"/>
  <c r="L89" i="5"/>
  <c r="L89" i="7" s="1"/>
  <c r="K89" i="5"/>
  <c r="K89" i="7" s="1"/>
  <c r="J89" i="5"/>
  <c r="J89" i="7" s="1"/>
  <c r="I89" i="5"/>
  <c r="I89" i="7" s="1"/>
  <c r="H89" i="5"/>
  <c r="H89" i="7" s="1"/>
  <c r="G89" i="5"/>
  <c r="G89" i="7" s="1"/>
  <c r="F89" i="5"/>
  <c r="F89" i="7" s="1"/>
  <c r="E89" i="5"/>
  <c r="E89" i="7" s="1"/>
  <c r="D89" i="5"/>
  <c r="D89" i="7" s="1"/>
  <c r="C89" i="5"/>
  <c r="C89" i="7" s="1"/>
  <c r="B89" i="5"/>
  <c r="B89" i="7" s="1"/>
  <c r="DB88" i="5"/>
  <c r="DB88" i="7" s="1"/>
  <c r="DA88" i="5"/>
  <c r="DA88" i="7" s="1"/>
  <c r="CZ88" i="5"/>
  <c r="CZ88" i="7" s="1"/>
  <c r="CY88" i="5"/>
  <c r="CY88" i="7" s="1"/>
  <c r="CX88" i="5"/>
  <c r="CX88" i="7" s="1"/>
  <c r="CW88" i="5"/>
  <c r="CW88" i="7" s="1"/>
  <c r="CV88" i="5"/>
  <c r="CV88" i="7" s="1"/>
  <c r="CU88" i="5"/>
  <c r="CU88" i="7" s="1"/>
  <c r="CT88" i="5"/>
  <c r="CT88" i="7" s="1"/>
  <c r="CS88" i="5"/>
  <c r="CS88" i="7" s="1"/>
  <c r="CR88" i="5"/>
  <c r="CR88" i="7" s="1"/>
  <c r="CQ88" i="5"/>
  <c r="CQ88" i="7" s="1"/>
  <c r="CP88" i="5"/>
  <c r="CP88" i="7" s="1"/>
  <c r="CO88" i="5"/>
  <c r="CO88" i="7" s="1"/>
  <c r="CN88" i="5"/>
  <c r="CN88" i="7" s="1"/>
  <c r="CM88" i="5"/>
  <c r="CM88" i="7" s="1"/>
  <c r="CL88" i="5"/>
  <c r="CL88" i="7" s="1"/>
  <c r="CK88" i="5"/>
  <c r="CK88" i="7" s="1"/>
  <c r="CJ88" i="5"/>
  <c r="CJ88" i="7" s="1"/>
  <c r="CI88" i="5"/>
  <c r="CI88" i="7" s="1"/>
  <c r="CH88" i="5"/>
  <c r="CH88" i="7" s="1"/>
  <c r="CG88" i="5"/>
  <c r="CG88" i="7" s="1"/>
  <c r="CF88" i="5"/>
  <c r="CF88" i="7" s="1"/>
  <c r="CE88" i="5"/>
  <c r="CE88" i="7" s="1"/>
  <c r="CD88" i="5"/>
  <c r="CD88" i="7" s="1"/>
  <c r="CC88" i="5"/>
  <c r="CC88" i="7" s="1"/>
  <c r="CB88" i="5"/>
  <c r="CB88" i="7" s="1"/>
  <c r="CA88" i="5"/>
  <c r="CA88" i="7" s="1"/>
  <c r="BZ88" i="5"/>
  <c r="BZ88" i="7" s="1"/>
  <c r="BY88" i="5"/>
  <c r="BY88" i="7" s="1"/>
  <c r="BX88" i="5"/>
  <c r="BX88" i="7" s="1"/>
  <c r="BW88" i="5"/>
  <c r="BW88" i="7" s="1"/>
  <c r="BV88" i="5"/>
  <c r="BV88" i="7" s="1"/>
  <c r="BU88" i="5"/>
  <c r="BU88" i="7" s="1"/>
  <c r="BT88" i="5"/>
  <c r="BT88" i="7" s="1"/>
  <c r="BS88" i="5"/>
  <c r="BS88" i="7" s="1"/>
  <c r="BR88" i="5"/>
  <c r="BR88" i="7" s="1"/>
  <c r="BQ88" i="5"/>
  <c r="BQ88" i="7" s="1"/>
  <c r="BP88" i="5"/>
  <c r="BP88" i="7" s="1"/>
  <c r="BO88" i="5"/>
  <c r="BO88" i="7" s="1"/>
  <c r="BN88" i="5"/>
  <c r="BN88" i="7" s="1"/>
  <c r="BM88" i="5"/>
  <c r="BM88" i="7" s="1"/>
  <c r="BL88" i="5"/>
  <c r="BL88" i="7" s="1"/>
  <c r="BK88" i="5"/>
  <c r="BK88" i="7" s="1"/>
  <c r="BJ88" i="5"/>
  <c r="BJ88" i="7" s="1"/>
  <c r="BI88" i="5"/>
  <c r="BI88" i="7" s="1"/>
  <c r="BH88" i="5"/>
  <c r="BH88" i="7" s="1"/>
  <c r="BG88" i="5"/>
  <c r="BG88" i="7" s="1"/>
  <c r="BF88" i="5"/>
  <c r="BF88" i="7" s="1"/>
  <c r="BE88" i="5"/>
  <c r="BE88" i="7" s="1"/>
  <c r="BD88" i="5"/>
  <c r="BD88" i="7" s="1"/>
  <c r="BC88" i="5"/>
  <c r="BC88" i="7" s="1"/>
  <c r="BB88" i="5"/>
  <c r="BB88" i="7" s="1"/>
  <c r="BA88" i="5"/>
  <c r="BA88" i="7" s="1"/>
  <c r="AZ88" i="5"/>
  <c r="AZ88" i="7" s="1"/>
  <c r="AY88" i="5"/>
  <c r="AY88" i="7" s="1"/>
  <c r="AX88" i="5"/>
  <c r="AX88" i="7" s="1"/>
  <c r="AW88" i="5"/>
  <c r="AW88" i="7" s="1"/>
  <c r="AV88" i="5"/>
  <c r="AV88" i="7" s="1"/>
  <c r="AU88" i="5"/>
  <c r="AU88" i="7" s="1"/>
  <c r="AT88" i="5"/>
  <c r="AT88" i="7" s="1"/>
  <c r="AS88" i="5"/>
  <c r="AS88" i="7" s="1"/>
  <c r="AR88" i="5"/>
  <c r="AR88" i="7" s="1"/>
  <c r="AQ88" i="5"/>
  <c r="AQ88" i="7" s="1"/>
  <c r="AP88" i="5"/>
  <c r="AP88" i="7" s="1"/>
  <c r="AO88" i="5"/>
  <c r="AO88" i="7" s="1"/>
  <c r="AN88" i="5"/>
  <c r="AN88" i="7" s="1"/>
  <c r="AM88" i="5"/>
  <c r="AM88" i="7" s="1"/>
  <c r="AL88" i="5"/>
  <c r="AL88" i="7" s="1"/>
  <c r="AK88" i="5"/>
  <c r="AK88" i="7" s="1"/>
  <c r="AJ88" i="5"/>
  <c r="AJ88" i="7" s="1"/>
  <c r="AI88" i="5"/>
  <c r="AI88" i="7" s="1"/>
  <c r="AH88" i="5"/>
  <c r="AH88" i="7" s="1"/>
  <c r="AG88" i="5"/>
  <c r="AG88" i="7" s="1"/>
  <c r="AF88" i="5"/>
  <c r="AF88" i="7" s="1"/>
  <c r="AE88" i="5"/>
  <c r="AE88" i="7" s="1"/>
  <c r="AD88" i="5"/>
  <c r="AD88" i="7" s="1"/>
  <c r="AC88" i="5"/>
  <c r="AC88" i="7" s="1"/>
  <c r="AB88" i="5"/>
  <c r="AB88" i="7" s="1"/>
  <c r="AA88" i="5"/>
  <c r="AA88" i="7" s="1"/>
  <c r="Z88" i="5"/>
  <c r="Z88" i="7" s="1"/>
  <c r="Y88" i="5"/>
  <c r="Y88" i="7" s="1"/>
  <c r="X88" i="5"/>
  <c r="X88" i="7" s="1"/>
  <c r="W88" i="5"/>
  <c r="W88" i="7" s="1"/>
  <c r="V88" i="5"/>
  <c r="V88" i="7" s="1"/>
  <c r="U88" i="5"/>
  <c r="U88" i="7" s="1"/>
  <c r="T88" i="5"/>
  <c r="T88" i="7" s="1"/>
  <c r="S88" i="5"/>
  <c r="S88" i="7" s="1"/>
  <c r="R88" i="5"/>
  <c r="R88" i="7" s="1"/>
  <c r="Q88" i="5"/>
  <c r="Q88" i="7" s="1"/>
  <c r="P88" i="5"/>
  <c r="P88" i="7" s="1"/>
  <c r="O88" i="5"/>
  <c r="O88" i="7" s="1"/>
  <c r="N88" i="5"/>
  <c r="N88" i="7" s="1"/>
  <c r="M88" i="5"/>
  <c r="M88" i="7" s="1"/>
  <c r="L88" i="5"/>
  <c r="L88" i="7" s="1"/>
  <c r="K88" i="5"/>
  <c r="K88" i="7" s="1"/>
  <c r="J88" i="5"/>
  <c r="J88" i="7" s="1"/>
  <c r="I88" i="5"/>
  <c r="I88" i="7" s="1"/>
  <c r="H88" i="5"/>
  <c r="H88" i="7" s="1"/>
  <c r="G88" i="5"/>
  <c r="G88" i="7" s="1"/>
  <c r="F88" i="5"/>
  <c r="F88" i="7" s="1"/>
  <c r="E88" i="5"/>
  <c r="E88" i="7" s="1"/>
  <c r="D88" i="5"/>
  <c r="D88" i="7" s="1"/>
  <c r="C88" i="5"/>
  <c r="C88" i="7" s="1"/>
  <c r="B88" i="5"/>
  <c r="B88" i="7" s="1"/>
  <c r="DB87" i="5"/>
  <c r="DB87" i="7" s="1"/>
  <c r="DA87" i="5"/>
  <c r="DA87" i="7" s="1"/>
  <c r="CZ87" i="5"/>
  <c r="CZ87" i="7" s="1"/>
  <c r="CY87" i="5"/>
  <c r="CY87" i="7" s="1"/>
  <c r="CX87" i="5"/>
  <c r="CX87" i="7" s="1"/>
  <c r="CW87" i="5"/>
  <c r="CW87" i="7" s="1"/>
  <c r="CV87" i="5"/>
  <c r="CV87" i="7" s="1"/>
  <c r="CU87" i="5"/>
  <c r="CU87" i="7" s="1"/>
  <c r="CT87" i="5"/>
  <c r="CT87" i="7" s="1"/>
  <c r="CS87" i="5"/>
  <c r="CS87" i="7" s="1"/>
  <c r="CR87" i="5"/>
  <c r="CR87" i="7" s="1"/>
  <c r="CQ87" i="5"/>
  <c r="CQ87" i="7" s="1"/>
  <c r="CP87" i="5"/>
  <c r="CP87" i="7" s="1"/>
  <c r="CO87" i="5"/>
  <c r="CO87" i="7" s="1"/>
  <c r="CN87" i="5"/>
  <c r="CN87" i="7" s="1"/>
  <c r="CM87" i="5"/>
  <c r="CM87" i="7" s="1"/>
  <c r="CL87" i="5"/>
  <c r="CL87" i="7" s="1"/>
  <c r="CK87" i="5"/>
  <c r="CK87" i="7" s="1"/>
  <c r="CJ87" i="5"/>
  <c r="CJ87" i="7" s="1"/>
  <c r="CI87" i="5"/>
  <c r="CI87" i="7" s="1"/>
  <c r="CH87" i="5"/>
  <c r="CH87" i="7" s="1"/>
  <c r="CG87" i="5"/>
  <c r="CG87" i="7" s="1"/>
  <c r="CF87" i="5"/>
  <c r="CF87" i="7" s="1"/>
  <c r="CE87" i="5"/>
  <c r="CE87" i="7" s="1"/>
  <c r="CD87" i="5"/>
  <c r="CD87" i="7" s="1"/>
  <c r="CC87" i="5"/>
  <c r="CC87" i="7" s="1"/>
  <c r="CB87" i="5"/>
  <c r="CB87" i="7" s="1"/>
  <c r="CA87" i="5"/>
  <c r="CA87" i="7" s="1"/>
  <c r="BZ87" i="5"/>
  <c r="BZ87" i="7" s="1"/>
  <c r="BY87" i="5"/>
  <c r="BY87" i="7" s="1"/>
  <c r="BX87" i="5"/>
  <c r="BX87" i="7" s="1"/>
  <c r="BW87" i="5"/>
  <c r="BW87" i="7" s="1"/>
  <c r="BV87" i="5"/>
  <c r="BV87" i="7" s="1"/>
  <c r="BU87" i="5"/>
  <c r="BU87" i="7" s="1"/>
  <c r="BT87" i="5"/>
  <c r="BT87" i="7" s="1"/>
  <c r="BS87" i="5"/>
  <c r="BS87" i="7" s="1"/>
  <c r="BR87" i="5"/>
  <c r="BR87" i="7" s="1"/>
  <c r="BQ87" i="5"/>
  <c r="BQ87" i="7" s="1"/>
  <c r="BP87" i="5"/>
  <c r="BP87" i="7" s="1"/>
  <c r="BO87" i="5"/>
  <c r="BO87" i="7" s="1"/>
  <c r="BN87" i="5"/>
  <c r="BN87" i="7" s="1"/>
  <c r="BM87" i="5"/>
  <c r="BM87" i="7" s="1"/>
  <c r="BL87" i="5"/>
  <c r="BL87" i="7" s="1"/>
  <c r="BK87" i="5"/>
  <c r="BK87" i="7" s="1"/>
  <c r="BJ87" i="5"/>
  <c r="BJ87" i="7" s="1"/>
  <c r="BI87" i="5"/>
  <c r="BI87" i="7" s="1"/>
  <c r="BH87" i="5"/>
  <c r="BH87" i="7" s="1"/>
  <c r="BG87" i="5"/>
  <c r="BG87" i="7" s="1"/>
  <c r="BF87" i="5"/>
  <c r="BF87" i="7" s="1"/>
  <c r="BE87" i="5"/>
  <c r="BE87" i="7" s="1"/>
  <c r="BD87" i="5"/>
  <c r="BD87" i="7" s="1"/>
  <c r="BC87" i="5"/>
  <c r="BC87" i="7" s="1"/>
  <c r="BB87" i="5"/>
  <c r="BB87" i="7" s="1"/>
  <c r="BA87" i="5"/>
  <c r="BA87" i="7" s="1"/>
  <c r="AZ87" i="5"/>
  <c r="AZ87" i="7" s="1"/>
  <c r="AY87" i="5"/>
  <c r="AY87" i="7" s="1"/>
  <c r="AX87" i="5"/>
  <c r="AX87" i="7" s="1"/>
  <c r="AW87" i="5"/>
  <c r="AW87" i="7" s="1"/>
  <c r="AV87" i="5"/>
  <c r="AV87" i="7" s="1"/>
  <c r="AU87" i="5"/>
  <c r="AU87" i="7" s="1"/>
  <c r="AT87" i="5"/>
  <c r="AT87" i="7" s="1"/>
  <c r="AS87" i="5"/>
  <c r="AS87" i="7" s="1"/>
  <c r="AR87" i="5"/>
  <c r="AR87" i="7" s="1"/>
  <c r="AQ87" i="5"/>
  <c r="AQ87" i="7" s="1"/>
  <c r="AP87" i="5"/>
  <c r="AP87" i="7" s="1"/>
  <c r="AO87" i="5"/>
  <c r="AO87" i="7" s="1"/>
  <c r="AN87" i="5"/>
  <c r="AN87" i="7" s="1"/>
  <c r="AM87" i="5"/>
  <c r="AM87" i="7" s="1"/>
  <c r="AL87" i="5"/>
  <c r="AL87" i="7" s="1"/>
  <c r="AK87" i="5"/>
  <c r="AK87" i="7" s="1"/>
  <c r="AJ87" i="5"/>
  <c r="AJ87" i="7" s="1"/>
  <c r="AI87" i="5"/>
  <c r="AI87" i="7" s="1"/>
  <c r="AH87" i="5"/>
  <c r="AH87" i="7" s="1"/>
  <c r="AG87" i="5"/>
  <c r="AG87" i="7" s="1"/>
  <c r="AF87" i="5"/>
  <c r="AF87" i="7" s="1"/>
  <c r="AE87" i="5"/>
  <c r="AE87" i="7" s="1"/>
  <c r="AD87" i="5"/>
  <c r="AD87" i="7" s="1"/>
  <c r="AC87" i="5"/>
  <c r="AC87" i="7" s="1"/>
  <c r="AB87" i="5"/>
  <c r="AB87" i="7" s="1"/>
  <c r="AA87" i="5"/>
  <c r="AA87" i="7" s="1"/>
  <c r="Z87" i="5"/>
  <c r="Z87" i="7" s="1"/>
  <c r="Y87" i="5"/>
  <c r="Y87" i="7" s="1"/>
  <c r="X87" i="5"/>
  <c r="X87" i="7" s="1"/>
  <c r="W87" i="5"/>
  <c r="W87" i="7" s="1"/>
  <c r="V87" i="5"/>
  <c r="V87" i="7" s="1"/>
  <c r="U87" i="5"/>
  <c r="U87" i="7" s="1"/>
  <c r="T87" i="5"/>
  <c r="T87" i="7" s="1"/>
  <c r="S87" i="5"/>
  <c r="S87" i="7" s="1"/>
  <c r="R87" i="5"/>
  <c r="R87" i="7" s="1"/>
  <c r="Q87" i="5"/>
  <c r="Q87" i="7" s="1"/>
  <c r="P87" i="5"/>
  <c r="P87" i="7" s="1"/>
  <c r="O87" i="5"/>
  <c r="O87" i="7" s="1"/>
  <c r="N87" i="5"/>
  <c r="N87" i="7" s="1"/>
  <c r="M87" i="5"/>
  <c r="M87" i="7" s="1"/>
  <c r="L87" i="5"/>
  <c r="L87" i="7" s="1"/>
  <c r="K87" i="5"/>
  <c r="K87" i="7" s="1"/>
  <c r="J87" i="5"/>
  <c r="J87" i="7" s="1"/>
  <c r="I87" i="5"/>
  <c r="I87" i="7" s="1"/>
  <c r="H87" i="5"/>
  <c r="H87" i="7" s="1"/>
  <c r="G87" i="5"/>
  <c r="G87" i="7" s="1"/>
  <c r="F87" i="5"/>
  <c r="F87" i="7" s="1"/>
  <c r="E87" i="5"/>
  <c r="E87" i="7" s="1"/>
  <c r="D87" i="5"/>
  <c r="D87" i="7" s="1"/>
  <c r="C87" i="5"/>
  <c r="C87" i="7" s="1"/>
  <c r="B87" i="5"/>
  <c r="B87" i="7" s="1"/>
  <c r="DB86" i="5"/>
  <c r="DB86" i="7" s="1"/>
  <c r="DA86" i="5"/>
  <c r="DA86" i="7" s="1"/>
  <c r="CZ86" i="5"/>
  <c r="CZ86" i="7" s="1"/>
  <c r="CY86" i="5"/>
  <c r="CY86" i="7" s="1"/>
  <c r="CX86" i="5"/>
  <c r="CX86" i="7" s="1"/>
  <c r="CW86" i="5"/>
  <c r="CW86" i="7" s="1"/>
  <c r="CV86" i="5"/>
  <c r="CV86" i="7" s="1"/>
  <c r="CU86" i="5"/>
  <c r="CU86" i="7" s="1"/>
  <c r="CT86" i="5"/>
  <c r="CT86" i="7" s="1"/>
  <c r="CS86" i="5"/>
  <c r="CS86" i="7" s="1"/>
  <c r="CR86" i="5"/>
  <c r="CR86" i="7" s="1"/>
  <c r="CQ86" i="5"/>
  <c r="CQ86" i="7" s="1"/>
  <c r="CP86" i="5"/>
  <c r="CP86" i="7" s="1"/>
  <c r="CO86" i="5"/>
  <c r="CO86" i="7" s="1"/>
  <c r="CN86" i="5"/>
  <c r="CN86" i="7" s="1"/>
  <c r="CM86" i="5"/>
  <c r="CM86" i="7" s="1"/>
  <c r="CL86" i="5"/>
  <c r="CL86" i="7" s="1"/>
  <c r="CK86" i="5"/>
  <c r="CK86" i="7" s="1"/>
  <c r="CJ86" i="5"/>
  <c r="CJ86" i="7" s="1"/>
  <c r="CI86" i="5"/>
  <c r="CI86" i="7" s="1"/>
  <c r="CH86" i="5"/>
  <c r="CH86" i="7" s="1"/>
  <c r="CG86" i="5"/>
  <c r="CG86" i="7" s="1"/>
  <c r="CF86" i="5"/>
  <c r="CF86" i="7" s="1"/>
  <c r="CE86" i="5"/>
  <c r="CE86" i="7" s="1"/>
  <c r="CD86" i="5"/>
  <c r="CD86" i="7" s="1"/>
  <c r="CC86" i="5"/>
  <c r="CC86" i="7" s="1"/>
  <c r="CB86" i="5"/>
  <c r="CB86" i="7" s="1"/>
  <c r="CA86" i="5"/>
  <c r="CA86" i="7" s="1"/>
  <c r="BZ86" i="5"/>
  <c r="BZ86" i="7" s="1"/>
  <c r="BY86" i="5"/>
  <c r="BY86" i="7" s="1"/>
  <c r="BX86" i="5"/>
  <c r="BX86" i="7" s="1"/>
  <c r="BW86" i="5"/>
  <c r="BW86" i="7" s="1"/>
  <c r="BV86" i="5"/>
  <c r="BV86" i="7" s="1"/>
  <c r="BU86" i="5"/>
  <c r="BU86" i="7" s="1"/>
  <c r="BT86" i="5"/>
  <c r="BT86" i="7" s="1"/>
  <c r="BS86" i="5"/>
  <c r="BS86" i="7" s="1"/>
  <c r="BR86" i="5"/>
  <c r="BR86" i="7" s="1"/>
  <c r="BQ86" i="5"/>
  <c r="BQ86" i="7" s="1"/>
  <c r="BP86" i="5"/>
  <c r="BP86" i="7" s="1"/>
  <c r="BO86" i="5"/>
  <c r="BO86" i="7" s="1"/>
  <c r="BN86" i="5"/>
  <c r="BN86" i="7" s="1"/>
  <c r="BM86" i="5"/>
  <c r="BM86" i="7" s="1"/>
  <c r="BL86" i="5"/>
  <c r="BL86" i="7" s="1"/>
  <c r="BK86" i="5"/>
  <c r="BK86" i="7" s="1"/>
  <c r="BJ86" i="5"/>
  <c r="BJ86" i="7" s="1"/>
  <c r="BI86" i="5"/>
  <c r="BI86" i="7" s="1"/>
  <c r="BH86" i="5"/>
  <c r="BH86" i="7" s="1"/>
  <c r="BG86" i="5"/>
  <c r="BG86" i="7" s="1"/>
  <c r="BF86" i="5"/>
  <c r="BF86" i="7" s="1"/>
  <c r="BE86" i="5"/>
  <c r="BE86" i="7" s="1"/>
  <c r="BD86" i="5"/>
  <c r="BD86" i="7" s="1"/>
  <c r="BC86" i="5"/>
  <c r="BC86" i="7" s="1"/>
  <c r="BB86" i="5"/>
  <c r="BB86" i="7" s="1"/>
  <c r="BA86" i="5"/>
  <c r="BA86" i="7" s="1"/>
  <c r="AZ86" i="5"/>
  <c r="AZ86" i="7" s="1"/>
  <c r="AY86" i="5"/>
  <c r="AY86" i="7" s="1"/>
  <c r="AX86" i="5"/>
  <c r="AX86" i="7" s="1"/>
  <c r="AW86" i="5"/>
  <c r="AW86" i="7" s="1"/>
  <c r="AV86" i="5"/>
  <c r="AV86" i="7" s="1"/>
  <c r="AU86" i="5"/>
  <c r="AU86" i="7" s="1"/>
  <c r="AT86" i="5"/>
  <c r="AT86" i="7" s="1"/>
  <c r="AS86" i="5"/>
  <c r="AS86" i="7" s="1"/>
  <c r="AR86" i="5"/>
  <c r="AR86" i="7" s="1"/>
  <c r="AQ86" i="5"/>
  <c r="AQ86" i="7" s="1"/>
  <c r="AP86" i="5"/>
  <c r="AP86" i="7" s="1"/>
  <c r="AO86" i="5"/>
  <c r="AO86" i="7" s="1"/>
  <c r="AN86" i="5"/>
  <c r="AN86" i="7" s="1"/>
  <c r="AM86" i="5"/>
  <c r="AM86" i="7" s="1"/>
  <c r="AL86" i="5"/>
  <c r="AL86" i="7" s="1"/>
  <c r="AK86" i="5"/>
  <c r="AK86" i="7" s="1"/>
  <c r="AJ86" i="5"/>
  <c r="AJ86" i="7" s="1"/>
  <c r="AI86" i="5"/>
  <c r="AI86" i="7" s="1"/>
  <c r="AH86" i="5"/>
  <c r="AH86" i="7" s="1"/>
  <c r="AG86" i="5"/>
  <c r="AG86" i="7" s="1"/>
  <c r="AF86" i="5"/>
  <c r="AF86" i="7" s="1"/>
  <c r="AE86" i="5"/>
  <c r="AE86" i="7" s="1"/>
  <c r="AD86" i="5"/>
  <c r="AD86" i="7" s="1"/>
  <c r="AC86" i="5"/>
  <c r="AC86" i="7" s="1"/>
  <c r="AB86" i="5"/>
  <c r="AB86" i="7" s="1"/>
  <c r="AA86" i="5"/>
  <c r="AA86" i="7" s="1"/>
  <c r="Z86" i="5"/>
  <c r="Z86" i="7" s="1"/>
  <c r="Y86" i="5"/>
  <c r="Y86" i="7" s="1"/>
  <c r="X86" i="5"/>
  <c r="X86" i="7" s="1"/>
  <c r="W86" i="5"/>
  <c r="W86" i="7" s="1"/>
  <c r="V86" i="5"/>
  <c r="V86" i="7" s="1"/>
  <c r="U86" i="5"/>
  <c r="U86" i="7" s="1"/>
  <c r="T86" i="5"/>
  <c r="T86" i="7" s="1"/>
  <c r="S86" i="5"/>
  <c r="S86" i="7" s="1"/>
  <c r="R86" i="5"/>
  <c r="R86" i="7" s="1"/>
  <c r="Q86" i="5"/>
  <c r="Q86" i="7" s="1"/>
  <c r="P86" i="5"/>
  <c r="P86" i="7" s="1"/>
  <c r="O86" i="5"/>
  <c r="O86" i="7" s="1"/>
  <c r="N86" i="5"/>
  <c r="N86" i="7" s="1"/>
  <c r="M86" i="5"/>
  <c r="M86" i="7" s="1"/>
  <c r="L86" i="5"/>
  <c r="L86" i="7" s="1"/>
  <c r="K86" i="5"/>
  <c r="K86" i="7" s="1"/>
  <c r="J86" i="5"/>
  <c r="J86" i="7" s="1"/>
  <c r="I86" i="5"/>
  <c r="I86" i="7" s="1"/>
  <c r="H86" i="5"/>
  <c r="H86" i="7" s="1"/>
  <c r="G86" i="5"/>
  <c r="G86" i="7" s="1"/>
  <c r="F86" i="5"/>
  <c r="F86" i="7" s="1"/>
  <c r="E86" i="5"/>
  <c r="E86" i="7" s="1"/>
  <c r="D86" i="5"/>
  <c r="D86" i="7" s="1"/>
  <c r="C86" i="5"/>
  <c r="C86" i="7" s="1"/>
  <c r="B86" i="5"/>
  <c r="B86" i="7" s="1"/>
  <c r="DB85" i="5"/>
  <c r="DB85" i="7" s="1"/>
  <c r="DA85" i="5"/>
  <c r="DA85" i="7" s="1"/>
  <c r="CZ85" i="5"/>
  <c r="CZ85" i="7" s="1"/>
  <c r="CY85" i="5"/>
  <c r="CY85" i="7" s="1"/>
  <c r="CX85" i="5"/>
  <c r="CX85" i="7" s="1"/>
  <c r="CW85" i="5"/>
  <c r="CW85" i="7" s="1"/>
  <c r="CV85" i="5"/>
  <c r="CV85" i="7" s="1"/>
  <c r="CU85" i="5"/>
  <c r="CU85" i="7" s="1"/>
  <c r="CT85" i="5"/>
  <c r="CT85" i="7" s="1"/>
  <c r="CS85" i="5"/>
  <c r="CS85" i="7" s="1"/>
  <c r="CR85" i="5"/>
  <c r="CR85" i="7" s="1"/>
  <c r="CQ85" i="5"/>
  <c r="CQ85" i="7" s="1"/>
  <c r="CP85" i="5"/>
  <c r="CP85" i="7" s="1"/>
  <c r="CO85" i="5"/>
  <c r="CO85" i="7" s="1"/>
  <c r="CN85" i="5"/>
  <c r="CN85" i="7" s="1"/>
  <c r="CM85" i="5"/>
  <c r="CM85" i="7" s="1"/>
  <c r="CL85" i="5"/>
  <c r="CL85" i="7" s="1"/>
  <c r="CK85" i="5"/>
  <c r="CK85" i="7" s="1"/>
  <c r="CJ85" i="5"/>
  <c r="CJ85" i="7" s="1"/>
  <c r="CI85" i="5"/>
  <c r="CI85" i="7" s="1"/>
  <c r="CH85" i="5"/>
  <c r="CH85" i="7" s="1"/>
  <c r="CG85" i="5"/>
  <c r="CG85" i="7" s="1"/>
  <c r="CF85" i="5"/>
  <c r="CF85" i="7" s="1"/>
  <c r="CE85" i="5"/>
  <c r="CE85" i="7" s="1"/>
  <c r="CD85" i="5"/>
  <c r="CD85" i="7" s="1"/>
  <c r="CC85" i="5"/>
  <c r="CC85" i="7" s="1"/>
  <c r="CB85" i="5"/>
  <c r="CB85" i="7" s="1"/>
  <c r="CA85" i="5"/>
  <c r="CA85" i="7" s="1"/>
  <c r="BZ85" i="5"/>
  <c r="BZ85" i="7" s="1"/>
  <c r="BY85" i="5"/>
  <c r="BY85" i="7" s="1"/>
  <c r="BX85" i="5"/>
  <c r="BX85" i="7" s="1"/>
  <c r="BW85" i="5"/>
  <c r="BW85" i="7" s="1"/>
  <c r="BV85" i="5"/>
  <c r="BV85" i="7" s="1"/>
  <c r="BU85" i="5"/>
  <c r="BU85" i="7" s="1"/>
  <c r="BT85" i="5"/>
  <c r="BT85" i="7" s="1"/>
  <c r="BS85" i="5"/>
  <c r="BS85" i="7" s="1"/>
  <c r="BR85" i="5"/>
  <c r="BR85" i="7" s="1"/>
  <c r="BQ85" i="5"/>
  <c r="BQ85" i="7" s="1"/>
  <c r="BP85" i="5"/>
  <c r="BP85" i="7" s="1"/>
  <c r="BO85" i="5"/>
  <c r="BO85" i="7" s="1"/>
  <c r="BN85" i="5"/>
  <c r="BN85" i="7" s="1"/>
  <c r="BM85" i="5"/>
  <c r="BM85" i="7" s="1"/>
  <c r="BL85" i="5"/>
  <c r="BL85" i="7" s="1"/>
  <c r="BK85" i="5"/>
  <c r="BK85" i="7" s="1"/>
  <c r="BJ85" i="5"/>
  <c r="BJ85" i="7" s="1"/>
  <c r="BI85" i="5"/>
  <c r="BI85" i="7" s="1"/>
  <c r="BH85" i="5"/>
  <c r="BH85" i="7" s="1"/>
  <c r="BG85" i="5"/>
  <c r="BG85" i="7" s="1"/>
  <c r="BF85" i="5"/>
  <c r="BF85" i="7" s="1"/>
  <c r="BE85" i="5"/>
  <c r="BE85" i="7" s="1"/>
  <c r="BD85" i="5"/>
  <c r="BD85" i="7" s="1"/>
  <c r="BC85" i="5"/>
  <c r="BC85" i="7" s="1"/>
  <c r="BB85" i="5"/>
  <c r="BB85" i="7" s="1"/>
  <c r="BA85" i="5"/>
  <c r="BA85" i="7" s="1"/>
  <c r="AZ85" i="5"/>
  <c r="AZ85" i="7" s="1"/>
  <c r="AY85" i="5"/>
  <c r="AY85" i="7" s="1"/>
  <c r="AX85" i="5"/>
  <c r="AX85" i="7" s="1"/>
  <c r="AW85" i="5"/>
  <c r="AW85" i="7" s="1"/>
  <c r="AV85" i="5"/>
  <c r="AV85" i="7" s="1"/>
  <c r="AU85" i="5"/>
  <c r="AU85" i="7" s="1"/>
  <c r="AT85" i="5"/>
  <c r="AT85" i="7" s="1"/>
  <c r="AS85" i="5"/>
  <c r="AS85" i="7" s="1"/>
  <c r="AR85" i="5"/>
  <c r="AR85" i="7" s="1"/>
  <c r="AQ85" i="5"/>
  <c r="AQ85" i="7" s="1"/>
  <c r="AP85" i="5"/>
  <c r="AP85" i="7" s="1"/>
  <c r="AO85" i="5"/>
  <c r="AO85" i="7" s="1"/>
  <c r="AN85" i="5"/>
  <c r="AN85" i="7" s="1"/>
  <c r="AM85" i="5"/>
  <c r="AM85" i="7" s="1"/>
  <c r="AL85" i="5"/>
  <c r="AL85" i="7" s="1"/>
  <c r="AK85" i="5"/>
  <c r="AK85" i="7" s="1"/>
  <c r="AJ85" i="5"/>
  <c r="AJ85" i="7" s="1"/>
  <c r="AI85" i="5"/>
  <c r="AI85" i="7" s="1"/>
  <c r="AH85" i="5"/>
  <c r="AH85" i="7" s="1"/>
  <c r="AG85" i="5"/>
  <c r="AG85" i="7" s="1"/>
  <c r="AF85" i="5"/>
  <c r="AF85" i="7" s="1"/>
  <c r="AE85" i="5"/>
  <c r="AE85" i="7" s="1"/>
  <c r="AD85" i="5"/>
  <c r="AD85" i="7" s="1"/>
  <c r="AC85" i="5"/>
  <c r="AC85" i="7" s="1"/>
  <c r="AB85" i="5"/>
  <c r="AB85" i="7" s="1"/>
  <c r="AA85" i="5"/>
  <c r="AA85" i="7" s="1"/>
  <c r="Z85" i="5"/>
  <c r="Z85" i="7" s="1"/>
  <c r="Y85" i="5"/>
  <c r="Y85" i="7" s="1"/>
  <c r="X85" i="5"/>
  <c r="X85" i="7" s="1"/>
  <c r="W85" i="5"/>
  <c r="W85" i="7" s="1"/>
  <c r="V85" i="5"/>
  <c r="V85" i="7" s="1"/>
  <c r="U85" i="5"/>
  <c r="U85" i="7" s="1"/>
  <c r="T85" i="5"/>
  <c r="T85" i="7" s="1"/>
  <c r="S85" i="5"/>
  <c r="S85" i="7" s="1"/>
  <c r="R85" i="5"/>
  <c r="R85" i="7" s="1"/>
  <c r="Q85" i="5"/>
  <c r="Q85" i="7" s="1"/>
  <c r="P85" i="5"/>
  <c r="P85" i="7" s="1"/>
  <c r="O85" i="5"/>
  <c r="O85" i="7" s="1"/>
  <c r="N85" i="5"/>
  <c r="N85" i="7" s="1"/>
  <c r="M85" i="5"/>
  <c r="M85" i="7" s="1"/>
  <c r="L85" i="5"/>
  <c r="L85" i="7" s="1"/>
  <c r="K85" i="5"/>
  <c r="K85" i="7" s="1"/>
  <c r="J85" i="5"/>
  <c r="J85" i="7" s="1"/>
  <c r="I85" i="5"/>
  <c r="I85" i="7" s="1"/>
  <c r="H85" i="5"/>
  <c r="H85" i="7" s="1"/>
  <c r="G85" i="5"/>
  <c r="G85" i="7" s="1"/>
  <c r="F85" i="5"/>
  <c r="F85" i="7" s="1"/>
  <c r="E85" i="5"/>
  <c r="E85" i="7" s="1"/>
  <c r="D85" i="5"/>
  <c r="D85" i="7" s="1"/>
  <c r="C85" i="5"/>
  <c r="C85" i="7" s="1"/>
  <c r="B85" i="5"/>
  <c r="B85" i="7" s="1"/>
  <c r="DB84" i="5"/>
  <c r="DB84" i="7" s="1"/>
  <c r="DA84" i="5"/>
  <c r="DA84" i="7" s="1"/>
  <c r="CZ84" i="5"/>
  <c r="CZ84" i="7" s="1"/>
  <c r="CY84" i="5"/>
  <c r="CY84" i="7" s="1"/>
  <c r="CX84" i="5"/>
  <c r="CX84" i="7" s="1"/>
  <c r="CW84" i="5"/>
  <c r="CW84" i="7" s="1"/>
  <c r="CV84" i="5"/>
  <c r="CV84" i="7" s="1"/>
  <c r="CU84" i="5"/>
  <c r="CU84" i="7" s="1"/>
  <c r="CT84" i="5"/>
  <c r="CT84" i="7" s="1"/>
  <c r="CS84" i="5"/>
  <c r="CS84" i="7" s="1"/>
  <c r="CR84" i="5"/>
  <c r="CR84" i="7" s="1"/>
  <c r="CQ84" i="5"/>
  <c r="CQ84" i="7" s="1"/>
  <c r="CP84" i="5"/>
  <c r="CP84" i="7" s="1"/>
  <c r="CO84" i="5"/>
  <c r="CO84" i="7" s="1"/>
  <c r="CN84" i="5"/>
  <c r="CN84" i="7" s="1"/>
  <c r="CM84" i="5"/>
  <c r="CM84" i="7" s="1"/>
  <c r="CL84" i="5"/>
  <c r="CL84" i="7" s="1"/>
  <c r="CK84" i="5"/>
  <c r="CK84" i="7" s="1"/>
  <c r="CJ84" i="5"/>
  <c r="CJ84" i="7" s="1"/>
  <c r="CI84" i="5"/>
  <c r="CI84" i="7" s="1"/>
  <c r="CH84" i="5"/>
  <c r="CH84" i="7" s="1"/>
  <c r="CG84" i="5"/>
  <c r="CG84" i="7" s="1"/>
  <c r="CF84" i="5"/>
  <c r="CF84" i="7" s="1"/>
  <c r="CE84" i="5"/>
  <c r="CE84" i="7" s="1"/>
  <c r="CD84" i="5"/>
  <c r="CD84" i="7" s="1"/>
  <c r="CC84" i="5"/>
  <c r="CC84" i="7" s="1"/>
  <c r="CB84" i="5"/>
  <c r="CB84" i="7" s="1"/>
  <c r="CA84" i="5"/>
  <c r="CA84" i="7" s="1"/>
  <c r="BZ84" i="5"/>
  <c r="BZ84" i="7" s="1"/>
  <c r="BY84" i="5"/>
  <c r="BY84" i="7" s="1"/>
  <c r="BX84" i="5"/>
  <c r="BX84" i="7" s="1"/>
  <c r="BW84" i="5"/>
  <c r="BW84" i="7" s="1"/>
  <c r="BV84" i="5"/>
  <c r="BV84" i="7" s="1"/>
  <c r="BU84" i="5"/>
  <c r="BU84" i="7" s="1"/>
  <c r="BT84" i="5"/>
  <c r="BT84" i="7" s="1"/>
  <c r="BS84" i="5"/>
  <c r="BS84" i="7" s="1"/>
  <c r="BR84" i="5"/>
  <c r="BR84" i="7" s="1"/>
  <c r="BQ84" i="5"/>
  <c r="BQ84" i="7" s="1"/>
  <c r="BP84" i="5"/>
  <c r="BP84" i="7" s="1"/>
  <c r="BO84" i="5"/>
  <c r="BO84" i="7" s="1"/>
  <c r="BN84" i="5"/>
  <c r="BN84" i="7" s="1"/>
  <c r="BM84" i="5"/>
  <c r="BM84" i="7" s="1"/>
  <c r="BL84" i="5"/>
  <c r="BL84" i="7" s="1"/>
  <c r="BK84" i="5"/>
  <c r="BK84" i="7" s="1"/>
  <c r="BJ84" i="5"/>
  <c r="BJ84" i="7" s="1"/>
  <c r="BI84" i="5"/>
  <c r="BI84" i="7" s="1"/>
  <c r="BH84" i="5"/>
  <c r="BH84" i="7" s="1"/>
  <c r="BG84" i="5"/>
  <c r="BG84" i="7" s="1"/>
  <c r="BF84" i="5"/>
  <c r="BF84" i="7" s="1"/>
  <c r="BE84" i="5"/>
  <c r="BE84" i="7" s="1"/>
  <c r="BD84" i="5"/>
  <c r="BD84" i="7" s="1"/>
  <c r="BC84" i="5"/>
  <c r="BC84" i="7" s="1"/>
  <c r="BB84" i="5"/>
  <c r="BB84" i="7" s="1"/>
  <c r="BA84" i="5"/>
  <c r="BA84" i="7" s="1"/>
  <c r="AZ84" i="5"/>
  <c r="AZ84" i="7" s="1"/>
  <c r="AY84" i="5"/>
  <c r="AY84" i="7" s="1"/>
  <c r="AX84" i="5"/>
  <c r="AX84" i="7" s="1"/>
  <c r="AW84" i="5"/>
  <c r="AW84" i="7" s="1"/>
  <c r="AV84" i="5"/>
  <c r="AV84" i="7" s="1"/>
  <c r="AU84" i="5"/>
  <c r="AU84" i="7" s="1"/>
  <c r="AT84" i="5"/>
  <c r="AT84" i="7" s="1"/>
  <c r="AS84" i="5"/>
  <c r="AS84" i="7" s="1"/>
  <c r="AR84" i="5"/>
  <c r="AR84" i="7" s="1"/>
  <c r="AQ84" i="5"/>
  <c r="AQ84" i="7" s="1"/>
  <c r="AP84" i="5"/>
  <c r="AP84" i="7" s="1"/>
  <c r="AO84" i="5"/>
  <c r="AO84" i="7" s="1"/>
  <c r="AN84" i="5"/>
  <c r="AN84" i="7" s="1"/>
  <c r="AM84" i="5"/>
  <c r="AM84" i="7" s="1"/>
  <c r="AL84" i="5"/>
  <c r="AL84" i="7" s="1"/>
  <c r="AK84" i="5"/>
  <c r="AK84" i="7" s="1"/>
  <c r="AJ84" i="5"/>
  <c r="AJ84" i="7" s="1"/>
  <c r="AI84" i="5"/>
  <c r="AI84" i="7" s="1"/>
  <c r="AH84" i="5"/>
  <c r="AH84" i="7" s="1"/>
  <c r="AG84" i="5"/>
  <c r="AG84" i="7" s="1"/>
  <c r="AF84" i="5"/>
  <c r="AF84" i="7" s="1"/>
  <c r="AE84" i="5"/>
  <c r="AE84" i="7" s="1"/>
  <c r="AD84" i="5"/>
  <c r="AD84" i="7" s="1"/>
  <c r="AC84" i="5"/>
  <c r="AC84" i="7" s="1"/>
  <c r="AB84" i="5"/>
  <c r="AB84" i="7" s="1"/>
  <c r="AA84" i="5"/>
  <c r="AA84" i="7" s="1"/>
  <c r="Z84" i="5"/>
  <c r="Z84" i="7" s="1"/>
  <c r="Y84" i="5"/>
  <c r="Y84" i="7" s="1"/>
  <c r="X84" i="5"/>
  <c r="X84" i="7" s="1"/>
  <c r="W84" i="5"/>
  <c r="W84" i="7" s="1"/>
  <c r="V84" i="5"/>
  <c r="V84" i="7" s="1"/>
  <c r="U84" i="5"/>
  <c r="U84" i="7" s="1"/>
  <c r="T84" i="5"/>
  <c r="T84" i="7" s="1"/>
  <c r="S84" i="5"/>
  <c r="S84" i="7" s="1"/>
  <c r="R84" i="5"/>
  <c r="R84" i="7" s="1"/>
  <c r="Q84" i="5"/>
  <c r="Q84" i="7" s="1"/>
  <c r="P84" i="5"/>
  <c r="P84" i="7" s="1"/>
  <c r="O84" i="5"/>
  <c r="O84" i="7" s="1"/>
  <c r="N84" i="5"/>
  <c r="N84" i="7" s="1"/>
  <c r="M84" i="5"/>
  <c r="M84" i="7" s="1"/>
  <c r="L84" i="5"/>
  <c r="L84" i="7" s="1"/>
  <c r="K84" i="5"/>
  <c r="K84" i="7" s="1"/>
  <c r="J84" i="5"/>
  <c r="J84" i="7" s="1"/>
  <c r="I84" i="5"/>
  <c r="I84" i="7" s="1"/>
  <c r="H84" i="5"/>
  <c r="H84" i="7" s="1"/>
  <c r="G84" i="5"/>
  <c r="G84" i="7" s="1"/>
  <c r="F84" i="5"/>
  <c r="F84" i="7" s="1"/>
  <c r="E84" i="5"/>
  <c r="E84" i="7" s="1"/>
  <c r="D84" i="5"/>
  <c r="D84" i="7" s="1"/>
  <c r="C84" i="5"/>
  <c r="C84" i="7" s="1"/>
  <c r="B84" i="5"/>
  <c r="B84" i="7" s="1"/>
  <c r="DB83" i="5"/>
  <c r="DB83" i="7" s="1"/>
  <c r="DA83" i="5"/>
  <c r="DA83" i="7" s="1"/>
  <c r="CZ83" i="5"/>
  <c r="CZ83" i="7" s="1"/>
  <c r="CY83" i="5"/>
  <c r="CY83" i="7" s="1"/>
  <c r="CX83" i="5"/>
  <c r="CX83" i="7" s="1"/>
  <c r="CW83" i="5"/>
  <c r="CW83" i="7" s="1"/>
  <c r="CV83" i="5"/>
  <c r="CV83" i="7" s="1"/>
  <c r="CU83" i="5"/>
  <c r="CU83" i="7" s="1"/>
  <c r="CT83" i="5"/>
  <c r="CT83" i="7" s="1"/>
  <c r="CS83" i="5"/>
  <c r="CS83" i="7" s="1"/>
  <c r="CR83" i="5"/>
  <c r="CR83" i="7" s="1"/>
  <c r="CQ83" i="5"/>
  <c r="CQ83" i="7" s="1"/>
  <c r="CP83" i="5"/>
  <c r="CP83" i="7" s="1"/>
  <c r="CO83" i="5"/>
  <c r="CO83" i="7" s="1"/>
  <c r="CN83" i="5"/>
  <c r="CN83" i="7" s="1"/>
  <c r="CM83" i="5"/>
  <c r="CM83" i="7" s="1"/>
  <c r="CL83" i="5"/>
  <c r="CL83" i="7" s="1"/>
  <c r="CK83" i="5"/>
  <c r="CK83" i="7" s="1"/>
  <c r="CJ83" i="5"/>
  <c r="CJ83" i="7" s="1"/>
  <c r="CI83" i="5"/>
  <c r="CI83" i="7" s="1"/>
  <c r="CH83" i="5"/>
  <c r="CH83" i="7" s="1"/>
  <c r="CG83" i="5"/>
  <c r="CG83" i="7" s="1"/>
  <c r="CF83" i="5"/>
  <c r="CF83" i="7" s="1"/>
  <c r="CE83" i="5"/>
  <c r="CE83" i="7" s="1"/>
  <c r="CD83" i="5"/>
  <c r="CD83" i="7" s="1"/>
  <c r="CC83" i="5"/>
  <c r="CC83" i="7" s="1"/>
  <c r="CB83" i="5"/>
  <c r="CB83" i="7" s="1"/>
  <c r="CA83" i="5"/>
  <c r="CA83" i="7" s="1"/>
  <c r="BZ83" i="5"/>
  <c r="BZ83" i="7" s="1"/>
  <c r="BY83" i="5"/>
  <c r="BY83" i="7" s="1"/>
  <c r="BX83" i="5"/>
  <c r="BX83" i="7" s="1"/>
  <c r="BW83" i="5"/>
  <c r="BW83" i="7" s="1"/>
  <c r="BV83" i="5"/>
  <c r="BV83" i="7" s="1"/>
  <c r="BU83" i="5"/>
  <c r="BU83" i="7" s="1"/>
  <c r="BT83" i="5"/>
  <c r="BT83" i="7" s="1"/>
  <c r="BS83" i="5"/>
  <c r="BS83" i="7" s="1"/>
  <c r="BR83" i="5"/>
  <c r="BR83" i="7" s="1"/>
  <c r="BQ83" i="5"/>
  <c r="BQ83" i="7" s="1"/>
  <c r="BP83" i="5"/>
  <c r="BP83" i="7" s="1"/>
  <c r="BO83" i="5"/>
  <c r="BO83" i="7" s="1"/>
  <c r="BN83" i="5"/>
  <c r="BN83" i="7" s="1"/>
  <c r="BM83" i="5"/>
  <c r="BM83" i="7" s="1"/>
  <c r="BL83" i="5"/>
  <c r="BL83" i="7" s="1"/>
  <c r="BK83" i="5"/>
  <c r="BK83" i="7" s="1"/>
  <c r="BJ83" i="5"/>
  <c r="BJ83" i="7" s="1"/>
  <c r="BI83" i="5"/>
  <c r="BI83" i="7" s="1"/>
  <c r="BH83" i="5"/>
  <c r="BH83" i="7" s="1"/>
  <c r="BG83" i="5"/>
  <c r="BG83" i="7" s="1"/>
  <c r="BF83" i="5"/>
  <c r="BF83" i="7" s="1"/>
  <c r="BE83" i="5"/>
  <c r="BE83" i="7" s="1"/>
  <c r="BD83" i="5"/>
  <c r="BD83" i="7" s="1"/>
  <c r="BC83" i="5"/>
  <c r="BC83" i="7" s="1"/>
  <c r="BB83" i="5"/>
  <c r="BB83" i="7" s="1"/>
  <c r="BA83" i="5"/>
  <c r="BA83" i="7" s="1"/>
  <c r="AZ83" i="5"/>
  <c r="AZ83" i="7" s="1"/>
  <c r="AY83" i="5"/>
  <c r="AY83" i="7" s="1"/>
  <c r="AX83" i="5"/>
  <c r="AX83" i="7" s="1"/>
  <c r="AW83" i="5"/>
  <c r="AW83" i="7" s="1"/>
  <c r="AV83" i="5"/>
  <c r="AV83" i="7" s="1"/>
  <c r="AU83" i="5"/>
  <c r="AU83" i="7" s="1"/>
  <c r="AT83" i="5"/>
  <c r="AT83" i="7" s="1"/>
  <c r="AS83" i="5"/>
  <c r="AS83" i="7" s="1"/>
  <c r="AR83" i="5"/>
  <c r="AR83" i="7" s="1"/>
  <c r="AQ83" i="5"/>
  <c r="AQ83" i="7" s="1"/>
  <c r="AP83" i="5"/>
  <c r="AP83" i="7" s="1"/>
  <c r="AO83" i="5"/>
  <c r="AO83" i="7" s="1"/>
  <c r="AN83" i="5"/>
  <c r="AN83" i="7" s="1"/>
  <c r="AM83" i="5"/>
  <c r="AM83" i="7" s="1"/>
  <c r="AL83" i="5"/>
  <c r="AL83" i="7" s="1"/>
  <c r="AK83" i="5"/>
  <c r="AK83" i="7" s="1"/>
  <c r="AJ83" i="5"/>
  <c r="AJ83" i="7" s="1"/>
  <c r="AI83" i="5"/>
  <c r="AI83" i="7" s="1"/>
  <c r="AH83" i="5"/>
  <c r="AH83" i="7" s="1"/>
  <c r="AG83" i="5"/>
  <c r="AG83" i="7" s="1"/>
  <c r="AF83" i="5"/>
  <c r="AF83" i="7" s="1"/>
  <c r="AE83" i="5"/>
  <c r="AE83" i="7" s="1"/>
  <c r="AD83" i="5"/>
  <c r="AD83" i="7" s="1"/>
  <c r="AC83" i="5"/>
  <c r="AC83" i="7" s="1"/>
  <c r="AB83" i="5"/>
  <c r="AB83" i="7" s="1"/>
  <c r="AA83" i="5"/>
  <c r="AA83" i="7" s="1"/>
  <c r="Z83" i="5"/>
  <c r="Z83" i="7" s="1"/>
  <c r="Y83" i="5"/>
  <c r="Y83" i="7" s="1"/>
  <c r="X83" i="5"/>
  <c r="X83" i="7" s="1"/>
  <c r="W83" i="5"/>
  <c r="W83" i="7" s="1"/>
  <c r="V83" i="5"/>
  <c r="V83" i="7" s="1"/>
  <c r="U83" i="5"/>
  <c r="U83" i="7" s="1"/>
  <c r="T83" i="5"/>
  <c r="T83" i="7" s="1"/>
  <c r="S83" i="5"/>
  <c r="S83" i="7" s="1"/>
  <c r="R83" i="5"/>
  <c r="R83" i="7" s="1"/>
  <c r="Q83" i="5"/>
  <c r="Q83" i="7" s="1"/>
  <c r="P83" i="5"/>
  <c r="P83" i="7" s="1"/>
  <c r="O83" i="5"/>
  <c r="O83" i="7" s="1"/>
  <c r="N83" i="5"/>
  <c r="N83" i="7" s="1"/>
  <c r="M83" i="5"/>
  <c r="M83" i="7" s="1"/>
  <c r="L83" i="5"/>
  <c r="L83" i="7" s="1"/>
  <c r="K83" i="5"/>
  <c r="K83" i="7" s="1"/>
  <c r="J83" i="5"/>
  <c r="J83" i="7" s="1"/>
  <c r="I83" i="5"/>
  <c r="I83" i="7" s="1"/>
  <c r="H83" i="5"/>
  <c r="H83" i="7" s="1"/>
  <c r="G83" i="5"/>
  <c r="G83" i="7" s="1"/>
  <c r="F83" i="5"/>
  <c r="F83" i="7" s="1"/>
  <c r="E83" i="5"/>
  <c r="E83" i="7" s="1"/>
  <c r="D83" i="5"/>
  <c r="D83" i="7" s="1"/>
  <c r="C83" i="5"/>
  <c r="C83" i="7" s="1"/>
  <c r="B83" i="5"/>
  <c r="B83" i="7" s="1"/>
  <c r="DB82" i="5"/>
  <c r="DB82" i="7" s="1"/>
  <c r="DA82" i="5"/>
  <c r="DA82" i="7" s="1"/>
  <c r="CZ82" i="5"/>
  <c r="CZ82" i="7" s="1"/>
  <c r="CY82" i="5"/>
  <c r="CY82" i="7" s="1"/>
  <c r="CX82" i="5"/>
  <c r="CX82" i="7" s="1"/>
  <c r="CW82" i="5"/>
  <c r="CW82" i="7" s="1"/>
  <c r="CV82" i="5"/>
  <c r="CV82" i="7" s="1"/>
  <c r="CU82" i="5"/>
  <c r="CU82" i="7" s="1"/>
  <c r="CT82" i="5"/>
  <c r="CT82" i="7" s="1"/>
  <c r="CS82" i="5"/>
  <c r="CS82" i="7" s="1"/>
  <c r="CR82" i="5"/>
  <c r="CR82" i="7" s="1"/>
  <c r="CQ82" i="5"/>
  <c r="CQ82" i="7" s="1"/>
  <c r="CP82" i="5"/>
  <c r="CP82" i="7" s="1"/>
  <c r="CO82" i="5"/>
  <c r="CO82" i="7" s="1"/>
  <c r="CN82" i="5"/>
  <c r="CN82" i="7" s="1"/>
  <c r="CM82" i="5"/>
  <c r="CM82" i="7" s="1"/>
  <c r="CL82" i="5"/>
  <c r="CL82" i="7" s="1"/>
  <c r="CK82" i="5"/>
  <c r="CK82" i="7" s="1"/>
  <c r="CJ82" i="5"/>
  <c r="CJ82" i="7" s="1"/>
  <c r="CI82" i="5"/>
  <c r="CI82" i="7" s="1"/>
  <c r="CH82" i="5"/>
  <c r="CH82" i="7" s="1"/>
  <c r="CG82" i="5"/>
  <c r="CG82" i="7" s="1"/>
  <c r="CF82" i="5"/>
  <c r="CF82" i="7" s="1"/>
  <c r="CE82" i="5"/>
  <c r="CE82" i="7" s="1"/>
  <c r="CD82" i="5"/>
  <c r="CD82" i="7" s="1"/>
  <c r="CC82" i="5"/>
  <c r="CC82" i="7" s="1"/>
  <c r="CB82" i="5"/>
  <c r="CB82" i="7" s="1"/>
  <c r="CA82" i="5"/>
  <c r="CA82" i="7" s="1"/>
  <c r="BZ82" i="5"/>
  <c r="BZ82" i="7" s="1"/>
  <c r="BY82" i="5"/>
  <c r="BY82" i="7" s="1"/>
  <c r="BX82" i="5"/>
  <c r="BX82" i="7" s="1"/>
  <c r="BW82" i="5"/>
  <c r="BW82" i="7" s="1"/>
  <c r="BV82" i="5"/>
  <c r="BV82" i="7" s="1"/>
  <c r="BU82" i="5"/>
  <c r="BU82" i="7" s="1"/>
  <c r="BT82" i="5"/>
  <c r="BT82" i="7" s="1"/>
  <c r="BS82" i="5"/>
  <c r="BS82" i="7" s="1"/>
  <c r="BR82" i="5"/>
  <c r="BR82" i="7" s="1"/>
  <c r="BQ82" i="5"/>
  <c r="BQ82" i="7" s="1"/>
  <c r="BP82" i="5"/>
  <c r="BP82" i="7" s="1"/>
  <c r="BO82" i="5"/>
  <c r="BO82" i="7" s="1"/>
  <c r="BN82" i="5"/>
  <c r="BN82" i="7" s="1"/>
  <c r="BM82" i="5"/>
  <c r="BM82" i="7" s="1"/>
  <c r="BL82" i="5"/>
  <c r="BL82" i="7" s="1"/>
  <c r="BK82" i="5"/>
  <c r="BK82" i="7" s="1"/>
  <c r="BJ82" i="5"/>
  <c r="BJ82" i="7" s="1"/>
  <c r="BI82" i="5"/>
  <c r="BI82" i="7" s="1"/>
  <c r="BH82" i="5"/>
  <c r="BH82" i="7" s="1"/>
  <c r="BG82" i="5"/>
  <c r="BG82" i="7" s="1"/>
  <c r="BF82" i="5"/>
  <c r="BF82" i="7" s="1"/>
  <c r="BE82" i="5"/>
  <c r="BE82" i="7" s="1"/>
  <c r="BD82" i="5"/>
  <c r="BD82" i="7" s="1"/>
  <c r="BC82" i="5"/>
  <c r="BC82" i="7" s="1"/>
  <c r="BB82" i="5"/>
  <c r="BB82" i="7" s="1"/>
  <c r="BA82" i="5"/>
  <c r="BA82" i="7" s="1"/>
  <c r="AZ82" i="5"/>
  <c r="AZ82" i="7" s="1"/>
  <c r="AY82" i="5"/>
  <c r="AY82" i="7" s="1"/>
  <c r="AX82" i="5"/>
  <c r="AX82" i="7" s="1"/>
  <c r="AW82" i="5"/>
  <c r="AW82" i="7" s="1"/>
  <c r="AV82" i="5"/>
  <c r="AV82" i="7" s="1"/>
  <c r="AU82" i="5"/>
  <c r="AU82" i="7" s="1"/>
  <c r="AT82" i="5"/>
  <c r="AT82" i="7" s="1"/>
  <c r="AS82" i="5"/>
  <c r="AS82" i="7" s="1"/>
  <c r="AR82" i="5"/>
  <c r="AR82" i="7" s="1"/>
  <c r="AQ82" i="5"/>
  <c r="AQ82" i="7" s="1"/>
  <c r="AP82" i="5"/>
  <c r="AP82" i="7" s="1"/>
  <c r="AO82" i="5"/>
  <c r="AO82" i="7" s="1"/>
  <c r="AN82" i="5"/>
  <c r="AN82" i="7" s="1"/>
  <c r="AM82" i="5"/>
  <c r="AM82" i="7" s="1"/>
  <c r="AL82" i="5"/>
  <c r="AL82" i="7" s="1"/>
  <c r="AK82" i="5"/>
  <c r="AK82" i="7" s="1"/>
  <c r="AJ82" i="5"/>
  <c r="AJ82" i="7" s="1"/>
  <c r="AI82" i="5"/>
  <c r="AI82" i="7" s="1"/>
  <c r="AH82" i="5"/>
  <c r="AH82" i="7" s="1"/>
  <c r="AG82" i="5"/>
  <c r="AG82" i="7" s="1"/>
  <c r="AF82" i="5"/>
  <c r="AF82" i="7" s="1"/>
  <c r="AE82" i="5"/>
  <c r="AE82" i="7" s="1"/>
  <c r="AD82" i="5"/>
  <c r="AD82" i="7" s="1"/>
  <c r="AC82" i="5"/>
  <c r="AC82" i="7" s="1"/>
  <c r="AB82" i="5"/>
  <c r="AB82" i="7" s="1"/>
  <c r="AA82" i="5"/>
  <c r="AA82" i="7" s="1"/>
  <c r="Z82" i="5"/>
  <c r="Z82" i="7" s="1"/>
  <c r="Y82" i="5"/>
  <c r="Y82" i="7" s="1"/>
  <c r="X82" i="5"/>
  <c r="X82" i="7" s="1"/>
  <c r="W82" i="5"/>
  <c r="W82" i="7" s="1"/>
  <c r="V82" i="5"/>
  <c r="V82" i="7" s="1"/>
  <c r="U82" i="5"/>
  <c r="U82" i="7" s="1"/>
  <c r="T82" i="5"/>
  <c r="T82" i="7" s="1"/>
  <c r="S82" i="5"/>
  <c r="S82" i="7" s="1"/>
  <c r="R82" i="5"/>
  <c r="R82" i="7" s="1"/>
  <c r="Q82" i="5"/>
  <c r="Q82" i="7" s="1"/>
  <c r="P82" i="5"/>
  <c r="P82" i="7" s="1"/>
  <c r="O82" i="5"/>
  <c r="O82" i="7" s="1"/>
  <c r="N82" i="5"/>
  <c r="N82" i="7" s="1"/>
  <c r="M82" i="5"/>
  <c r="M82" i="7" s="1"/>
  <c r="L82" i="5"/>
  <c r="L82" i="7" s="1"/>
  <c r="K82" i="5"/>
  <c r="K82" i="7" s="1"/>
  <c r="J82" i="5"/>
  <c r="J82" i="7" s="1"/>
  <c r="I82" i="5"/>
  <c r="I82" i="7" s="1"/>
  <c r="H82" i="5"/>
  <c r="H82" i="7" s="1"/>
  <c r="G82" i="5"/>
  <c r="G82" i="7" s="1"/>
  <c r="F82" i="5"/>
  <c r="F82" i="7" s="1"/>
  <c r="E82" i="5"/>
  <c r="E82" i="7" s="1"/>
  <c r="D82" i="5"/>
  <c r="D82" i="7" s="1"/>
  <c r="C82" i="5"/>
  <c r="C82" i="7" s="1"/>
  <c r="B82" i="5"/>
  <c r="B82" i="7" s="1"/>
  <c r="DB81" i="5"/>
  <c r="DB81" i="7" s="1"/>
  <c r="DA81" i="5"/>
  <c r="DA81" i="7" s="1"/>
  <c r="CZ81" i="5"/>
  <c r="CZ81" i="7" s="1"/>
  <c r="CY81" i="5"/>
  <c r="CY81" i="7" s="1"/>
  <c r="CX81" i="5"/>
  <c r="CX81" i="7" s="1"/>
  <c r="CW81" i="5"/>
  <c r="CW81" i="7" s="1"/>
  <c r="CV81" i="5"/>
  <c r="CV81" i="7" s="1"/>
  <c r="CU81" i="5"/>
  <c r="CU81" i="7" s="1"/>
  <c r="CT81" i="5"/>
  <c r="CT81" i="7" s="1"/>
  <c r="CS81" i="5"/>
  <c r="CS81" i="7" s="1"/>
  <c r="CR81" i="5"/>
  <c r="CR81" i="7" s="1"/>
  <c r="CQ81" i="5"/>
  <c r="CQ81" i="7" s="1"/>
  <c r="CP81" i="5"/>
  <c r="CP81" i="7" s="1"/>
  <c r="CO81" i="5"/>
  <c r="CO81" i="7" s="1"/>
  <c r="CN81" i="5"/>
  <c r="CN81" i="7" s="1"/>
  <c r="CM81" i="5"/>
  <c r="CM81" i="7" s="1"/>
  <c r="CL81" i="5"/>
  <c r="CL81" i="7" s="1"/>
  <c r="CK81" i="5"/>
  <c r="CK81" i="7" s="1"/>
  <c r="CJ81" i="5"/>
  <c r="CJ81" i="7" s="1"/>
  <c r="CI81" i="5"/>
  <c r="CI81" i="7" s="1"/>
  <c r="CH81" i="5"/>
  <c r="CH81" i="7" s="1"/>
  <c r="CG81" i="5"/>
  <c r="CG81" i="7" s="1"/>
  <c r="CF81" i="5"/>
  <c r="CF81" i="7" s="1"/>
  <c r="CE81" i="5"/>
  <c r="CE81" i="7" s="1"/>
  <c r="CD81" i="5"/>
  <c r="CD81" i="7" s="1"/>
  <c r="CC81" i="5"/>
  <c r="CC81" i="7" s="1"/>
  <c r="CB81" i="5"/>
  <c r="CB81" i="7" s="1"/>
  <c r="CA81" i="5"/>
  <c r="CA81" i="7" s="1"/>
  <c r="BZ81" i="5"/>
  <c r="BZ81" i="7" s="1"/>
  <c r="BY81" i="5"/>
  <c r="BY81" i="7" s="1"/>
  <c r="BX81" i="5"/>
  <c r="BX81" i="7" s="1"/>
  <c r="BW81" i="5"/>
  <c r="BW81" i="7" s="1"/>
  <c r="BV81" i="5"/>
  <c r="BV81" i="7" s="1"/>
  <c r="BU81" i="5"/>
  <c r="BU81" i="7" s="1"/>
  <c r="BT81" i="5"/>
  <c r="BT81" i="7" s="1"/>
  <c r="BS81" i="5"/>
  <c r="BS81" i="7" s="1"/>
  <c r="BR81" i="5"/>
  <c r="BR81" i="7" s="1"/>
  <c r="BQ81" i="5"/>
  <c r="BQ81" i="7" s="1"/>
  <c r="BP81" i="5"/>
  <c r="BP81" i="7" s="1"/>
  <c r="BO81" i="5"/>
  <c r="BO81" i="7" s="1"/>
  <c r="BN81" i="5"/>
  <c r="BN81" i="7" s="1"/>
  <c r="BM81" i="5"/>
  <c r="BM81" i="7" s="1"/>
  <c r="BL81" i="5"/>
  <c r="BL81" i="7" s="1"/>
  <c r="BK81" i="5"/>
  <c r="BK81" i="7" s="1"/>
  <c r="BJ81" i="5"/>
  <c r="BJ81" i="7" s="1"/>
  <c r="BI81" i="5"/>
  <c r="BI81" i="7" s="1"/>
  <c r="BH81" i="5"/>
  <c r="BH81" i="7" s="1"/>
  <c r="BG81" i="5"/>
  <c r="BG81" i="7" s="1"/>
  <c r="BF81" i="5"/>
  <c r="BF81" i="7" s="1"/>
  <c r="BE81" i="5"/>
  <c r="BE81" i="7" s="1"/>
  <c r="BD81" i="5"/>
  <c r="BD81" i="7" s="1"/>
  <c r="BC81" i="5"/>
  <c r="BC81" i="7" s="1"/>
  <c r="BB81" i="5"/>
  <c r="BB81" i="7" s="1"/>
  <c r="BA81" i="5"/>
  <c r="BA81" i="7" s="1"/>
  <c r="AZ81" i="5"/>
  <c r="AZ81" i="7" s="1"/>
  <c r="AY81" i="5"/>
  <c r="AY81" i="7" s="1"/>
  <c r="AX81" i="5"/>
  <c r="AX81" i="7" s="1"/>
  <c r="AW81" i="5"/>
  <c r="AW81" i="7" s="1"/>
  <c r="AV81" i="5"/>
  <c r="AV81" i="7" s="1"/>
  <c r="AU81" i="5"/>
  <c r="AU81" i="7" s="1"/>
  <c r="AT81" i="5"/>
  <c r="AT81" i="7" s="1"/>
  <c r="AS81" i="5"/>
  <c r="AS81" i="7" s="1"/>
  <c r="AR81" i="5"/>
  <c r="AR81" i="7" s="1"/>
  <c r="AQ81" i="5"/>
  <c r="AQ81" i="7" s="1"/>
  <c r="AP81" i="5"/>
  <c r="AP81" i="7" s="1"/>
  <c r="AO81" i="5"/>
  <c r="AO81" i="7" s="1"/>
  <c r="AN81" i="5"/>
  <c r="AN81" i="7" s="1"/>
  <c r="AM81" i="5"/>
  <c r="AM81" i="7" s="1"/>
  <c r="AL81" i="5"/>
  <c r="AL81" i="7" s="1"/>
  <c r="AK81" i="5"/>
  <c r="AK81" i="7" s="1"/>
  <c r="AJ81" i="5"/>
  <c r="AJ81" i="7" s="1"/>
  <c r="AI81" i="5"/>
  <c r="AI81" i="7" s="1"/>
  <c r="AH81" i="5"/>
  <c r="AH81" i="7" s="1"/>
  <c r="AG81" i="5"/>
  <c r="AG81" i="7" s="1"/>
  <c r="AF81" i="5"/>
  <c r="AF81" i="7" s="1"/>
  <c r="AE81" i="5"/>
  <c r="AE81" i="7" s="1"/>
  <c r="AD81" i="5"/>
  <c r="AD81" i="7" s="1"/>
  <c r="AC81" i="5"/>
  <c r="AC81" i="7" s="1"/>
  <c r="AB81" i="5"/>
  <c r="AB81" i="7" s="1"/>
  <c r="AA81" i="5"/>
  <c r="AA81" i="7" s="1"/>
  <c r="Z81" i="5"/>
  <c r="Z81" i="7" s="1"/>
  <c r="Y81" i="5"/>
  <c r="Y81" i="7" s="1"/>
  <c r="X81" i="5"/>
  <c r="X81" i="7" s="1"/>
  <c r="W81" i="5"/>
  <c r="W81" i="7" s="1"/>
  <c r="V81" i="5"/>
  <c r="V81" i="7" s="1"/>
  <c r="U81" i="5"/>
  <c r="U81" i="7" s="1"/>
  <c r="T81" i="5"/>
  <c r="T81" i="7" s="1"/>
  <c r="S81" i="5"/>
  <c r="S81" i="7" s="1"/>
  <c r="R81" i="5"/>
  <c r="R81" i="7" s="1"/>
  <c r="Q81" i="5"/>
  <c r="Q81" i="7" s="1"/>
  <c r="P81" i="5"/>
  <c r="P81" i="7" s="1"/>
  <c r="O81" i="5"/>
  <c r="O81" i="7" s="1"/>
  <c r="N81" i="5"/>
  <c r="N81" i="7" s="1"/>
  <c r="M81" i="5"/>
  <c r="M81" i="7" s="1"/>
  <c r="L81" i="5"/>
  <c r="L81" i="7" s="1"/>
  <c r="K81" i="5"/>
  <c r="K81" i="7" s="1"/>
  <c r="J81" i="5"/>
  <c r="J81" i="7" s="1"/>
  <c r="I81" i="5"/>
  <c r="I81" i="7" s="1"/>
  <c r="H81" i="5"/>
  <c r="H81" i="7" s="1"/>
  <c r="G81" i="5"/>
  <c r="G81" i="7" s="1"/>
  <c r="F81" i="5"/>
  <c r="F81" i="7" s="1"/>
  <c r="E81" i="5"/>
  <c r="E81" i="7" s="1"/>
  <c r="D81" i="5"/>
  <c r="D81" i="7" s="1"/>
  <c r="C81" i="5"/>
  <c r="C81" i="7" s="1"/>
  <c r="B81" i="5"/>
  <c r="B81" i="7" s="1"/>
  <c r="DB80" i="5"/>
  <c r="DB80" i="7" s="1"/>
  <c r="DA80" i="5"/>
  <c r="DA80" i="7" s="1"/>
  <c r="CZ80" i="5"/>
  <c r="CZ80" i="7" s="1"/>
  <c r="CY80" i="5"/>
  <c r="CY80" i="7" s="1"/>
  <c r="CX80" i="5"/>
  <c r="CX80" i="7" s="1"/>
  <c r="CW80" i="5"/>
  <c r="CW80" i="7" s="1"/>
  <c r="CV80" i="5"/>
  <c r="CV80" i="7" s="1"/>
  <c r="CU80" i="5"/>
  <c r="CU80" i="7" s="1"/>
  <c r="CT80" i="5"/>
  <c r="CT80" i="7" s="1"/>
  <c r="CS80" i="5"/>
  <c r="CS80" i="7" s="1"/>
  <c r="CR80" i="5"/>
  <c r="CR80" i="7" s="1"/>
  <c r="CQ80" i="5"/>
  <c r="CQ80" i="7" s="1"/>
  <c r="CP80" i="5"/>
  <c r="CP80" i="7" s="1"/>
  <c r="CO80" i="5"/>
  <c r="CO80" i="7" s="1"/>
  <c r="CN80" i="5"/>
  <c r="CN80" i="7" s="1"/>
  <c r="CM80" i="5"/>
  <c r="CM80" i="7" s="1"/>
  <c r="CL80" i="5"/>
  <c r="CL80" i="7" s="1"/>
  <c r="CK80" i="5"/>
  <c r="CK80" i="7" s="1"/>
  <c r="CJ80" i="5"/>
  <c r="CJ80" i="7" s="1"/>
  <c r="CI80" i="5"/>
  <c r="CI80" i="7" s="1"/>
  <c r="CH80" i="5"/>
  <c r="CH80" i="7" s="1"/>
  <c r="CG80" i="5"/>
  <c r="CG80" i="7" s="1"/>
  <c r="CF80" i="5"/>
  <c r="CF80" i="7" s="1"/>
  <c r="CE80" i="5"/>
  <c r="CE80" i="7" s="1"/>
  <c r="CD80" i="5"/>
  <c r="CD80" i="7" s="1"/>
  <c r="CC80" i="5"/>
  <c r="CC80" i="7" s="1"/>
  <c r="CB80" i="5"/>
  <c r="CB80" i="7" s="1"/>
  <c r="CA80" i="5"/>
  <c r="CA80" i="7" s="1"/>
  <c r="BZ80" i="5"/>
  <c r="BZ80" i="7" s="1"/>
  <c r="BY80" i="5"/>
  <c r="BY80" i="7" s="1"/>
  <c r="BX80" i="5"/>
  <c r="BX80" i="7" s="1"/>
  <c r="BW80" i="5"/>
  <c r="BW80" i="7" s="1"/>
  <c r="BV80" i="5"/>
  <c r="BV80" i="7" s="1"/>
  <c r="BU80" i="5"/>
  <c r="BU80" i="7" s="1"/>
  <c r="BT80" i="5"/>
  <c r="BT80" i="7" s="1"/>
  <c r="BS80" i="5"/>
  <c r="BS80" i="7" s="1"/>
  <c r="BR80" i="5"/>
  <c r="BR80" i="7" s="1"/>
  <c r="BQ80" i="5"/>
  <c r="BQ80" i="7" s="1"/>
  <c r="BP80" i="5"/>
  <c r="BP80" i="7" s="1"/>
  <c r="BO80" i="5"/>
  <c r="BO80" i="7" s="1"/>
  <c r="BN80" i="5"/>
  <c r="BN80" i="7" s="1"/>
  <c r="BM80" i="5"/>
  <c r="BM80" i="7" s="1"/>
  <c r="BL80" i="5"/>
  <c r="BL80" i="7" s="1"/>
  <c r="BK80" i="5"/>
  <c r="BK80" i="7" s="1"/>
  <c r="BJ80" i="5"/>
  <c r="BJ80" i="7" s="1"/>
  <c r="BI80" i="5"/>
  <c r="BI80" i="7" s="1"/>
  <c r="BH80" i="5"/>
  <c r="BH80" i="7" s="1"/>
  <c r="BG80" i="5"/>
  <c r="BG80" i="7" s="1"/>
  <c r="BF80" i="5"/>
  <c r="BF80" i="7" s="1"/>
  <c r="BE80" i="5"/>
  <c r="BE80" i="7" s="1"/>
  <c r="BD80" i="5"/>
  <c r="BD80" i="7" s="1"/>
  <c r="BC80" i="5"/>
  <c r="BC80" i="7" s="1"/>
  <c r="BB80" i="5"/>
  <c r="BB80" i="7" s="1"/>
  <c r="BA80" i="5"/>
  <c r="BA80" i="7" s="1"/>
  <c r="AZ80" i="5"/>
  <c r="AZ80" i="7" s="1"/>
  <c r="AY80" i="5"/>
  <c r="AY80" i="7" s="1"/>
  <c r="AX80" i="5"/>
  <c r="AX80" i="7" s="1"/>
  <c r="AW80" i="5"/>
  <c r="AW80" i="7" s="1"/>
  <c r="AV80" i="5"/>
  <c r="AV80" i="7" s="1"/>
  <c r="AU80" i="5"/>
  <c r="AU80" i="7" s="1"/>
  <c r="AT80" i="5"/>
  <c r="AT80" i="7" s="1"/>
  <c r="AS80" i="5"/>
  <c r="AS80" i="7" s="1"/>
  <c r="AR80" i="5"/>
  <c r="AR80" i="7" s="1"/>
  <c r="AQ80" i="5"/>
  <c r="AQ80" i="7" s="1"/>
  <c r="AP80" i="5"/>
  <c r="AP80" i="7" s="1"/>
  <c r="AO80" i="5"/>
  <c r="AO80" i="7" s="1"/>
  <c r="AN80" i="5"/>
  <c r="AN80" i="7" s="1"/>
  <c r="AM80" i="5"/>
  <c r="AM80" i="7" s="1"/>
  <c r="AL80" i="5"/>
  <c r="AL80" i="7" s="1"/>
  <c r="AK80" i="5"/>
  <c r="AK80" i="7" s="1"/>
  <c r="AJ80" i="5"/>
  <c r="AJ80" i="7" s="1"/>
  <c r="AI80" i="5"/>
  <c r="AI80" i="7" s="1"/>
  <c r="AH80" i="5"/>
  <c r="AH80" i="7" s="1"/>
  <c r="AG80" i="5"/>
  <c r="AG80" i="7" s="1"/>
  <c r="AF80" i="5"/>
  <c r="AF80" i="7" s="1"/>
  <c r="AE80" i="5"/>
  <c r="AE80" i="7" s="1"/>
  <c r="AD80" i="5"/>
  <c r="AD80" i="7" s="1"/>
  <c r="AC80" i="5"/>
  <c r="AC80" i="7" s="1"/>
  <c r="AB80" i="5"/>
  <c r="AB80" i="7" s="1"/>
  <c r="AA80" i="5"/>
  <c r="AA80" i="7" s="1"/>
  <c r="Z80" i="5"/>
  <c r="Z80" i="7" s="1"/>
  <c r="Y80" i="5"/>
  <c r="Y80" i="7" s="1"/>
  <c r="X80" i="5"/>
  <c r="X80" i="7" s="1"/>
  <c r="W80" i="5"/>
  <c r="W80" i="7" s="1"/>
  <c r="V80" i="5"/>
  <c r="V80" i="7" s="1"/>
  <c r="U80" i="5"/>
  <c r="U80" i="7" s="1"/>
  <c r="T80" i="5"/>
  <c r="T80" i="7" s="1"/>
  <c r="S80" i="5"/>
  <c r="S80" i="7" s="1"/>
  <c r="R80" i="5"/>
  <c r="R80" i="7" s="1"/>
  <c r="Q80" i="5"/>
  <c r="Q80" i="7" s="1"/>
  <c r="P80" i="5"/>
  <c r="P80" i="7" s="1"/>
  <c r="O80" i="5"/>
  <c r="O80" i="7" s="1"/>
  <c r="N80" i="5"/>
  <c r="N80" i="7" s="1"/>
  <c r="M80" i="5"/>
  <c r="M80" i="7" s="1"/>
  <c r="L80" i="5"/>
  <c r="L80" i="7" s="1"/>
  <c r="K80" i="5"/>
  <c r="K80" i="7" s="1"/>
  <c r="J80" i="5"/>
  <c r="J80" i="7" s="1"/>
  <c r="I80" i="5"/>
  <c r="I80" i="7" s="1"/>
  <c r="H80" i="5"/>
  <c r="H80" i="7" s="1"/>
  <c r="G80" i="5"/>
  <c r="G80" i="7" s="1"/>
  <c r="F80" i="5"/>
  <c r="F80" i="7" s="1"/>
  <c r="E80" i="5"/>
  <c r="E80" i="7" s="1"/>
  <c r="D80" i="5"/>
  <c r="D80" i="7" s="1"/>
  <c r="C80" i="5"/>
  <c r="C80" i="7" s="1"/>
  <c r="B80" i="5"/>
  <c r="B80" i="7" s="1"/>
  <c r="DB79" i="5"/>
  <c r="DB79" i="7" s="1"/>
  <c r="DA79" i="5"/>
  <c r="DA79" i="7" s="1"/>
  <c r="CZ79" i="5"/>
  <c r="CZ79" i="7" s="1"/>
  <c r="CY79" i="5"/>
  <c r="CY79" i="7" s="1"/>
  <c r="CX79" i="5"/>
  <c r="CX79" i="7" s="1"/>
  <c r="CW79" i="5"/>
  <c r="CW79" i="7" s="1"/>
  <c r="CV79" i="5"/>
  <c r="CV79" i="7" s="1"/>
  <c r="CU79" i="5"/>
  <c r="CU79" i="7" s="1"/>
  <c r="CT79" i="5"/>
  <c r="CT79" i="7" s="1"/>
  <c r="CS79" i="5"/>
  <c r="CS79" i="7" s="1"/>
  <c r="CR79" i="5"/>
  <c r="CR79" i="7" s="1"/>
  <c r="CQ79" i="5"/>
  <c r="CQ79" i="7" s="1"/>
  <c r="CP79" i="5"/>
  <c r="CP79" i="7" s="1"/>
  <c r="CO79" i="5"/>
  <c r="CO79" i="7" s="1"/>
  <c r="CN79" i="5"/>
  <c r="CN79" i="7" s="1"/>
  <c r="CM79" i="5"/>
  <c r="CM79" i="7" s="1"/>
  <c r="CL79" i="5"/>
  <c r="CL79" i="7" s="1"/>
  <c r="CK79" i="5"/>
  <c r="CK79" i="7" s="1"/>
  <c r="CJ79" i="5"/>
  <c r="CJ79" i="7" s="1"/>
  <c r="CI79" i="5"/>
  <c r="CI79" i="7" s="1"/>
  <c r="CH79" i="5"/>
  <c r="CH79" i="7" s="1"/>
  <c r="CG79" i="5"/>
  <c r="CG79" i="7" s="1"/>
  <c r="CF79" i="5"/>
  <c r="CF79" i="7" s="1"/>
  <c r="CE79" i="5"/>
  <c r="CE79" i="7" s="1"/>
  <c r="CD79" i="5"/>
  <c r="CD79" i="7" s="1"/>
  <c r="CC79" i="5"/>
  <c r="CC79" i="7" s="1"/>
  <c r="CB79" i="5"/>
  <c r="CB79" i="7" s="1"/>
  <c r="CA79" i="5"/>
  <c r="CA79" i="7" s="1"/>
  <c r="BZ79" i="5"/>
  <c r="BZ79" i="7" s="1"/>
  <c r="BY79" i="5"/>
  <c r="BY79" i="7" s="1"/>
  <c r="BX79" i="5"/>
  <c r="BX79" i="7" s="1"/>
  <c r="BW79" i="5"/>
  <c r="BW79" i="7" s="1"/>
  <c r="BV79" i="5"/>
  <c r="BV79" i="7" s="1"/>
  <c r="BU79" i="5"/>
  <c r="BU79" i="7" s="1"/>
  <c r="BT79" i="5"/>
  <c r="BT79" i="7" s="1"/>
  <c r="BS79" i="5"/>
  <c r="BS79" i="7" s="1"/>
  <c r="BR79" i="5"/>
  <c r="BR79" i="7" s="1"/>
  <c r="BQ79" i="5"/>
  <c r="BQ79" i="7" s="1"/>
  <c r="BP79" i="5"/>
  <c r="BP79" i="7" s="1"/>
  <c r="BO79" i="5"/>
  <c r="BO79" i="7" s="1"/>
  <c r="BN79" i="5"/>
  <c r="BN79" i="7" s="1"/>
  <c r="BM79" i="5"/>
  <c r="BM79" i="7" s="1"/>
  <c r="BL79" i="5"/>
  <c r="BL79" i="7" s="1"/>
  <c r="BK79" i="5"/>
  <c r="BK79" i="7" s="1"/>
  <c r="BJ79" i="5"/>
  <c r="BJ79" i="7" s="1"/>
  <c r="BI79" i="5"/>
  <c r="BI79" i="7" s="1"/>
  <c r="BH79" i="5"/>
  <c r="BH79" i="7" s="1"/>
  <c r="BG79" i="5"/>
  <c r="BG79" i="7" s="1"/>
  <c r="BF79" i="5"/>
  <c r="BF79" i="7" s="1"/>
  <c r="BE79" i="5"/>
  <c r="BE79" i="7" s="1"/>
  <c r="BD79" i="5"/>
  <c r="BD79" i="7" s="1"/>
  <c r="BC79" i="5"/>
  <c r="BC79" i="7" s="1"/>
  <c r="BB79" i="5"/>
  <c r="BB79" i="7" s="1"/>
  <c r="BA79" i="5"/>
  <c r="BA79" i="7" s="1"/>
  <c r="AZ79" i="5"/>
  <c r="AZ79" i="7" s="1"/>
  <c r="AY79" i="5"/>
  <c r="AY79" i="7" s="1"/>
  <c r="AX79" i="5"/>
  <c r="AX79" i="7" s="1"/>
  <c r="AW79" i="5"/>
  <c r="AW79" i="7" s="1"/>
  <c r="AV79" i="5"/>
  <c r="AV79" i="7" s="1"/>
  <c r="AU79" i="5"/>
  <c r="AU79" i="7" s="1"/>
  <c r="AT79" i="5"/>
  <c r="AT79" i="7" s="1"/>
  <c r="AS79" i="5"/>
  <c r="AS79" i="7" s="1"/>
  <c r="AR79" i="5"/>
  <c r="AR79" i="7" s="1"/>
  <c r="AQ79" i="5"/>
  <c r="AQ79" i="7" s="1"/>
  <c r="AP79" i="5"/>
  <c r="AP79" i="7" s="1"/>
  <c r="AO79" i="5"/>
  <c r="AO79" i="7" s="1"/>
  <c r="AN79" i="5"/>
  <c r="AN79" i="7" s="1"/>
  <c r="AM79" i="5"/>
  <c r="AM79" i="7" s="1"/>
  <c r="AL79" i="5"/>
  <c r="AL79" i="7" s="1"/>
  <c r="AK79" i="5"/>
  <c r="AK79" i="7" s="1"/>
  <c r="AJ79" i="5"/>
  <c r="AJ79" i="7" s="1"/>
  <c r="AI79" i="5"/>
  <c r="AI79" i="7" s="1"/>
  <c r="AH79" i="5"/>
  <c r="AH79" i="7" s="1"/>
  <c r="AG79" i="5"/>
  <c r="AG79" i="7" s="1"/>
  <c r="AF79" i="5"/>
  <c r="AF79" i="7" s="1"/>
  <c r="AE79" i="5"/>
  <c r="AE79" i="7" s="1"/>
  <c r="AD79" i="5"/>
  <c r="AD79" i="7" s="1"/>
  <c r="AC79" i="5"/>
  <c r="AC79" i="7" s="1"/>
  <c r="AB79" i="5"/>
  <c r="AB79" i="7" s="1"/>
  <c r="AA79" i="5"/>
  <c r="AA79" i="7" s="1"/>
  <c r="Z79" i="5"/>
  <c r="Z79" i="7" s="1"/>
  <c r="Y79" i="5"/>
  <c r="Y79" i="7" s="1"/>
  <c r="X79" i="5"/>
  <c r="X79" i="7" s="1"/>
  <c r="W79" i="5"/>
  <c r="W79" i="7" s="1"/>
  <c r="V79" i="5"/>
  <c r="V79" i="7" s="1"/>
  <c r="U79" i="5"/>
  <c r="U79" i="7" s="1"/>
  <c r="T79" i="5"/>
  <c r="T79" i="7" s="1"/>
  <c r="S79" i="5"/>
  <c r="S79" i="7" s="1"/>
  <c r="R79" i="5"/>
  <c r="R79" i="7" s="1"/>
  <c r="Q79" i="5"/>
  <c r="Q79" i="7" s="1"/>
  <c r="P79" i="5"/>
  <c r="P79" i="7" s="1"/>
  <c r="O79" i="5"/>
  <c r="O79" i="7" s="1"/>
  <c r="N79" i="5"/>
  <c r="N79" i="7" s="1"/>
  <c r="M79" i="5"/>
  <c r="M79" i="7" s="1"/>
  <c r="L79" i="5"/>
  <c r="L79" i="7" s="1"/>
  <c r="K79" i="5"/>
  <c r="K79" i="7" s="1"/>
  <c r="J79" i="5"/>
  <c r="J79" i="7" s="1"/>
  <c r="I79" i="5"/>
  <c r="I79" i="7" s="1"/>
  <c r="H79" i="5"/>
  <c r="H79" i="7" s="1"/>
  <c r="G79" i="5"/>
  <c r="G79" i="7" s="1"/>
  <c r="F79" i="5"/>
  <c r="F79" i="7" s="1"/>
  <c r="E79" i="5"/>
  <c r="E79" i="7" s="1"/>
  <c r="D79" i="5"/>
  <c r="D79" i="7" s="1"/>
  <c r="C79" i="5"/>
  <c r="C79" i="7" s="1"/>
  <c r="B79" i="5"/>
  <c r="B79" i="7" s="1"/>
  <c r="DB78" i="5"/>
  <c r="DB78" i="7" s="1"/>
  <c r="DA78" i="5"/>
  <c r="DA78" i="7" s="1"/>
  <c r="CZ78" i="5"/>
  <c r="CZ78" i="7" s="1"/>
  <c r="CY78" i="5"/>
  <c r="CY78" i="7" s="1"/>
  <c r="CX78" i="5"/>
  <c r="CX78" i="7" s="1"/>
  <c r="CW78" i="5"/>
  <c r="CW78" i="7" s="1"/>
  <c r="CV78" i="5"/>
  <c r="CV78" i="7" s="1"/>
  <c r="CU78" i="5"/>
  <c r="CU78" i="7" s="1"/>
  <c r="CT78" i="5"/>
  <c r="CT78" i="7" s="1"/>
  <c r="CS78" i="5"/>
  <c r="CS78" i="7" s="1"/>
  <c r="CR78" i="5"/>
  <c r="CR78" i="7" s="1"/>
  <c r="CQ78" i="5"/>
  <c r="CQ78" i="7" s="1"/>
  <c r="CP78" i="5"/>
  <c r="CP78" i="7" s="1"/>
  <c r="CO78" i="5"/>
  <c r="CO78" i="7" s="1"/>
  <c r="CN78" i="5"/>
  <c r="CN78" i="7" s="1"/>
  <c r="CM78" i="5"/>
  <c r="CM78" i="7" s="1"/>
  <c r="CL78" i="5"/>
  <c r="CL78" i="7" s="1"/>
  <c r="CK78" i="5"/>
  <c r="CK78" i="7" s="1"/>
  <c r="CJ78" i="5"/>
  <c r="CJ78" i="7" s="1"/>
  <c r="CI78" i="5"/>
  <c r="CI78" i="7" s="1"/>
  <c r="CH78" i="5"/>
  <c r="CH78" i="7" s="1"/>
  <c r="CG78" i="5"/>
  <c r="CG78" i="7" s="1"/>
  <c r="CF78" i="5"/>
  <c r="CF78" i="7" s="1"/>
  <c r="CE78" i="5"/>
  <c r="CE78" i="7" s="1"/>
  <c r="CD78" i="5"/>
  <c r="CD78" i="7" s="1"/>
  <c r="CC78" i="5"/>
  <c r="CC78" i="7" s="1"/>
  <c r="CB78" i="5"/>
  <c r="CB78" i="7" s="1"/>
  <c r="CA78" i="5"/>
  <c r="CA78" i="7" s="1"/>
  <c r="BZ78" i="5"/>
  <c r="BZ78" i="7" s="1"/>
  <c r="BY78" i="5"/>
  <c r="BY78" i="7" s="1"/>
  <c r="BX78" i="5"/>
  <c r="BX78" i="7" s="1"/>
  <c r="BW78" i="5"/>
  <c r="BW78" i="7" s="1"/>
  <c r="BV78" i="5"/>
  <c r="BV78" i="7" s="1"/>
  <c r="BU78" i="5"/>
  <c r="BU78" i="7" s="1"/>
  <c r="BT78" i="5"/>
  <c r="BT78" i="7" s="1"/>
  <c r="BS78" i="5"/>
  <c r="BS78" i="7" s="1"/>
  <c r="BR78" i="5"/>
  <c r="BR78" i="7" s="1"/>
  <c r="BQ78" i="5"/>
  <c r="BQ78" i="7" s="1"/>
  <c r="BP78" i="5"/>
  <c r="BP78" i="7" s="1"/>
  <c r="BO78" i="5"/>
  <c r="BO78" i="7" s="1"/>
  <c r="BN78" i="5"/>
  <c r="BN78" i="7" s="1"/>
  <c r="BM78" i="5"/>
  <c r="BM78" i="7" s="1"/>
  <c r="BL78" i="5"/>
  <c r="BL78" i="7" s="1"/>
  <c r="BK78" i="5"/>
  <c r="BK78" i="7" s="1"/>
  <c r="BJ78" i="5"/>
  <c r="BJ78" i="7" s="1"/>
  <c r="BI78" i="5"/>
  <c r="BI78" i="7" s="1"/>
  <c r="BH78" i="5"/>
  <c r="BH78" i="7" s="1"/>
  <c r="BG78" i="5"/>
  <c r="BG78" i="7" s="1"/>
  <c r="BF78" i="5"/>
  <c r="BF78" i="7" s="1"/>
  <c r="BE78" i="5"/>
  <c r="BE78" i="7" s="1"/>
  <c r="BD78" i="5"/>
  <c r="BD78" i="7" s="1"/>
  <c r="BC78" i="5"/>
  <c r="BC78" i="7" s="1"/>
  <c r="BB78" i="5"/>
  <c r="BB78" i="7" s="1"/>
  <c r="BA78" i="5"/>
  <c r="BA78" i="7" s="1"/>
  <c r="AZ78" i="5"/>
  <c r="AZ78" i="7" s="1"/>
  <c r="AY78" i="5"/>
  <c r="AY78" i="7" s="1"/>
  <c r="AX78" i="5"/>
  <c r="AX78" i="7" s="1"/>
  <c r="AW78" i="5"/>
  <c r="AW78" i="7" s="1"/>
  <c r="AV78" i="5"/>
  <c r="AV78" i="7" s="1"/>
  <c r="AU78" i="5"/>
  <c r="AU78" i="7" s="1"/>
  <c r="AT78" i="5"/>
  <c r="AT78" i="7" s="1"/>
  <c r="AS78" i="5"/>
  <c r="AS78" i="7" s="1"/>
  <c r="AR78" i="5"/>
  <c r="AR78" i="7" s="1"/>
  <c r="AQ78" i="5"/>
  <c r="AQ78" i="7" s="1"/>
  <c r="AP78" i="5"/>
  <c r="AP78" i="7" s="1"/>
  <c r="AO78" i="5"/>
  <c r="AO78" i="7" s="1"/>
  <c r="AN78" i="5"/>
  <c r="AN78" i="7" s="1"/>
  <c r="AM78" i="5"/>
  <c r="AM78" i="7" s="1"/>
  <c r="AL78" i="5"/>
  <c r="AL78" i="7" s="1"/>
  <c r="AK78" i="5"/>
  <c r="AK78" i="7" s="1"/>
  <c r="AJ78" i="5"/>
  <c r="AJ78" i="7" s="1"/>
  <c r="AI78" i="5"/>
  <c r="AI78" i="7" s="1"/>
  <c r="AH78" i="5"/>
  <c r="AH78" i="7" s="1"/>
  <c r="AG78" i="5"/>
  <c r="AG78" i="7" s="1"/>
  <c r="AF78" i="5"/>
  <c r="AF78" i="7" s="1"/>
  <c r="AE78" i="5"/>
  <c r="AE78" i="7" s="1"/>
  <c r="AD78" i="5"/>
  <c r="AD78" i="7" s="1"/>
  <c r="AC78" i="5"/>
  <c r="AC78" i="7" s="1"/>
  <c r="AB78" i="5"/>
  <c r="AB78" i="7" s="1"/>
  <c r="AA78" i="5"/>
  <c r="AA78" i="7" s="1"/>
  <c r="Z78" i="5"/>
  <c r="Z78" i="7" s="1"/>
  <c r="Y78" i="5"/>
  <c r="Y78" i="7" s="1"/>
  <c r="X78" i="5"/>
  <c r="X78" i="7" s="1"/>
  <c r="W78" i="5"/>
  <c r="W78" i="7" s="1"/>
  <c r="V78" i="5"/>
  <c r="V78" i="7" s="1"/>
  <c r="U78" i="5"/>
  <c r="U78" i="7" s="1"/>
  <c r="T78" i="5"/>
  <c r="T78" i="7" s="1"/>
  <c r="S78" i="5"/>
  <c r="S78" i="7" s="1"/>
  <c r="R78" i="5"/>
  <c r="R78" i="7" s="1"/>
  <c r="Q78" i="5"/>
  <c r="Q78" i="7" s="1"/>
  <c r="P78" i="5"/>
  <c r="P78" i="7" s="1"/>
  <c r="O78" i="5"/>
  <c r="O78" i="7" s="1"/>
  <c r="N78" i="5"/>
  <c r="N78" i="7" s="1"/>
  <c r="M78" i="5"/>
  <c r="M78" i="7" s="1"/>
  <c r="L78" i="5"/>
  <c r="L78" i="7" s="1"/>
  <c r="K78" i="5"/>
  <c r="K78" i="7" s="1"/>
  <c r="J78" i="5"/>
  <c r="J78" i="7" s="1"/>
  <c r="I78" i="5"/>
  <c r="I78" i="7" s="1"/>
  <c r="H78" i="5"/>
  <c r="H78" i="7" s="1"/>
  <c r="G78" i="5"/>
  <c r="G78" i="7" s="1"/>
  <c r="F78" i="5"/>
  <c r="F78" i="7" s="1"/>
  <c r="E78" i="5"/>
  <c r="E78" i="7" s="1"/>
  <c r="D78" i="5"/>
  <c r="D78" i="7" s="1"/>
  <c r="C78" i="5"/>
  <c r="C78" i="7" s="1"/>
  <c r="B78" i="5"/>
  <c r="B78" i="7" s="1"/>
  <c r="DB77" i="5"/>
  <c r="DB77" i="7" s="1"/>
  <c r="DA77" i="5"/>
  <c r="DA77" i="7" s="1"/>
  <c r="CZ77" i="5"/>
  <c r="CZ77" i="7" s="1"/>
  <c r="CY77" i="5"/>
  <c r="CY77" i="7" s="1"/>
  <c r="CX77" i="5"/>
  <c r="CX77" i="7" s="1"/>
  <c r="CW77" i="5"/>
  <c r="CW77" i="7" s="1"/>
  <c r="CV77" i="5"/>
  <c r="CV77" i="7" s="1"/>
  <c r="CU77" i="5"/>
  <c r="CU77" i="7" s="1"/>
  <c r="CT77" i="5"/>
  <c r="CT77" i="7" s="1"/>
  <c r="CS77" i="5"/>
  <c r="CS77" i="7" s="1"/>
  <c r="CR77" i="5"/>
  <c r="CR77" i="7" s="1"/>
  <c r="CQ77" i="5"/>
  <c r="CQ77" i="7" s="1"/>
  <c r="CP77" i="5"/>
  <c r="CP77" i="7" s="1"/>
  <c r="CO77" i="5"/>
  <c r="CO77" i="7" s="1"/>
  <c r="CN77" i="5"/>
  <c r="CN77" i="7" s="1"/>
  <c r="CM77" i="5"/>
  <c r="CM77" i="7" s="1"/>
  <c r="CL77" i="5"/>
  <c r="CL77" i="7" s="1"/>
  <c r="CK77" i="5"/>
  <c r="CK77" i="7" s="1"/>
  <c r="CJ77" i="5"/>
  <c r="CJ77" i="7" s="1"/>
  <c r="CI77" i="5"/>
  <c r="CI77" i="7" s="1"/>
  <c r="CH77" i="5"/>
  <c r="CH77" i="7" s="1"/>
  <c r="CG77" i="5"/>
  <c r="CG77" i="7" s="1"/>
  <c r="CF77" i="5"/>
  <c r="CF77" i="7" s="1"/>
  <c r="CE77" i="5"/>
  <c r="CE77" i="7" s="1"/>
  <c r="CD77" i="5"/>
  <c r="CD77" i="7" s="1"/>
  <c r="CC77" i="5"/>
  <c r="CC77" i="7" s="1"/>
  <c r="CB77" i="5"/>
  <c r="CB77" i="7" s="1"/>
  <c r="CA77" i="5"/>
  <c r="CA77" i="7" s="1"/>
  <c r="BZ77" i="5"/>
  <c r="BZ77" i="7" s="1"/>
  <c r="BY77" i="5"/>
  <c r="BY77" i="7" s="1"/>
  <c r="BX77" i="5"/>
  <c r="BX77" i="7" s="1"/>
  <c r="BW77" i="5"/>
  <c r="BW77" i="7" s="1"/>
  <c r="BV77" i="5"/>
  <c r="BV77" i="7" s="1"/>
  <c r="BU77" i="5"/>
  <c r="BU77" i="7" s="1"/>
  <c r="BT77" i="5"/>
  <c r="BT77" i="7" s="1"/>
  <c r="BS77" i="5"/>
  <c r="BS77" i="7" s="1"/>
  <c r="BR77" i="5"/>
  <c r="BR77" i="7" s="1"/>
  <c r="BQ77" i="5"/>
  <c r="BQ77" i="7" s="1"/>
  <c r="BP77" i="5"/>
  <c r="BP77" i="7" s="1"/>
  <c r="BO77" i="5"/>
  <c r="BO77" i="7" s="1"/>
  <c r="BN77" i="5"/>
  <c r="BN77" i="7" s="1"/>
  <c r="BM77" i="5"/>
  <c r="BM77" i="7" s="1"/>
  <c r="BL77" i="5"/>
  <c r="BL77" i="7" s="1"/>
  <c r="BK77" i="5"/>
  <c r="BK77" i="7" s="1"/>
  <c r="BJ77" i="5"/>
  <c r="BJ77" i="7" s="1"/>
  <c r="BI77" i="5"/>
  <c r="BI77" i="7" s="1"/>
  <c r="BH77" i="5"/>
  <c r="BH77" i="7" s="1"/>
  <c r="BG77" i="5"/>
  <c r="BG77" i="7" s="1"/>
  <c r="BF77" i="5"/>
  <c r="BF77" i="7" s="1"/>
  <c r="BE77" i="5"/>
  <c r="BE77" i="7" s="1"/>
  <c r="BD77" i="5"/>
  <c r="BD77" i="7" s="1"/>
  <c r="BC77" i="5"/>
  <c r="BC77" i="7" s="1"/>
  <c r="BB77" i="5"/>
  <c r="BB77" i="7" s="1"/>
  <c r="BA77" i="5"/>
  <c r="BA77" i="7" s="1"/>
  <c r="AZ77" i="5"/>
  <c r="AZ77" i="7" s="1"/>
  <c r="AY77" i="5"/>
  <c r="AY77" i="7" s="1"/>
  <c r="AX77" i="5"/>
  <c r="AX77" i="7" s="1"/>
  <c r="AW77" i="5"/>
  <c r="AW77" i="7" s="1"/>
  <c r="AV77" i="5"/>
  <c r="AV77" i="7" s="1"/>
  <c r="AU77" i="5"/>
  <c r="AU77" i="7" s="1"/>
  <c r="AT77" i="5"/>
  <c r="AT77" i="7" s="1"/>
  <c r="AS77" i="5"/>
  <c r="AS77" i="7" s="1"/>
  <c r="AR77" i="5"/>
  <c r="AR77" i="7" s="1"/>
  <c r="AQ77" i="5"/>
  <c r="AQ77" i="7" s="1"/>
  <c r="AP77" i="5"/>
  <c r="AP77" i="7" s="1"/>
  <c r="AO77" i="5"/>
  <c r="AO77" i="7" s="1"/>
  <c r="AN77" i="5"/>
  <c r="AN77" i="7" s="1"/>
  <c r="AM77" i="5"/>
  <c r="AM77" i="7" s="1"/>
  <c r="AL77" i="5"/>
  <c r="AL77" i="7" s="1"/>
  <c r="AK77" i="5"/>
  <c r="AK77" i="7" s="1"/>
  <c r="AJ77" i="5"/>
  <c r="AJ77" i="7" s="1"/>
  <c r="AI77" i="5"/>
  <c r="AI77" i="7" s="1"/>
  <c r="AH77" i="5"/>
  <c r="AH77" i="7" s="1"/>
  <c r="AG77" i="5"/>
  <c r="AG77" i="7" s="1"/>
  <c r="AF77" i="5"/>
  <c r="AF77" i="7" s="1"/>
  <c r="AE77" i="5"/>
  <c r="AE77" i="7" s="1"/>
  <c r="AD77" i="5"/>
  <c r="AD77" i="7" s="1"/>
  <c r="AC77" i="5"/>
  <c r="AC77" i="7" s="1"/>
  <c r="AB77" i="5"/>
  <c r="AB77" i="7" s="1"/>
  <c r="AA77" i="5"/>
  <c r="AA77" i="7" s="1"/>
  <c r="Z77" i="5"/>
  <c r="Z77" i="7" s="1"/>
  <c r="Y77" i="5"/>
  <c r="Y77" i="7" s="1"/>
  <c r="X77" i="5"/>
  <c r="X77" i="7" s="1"/>
  <c r="W77" i="5"/>
  <c r="W77" i="7" s="1"/>
  <c r="V77" i="5"/>
  <c r="V77" i="7" s="1"/>
  <c r="U77" i="5"/>
  <c r="U77" i="7" s="1"/>
  <c r="T77" i="5"/>
  <c r="T77" i="7" s="1"/>
  <c r="S77" i="5"/>
  <c r="S77" i="7" s="1"/>
  <c r="R77" i="5"/>
  <c r="R77" i="7" s="1"/>
  <c r="Q77" i="5"/>
  <c r="Q77" i="7" s="1"/>
  <c r="P77" i="5"/>
  <c r="P77" i="7" s="1"/>
  <c r="O77" i="5"/>
  <c r="O77" i="7" s="1"/>
  <c r="N77" i="5"/>
  <c r="N77" i="7" s="1"/>
  <c r="M77" i="5"/>
  <c r="M77" i="7" s="1"/>
  <c r="L77" i="5"/>
  <c r="L77" i="7" s="1"/>
  <c r="K77" i="5"/>
  <c r="K77" i="7" s="1"/>
  <c r="J77" i="5"/>
  <c r="J77" i="7" s="1"/>
  <c r="I77" i="5"/>
  <c r="I77" i="7" s="1"/>
  <c r="H77" i="5"/>
  <c r="H77" i="7" s="1"/>
  <c r="G77" i="5"/>
  <c r="G77" i="7" s="1"/>
  <c r="F77" i="5"/>
  <c r="F77" i="7" s="1"/>
  <c r="E77" i="5"/>
  <c r="E77" i="7" s="1"/>
  <c r="D77" i="5"/>
  <c r="D77" i="7" s="1"/>
  <c r="C77" i="5"/>
  <c r="C77" i="7" s="1"/>
  <c r="B77" i="5"/>
  <c r="B77" i="7" s="1"/>
  <c r="DB76" i="5"/>
  <c r="DB76" i="7" s="1"/>
  <c r="DA76" i="5"/>
  <c r="DA76" i="7" s="1"/>
  <c r="CZ76" i="5"/>
  <c r="CZ76" i="7" s="1"/>
  <c r="CY76" i="5"/>
  <c r="CY76" i="7" s="1"/>
  <c r="CX76" i="5"/>
  <c r="CX76" i="7" s="1"/>
  <c r="CW76" i="5"/>
  <c r="CW76" i="7" s="1"/>
  <c r="CV76" i="5"/>
  <c r="CV76" i="7" s="1"/>
  <c r="CU76" i="5"/>
  <c r="CU76" i="7" s="1"/>
  <c r="CT76" i="5"/>
  <c r="CT76" i="7" s="1"/>
  <c r="CS76" i="5"/>
  <c r="CS76" i="7" s="1"/>
  <c r="CR76" i="5"/>
  <c r="CR76" i="7" s="1"/>
  <c r="CQ76" i="5"/>
  <c r="CQ76" i="7" s="1"/>
  <c r="CP76" i="5"/>
  <c r="CP76" i="7" s="1"/>
  <c r="CO76" i="5"/>
  <c r="CO76" i="7" s="1"/>
  <c r="CN76" i="5"/>
  <c r="CN76" i="7" s="1"/>
  <c r="CM76" i="5"/>
  <c r="CM76" i="7" s="1"/>
  <c r="CL76" i="5"/>
  <c r="CL76" i="7" s="1"/>
  <c r="CK76" i="5"/>
  <c r="CK76" i="7" s="1"/>
  <c r="CJ76" i="5"/>
  <c r="CJ76" i="7" s="1"/>
  <c r="CI76" i="5"/>
  <c r="CI76" i="7" s="1"/>
  <c r="CH76" i="5"/>
  <c r="CH76" i="7" s="1"/>
  <c r="CG76" i="5"/>
  <c r="CG76" i="7" s="1"/>
  <c r="CF76" i="5"/>
  <c r="CF76" i="7" s="1"/>
  <c r="CE76" i="5"/>
  <c r="CE76" i="7" s="1"/>
  <c r="CD76" i="5"/>
  <c r="CD76" i="7" s="1"/>
  <c r="CC76" i="5"/>
  <c r="CC76" i="7" s="1"/>
  <c r="CB76" i="5"/>
  <c r="CB76" i="7" s="1"/>
  <c r="CA76" i="5"/>
  <c r="CA76" i="7" s="1"/>
  <c r="BZ76" i="5"/>
  <c r="BZ76" i="7" s="1"/>
  <c r="BY76" i="5"/>
  <c r="BY76" i="7" s="1"/>
  <c r="BX76" i="5"/>
  <c r="BX76" i="7" s="1"/>
  <c r="BW76" i="5"/>
  <c r="BW76" i="7" s="1"/>
  <c r="BV76" i="5"/>
  <c r="BV76" i="7" s="1"/>
  <c r="BU76" i="5"/>
  <c r="BU76" i="7" s="1"/>
  <c r="BT76" i="5"/>
  <c r="BT76" i="7" s="1"/>
  <c r="BS76" i="5"/>
  <c r="BS76" i="7" s="1"/>
  <c r="BR76" i="5"/>
  <c r="BR76" i="7" s="1"/>
  <c r="BQ76" i="5"/>
  <c r="BQ76" i="7" s="1"/>
  <c r="BP76" i="5"/>
  <c r="BP76" i="7" s="1"/>
  <c r="BO76" i="5"/>
  <c r="BO76" i="7" s="1"/>
  <c r="BN76" i="5"/>
  <c r="BN76" i="7" s="1"/>
  <c r="BM76" i="5"/>
  <c r="BM76" i="7" s="1"/>
  <c r="BL76" i="5"/>
  <c r="BL76" i="7" s="1"/>
  <c r="BK76" i="5"/>
  <c r="BK76" i="7" s="1"/>
  <c r="BJ76" i="5"/>
  <c r="BJ76" i="7" s="1"/>
  <c r="BI76" i="5"/>
  <c r="BI76" i="7" s="1"/>
  <c r="BH76" i="5"/>
  <c r="BH76" i="7" s="1"/>
  <c r="BG76" i="5"/>
  <c r="BG76" i="7" s="1"/>
  <c r="BF76" i="5"/>
  <c r="BF76" i="7" s="1"/>
  <c r="BE76" i="5"/>
  <c r="BE76" i="7" s="1"/>
  <c r="BD76" i="5"/>
  <c r="BD76" i="7" s="1"/>
  <c r="BC76" i="5"/>
  <c r="BC76" i="7" s="1"/>
  <c r="BB76" i="5"/>
  <c r="BB76" i="7" s="1"/>
  <c r="BA76" i="5"/>
  <c r="BA76" i="7" s="1"/>
  <c r="AZ76" i="5"/>
  <c r="AZ76" i="7" s="1"/>
  <c r="AY76" i="5"/>
  <c r="AY76" i="7" s="1"/>
  <c r="AX76" i="5"/>
  <c r="AX76" i="7" s="1"/>
  <c r="AW76" i="5"/>
  <c r="AW76" i="7" s="1"/>
  <c r="AV76" i="5"/>
  <c r="AV76" i="7" s="1"/>
  <c r="AU76" i="5"/>
  <c r="AU76" i="7" s="1"/>
  <c r="AT76" i="5"/>
  <c r="AT76" i="7" s="1"/>
  <c r="AS76" i="5"/>
  <c r="AS76" i="7" s="1"/>
  <c r="AR76" i="5"/>
  <c r="AR76" i="7" s="1"/>
  <c r="AQ76" i="5"/>
  <c r="AQ76" i="7" s="1"/>
  <c r="AP76" i="5"/>
  <c r="AP76" i="7" s="1"/>
  <c r="AO76" i="5"/>
  <c r="AO76" i="7" s="1"/>
  <c r="AN76" i="5"/>
  <c r="AN76" i="7" s="1"/>
  <c r="AM76" i="5"/>
  <c r="AM76" i="7" s="1"/>
  <c r="AL76" i="5"/>
  <c r="AL76" i="7" s="1"/>
  <c r="AK76" i="5"/>
  <c r="AK76" i="7" s="1"/>
  <c r="AJ76" i="5"/>
  <c r="AJ76" i="7" s="1"/>
  <c r="AI76" i="5"/>
  <c r="AI76" i="7" s="1"/>
  <c r="AH76" i="5"/>
  <c r="AH76" i="7" s="1"/>
  <c r="AG76" i="5"/>
  <c r="AG76" i="7" s="1"/>
  <c r="AF76" i="5"/>
  <c r="AF76" i="7" s="1"/>
  <c r="AE76" i="5"/>
  <c r="AE76" i="7" s="1"/>
  <c r="AD76" i="5"/>
  <c r="AD76" i="7" s="1"/>
  <c r="AC76" i="5"/>
  <c r="AC76" i="7" s="1"/>
  <c r="AB76" i="5"/>
  <c r="AB76" i="7" s="1"/>
  <c r="AA76" i="5"/>
  <c r="AA76" i="7" s="1"/>
  <c r="Z76" i="5"/>
  <c r="Z76" i="7" s="1"/>
  <c r="Y76" i="5"/>
  <c r="Y76" i="7" s="1"/>
  <c r="X76" i="5"/>
  <c r="X76" i="7" s="1"/>
  <c r="W76" i="5"/>
  <c r="W76" i="7" s="1"/>
  <c r="V76" i="5"/>
  <c r="V76" i="7" s="1"/>
  <c r="U76" i="5"/>
  <c r="U76" i="7" s="1"/>
  <c r="T76" i="5"/>
  <c r="T76" i="7" s="1"/>
  <c r="S76" i="5"/>
  <c r="S76" i="7" s="1"/>
  <c r="R76" i="5"/>
  <c r="R76" i="7" s="1"/>
  <c r="Q76" i="5"/>
  <c r="Q76" i="7" s="1"/>
  <c r="P76" i="5"/>
  <c r="P76" i="7" s="1"/>
  <c r="O76" i="5"/>
  <c r="O76" i="7" s="1"/>
  <c r="N76" i="5"/>
  <c r="N76" i="7" s="1"/>
  <c r="M76" i="5"/>
  <c r="M76" i="7" s="1"/>
  <c r="L76" i="5"/>
  <c r="L76" i="7" s="1"/>
  <c r="K76" i="5"/>
  <c r="K76" i="7" s="1"/>
  <c r="J76" i="5"/>
  <c r="J76" i="7" s="1"/>
  <c r="I76" i="5"/>
  <c r="I76" i="7" s="1"/>
  <c r="H76" i="5"/>
  <c r="H76" i="7" s="1"/>
  <c r="G76" i="5"/>
  <c r="G76" i="7" s="1"/>
  <c r="F76" i="5"/>
  <c r="F76" i="7" s="1"/>
  <c r="E76" i="5"/>
  <c r="E76" i="7" s="1"/>
  <c r="D76" i="5"/>
  <c r="D76" i="7" s="1"/>
  <c r="C76" i="5"/>
  <c r="C76" i="7" s="1"/>
  <c r="B76" i="5"/>
  <c r="B76" i="7" s="1"/>
  <c r="DB75" i="5"/>
  <c r="DB75" i="7" s="1"/>
  <c r="DA75" i="5"/>
  <c r="DA75" i="7" s="1"/>
  <c r="CZ75" i="5"/>
  <c r="CZ75" i="7" s="1"/>
  <c r="CY75" i="5"/>
  <c r="CY75" i="7" s="1"/>
  <c r="CX75" i="5"/>
  <c r="CX75" i="7" s="1"/>
  <c r="CW75" i="5"/>
  <c r="CW75" i="7" s="1"/>
  <c r="CV75" i="5"/>
  <c r="CV75" i="7" s="1"/>
  <c r="CU75" i="5"/>
  <c r="CU75" i="7" s="1"/>
  <c r="CT75" i="5"/>
  <c r="CT75" i="7" s="1"/>
  <c r="CS75" i="5"/>
  <c r="CS75" i="7" s="1"/>
  <c r="CR75" i="5"/>
  <c r="CR75" i="7" s="1"/>
  <c r="CQ75" i="5"/>
  <c r="CQ75" i="7" s="1"/>
  <c r="CP75" i="5"/>
  <c r="CP75" i="7" s="1"/>
  <c r="CO75" i="5"/>
  <c r="CO75" i="7" s="1"/>
  <c r="CN75" i="5"/>
  <c r="CN75" i="7" s="1"/>
  <c r="CM75" i="5"/>
  <c r="CM75" i="7" s="1"/>
  <c r="CL75" i="5"/>
  <c r="CL75" i="7" s="1"/>
  <c r="CK75" i="5"/>
  <c r="CK75" i="7" s="1"/>
  <c r="CJ75" i="5"/>
  <c r="CJ75" i="7" s="1"/>
  <c r="CI75" i="5"/>
  <c r="CI75" i="7" s="1"/>
  <c r="CH75" i="5"/>
  <c r="CH75" i="7" s="1"/>
  <c r="CG75" i="5"/>
  <c r="CG75" i="7" s="1"/>
  <c r="CF75" i="5"/>
  <c r="CF75" i="7" s="1"/>
  <c r="CE75" i="5"/>
  <c r="CE75" i="7" s="1"/>
  <c r="CD75" i="5"/>
  <c r="CD75" i="7" s="1"/>
  <c r="CC75" i="5"/>
  <c r="CC75" i="7" s="1"/>
  <c r="CB75" i="5"/>
  <c r="CB75" i="7" s="1"/>
  <c r="CA75" i="5"/>
  <c r="CA75" i="7" s="1"/>
  <c r="BZ75" i="5"/>
  <c r="BZ75" i="7" s="1"/>
  <c r="BY75" i="5"/>
  <c r="BY75" i="7" s="1"/>
  <c r="BX75" i="5"/>
  <c r="BX75" i="7" s="1"/>
  <c r="BW75" i="5"/>
  <c r="BW75" i="7" s="1"/>
  <c r="BV75" i="5"/>
  <c r="BV75" i="7" s="1"/>
  <c r="BU75" i="5"/>
  <c r="BU75" i="7" s="1"/>
  <c r="BT75" i="5"/>
  <c r="BT75" i="7" s="1"/>
  <c r="BS75" i="5"/>
  <c r="BS75" i="7" s="1"/>
  <c r="BR75" i="5"/>
  <c r="BR75" i="7" s="1"/>
  <c r="BQ75" i="5"/>
  <c r="BQ75" i="7" s="1"/>
  <c r="BP75" i="5"/>
  <c r="BP75" i="7" s="1"/>
  <c r="BO75" i="5"/>
  <c r="BO75" i="7" s="1"/>
  <c r="BN75" i="5"/>
  <c r="BN75" i="7" s="1"/>
  <c r="BM75" i="5"/>
  <c r="BM75" i="7" s="1"/>
  <c r="BL75" i="5"/>
  <c r="BL75" i="7" s="1"/>
  <c r="BK75" i="5"/>
  <c r="BK75" i="7" s="1"/>
  <c r="BJ75" i="5"/>
  <c r="BJ75" i="7" s="1"/>
  <c r="BI75" i="5"/>
  <c r="BI75" i="7" s="1"/>
  <c r="BH75" i="5"/>
  <c r="BH75" i="7" s="1"/>
  <c r="BG75" i="5"/>
  <c r="BG75" i="7" s="1"/>
  <c r="BF75" i="5"/>
  <c r="BF75" i="7" s="1"/>
  <c r="BE75" i="5"/>
  <c r="BE75" i="7" s="1"/>
  <c r="BD75" i="5"/>
  <c r="BD75" i="7" s="1"/>
  <c r="BC75" i="5"/>
  <c r="BC75" i="7" s="1"/>
  <c r="BB75" i="5"/>
  <c r="BB75" i="7" s="1"/>
  <c r="BA75" i="5"/>
  <c r="BA75" i="7" s="1"/>
  <c r="AZ75" i="5"/>
  <c r="AZ75" i="7" s="1"/>
  <c r="AY75" i="5"/>
  <c r="AY75" i="7" s="1"/>
  <c r="AX75" i="5"/>
  <c r="AX75" i="7" s="1"/>
  <c r="AW75" i="5"/>
  <c r="AW75" i="7" s="1"/>
  <c r="AV75" i="5"/>
  <c r="AV75" i="7" s="1"/>
  <c r="AU75" i="5"/>
  <c r="AU75" i="7" s="1"/>
  <c r="AT75" i="5"/>
  <c r="AT75" i="7" s="1"/>
  <c r="AS75" i="5"/>
  <c r="AS75" i="7" s="1"/>
  <c r="AR75" i="5"/>
  <c r="AR75" i="7" s="1"/>
  <c r="AQ75" i="5"/>
  <c r="AQ75" i="7" s="1"/>
  <c r="AP75" i="5"/>
  <c r="AP75" i="7" s="1"/>
  <c r="AO75" i="5"/>
  <c r="AO75" i="7" s="1"/>
  <c r="AN75" i="5"/>
  <c r="AN75" i="7" s="1"/>
  <c r="AM75" i="5"/>
  <c r="AM75" i="7" s="1"/>
  <c r="AL75" i="5"/>
  <c r="AL75" i="7" s="1"/>
  <c r="AK75" i="5"/>
  <c r="AK75" i="7" s="1"/>
  <c r="AJ75" i="5"/>
  <c r="AJ75" i="7" s="1"/>
  <c r="AI75" i="5"/>
  <c r="AI75" i="7" s="1"/>
  <c r="AH75" i="5"/>
  <c r="AH75" i="7" s="1"/>
  <c r="AG75" i="5"/>
  <c r="AG75" i="7" s="1"/>
  <c r="AF75" i="5"/>
  <c r="AF75" i="7" s="1"/>
  <c r="AE75" i="5"/>
  <c r="AE75" i="7" s="1"/>
  <c r="AD75" i="5"/>
  <c r="AD75" i="7" s="1"/>
  <c r="AC75" i="5"/>
  <c r="AC75" i="7" s="1"/>
  <c r="AB75" i="5"/>
  <c r="AB75" i="7" s="1"/>
  <c r="AA75" i="5"/>
  <c r="AA75" i="7" s="1"/>
  <c r="Z75" i="5"/>
  <c r="Z75" i="7" s="1"/>
  <c r="Y75" i="5"/>
  <c r="Y75" i="7" s="1"/>
  <c r="X75" i="5"/>
  <c r="X75" i="7" s="1"/>
  <c r="W75" i="5"/>
  <c r="W75" i="7" s="1"/>
  <c r="V75" i="5"/>
  <c r="V75" i="7" s="1"/>
  <c r="U75" i="5"/>
  <c r="U75" i="7" s="1"/>
  <c r="T75" i="5"/>
  <c r="T75" i="7" s="1"/>
  <c r="S75" i="5"/>
  <c r="S75" i="7" s="1"/>
  <c r="R75" i="5"/>
  <c r="R75" i="7" s="1"/>
  <c r="Q75" i="5"/>
  <c r="Q75" i="7" s="1"/>
  <c r="P75" i="5"/>
  <c r="P75" i="7" s="1"/>
  <c r="O75" i="5"/>
  <c r="O75" i="7" s="1"/>
  <c r="N75" i="5"/>
  <c r="N75" i="7" s="1"/>
  <c r="M75" i="5"/>
  <c r="M75" i="7" s="1"/>
  <c r="L75" i="5"/>
  <c r="L75" i="7" s="1"/>
  <c r="K75" i="5"/>
  <c r="K75" i="7" s="1"/>
  <c r="J75" i="5"/>
  <c r="J75" i="7" s="1"/>
  <c r="I75" i="5"/>
  <c r="I75" i="7" s="1"/>
  <c r="H75" i="5"/>
  <c r="H75" i="7" s="1"/>
  <c r="G75" i="5"/>
  <c r="G75" i="7" s="1"/>
  <c r="F75" i="5"/>
  <c r="F75" i="7" s="1"/>
  <c r="E75" i="5"/>
  <c r="E75" i="7" s="1"/>
  <c r="D75" i="5"/>
  <c r="D75" i="7" s="1"/>
  <c r="C75" i="5"/>
  <c r="C75" i="7" s="1"/>
  <c r="B75" i="5"/>
  <c r="B75" i="7" s="1"/>
  <c r="DB74" i="5"/>
  <c r="DB74" i="7" s="1"/>
  <c r="DA74" i="5"/>
  <c r="DA74" i="7" s="1"/>
  <c r="CZ74" i="5"/>
  <c r="CZ74" i="7" s="1"/>
  <c r="CY74" i="5"/>
  <c r="CY74" i="7" s="1"/>
  <c r="CX74" i="5"/>
  <c r="CX74" i="7" s="1"/>
  <c r="CW74" i="5"/>
  <c r="CW74" i="7" s="1"/>
  <c r="CV74" i="5"/>
  <c r="CV74" i="7" s="1"/>
  <c r="CU74" i="5"/>
  <c r="CU74" i="7" s="1"/>
  <c r="CT74" i="5"/>
  <c r="CT74" i="7" s="1"/>
  <c r="CS74" i="5"/>
  <c r="CS74" i="7" s="1"/>
  <c r="CR74" i="5"/>
  <c r="CR74" i="7" s="1"/>
  <c r="CQ74" i="5"/>
  <c r="CQ74" i="7" s="1"/>
  <c r="CP74" i="5"/>
  <c r="CP74" i="7" s="1"/>
  <c r="CO74" i="5"/>
  <c r="CO74" i="7" s="1"/>
  <c r="CN74" i="5"/>
  <c r="CN74" i="7" s="1"/>
  <c r="CM74" i="5"/>
  <c r="CM74" i="7" s="1"/>
  <c r="CL74" i="5"/>
  <c r="CL74" i="7" s="1"/>
  <c r="CK74" i="5"/>
  <c r="CK74" i="7" s="1"/>
  <c r="CJ74" i="5"/>
  <c r="CJ74" i="7" s="1"/>
  <c r="CI74" i="5"/>
  <c r="CI74" i="7" s="1"/>
  <c r="CH74" i="5"/>
  <c r="CH74" i="7" s="1"/>
  <c r="CG74" i="5"/>
  <c r="CG74" i="7" s="1"/>
  <c r="CF74" i="5"/>
  <c r="CF74" i="7" s="1"/>
  <c r="CE74" i="5"/>
  <c r="CE74" i="7" s="1"/>
  <c r="CD74" i="5"/>
  <c r="CD74" i="7" s="1"/>
  <c r="CC74" i="5"/>
  <c r="CC74" i="7" s="1"/>
  <c r="CB74" i="5"/>
  <c r="CB74" i="7" s="1"/>
  <c r="CA74" i="5"/>
  <c r="CA74" i="7" s="1"/>
  <c r="BZ74" i="5"/>
  <c r="BZ74" i="7" s="1"/>
  <c r="BY74" i="5"/>
  <c r="BY74" i="7" s="1"/>
  <c r="BX74" i="5"/>
  <c r="BX74" i="7" s="1"/>
  <c r="BW74" i="5"/>
  <c r="BW74" i="7" s="1"/>
  <c r="BV74" i="5"/>
  <c r="BV74" i="7" s="1"/>
  <c r="BU74" i="5"/>
  <c r="BU74" i="7" s="1"/>
  <c r="BT74" i="5"/>
  <c r="BT74" i="7" s="1"/>
  <c r="BS74" i="5"/>
  <c r="BS74" i="7" s="1"/>
  <c r="BR74" i="5"/>
  <c r="BR74" i="7" s="1"/>
  <c r="BQ74" i="5"/>
  <c r="BQ74" i="7" s="1"/>
  <c r="BP74" i="5"/>
  <c r="BP74" i="7" s="1"/>
  <c r="BO74" i="5"/>
  <c r="BO74" i="7" s="1"/>
  <c r="BN74" i="5"/>
  <c r="BN74" i="7" s="1"/>
  <c r="BM74" i="5"/>
  <c r="BM74" i="7" s="1"/>
  <c r="BL74" i="5"/>
  <c r="BL74" i="7" s="1"/>
  <c r="BK74" i="5"/>
  <c r="BK74" i="7" s="1"/>
  <c r="BJ74" i="5"/>
  <c r="BJ74" i="7" s="1"/>
  <c r="BI74" i="5"/>
  <c r="BI74" i="7" s="1"/>
  <c r="BH74" i="5"/>
  <c r="BH74" i="7" s="1"/>
  <c r="BG74" i="5"/>
  <c r="BG74" i="7" s="1"/>
  <c r="BF74" i="5"/>
  <c r="BF74" i="7" s="1"/>
  <c r="BE74" i="5"/>
  <c r="BE74" i="7" s="1"/>
  <c r="BD74" i="5"/>
  <c r="BD74" i="7" s="1"/>
  <c r="BC74" i="5"/>
  <c r="BC74" i="7" s="1"/>
  <c r="BB74" i="5"/>
  <c r="BB74" i="7" s="1"/>
  <c r="BA74" i="5"/>
  <c r="BA74" i="7" s="1"/>
  <c r="AZ74" i="5"/>
  <c r="AZ74" i="7" s="1"/>
  <c r="AY74" i="5"/>
  <c r="AY74" i="7" s="1"/>
  <c r="AX74" i="5"/>
  <c r="AX74" i="7" s="1"/>
  <c r="AW74" i="5"/>
  <c r="AW74" i="7" s="1"/>
  <c r="AV74" i="5"/>
  <c r="AV74" i="7" s="1"/>
  <c r="AU74" i="5"/>
  <c r="AU74" i="7" s="1"/>
  <c r="AT74" i="5"/>
  <c r="AT74" i="7" s="1"/>
  <c r="AS74" i="5"/>
  <c r="AS74" i="7" s="1"/>
  <c r="AR74" i="5"/>
  <c r="AR74" i="7" s="1"/>
  <c r="AQ74" i="5"/>
  <c r="AQ74" i="7" s="1"/>
  <c r="AP74" i="5"/>
  <c r="AP74" i="7" s="1"/>
  <c r="AO74" i="5"/>
  <c r="AO74" i="7" s="1"/>
  <c r="AN74" i="5"/>
  <c r="AN74" i="7" s="1"/>
  <c r="AM74" i="5"/>
  <c r="AM74" i="7" s="1"/>
  <c r="AL74" i="5"/>
  <c r="AL74" i="7" s="1"/>
  <c r="AK74" i="5"/>
  <c r="AK74" i="7" s="1"/>
  <c r="AJ74" i="5"/>
  <c r="AJ74" i="7" s="1"/>
  <c r="AI74" i="5"/>
  <c r="AI74" i="7" s="1"/>
  <c r="AH74" i="5"/>
  <c r="AH74" i="7" s="1"/>
  <c r="AG74" i="5"/>
  <c r="AG74" i="7" s="1"/>
  <c r="AF74" i="5"/>
  <c r="AF74" i="7" s="1"/>
  <c r="AE74" i="5"/>
  <c r="AE74" i="7" s="1"/>
  <c r="AD74" i="5"/>
  <c r="AD74" i="7" s="1"/>
  <c r="AC74" i="5"/>
  <c r="AC74" i="7" s="1"/>
  <c r="AB74" i="5"/>
  <c r="AB74" i="7" s="1"/>
  <c r="AA74" i="5"/>
  <c r="AA74" i="7" s="1"/>
  <c r="Z74" i="5"/>
  <c r="Z74" i="7" s="1"/>
  <c r="Y74" i="5"/>
  <c r="Y74" i="7" s="1"/>
  <c r="X74" i="5"/>
  <c r="X74" i="7" s="1"/>
  <c r="W74" i="5"/>
  <c r="W74" i="7" s="1"/>
  <c r="V74" i="5"/>
  <c r="V74" i="7" s="1"/>
  <c r="U74" i="5"/>
  <c r="U74" i="7" s="1"/>
  <c r="T74" i="5"/>
  <c r="T74" i="7" s="1"/>
  <c r="S74" i="5"/>
  <c r="S74" i="7" s="1"/>
  <c r="R74" i="5"/>
  <c r="R74" i="7" s="1"/>
  <c r="Q74" i="5"/>
  <c r="Q74" i="7" s="1"/>
  <c r="P74" i="5"/>
  <c r="P74" i="7" s="1"/>
  <c r="O74" i="5"/>
  <c r="O74" i="7" s="1"/>
  <c r="N74" i="5"/>
  <c r="N74" i="7" s="1"/>
  <c r="M74" i="5"/>
  <c r="M74" i="7" s="1"/>
  <c r="L74" i="5"/>
  <c r="L74" i="7" s="1"/>
  <c r="K74" i="5"/>
  <c r="K74" i="7" s="1"/>
  <c r="J74" i="5"/>
  <c r="J74" i="7" s="1"/>
  <c r="I74" i="5"/>
  <c r="I74" i="7" s="1"/>
  <c r="H74" i="5"/>
  <c r="H74" i="7" s="1"/>
  <c r="G74" i="5"/>
  <c r="G74" i="7" s="1"/>
  <c r="F74" i="5"/>
  <c r="F74" i="7" s="1"/>
  <c r="E74" i="5"/>
  <c r="E74" i="7" s="1"/>
  <c r="D74" i="5"/>
  <c r="D74" i="7" s="1"/>
  <c r="C74" i="5"/>
  <c r="C74" i="7" s="1"/>
  <c r="B74" i="5"/>
  <c r="B74" i="7" s="1"/>
  <c r="DB73" i="5"/>
  <c r="DB73" i="7" s="1"/>
  <c r="DA73" i="5"/>
  <c r="DA73" i="7" s="1"/>
  <c r="CZ73" i="5"/>
  <c r="CZ73" i="7" s="1"/>
  <c r="CY73" i="5"/>
  <c r="CY73" i="7" s="1"/>
  <c r="CX73" i="5"/>
  <c r="CX73" i="7" s="1"/>
  <c r="CW73" i="5"/>
  <c r="CW73" i="7" s="1"/>
  <c r="CV73" i="5"/>
  <c r="CV73" i="7" s="1"/>
  <c r="CU73" i="5"/>
  <c r="CU73" i="7" s="1"/>
  <c r="CT73" i="5"/>
  <c r="CT73" i="7" s="1"/>
  <c r="CS73" i="5"/>
  <c r="CS73" i="7" s="1"/>
  <c r="CR73" i="5"/>
  <c r="CR73" i="7" s="1"/>
  <c r="CQ73" i="5"/>
  <c r="CQ73" i="7" s="1"/>
  <c r="CP73" i="5"/>
  <c r="CP73" i="7" s="1"/>
  <c r="CO73" i="5"/>
  <c r="CO73" i="7" s="1"/>
  <c r="CN73" i="5"/>
  <c r="CN73" i="7" s="1"/>
  <c r="CM73" i="5"/>
  <c r="CM73" i="7" s="1"/>
  <c r="CL73" i="5"/>
  <c r="CL73" i="7" s="1"/>
  <c r="CK73" i="5"/>
  <c r="CK73" i="7" s="1"/>
  <c r="CJ73" i="5"/>
  <c r="CJ73" i="7" s="1"/>
  <c r="CI73" i="5"/>
  <c r="CI73" i="7" s="1"/>
  <c r="CH73" i="5"/>
  <c r="CH73" i="7" s="1"/>
  <c r="CG73" i="5"/>
  <c r="CG73" i="7" s="1"/>
  <c r="CF73" i="5"/>
  <c r="CF73" i="7" s="1"/>
  <c r="CE73" i="5"/>
  <c r="CE73" i="7" s="1"/>
  <c r="CD73" i="5"/>
  <c r="CD73" i="7" s="1"/>
  <c r="CC73" i="5"/>
  <c r="CC73" i="7" s="1"/>
  <c r="CB73" i="5"/>
  <c r="CB73" i="7" s="1"/>
  <c r="CA73" i="5"/>
  <c r="CA73" i="7" s="1"/>
  <c r="BZ73" i="5"/>
  <c r="BZ73" i="7" s="1"/>
  <c r="BY73" i="5"/>
  <c r="BY73" i="7" s="1"/>
  <c r="BX73" i="5"/>
  <c r="BX73" i="7" s="1"/>
  <c r="BW73" i="5"/>
  <c r="BW73" i="7" s="1"/>
  <c r="BV73" i="5"/>
  <c r="BV73" i="7" s="1"/>
  <c r="BU73" i="5"/>
  <c r="BU73" i="7" s="1"/>
  <c r="BT73" i="5"/>
  <c r="BT73" i="7" s="1"/>
  <c r="BS73" i="5"/>
  <c r="BS73" i="7" s="1"/>
  <c r="BR73" i="5"/>
  <c r="BR73" i="7" s="1"/>
  <c r="BQ73" i="5"/>
  <c r="BQ73" i="7" s="1"/>
  <c r="BP73" i="5"/>
  <c r="BP73" i="7" s="1"/>
  <c r="BO73" i="5"/>
  <c r="BO73" i="7" s="1"/>
  <c r="BN73" i="5"/>
  <c r="BN73" i="7" s="1"/>
  <c r="BM73" i="5"/>
  <c r="BM73" i="7" s="1"/>
  <c r="BL73" i="5"/>
  <c r="BL73" i="7" s="1"/>
  <c r="BK73" i="5"/>
  <c r="BK73" i="7" s="1"/>
  <c r="BJ73" i="5"/>
  <c r="BJ73" i="7" s="1"/>
  <c r="BI73" i="5"/>
  <c r="BI73" i="7" s="1"/>
  <c r="BH73" i="5"/>
  <c r="BH73" i="7" s="1"/>
  <c r="BG73" i="5"/>
  <c r="BG73" i="7" s="1"/>
  <c r="BF73" i="5"/>
  <c r="BF73" i="7" s="1"/>
  <c r="BE73" i="5"/>
  <c r="BE73" i="7" s="1"/>
  <c r="BD73" i="5"/>
  <c r="BD73" i="7" s="1"/>
  <c r="BC73" i="5"/>
  <c r="BC73" i="7" s="1"/>
  <c r="BB73" i="5"/>
  <c r="BB73" i="7" s="1"/>
  <c r="BA73" i="5"/>
  <c r="BA73" i="7" s="1"/>
  <c r="AZ73" i="5"/>
  <c r="AZ73" i="7" s="1"/>
  <c r="AY73" i="5"/>
  <c r="AY73" i="7" s="1"/>
  <c r="AX73" i="5"/>
  <c r="AX73" i="7" s="1"/>
  <c r="AW73" i="5"/>
  <c r="AW73" i="7" s="1"/>
  <c r="AV73" i="5"/>
  <c r="AV73" i="7" s="1"/>
  <c r="AU73" i="5"/>
  <c r="AU73" i="7" s="1"/>
  <c r="AT73" i="5"/>
  <c r="AT73" i="7" s="1"/>
  <c r="AS73" i="5"/>
  <c r="AS73" i="7" s="1"/>
  <c r="AR73" i="5"/>
  <c r="AR73" i="7" s="1"/>
  <c r="AQ73" i="5"/>
  <c r="AQ73" i="7" s="1"/>
  <c r="AP73" i="5"/>
  <c r="AP73" i="7" s="1"/>
  <c r="AO73" i="5"/>
  <c r="AO73" i="7" s="1"/>
  <c r="AN73" i="5"/>
  <c r="AN73" i="7" s="1"/>
  <c r="AM73" i="5"/>
  <c r="AM73" i="7" s="1"/>
  <c r="AL73" i="5"/>
  <c r="AL73" i="7" s="1"/>
  <c r="AK73" i="5"/>
  <c r="AK73" i="7" s="1"/>
  <c r="AJ73" i="5"/>
  <c r="AJ73" i="7" s="1"/>
  <c r="AI73" i="5"/>
  <c r="AI73" i="7" s="1"/>
  <c r="AH73" i="5"/>
  <c r="AH73" i="7" s="1"/>
  <c r="AG73" i="5"/>
  <c r="AG73" i="7" s="1"/>
  <c r="AF73" i="5"/>
  <c r="AF73" i="7" s="1"/>
  <c r="AE73" i="5"/>
  <c r="AE73" i="7" s="1"/>
  <c r="AD73" i="5"/>
  <c r="AD73" i="7" s="1"/>
  <c r="AC73" i="5"/>
  <c r="AC73" i="7" s="1"/>
  <c r="AB73" i="5"/>
  <c r="AB73" i="7" s="1"/>
  <c r="AA73" i="5"/>
  <c r="AA73" i="7" s="1"/>
  <c r="Z73" i="5"/>
  <c r="Z73" i="7" s="1"/>
  <c r="Y73" i="5"/>
  <c r="Y73" i="7" s="1"/>
  <c r="X73" i="5"/>
  <c r="X73" i="7" s="1"/>
  <c r="W73" i="5"/>
  <c r="W73" i="7" s="1"/>
  <c r="V73" i="5"/>
  <c r="V73" i="7" s="1"/>
  <c r="U73" i="5"/>
  <c r="U73" i="7" s="1"/>
  <c r="T73" i="5"/>
  <c r="T73" i="7" s="1"/>
  <c r="S73" i="5"/>
  <c r="S73" i="7" s="1"/>
  <c r="R73" i="5"/>
  <c r="R73" i="7" s="1"/>
  <c r="Q73" i="5"/>
  <c r="Q73" i="7" s="1"/>
  <c r="P73" i="5"/>
  <c r="P73" i="7" s="1"/>
  <c r="O73" i="5"/>
  <c r="O73" i="7" s="1"/>
  <c r="N73" i="5"/>
  <c r="N73" i="7" s="1"/>
  <c r="M73" i="5"/>
  <c r="M73" i="7" s="1"/>
  <c r="L73" i="5"/>
  <c r="L73" i="7" s="1"/>
  <c r="K73" i="5"/>
  <c r="K73" i="7" s="1"/>
  <c r="J73" i="5"/>
  <c r="J73" i="7" s="1"/>
  <c r="I73" i="5"/>
  <c r="I73" i="7" s="1"/>
  <c r="H73" i="5"/>
  <c r="H73" i="7" s="1"/>
  <c r="G73" i="5"/>
  <c r="G73" i="7" s="1"/>
  <c r="F73" i="5"/>
  <c r="F73" i="7" s="1"/>
  <c r="E73" i="5"/>
  <c r="E73" i="7" s="1"/>
  <c r="D73" i="5"/>
  <c r="D73" i="7" s="1"/>
  <c r="C73" i="5"/>
  <c r="C73" i="7" s="1"/>
  <c r="B73" i="5"/>
  <c r="B73" i="7" s="1"/>
  <c r="DB72" i="5"/>
  <c r="DB72" i="7" s="1"/>
  <c r="DA72" i="5"/>
  <c r="DA72" i="7" s="1"/>
  <c r="CZ72" i="5"/>
  <c r="CZ72" i="7" s="1"/>
  <c r="CY72" i="5"/>
  <c r="CY72" i="7" s="1"/>
  <c r="CX72" i="5"/>
  <c r="CX72" i="7" s="1"/>
  <c r="CW72" i="5"/>
  <c r="CW72" i="7" s="1"/>
  <c r="CV72" i="5"/>
  <c r="CV72" i="7" s="1"/>
  <c r="CU72" i="5"/>
  <c r="CU72" i="7" s="1"/>
  <c r="CT72" i="5"/>
  <c r="CT72" i="7" s="1"/>
  <c r="CS72" i="5"/>
  <c r="CS72" i="7" s="1"/>
  <c r="CR72" i="5"/>
  <c r="CR72" i="7" s="1"/>
  <c r="CQ72" i="5"/>
  <c r="CQ72" i="7" s="1"/>
  <c r="CP72" i="5"/>
  <c r="CP72" i="7" s="1"/>
  <c r="CO72" i="5"/>
  <c r="CO72" i="7" s="1"/>
  <c r="CN72" i="5"/>
  <c r="CN72" i="7" s="1"/>
  <c r="CM72" i="5"/>
  <c r="CM72" i="7" s="1"/>
  <c r="CL72" i="5"/>
  <c r="CL72" i="7" s="1"/>
  <c r="CK72" i="5"/>
  <c r="CK72" i="7" s="1"/>
  <c r="CJ72" i="5"/>
  <c r="CJ72" i="7" s="1"/>
  <c r="CI72" i="5"/>
  <c r="CI72" i="7" s="1"/>
  <c r="CH72" i="5"/>
  <c r="CH72" i="7" s="1"/>
  <c r="CG72" i="5"/>
  <c r="CG72" i="7" s="1"/>
  <c r="CF72" i="5"/>
  <c r="CF72" i="7" s="1"/>
  <c r="CE72" i="5"/>
  <c r="CE72" i="7" s="1"/>
  <c r="CD72" i="5"/>
  <c r="CD72" i="7" s="1"/>
  <c r="CC72" i="5"/>
  <c r="CC72" i="7" s="1"/>
  <c r="CB72" i="5"/>
  <c r="CB72" i="7" s="1"/>
  <c r="CA72" i="5"/>
  <c r="CA72" i="7" s="1"/>
  <c r="BZ72" i="5"/>
  <c r="BZ72" i="7" s="1"/>
  <c r="BY72" i="5"/>
  <c r="BY72" i="7" s="1"/>
  <c r="BX72" i="5"/>
  <c r="BX72" i="7" s="1"/>
  <c r="BW72" i="5"/>
  <c r="BW72" i="7" s="1"/>
  <c r="BV72" i="5"/>
  <c r="BV72" i="7" s="1"/>
  <c r="BU72" i="5"/>
  <c r="BU72" i="7" s="1"/>
  <c r="BT72" i="5"/>
  <c r="BT72" i="7" s="1"/>
  <c r="BS72" i="5"/>
  <c r="BS72" i="7" s="1"/>
  <c r="BR72" i="5"/>
  <c r="BR72" i="7" s="1"/>
  <c r="BQ72" i="5"/>
  <c r="BQ72" i="7" s="1"/>
  <c r="BP72" i="5"/>
  <c r="BP72" i="7" s="1"/>
  <c r="BO72" i="5"/>
  <c r="BO72" i="7" s="1"/>
  <c r="BN72" i="5"/>
  <c r="BN72" i="7" s="1"/>
  <c r="BM72" i="5"/>
  <c r="BM72" i="7" s="1"/>
  <c r="BL72" i="5"/>
  <c r="BL72" i="7" s="1"/>
  <c r="BK72" i="5"/>
  <c r="BK72" i="7" s="1"/>
  <c r="BJ72" i="5"/>
  <c r="BJ72" i="7" s="1"/>
  <c r="BI72" i="5"/>
  <c r="BI72" i="7" s="1"/>
  <c r="BH72" i="5"/>
  <c r="BH72" i="7" s="1"/>
  <c r="BG72" i="5"/>
  <c r="BG72" i="7" s="1"/>
  <c r="BF72" i="5"/>
  <c r="BF72" i="7" s="1"/>
  <c r="BE72" i="5"/>
  <c r="BE72" i="7" s="1"/>
  <c r="BD72" i="5"/>
  <c r="BD72" i="7" s="1"/>
  <c r="BC72" i="5"/>
  <c r="BC72" i="7" s="1"/>
  <c r="BB72" i="5"/>
  <c r="BB72" i="7" s="1"/>
  <c r="BA72" i="5"/>
  <c r="BA72" i="7" s="1"/>
  <c r="AZ72" i="5"/>
  <c r="AZ72" i="7" s="1"/>
  <c r="AY72" i="5"/>
  <c r="AY72" i="7" s="1"/>
  <c r="AX72" i="5"/>
  <c r="AX72" i="7" s="1"/>
  <c r="AW72" i="5"/>
  <c r="AW72" i="7" s="1"/>
  <c r="AV72" i="5"/>
  <c r="AV72" i="7" s="1"/>
  <c r="AU72" i="5"/>
  <c r="AU72" i="7" s="1"/>
  <c r="AT72" i="5"/>
  <c r="AT72" i="7" s="1"/>
  <c r="AS72" i="5"/>
  <c r="AS72" i="7" s="1"/>
  <c r="AR72" i="5"/>
  <c r="AR72" i="7" s="1"/>
  <c r="AQ72" i="5"/>
  <c r="AQ72" i="7" s="1"/>
  <c r="AP72" i="5"/>
  <c r="AP72" i="7" s="1"/>
  <c r="AO72" i="5"/>
  <c r="AO72" i="7" s="1"/>
  <c r="AN72" i="5"/>
  <c r="AN72" i="7" s="1"/>
  <c r="AM72" i="5"/>
  <c r="AM72" i="7" s="1"/>
  <c r="AL72" i="5"/>
  <c r="AL72" i="7" s="1"/>
  <c r="AK72" i="5"/>
  <c r="AK72" i="7" s="1"/>
  <c r="AJ72" i="5"/>
  <c r="AJ72" i="7" s="1"/>
  <c r="AI72" i="5"/>
  <c r="AI72" i="7" s="1"/>
  <c r="AH72" i="5"/>
  <c r="AH72" i="7" s="1"/>
  <c r="AG72" i="5"/>
  <c r="AG72" i="7" s="1"/>
  <c r="AF72" i="5"/>
  <c r="AF72" i="7" s="1"/>
  <c r="AE72" i="5"/>
  <c r="AE72" i="7" s="1"/>
  <c r="AD72" i="5"/>
  <c r="AD72" i="7" s="1"/>
  <c r="AC72" i="5"/>
  <c r="AC72" i="7" s="1"/>
  <c r="AB72" i="5"/>
  <c r="AB72" i="7" s="1"/>
  <c r="AA72" i="5"/>
  <c r="AA72" i="7" s="1"/>
  <c r="Z72" i="5"/>
  <c r="Z72" i="7" s="1"/>
  <c r="Y72" i="5"/>
  <c r="Y72" i="7" s="1"/>
  <c r="X72" i="5"/>
  <c r="X72" i="7" s="1"/>
  <c r="W72" i="5"/>
  <c r="W72" i="7" s="1"/>
  <c r="V72" i="5"/>
  <c r="V72" i="7" s="1"/>
  <c r="U72" i="5"/>
  <c r="U72" i="7" s="1"/>
  <c r="T72" i="5"/>
  <c r="T72" i="7" s="1"/>
  <c r="S72" i="5"/>
  <c r="S72" i="7" s="1"/>
  <c r="R72" i="5"/>
  <c r="R72" i="7" s="1"/>
  <c r="Q72" i="5"/>
  <c r="Q72" i="7" s="1"/>
  <c r="P72" i="5"/>
  <c r="P72" i="7" s="1"/>
  <c r="O72" i="5"/>
  <c r="O72" i="7" s="1"/>
  <c r="N72" i="5"/>
  <c r="N72" i="7" s="1"/>
  <c r="M72" i="5"/>
  <c r="M72" i="7" s="1"/>
  <c r="L72" i="5"/>
  <c r="L72" i="7" s="1"/>
  <c r="K72" i="5"/>
  <c r="K72" i="7" s="1"/>
  <c r="J72" i="5"/>
  <c r="J72" i="7" s="1"/>
  <c r="I72" i="5"/>
  <c r="I72" i="7" s="1"/>
  <c r="H72" i="5"/>
  <c r="H72" i="7" s="1"/>
  <c r="G72" i="5"/>
  <c r="G72" i="7" s="1"/>
  <c r="F72" i="5"/>
  <c r="F72" i="7" s="1"/>
  <c r="E72" i="5"/>
  <c r="E72" i="7" s="1"/>
  <c r="D72" i="5"/>
  <c r="D72" i="7" s="1"/>
  <c r="C72" i="5"/>
  <c r="C72" i="7" s="1"/>
  <c r="B72" i="5"/>
  <c r="B72" i="7" s="1"/>
  <c r="DB71" i="5"/>
  <c r="DB71" i="7" s="1"/>
  <c r="DA71" i="5"/>
  <c r="DA71" i="7" s="1"/>
  <c r="CZ71" i="5"/>
  <c r="CZ71" i="7" s="1"/>
  <c r="CY71" i="5"/>
  <c r="CY71" i="7" s="1"/>
  <c r="CX71" i="5"/>
  <c r="CX71" i="7" s="1"/>
  <c r="CW71" i="5"/>
  <c r="CW71" i="7" s="1"/>
  <c r="CV71" i="5"/>
  <c r="CV71" i="7" s="1"/>
  <c r="CU71" i="5"/>
  <c r="CU71" i="7" s="1"/>
  <c r="CT71" i="5"/>
  <c r="CT71" i="7" s="1"/>
  <c r="CS71" i="5"/>
  <c r="CS71" i="7" s="1"/>
  <c r="CR71" i="5"/>
  <c r="CR71" i="7" s="1"/>
  <c r="CQ71" i="5"/>
  <c r="CQ71" i="7" s="1"/>
  <c r="CP71" i="5"/>
  <c r="CP71" i="7" s="1"/>
  <c r="CO71" i="5"/>
  <c r="CO71" i="7" s="1"/>
  <c r="CN71" i="5"/>
  <c r="CN71" i="7" s="1"/>
  <c r="CM71" i="5"/>
  <c r="CM71" i="7" s="1"/>
  <c r="CL71" i="5"/>
  <c r="CL71" i="7" s="1"/>
  <c r="CK71" i="5"/>
  <c r="CK71" i="7" s="1"/>
  <c r="CJ71" i="5"/>
  <c r="CJ71" i="7" s="1"/>
  <c r="CI71" i="5"/>
  <c r="CI71" i="7" s="1"/>
  <c r="CH71" i="5"/>
  <c r="CH71" i="7" s="1"/>
  <c r="CG71" i="5"/>
  <c r="CG71" i="7" s="1"/>
  <c r="CF71" i="5"/>
  <c r="CF71" i="7" s="1"/>
  <c r="CE71" i="5"/>
  <c r="CE71" i="7" s="1"/>
  <c r="CD71" i="5"/>
  <c r="CD71" i="7" s="1"/>
  <c r="CC71" i="5"/>
  <c r="CC71" i="7" s="1"/>
  <c r="CB71" i="5"/>
  <c r="CB71" i="7" s="1"/>
  <c r="CA71" i="5"/>
  <c r="CA71" i="7" s="1"/>
  <c r="BZ71" i="5"/>
  <c r="BZ71" i="7" s="1"/>
  <c r="BY71" i="5"/>
  <c r="BY71" i="7" s="1"/>
  <c r="BX71" i="5"/>
  <c r="BX71" i="7" s="1"/>
  <c r="BW71" i="5"/>
  <c r="BW71" i="7" s="1"/>
  <c r="BV71" i="5"/>
  <c r="BV71" i="7" s="1"/>
  <c r="BU71" i="5"/>
  <c r="BU71" i="7" s="1"/>
  <c r="BT71" i="5"/>
  <c r="BT71" i="7" s="1"/>
  <c r="BS71" i="5"/>
  <c r="BS71" i="7" s="1"/>
  <c r="BR71" i="5"/>
  <c r="BR71" i="7" s="1"/>
  <c r="BQ71" i="5"/>
  <c r="BQ71" i="7" s="1"/>
  <c r="BP71" i="5"/>
  <c r="BP71" i="7" s="1"/>
  <c r="BO71" i="5"/>
  <c r="BO71" i="7" s="1"/>
  <c r="BN71" i="5"/>
  <c r="BN71" i="7" s="1"/>
  <c r="BM71" i="5"/>
  <c r="BM71" i="7" s="1"/>
  <c r="BL71" i="5"/>
  <c r="BL71" i="7" s="1"/>
  <c r="BK71" i="5"/>
  <c r="BK71" i="7" s="1"/>
  <c r="BJ71" i="5"/>
  <c r="BJ71" i="7" s="1"/>
  <c r="BI71" i="5"/>
  <c r="BI71" i="7" s="1"/>
  <c r="BH71" i="5"/>
  <c r="BH71" i="7" s="1"/>
  <c r="BG71" i="5"/>
  <c r="BG71" i="7" s="1"/>
  <c r="BF71" i="5"/>
  <c r="BF71" i="7" s="1"/>
  <c r="BE71" i="5"/>
  <c r="BE71" i="7" s="1"/>
  <c r="BD71" i="5"/>
  <c r="BD71" i="7" s="1"/>
  <c r="BC71" i="5"/>
  <c r="BC71" i="7" s="1"/>
  <c r="BB71" i="5"/>
  <c r="BB71" i="7" s="1"/>
  <c r="BA71" i="5"/>
  <c r="BA71" i="7" s="1"/>
  <c r="AZ71" i="5"/>
  <c r="AZ71" i="7" s="1"/>
  <c r="AY71" i="5"/>
  <c r="AY71" i="7" s="1"/>
  <c r="AX71" i="5"/>
  <c r="AX71" i="7" s="1"/>
  <c r="AW71" i="5"/>
  <c r="AW71" i="7" s="1"/>
  <c r="AV71" i="5"/>
  <c r="AV71" i="7" s="1"/>
  <c r="AU71" i="5"/>
  <c r="AU71" i="7" s="1"/>
  <c r="AT71" i="5"/>
  <c r="AT71" i="7" s="1"/>
  <c r="AS71" i="5"/>
  <c r="AS71" i="7" s="1"/>
  <c r="AR71" i="5"/>
  <c r="AR71" i="7" s="1"/>
  <c r="AQ71" i="5"/>
  <c r="AQ71" i="7" s="1"/>
  <c r="AP71" i="5"/>
  <c r="AP71" i="7" s="1"/>
  <c r="AO71" i="5"/>
  <c r="AO71" i="7" s="1"/>
  <c r="AN71" i="5"/>
  <c r="AN71" i="7" s="1"/>
  <c r="AM71" i="5"/>
  <c r="AM71" i="7" s="1"/>
  <c r="AL71" i="5"/>
  <c r="AL71" i="7" s="1"/>
  <c r="AK71" i="5"/>
  <c r="AK71" i="7" s="1"/>
  <c r="AJ71" i="5"/>
  <c r="AJ71" i="7" s="1"/>
  <c r="AI71" i="5"/>
  <c r="AI71" i="7" s="1"/>
  <c r="AH71" i="5"/>
  <c r="AH71" i="7" s="1"/>
  <c r="AG71" i="5"/>
  <c r="AG71" i="7" s="1"/>
  <c r="AF71" i="5"/>
  <c r="AF71" i="7" s="1"/>
  <c r="AE71" i="5"/>
  <c r="AE71" i="7" s="1"/>
  <c r="AD71" i="5"/>
  <c r="AD71" i="7" s="1"/>
  <c r="AC71" i="5"/>
  <c r="AC71" i="7" s="1"/>
  <c r="AB71" i="5"/>
  <c r="AB71" i="7" s="1"/>
  <c r="AA71" i="5"/>
  <c r="AA71" i="7" s="1"/>
  <c r="Z71" i="5"/>
  <c r="Z71" i="7" s="1"/>
  <c r="Y71" i="5"/>
  <c r="Y71" i="7" s="1"/>
  <c r="X71" i="5"/>
  <c r="X71" i="7" s="1"/>
  <c r="W71" i="5"/>
  <c r="W71" i="7" s="1"/>
  <c r="V71" i="5"/>
  <c r="V71" i="7" s="1"/>
  <c r="U71" i="5"/>
  <c r="U71" i="7" s="1"/>
  <c r="T71" i="5"/>
  <c r="T71" i="7" s="1"/>
  <c r="S71" i="5"/>
  <c r="S71" i="7" s="1"/>
  <c r="R71" i="5"/>
  <c r="R71" i="7" s="1"/>
  <c r="Q71" i="5"/>
  <c r="Q71" i="7" s="1"/>
  <c r="P71" i="5"/>
  <c r="P71" i="7" s="1"/>
  <c r="O71" i="5"/>
  <c r="O71" i="7" s="1"/>
  <c r="N71" i="5"/>
  <c r="N71" i="7" s="1"/>
  <c r="M71" i="5"/>
  <c r="M71" i="7" s="1"/>
  <c r="L71" i="5"/>
  <c r="L71" i="7" s="1"/>
  <c r="K71" i="5"/>
  <c r="K71" i="7" s="1"/>
  <c r="J71" i="5"/>
  <c r="J71" i="7" s="1"/>
  <c r="I71" i="5"/>
  <c r="I71" i="7" s="1"/>
  <c r="H71" i="5"/>
  <c r="H71" i="7" s="1"/>
  <c r="G71" i="5"/>
  <c r="G71" i="7" s="1"/>
  <c r="F71" i="5"/>
  <c r="F71" i="7" s="1"/>
  <c r="E71" i="5"/>
  <c r="E71" i="7" s="1"/>
  <c r="D71" i="5"/>
  <c r="D71" i="7" s="1"/>
  <c r="C71" i="5"/>
  <c r="C71" i="7" s="1"/>
  <c r="B71" i="5"/>
  <c r="B71" i="7" s="1"/>
  <c r="DB70" i="5"/>
  <c r="DB70" i="7" s="1"/>
  <c r="DA70" i="5"/>
  <c r="DA70" i="7" s="1"/>
  <c r="CZ70" i="5"/>
  <c r="CZ70" i="7" s="1"/>
  <c r="CY70" i="5"/>
  <c r="CY70" i="7" s="1"/>
  <c r="CX70" i="5"/>
  <c r="CX70" i="7" s="1"/>
  <c r="CW70" i="5"/>
  <c r="CW70" i="7" s="1"/>
  <c r="CV70" i="5"/>
  <c r="CV70" i="7" s="1"/>
  <c r="CU70" i="5"/>
  <c r="CU70" i="7" s="1"/>
  <c r="CT70" i="5"/>
  <c r="CT70" i="7" s="1"/>
  <c r="CS70" i="5"/>
  <c r="CS70" i="7" s="1"/>
  <c r="CR70" i="5"/>
  <c r="CR70" i="7" s="1"/>
  <c r="CQ70" i="5"/>
  <c r="CQ70" i="7" s="1"/>
  <c r="CP70" i="5"/>
  <c r="CP70" i="7" s="1"/>
  <c r="CO70" i="5"/>
  <c r="CO70" i="7" s="1"/>
  <c r="CN70" i="5"/>
  <c r="CN70" i="7" s="1"/>
  <c r="CM70" i="5"/>
  <c r="CM70" i="7" s="1"/>
  <c r="CL70" i="5"/>
  <c r="CL70" i="7" s="1"/>
  <c r="CK70" i="5"/>
  <c r="CK70" i="7" s="1"/>
  <c r="CJ70" i="5"/>
  <c r="CJ70" i="7" s="1"/>
  <c r="CI70" i="5"/>
  <c r="CI70" i="7" s="1"/>
  <c r="CH70" i="5"/>
  <c r="CH70" i="7" s="1"/>
  <c r="CG70" i="5"/>
  <c r="CG70" i="7" s="1"/>
  <c r="CF70" i="5"/>
  <c r="CF70" i="7" s="1"/>
  <c r="CE70" i="5"/>
  <c r="CE70" i="7" s="1"/>
  <c r="CD70" i="5"/>
  <c r="CD70" i="7" s="1"/>
  <c r="CC70" i="5"/>
  <c r="CC70" i="7" s="1"/>
  <c r="CB70" i="5"/>
  <c r="CB70" i="7" s="1"/>
  <c r="CA70" i="5"/>
  <c r="CA70" i="7" s="1"/>
  <c r="BZ70" i="5"/>
  <c r="BZ70" i="7" s="1"/>
  <c r="BY70" i="5"/>
  <c r="BY70" i="7" s="1"/>
  <c r="BX70" i="5"/>
  <c r="BX70" i="7" s="1"/>
  <c r="BW70" i="5"/>
  <c r="BW70" i="7" s="1"/>
  <c r="BV70" i="5"/>
  <c r="BV70" i="7" s="1"/>
  <c r="BU70" i="5"/>
  <c r="BU70" i="7" s="1"/>
  <c r="BT70" i="5"/>
  <c r="BT70" i="7" s="1"/>
  <c r="BS70" i="5"/>
  <c r="BS70" i="7" s="1"/>
  <c r="BR70" i="5"/>
  <c r="BR70" i="7" s="1"/>
  <c r="BQ70" i="5"/>
  <c r="BQ70" i="7" s="1"/>
  <c r="BP70" i="5"/>
  <c r="BP70" i="7" s="1"/>
  <c r="BO70" i="5"/>
  <c r="BO70" i="7" s="1"/>
  <c r="BN70" i="5"/>
  <c r="BN70" i="7" s="1"/>
  <c r="BM70" i="5"/>
  <c r="BM70" i="7" s="1"/>
  <c r="BL70" i="5"/>
  <c r="BL70" i="7" s="1"/>
  <c r="BK70" i="5"/>
  <c r="BK70" i="7" s="1"/>
  <c r="BJ70" i="5"/>
  <c r="BJ70" i="7" s="1"/>
  <c r="BI70" i="5"/>
  <c r="BI70" i="7" s="1"/>
  <c r="BH70" i="5"/>
  <c r="BH70" i="7" s="1"/>
  <c r="BG70" i="5"/>
  <c r="BG70" i="7" s="1"/>
  <c r="BF70" i="5"/>
  <c r="BF70" i="7" s="1"/>
  <c r="BE70" i="5"/>
  <c r="BE70" i="7" s="1"/>
  <c r="BD70" i="5"/>
  <c r="BD70" i="7" s="1"/>
  <c r="BC70" i="5"/>
  <c r="BC70" i="7" s="1"/>
  <c r="BB70" i="5"/>
  <c r="BB70" i="7" s="1"/>
  <c r="BA70" i="5"/>
  <c r="BA70" i="7" s="1"/>
  <c r="AZ70" i="5"/>
  <c r="AZ70" i="7" s="1"/>
  <c r="AY70" i="5"/>
  <c r="AY70" i="7" s="1"/>
  <c r="AX70" i="5"/>
  <c r="AX70" i="7" s="1"/>
  <c r="AW70" i="5"/>
  <c r="AW70" i="7" s="1"/>
  <c r="AV70" i="5"/>
  <c r="AV70" i="7" s="1"/>
  <c r="AU70" i="5"/>
  <c r="AU70" i="7" s="1"/>
  <c r="AT70" i="5"/>
  <c r="AT70" i="7" s="1"/>
  <c r="AS70" i="5"/>
  <c r="AS70" i="7" s="1"/>
  <c r="AR70" i="5"/>
  <c r="AR70" i="7" s="1"/>
  <c r="AQ70" i="5"/>
  <c r="AQ70" i="7" s="1"/>
  <c r="AP70" i="5"/>
  <c r="AP70" i="7" s="1"/>
  <c r="AO70" i="5"/>
  <c r="AO70" i="7" s="1"/>
  <c r="AN70" i="5"/>
  <c r="AN70" i="7" s="1"/>
  <c r="AM70" i="5"/>
  <c r="AM70" i="7" s="1"/>
  <c r="AL70" i="5"/>
  <c r="AL70" i="7" s="1"/>
  <c r="AK70" i="5"/>
  <c r="AK70" i="7" s="1"/>
  <c r="AJ70" i="5"/>
  <c r="AJ70" i="7" s="1"/>
  <c r="AI70" i="5"/>
  <c r="AI70" i="7" s="1"/>
  <c r="AH70" i="5"/>
  <c r="AH70" i="7" s="1"/>
  <c r="AG70" i="5"/>
  <c r="AG70" i="7" s="1"/>
  <c r="AF70" i="5"/>
  <c r="AF70" i="7" s="1"/>
  <c r="AE70" i="5"/>
  <c r="AE70" i="7" s="1"/>
  <c r="AD70" i="5"/>
  <c r="AD70" i="7" s="1"/>
  <c r="AC70" i="5"/>
  <c r="AC70" i="7" s="1"/>
  <c r="AB70" i="5"/>
  <c r="AB70" i="7" s="1"/>
  <c r="AA70" i="5"/>
  <c r="AA70" i="7" s="1"/>
  <c r="Z70" i="5"/>
  <c r="Z70" i="7" s="1"/>
  <c r="Y70" i="5"/>
  <c r="Y70" i="7" s="1"/>
  <c r="X70" i="5"/>
  <c r="X70" i="7" s="1"/>
  <c r="W70" i="5"/>
  <c r="W70" i="7" s="1"/>
  <c r="V70" i="5"/>
  <c r="V70" i="7" s="1"/>
  <c r="U70" i="5"/>
  <c r="U70" i="7" s="1"/>
  <c r="T70" i="5"/>
  <c r="T70" i="7" s="1"/>
  <c r="S70" i="5"/>
  <c r="S70" i="7" s="1"/>
  <c r="R70" i="5"/>
  <c r="R70" i="7" s="1"/>
  <c r="Q70" i="5"/>
  <c r="Q70" i="7" s="1"/>
  <c r="P70" i="5"/>
  <c r="P70" i="7" s="1"/>
  <c r="O70" i="5"/>
  <c r="O70" i="7" s="1"/>
  <c r="N70" i="5"/>
  <c r="N70" i="7" s="1"/>
  <c r="M70" i="5"/>
  <c r="M70" i="7" s="1"/>
  <c r="L70" i="5"/>
  <c r="L70" i="7" s="1"/>
  <c r="K70" i="5"/>
  <c r="K70" i="7" s="1"/>
  <c r="J70" i="5"/>
  <c r="J70" i="7" s="1"/>
  <c r="I70" i="5"/>
  <c r="I70" i="7" s="1"/>
  <c r="H70" i="5"/>
  <c r="H70" i="7" s="1"/>
  <c r="G70" i="5"/>
  <c r="G70" i="7" s="1"/>
  <c r="F70" i="5"/>
  <c r="F70" i="7" s="1"/>
  <c r="E70" i="5"/>
  <c r="E70" i="7" s="1"/>
  <c r="D70" i="5"/>
  <c r="D70" i="7" s="1"/>
  <c r="C70" i="5"/>
  <c r="C70" i="7" s="1"/>
  <c r="B70" i="5"/>
  <c r="B70" i="7" s="1"/>
  <c r="DB69" i="5"/>
  <c r="DB69" i="7" s="1"/>
  <c r="DA69" i="5"/>
  <c r="DA69" i="7" s="1"/>
  <c r="CZ69" i="5"/>
  <c r="CZ69" i="7" s="1"/>
  <c r="CY69" i="5"/>
  <c r="CY69" i="7" s="1"/>
  <c r="CX69" i="5"/>
  <c r="CX69" i="7" s="1"/>
  <c r="CW69" i="5"/>
  <c r="CW69" i="7" s="1"/>
  <c r="CV69" i="5"/>
  <c r="CV69" i="7" s="1"/>
  <c r="CU69" i="5"/>
  <c r="CU69" i="7" s="1"/>
  <c r="CT69" i="5"/>
  <c r="CT69" i="7" s="1"/>
  <c r="CS69" i="5"/>
  <c r="CS69" i="7" s="1"/>
  <c r="CR69" i="5"/>
  <c r="CR69" i="7" s="1"/>
  <c r="CQ69" i="5"/>
  <c r="CQ69" i="7" s="1"/>
  <c r="CP69" i="5"/>
  <c r="CP69" i="7" s="1"/>
  <c r="CO69" i="5"/>
  <c r="CO69" i="7" s="1"/>
  <c r="CN69" i="5"/>
  <c r="CN69" i="7" s="1"/>
  <c r="CM69" i="5"/>
  <c r="CM69" i="7" s="1"/>
  <c r="CL69" i="5"/>
  <c r="CL69" i="7" s="1"/>
  <c r="CK69" i="5"/>
  <c r="CK69" i="7" s="1"/>
  <c r="CJ69" i="5"/>
  <c r="CJ69" i="7" s="1"/>
  <c r="CI69" i="5"/>
  <c r="CI69" i="7" s="1"/>
  <c r="CH69" i="5"/>
  <c r="CH69" i="7" s="1"/>
  <c r="CG69" i="5"/>
  <c r="CG69" i="7" s="1"/>
  <c r="CF69" i="5"/>
  <c r="CF69" i="7" s="1"/>
  <c r="CE69" i="5"/>
  <c r="CE69" i="7" s="1"/>
  <c r="CD69" i="5"/>
  <c r="CD69" i="7" s="1"/>
  <c r="CC69" i="5"/>
  <c r="CC69" i="7" s="1"/>
  <c r="CB69" i="5"/>
  <c r="CB69" i="7" s="1"/>
  <c r="CA69" i="5"/>
  <c r="CA69" i="7" s="1"/>
  <c r="BZ69" i="5"/>
  <c r="BZ69" i="7" s="1"/>
  <c r="BY69" i="5"/>
  <c r="BY69" i="7" s="1"/>
  <c r="BX69" i="5"/>
  <c r="BX69" i="7" s="1"/>
  <c r="BW69" i="5"/>
  <c r="BW69" i="7" s="1"/>
  <c r="BV69" i="5"/>
  <c r="BV69" i="7" s="1"/>
  <c r="BU69" i="5"/>
  <c r="BU69" i="7" s="1"/>
  <c r="BT69" i="5"/>
  <c r="BT69" i="7" s="1"/>
  <c r="BS69" i="5"/>
  <c r="BS69" i="7" s="1"/>
  <c r="BR69" i="5"/>
  <c r="BR69" i="7" s="1"/>
  <c r="BQ69" i="5"/>
  <c r="BQ69" i="7" s="1"/>
  <c r="BP69" i="5"/>
  <c r="BP69" i="7" s="1"/>
  <c r="BO69" i="5"/>
  <c r="BO69" i="7" s="1"/>
  <c r="BN69" i="5"/>
  <c r="BN69" i="7" s="1"/>
  <c r="BM69" i="5"/>
  <c r="BM69" i="7" s="1"/>
  <c r="BL69" i="5"/>
  <c r="BL69" i="7" s="1"/>
  <c r="BK69" i="5"/>
  <c r="BK69" i="7" s="1"/>
  <c r="BJ69" i="5"/>
  <c r="BJ69" i="7" s="1"/>
  <c r="BI69" i="5"/>
  <c r="BI69" i="7" s="1"/>
  <c r="BH69" i="5"/>
  <c r="BH69" i="7" s="1"/>
  <c r="BG69" i="5"/>
  <c r="BG69" i="7" s="1"/>
  <c r="BF69" i="5"/>
  <c r="BF69" i="7" s="1"/>
  <c r="BE69" i="5"/>
  <c r="BE69" i="7" s="1"/>
  <c r="BD69" i="5"/>
  <c r="BD69" i="7" s="1"/>
  <c r="BC69" i="5"/>
  <c r="BC69" i="7" s="1"/>
  <c r="BB69" i="5"/>
  <c r="BB69" i="7" s="1"/>
  <c r="BA69" i="5"/>
  <c r="BA69" i="7" s="1"/>
  <c r="AZ69" i="5"/>
  <c r="AZ69" i="7" s="1"/>
  <c r="AY69" i="5"/>
  <c r="AY69" i="7" s="1"/>
  <c r="AX69" i="5"/>
  <c r="AX69" i="7" s="1"/>
  <c r="AW69" i="5"/>
  <c r="AW69" i="7" s="1"/>
  <c r="AV69" i="5"/>
  <c r="AV69" i="7" s="1"/>
  <c r="AU69" i="5"/>
  <c r="AU69" i="7" s="1"/>
  <c r="AT69" i="5"/>
  <c r="AT69" i="7" s="1"/>
  <c r="AS69" i="5"/>
  <c r="AS69" i="7" s="1"/>
  <c r="AR69" i="5"/>
  <c r="AR69" i="7" s="1"/>
  <c r="AQ69" i="5"/>
  <c r="AQ69" i="7" s="1"/>
  <c r="AP69" i="5"/>
  <c r="AP69" i="7" s="1"/>
  <c r="AO69" i="5"/>
  <c r="AO69" i="7" s="1"/>
  <c r="AN69" i="5"/>
  <c r="AN69" i="7" s="1"/>
  <c r="AM69" i="5"/>
  <c r="AM69" i="7" s="1"/>
  <c r="AL69" i="5"/>
  <c r="AL69" i="7" s="1"/>
  <c r="AK69" i="5"/>
  <c r="AK69" i="7" s="1"/>
  <c r="AJ69" i="5"/>
  <c r="AJ69" i="7" s="1"/>
  <c r="AI69" i="5"/>
  <c r="AI69" i="7" s="1"/>
  <c r="AH69" i="5"/>
  <c r="AH69" i="7" s="1"/>
  <c r="AG69" i="5"/>
  <c r="AG69" i="7" s="1"/>
  <c r="AF69" i="5"/>
  <c r="AF69" i="7" s="1"/>
  <c r="AE69" i="5"/>
  <c r="AE69" i="7" s="1"/>
  <c r="AD69" i="5"/>
  <c r="AD69" i="7" s="1"/>
  <c r="AC69" i="5"/>
  <c r="AC69" i="7" s="1"/>
  <c r="AB69" i="5"/>
  <c r="AB69" i="7" s="1"/>
  <c r="AA69" i="5"/>
  <c r="AA69" i="7" s="1"/>
  <c r="Z69" i="5"/>
  <c r="Z69" i="7" s="1"/>
  <c r="Y69" i="5"/>
  <c r="Y69" i="7" s="1"/>
  <c r="X69" i="5"/>
  <c r="X69" i="7" s="1"/>
  <c r="W69" i="5"/>
  <c r="W69" i="7" s="1"/>
  <c r="V69" i="5"/>
  <c r="V69" i="7" s="1"/>
  <c r="U69" i="5"/>
  <c r="U69" i="7" s="1"/>
  <c r="T69" i="5"/>
  <c r="T69" i="7" s="1"/>
  <c r="S69" i="5"/>
  <c r="S69" i="7" s="1"/>
  <c r="R69" i="5"/>
  <c r="R69" i="7" s="1"/>
  <c r="Q69" i="5"/>
  <c r="Q69" i="7" s="1"/>
  <c r="P69" i="5"/>
  <c r="P69" i="7" s="1"/>
  <c r="O69" i="5"/>
  <c r="O69" i="7" s="1"/>
  <c r="N69" i="5"/>
  <c r="N69" i="7" s="1"/>
  <c r="M69" i="5"/>
  <c r="M69" i="7" s="1"/>
  <c r="L69" i="5"/>
  <c r="L69" i="7" s="1"/>
  <c r="K69" i="5"/>
  <c r="K69" i="7" s="1"/>
  <c r="J69" i="5"/>
  <c r="J69" i="7" s="1"/>
  <c r="I69" i="5"/>
  <c r="I69" i="7" s="1"/>
  <c r="H69" i="5"/>
  <c r="H69" i="7" s="1"/>
  <c r="G69" i="5"/>
  <c r="G69" i="7" s="1"/>
  <c r="F69" i="5"/>
  <c r="F69" i="7" s="1"/>
  <c r="E69" i="5"/>
  <c r="E69" i="7" s="1"/>
  <c r="D69" i="5"/>
  <c r="D69" i="7" s="1"/>
  <c r="C69" i="5"/>
  <c r="C69" i="7" s="1"/>
  <c r="B69" i="5"/>
  <c r="B69" i="7" s="1"/>
  <c r="DB68" i="5"/>
  <c r="DB68" i="7" s="1"/>
  <c r="DA68" i="5"/>
  <c r="DA68" i="7" s="1"/>
  <c r="CZ68" i="5"/>
  <c r="CZ68" i="7" s="1"/>
  <c r="CY68" i="5"/>
  <c r="CY68" i="7" s="1"/>
  <c r="CX68" i="5"/>
  <c r="CX68" i="7" s="1"/>
  <c r="CW68" i="5"/>
  <c r="CW68" i="7" s="1"/>
  <c r="CV68" i="5"/>
  <c r="CV68" i="7" s="1"/>
  <c r="CU68" i="5"/>
  <c r="CU68" i="7" s="1"/>
  <c r="CT68" i="5"/>
  <c r="CT68" i="7" s="1"/>
  <c r="CS68" i="5"/>
  <c r="CS68" i="7" s="1"/>
  <c r="CR68" i="5"/>
  <c r="CR68" i="7" s="1"/>
  <c r="CQ68" i="5"/>
  <c r="CQ68" i="7" s="1"/>
  <c r="CP68" i="5"/>
  <c r="CP68" i="7" s="1"/>
  <c r="CO68" i="5"/>
  <c r="CO68" i="7" s="1"/>
  <c r="CN68" i="5"/>
  <c r="CN68" i="7" s="1"/>
  <c r="CM68" i="5"/>
  <c r="CM68" i="7" s="1"/>
  <c r="CL68" i="5"/>
  <c r="CL68" i="7" s="1"/>
  <c r="CK68" i="5"/>
  <c r="CK68" i="7" s="1"/>
  <c r="CJ68" i="5"/>
  <c r="CJ68" i="7" s="1"/>
  <c r="CI68" i="5"/>
  <c r="CI68" i="7" s="1"/>
  <c r="CH68" i="5"/>
  <c r="CH68" i="7" s="1"/>
  <c r="CG68" i="5"/>
  <c r="CG68" i="7" s="1"/>
  <c r="CF68" i="5"/>
  <c r="CF68" i="7" s="1"/>
  <c r="CE68" i="5"/>
  <c r="CE68" i="7" s="1"/>
  <c r="CD68" i="5"/>
  <c r="CD68" i="7" s="1"/>
  <c r="CC68" i="5"/>
  <c r="CC68" i="7" s="1"/>
  <c r="CB68" i="5"/>
  <c r="CB68" i="7" s="1"/>
  <c r="CA68" i="5"/>
  <c r="CA68" i="7" s="1"/>
  <c r="BZ68" i="5"/>
  <c r="BZ68" i="7" s="1"/>
  <c r="BY68" i="5"/>
  <c r="BY68" i="7" s="1"/>
  <c r="BX68" i="5"/>
  <c r="BX68" i="7" s="1"/>
  <c r="BW68" i="5"/>
  <c r="BW68" i="7" s="1"/>
  <c r="BV68" i="5"/>
  <c r="BV68" i="7" s="1"/>
  <c r="BU68" i="5"/>
  <c r="BU68" i="7" s="1"/>
  <c r="BT68" i="5"/>
  <c r="BT68" i="7" s="1"/>
  <c r="BS68" i="5"/>
  <c r="BS68" i="7" s="1"/>
  <c r="BR68" i="5"/>
  <c r="BR68" i="7" s="1"/>
  <c r="BQ68" i="5"/>
  <c r="BQ68" i="7" s="1"/>
  <c r="BP68" i="5"/>
  <c r="BP68" i="7" s="1"/>
  <c r="BO68" i="5"/>
  <c r="BO68" i="7" s="1"/>
  <c r="BN68" i="5"/>
  <c r="BN68" i="7" s="1"/>
  <c r="BM68" i="5"/>
  <c r="BM68" i="7" s="1"/>
  <c r="BL68" i="5"/>
  <c r="BL68" i="7" s="1"/>
  <c r="BK68" i="5"/>
  <c r="BK68" i="7" s="1"/>
  <c r="BJ68" i="5"/>
  <c r="BJ68" i="7" s="1"/>
  <c r="BI68" i="5"/>
  <c r="BI68" i="7" s="1"/>
  <c r="BH68" i="5"/>
  <c r="BH68" i="7" s="1"/>
  <c r="BG68" i="5"/>
  <c r="BG68" i="7" s="1"/>
  <c r="BF68" i="5"/>
  <c r="BF68" i="7" s="1"/>
  <c r="BE68" i="5"/>
  <c r="BE68" i="7" s="1"/>
  <c r="BD68" i="5"/>
  <c r="BD68" i="7" s="1"/>
  <c r="BC68" i="5"/>
  <c r="BC68" i="7" s="1"/>
  <c r="BB68" i="5"/>
  <c r="BB68" i="7" s="1"/>
  <c r="BA68" i="5"/>
  <c r="BA68" i="7" s="1"/>
  <c r="AZ68" i="5"/>
  <c r="AZ68" i="7" s="1"/>
  <c r="AY68" i="5"/>
  <c r="AY68" i="7" s="1"/>
  <c r="AX68" i="5"/>
  <c r="AX68" i="7" s="1"/>
  <c r="AW68" i="5"/>
  <c r="AW68" i="7" s="1"/>
  <c r="AV68" i="5"/>
  <c r="AV68" i="7" s="1"/>
  <c r="AU68" i="5"/>
  <c r="AU68" i="7" s="1"/>
  <c r="AT68" i="5"/>
  <c r="AT68" i="7" s="1"/>
  <c r="AS68" i="5"/>
  <c r="AS68" i="7" s="1"/>
  <c r="AR68" i="5"/>
  <c r="AR68" i="7" s="1"/>
  <c r="AQ68" i="5"/>
  <c r="AQ68" i="7" s="1"/>
  <c r="AP68" i="5"/>
  <c r="AP68" i="7" s="1"/>
  <c r="AO68" i="5"/>
  <c r="AO68" i="7" s="1"/>
  <c r="AN68" i="5"/>
  <c r="AN68" i="7" s="1"/>
  <c r="AM68" i="5"/>
  <c r="AM68" i="7" s="1"/>
  <c r="AL68" i="5"/>
  <c r="AL68" i="7" s="1"/>
  <c r="AK68" i="5"/>
  <c r="AK68" i="7" s="1"/>
  <c r="AJ68" i="5"/>
  <c r="AJ68" i="7" s="1"/>
  <c r="AI68" i="5"/>
  <c r="AI68" i="7" s="1"/>
  <c r="AH68" i="5"/>
  <c r="AH68" i="7" s="1"/>
  <c r="AG68" i="5"/>
  <c r="AG68" i="7" s="1"/>
  <c r="AF68" i="5"/>
  <c r="AF68" i="7" s="1"/>
  <c r="AE68" i="5"/>
  <c r="AE68" i="7" s="1"/>
  <c r="AD68" i="5"/>
  <c r="AD68" i="7" s="1"/>
  <c r="AC68" i="5"/>
  <c r="AC68" i="7" s="1"/>
  <c r="AB68" i="5"/>
  <c r="AB68" i="7" s="1"/>
  <c r="AA68" i="5"/>
  <c r="AA68" i="7" s="1"/>
  <c r="Z68" i="5"/>
  <c r="Z68" i="7" s="1"/>
  <c r="Y68" i="5"/>
  <c r="Y68" i="7" s="1"/>
  <c r="X68" i="5"/>
  <c r="X68" i="7" s="1"/>
  <c r="W68" i="5"/>
  <c r="W68" i="7" s="1"/>
  <c r="V68" i="5"/>
  <c r="V68" i="7" s="1"/>
  <c r="U68" i="5"/>
  <c r="U68" i="7" s="1"/>
  <c r="T68" i="5"/>
  <c r="T68" i="7" s="1"/>
  <c r="S68" i="5"/>
  <c r="S68" i="7" s="1"/>
  <c r="R68" i="5"/>
  <c r="R68" i="7" s="1"/>
  <c r="Q68" i="5"/>
  <c r="Q68" i="7" s="1"/>
  <c r="P68" i="5"/>
  <c r="P68" i="7" s="1"/>
  <c r="O68" i="5"/>
  <c r="O68" i="7" s="1"/>
  <c r="N68" i="5"/>
  <c r="N68" i="7" s="1"/>
  <c r="M68" i="5"/>
  <c r="M68" i="7" s="1"/>
  <c r="L68" i="5"/>
  <c r="L68" i="7" s="1"/>
  <c r="K68" i="5"/>
  <c r="K68" i="7" s="1"/>
  <c r="J68" i="5"/>
  <c r="J68" i="7" s="1"/>
  <c r="I68" i="5"/>
  <c r="I68" i="7" s="1"/>
  <c r="H68" i="5"/>
  <c r="H68" i="7" s="1"/>
  <c r="G68" i="5"/>
  <c r="G68" i="7" s="1"/>
  <c r="F68" i="5"/>
  <c r="F68" i="7" s="1"/>
  <c r="E68" i="5"/>
  <c r="E68" i="7" s="1"/>
  <c r="D68" i="5"/>
  <c r="D68" i="7" s="1"/>
  <c r="C68" i="5"/>
  <c r="C68" i="7" s="1"/>
  <c r="B68" i="5"/>
  <c r="B68" i="7" s="1"/>
  <c r="DB67" i="5"/>
  <c r="DB67" i="7" s="1"/>
  <c r="DA67" i="5"/>
  <c r="DA67" i="7" s="1"/>
  <c r="CZ67" i="5"/>
  <c r="CZ67" i="7" s="1"/>
  <c r="CY67" i="5"/>
  <c r="CY67" i="7" s="1"/>
  <c r="CX67" i="5"/>
  <c r="CX67" i="7" s="1"/>
  <c r="CW67" i="5"/>
  <c r="CW67" i="7" s="1"/>
  <c r="CV67" i="5"/>
  <c r="CV67" i="7" s="1"/>
  <c r="CU67" i="5"/>
  <c r="CU67" i="7" s="1"/>
  <c r="CT67" i="5"/>
  <c r="CT67" i="7" s="1"/>
  <c r="CS67" i="5"/>
  <c r="CS67" i="7" s="1"/>
  <c r="CR67" i="5"/>
  <c r="CR67" i="7" s="1"/>
  <c r="CQ67" i="5"/>
  <c r="CQ67" i="7" s="1"/>
  <c r="CP67" i="5"/>
  <c r="CP67" i="7" s="1"/>
  <c r="CO67" i="5"/>
  <c r="CO67" i="7" s="1"/>
  <c r="CN67" i="5"/>
  <c r="CN67" i="7" s="1"/>
  <c r="CM67" i="5"/>
  <c r="CM67" i="7" s="1"/>
  <c r="CL67" i="5"/>
  <c r="CL67" i="7" s="1"/>
  <c r="CK67" i="5"/>
  <c r="CK67" i="7" s="1"/>
  <c r="CJ67" i="5"/>
  <c r="CJ67" i="7" s="1"/>
  <c r="CI67" i="5"/>
  <c r="CI67" i="7" s="1"/>
  <c r="CH67" i="5"/>
  <c r="CH67" i="7" s="1"/>
  <c r="CG67" i="5"/>
  <c r="CG67" i="7" s="1"/>
  <c r="CF67" i="5"/>
  <c r="CF67" i="7" s="1"/>
  <c r="CE67" i="5"/>
  <c r="CE67" i="7" s="1"/>
  <c r="CD67" i="5"/>
  <c r="CD67" i="7" s="1"/>
  <c r="CC67" i="5"/>
  <c r="CC67" i="7" s="1"/>
  <c r="CB67" i="5"/>
  <c r="CB67" i="7" s="1"/>
  <c r="CA67" i="5"/>
  <c r="CA67" i="7" s="1"/>
  <c r="BZ67" i="5"/>
  <c r="BZ67" i="7" s="1"/>
  <c r="BY67" i="5"/>
  <c r="BY67" i="7" s="1"/>
  <c r="BX67" i="5"/>
  <c r="BX67" i="7" s="1"/>
  <c r="BW67" i="5"/>
  <c r="BW67" i="7" s="1"/>
  <c r="BV67" i="5"/>
  <c r="BV67" i="7" s="1"/>
  <c r="BU67" i="5"/>
  <c r="BU67" i="7" s="1"/>
  <c r="BT67" i="5"/>
  <c r="BT67" i="7" s="1"/>
  <c r="BS67" i="5"/>
  <c r="BS67" i="7" s="1"/>
  <c r="BR67" i="5"/>
  <c r="BR67" i="7" s="1"/>
  <c r="BQ67" i="5"/>
  <c r="BQ67" i="7" s="1"/>
  <c r="BP67" i="5"/>
  <c r="BP67" i="7" s="1"/>
  <c r="BO67" i="5"/>
  <c r="BO67" i="7" s="1"/>
  <c r="BN67" i="5"/>
  <c r="BN67" i="7" s="1"/>
  <c r="BM67" i="5"/>
  <c r="BM67" i="7" s="1"/>
  <c r="BL67" i="5"/>
  <c r="BL67" i="7" s="1"/>
  <c r="BK67" i="5"/>
  <c r="BK67" i="7" s="1"/>
  <c r="BJ67" i="5"/>
  <c r="BJ67" i="7" s="1"/>
  <c r="BI67" i="5"/>
  <c r="BI67" i="7" s="1"/>
  <c r="BH67" i="5"/>
  <c r="BH67" i="7" s="1"/>
  <c r="BG67" i="5"/>
  <c r="BG67" i="7" s="1"/>
  <c r="BF67" i="5"/>
  <c r="BF67" i="7" s="1"/>
  <c r="BE67" i="5"/>
  <c r="BE67" i="7" s="1"/>
  <c r="BD67" i="5"/>
  <c r="BD67" i="7" s="1"/>
  <c r="BC67" i="5"/>
  <c r="BC67" i="7" s="1"/>
  <c r="BB67" i="5"/>
  <c r="BB67" i="7" s="1"/>
  <c r="BA67" i="5"/>
  <c r="BA67" i="7" s="1"/>
  <c r="AZ67" i="5"/>
  <c r="AZ67" i="7" s="1"/>
  <c r="AY67" i="5"/>
  <c r="AY67" i="7" s="1"/>
  <c r="AX67" i="5"/>
  <c r="AX67" i="7" s="1"/>
  <c r="AW67" i="5"/>
  <c r="AW67" i="7" s="1"/>
  <c r="AV67" i="5"/>
  <c r="AV67" i="7" s="1"/>
  <c r="AU67" i="5"/>
  <c r="AU67" i="7" s="1"/>
  <c r="AT67" i="5"/>
  <c r="AT67" i="7" s="1"/>
  <c r="AS67" i="5"/>
  <c r="AS67" i="7" s="1"/>
  <c r="AR67" i="5"/>
  <c r="AR67" i="7" s="1"/>
  <c r="AQ67" i="5"/>
  <c r="AQ67" i="7" s="1"/>
  <c r="AP67" i="5"/>
  <c r="AP67" i="7" s="1"/>
  <c r="AO67" i="5"/>
  <c r="AO67" i="7" s="1"/>
  <c r="AN67" i="5"/>
  <c r="AN67" i="7" s="1"/>
  <c r="AM67" i="5"/>
  <c r="AM67" i="7" s="1"/>
  <c r="AL67" i="5"/>
  <c r="AL67" i="7" s="1"/>
  <c r="AK67" i="5"/>
  <c r="AK67" i="7" s="1"/>
  <c r="AJ67" i="5"/>
  <c r="AJ67" i="7" s="1"/>
  <c r="AI67" i="5"/>
  <c r="AI67" i="7" s="1"/>
  <c r="AH67" i="5"/>
  <c r="AH67" i="7" s="1"/>
  <c r="AG67" i="5"/>
  <c r="AG67" i="7" s="1"/>
  <c r="AF67" i="5"/>
  <c r="AF67" i="7" s="1"/>
  <c r="AE67" i="5"/>
  <c r="AE67" i="7" s="1"/>
  <c r="AD67" i="5"/>
  <c r="AD67" i="7" s="1"/>
  <c r="AC67" i="5"/>
  <c r="AC67" i="7" s="1"/>
  <c r="AB67" i="5"/>
  <c r="AB67" i="7" s="1"/>
  <c r="AA67" i="5"/>
  <c r="AA67" i="7" s="1"/>
  <c r="Z67" i="5"/>
  <c r="Z67" i="7" s="1"/>
  <c r="Y67" i="5"/>
  <c r="Y67" i="7" s="1"/>
  <c r="X67" i="5"/>
  <c r="X67" i="7" s="1"/>
  <c r="W67" i="5"/>
  <c r="W67" i="7" s="1"/>
  <c r="V67" i="5"/>
  <c r="V67" i="7" s="1"/>
  <c r="U67" i="5"/>
  <c r="U67" i="7" s="1"/>
  <c r="T67" i="5"/>
  <c r="T67" i="7" s="1"/>
  <c r="S67" i="5"/>
  <c r="S67" i="7" s="1"/>
  <c r="R67" i="5"/>
  <c r="R67" i="7" s="1"/>
  <c r="Q67" i="5"/>
  <c r="Q67" i="7" s="1"/>
  <c r="P67" i="5"/>
  <c r="P67" i="7" s="1"/>
  <c r="O67" i="5"/>
  <c r="O67" i="7" s="1"/>
  <c r="N67" i="5"/>
  <c r="N67" i="7" s="1"/>
  <c r="M67" i="5"/>
  <c r="M67" i="7" s="1"/>
  <c r="L67" i="5"/>
  <c r="L67" i="7" s="1"/>
  <c r="K67" i="5"/>
  <c r="K67" i="7" s="1"/>
  <c r="J67" i="5"/>
  <c r="J67" i="7" s="1"/>
  <c r="I67" i="5"/>
  <c r="I67" i="7" s="1"/>
  <c r="H67" i="5"/>
  <c r="H67" i="7" s="1"/>
  <c r="G67" i="5"/>
  <c r="G67" i="7" s="1"/>
  <c r="F67" i="5"/>
  <c r="F67" i="7" s="1"/>
  <c r="E67" i="5"/>
  <c r="E67" i="7" s="1"/>
  <c r="D67" i="5"/>
  <c r="D67" i="7" s="1"/>
  <c r="C67" i="5"/>
  <c r="C67" i="7" s="1"/>
  <c r="B67" i="5"/>
  <c r="B67" i="7" s="1"/>
  <c r="DB66" i="5"/>
  <c r="DB66" i="7" s="1"/>
  <c r="DA66" i="5"/>
  <c r="DA66" i="7" s="1"/>
  <c r="CZ66" i="5"/>
  <c r="CZ66" i="7" s="1"/>
  <c r="CY66" i="5"/>
  <c r="CY66" i="7" s="1"/>
  <c r="CX66" i="5"/>
  <c r="CX66" i="7" s="1"/>
  <c r="CW66" i="5"/>
  <c r="CW66" i="7" s="1"/>
  <c r="CV66" i="5"/>
  <c r="CV66" i="7" s="1"/>
  <c r="CU66" i="5"/>
  <c r="CU66" i="7" s="1"/>
  <c r="CT66" i="5"/>
  <c r="CT66" i="7" s="1"/>
  <c r="CS66" i="5"/>
  <c r="CS66" i="7" s="1"/>
  <c r="CR66" i="5"/>
  <c r="CR66" i="7" s="1"/>
  <c r="CQ66" i="5"/>
  <c r="CQ66" i="7" s="1"/>
  <c r="CP66" i="5"/>
  <c r="CP66" i="7" s="1"/>
  <c r="CO66" i="5"/>
  <c r="CO66" i="7" s="1"/>
  <c r="CN66" i="5"/>
  <c r="CN66" i="7" s="1"/>
  <c r="CM66" i="5"/>
  <c r="CM66" i="7" s="1"/>
  <c r="CL66" i="5"/>
  <c r="CL66" i="7" s="1"/>
  <c r="CK66" i="5"/>
  <c r="CK66" i="7" s="1"/>
  <c r="CJ66" i="5"/>
  <c r="CJ66" i="7" s="1"/>
  <c r="CI66" i="5"/>
  <c r="CI66" i="7" s="1"/>
  <c r="CH66" i="5"/>
  <c r="CH66" i="7" s="1"/>
  <c r="CG66" i="5"/>
  <c r="CG66" i="7" s="1"/>
  <c r="CF66" i="5"/>
  <c r="CF66" i="7" s="1"/>
  <c r="CE66" i="5"/>
  <c r="CE66" i="7" s="1"/>
  <c r="CD66" i="5"/>
  <c r="CD66" i="7" s="1"/>
  <c r="CC66" i="5"/>
  <c r="CC66" i="7" s="1"/>
  <c r="CB66" i="5"/>
  <c r="CB66" i="7" s="1"/>
  <c r="CA66" i="5"/>
  <c r="CA66" i="7" s="1"/>
  <c r="BZ66" i="5"/>
  <c r="BZ66" i="7" s="1"/>
  <c r="BY66" i="5"/>
  <c r="BY66" i="7" s="1"/>
  <c r="BX66" i="5"/>
  <c r="BX66" i="7" s="1"/>
  <c r="BW66" i="5"/>
  <c r="BW66" i="7" s="1"/>
  <c r="BV66" i="5"/>
  <c r="BV66" i="7" s="1"/>
  <c r="BU66" i="5"/>
  <c r="BU66" i="7" s="1"/>
  <c r="BT66" i="5"/>
  <c r="BT66" i="7" s="1"/>
  <c r="BS66" i="5"/>
  <c r="BS66" i="7" s="1"/>
  <c r="BR66" i="5"/>
  <c r="BR66" i="7" s="1"/>
  <c r="BQ66" i="5"/>
  <c r="BQ66" i="7" s="1"/>
  <c r="BP66" i="5"/>
  <c r="BP66" i="7" s="1"/>
  <c r="BO66" i="5"/>
  <c r="BO66" i="7" s="1"/>
  <c r="BN66" i="5"/>
  <c r="BN66" i="7" s="1"/>
  <c r="BM66" i="5"/>
  <c r="BM66" i="7" s="1"/>
  <c r="BL66" i="5"/>
  <c r="BL66" i="7" s="1"/>
  <c r="BK66" i="5"/>
  <c r="BK66" i="7" s="1"/>
  <c r="BJ66" i="5"/>
  <c r="BJ66" i="7" s="1"/>
  <c r="BI66" i="5"/>
  <c r="BI66" i="7" s="1"/>
  <c r="BH66" i="5"/>
  <c r="BH66" i="7" s="1"/>
  <c r="BG66" i="5"/>
  <c r="BG66" i="7" s="1"/>
  <c r="BF66" i="5"/>
  <c r="BF66" i="7" s="1"/>
  <c r="BE66" i="5"/>
  <c r="BE66" i="7" s="1"/>
  <c r="BD66" i="5"/>
  <c r="BD66" i="7" s="1"/>
  <c r="BC66" i="5"/>
  <c r="BC66" i="7" s="1"/>
  <c r="BB66" i="5"/>
  <c r="BB66" i="7" s="1"/>
  <c r="BA66" i="5"/>
  <c r="BA66" i="7" s="1"/>
  <c r="AZ66" i="5"/>
  <c r="AZ66" i="7" s="1"/>
  <c r="AY66" i="5"/>
  <c r="AY66" i="7" s="1"/>
  <c r="AX66" i="5"/>
  <c r="AX66" i="7" s="1"/>
  <c r="AW66" i="5"/>
  <c r="AW66" i="7" s="1"/>
  <c r="AV66" i="5"/>
  <c r="AV66" i="7" s="1"/>
  <c r="AU66" i="5"/>
  <c r="AU66" i="7" s="1"/>
  <c r="AT66" i="5"/>
  <c r="AT66" i="7" s="1"/>
  <c r="AS66" i="5"/>
  <c r="AS66" i="7" s="1"/>
  <c r="AR66" i="5"/>
  <c r="AR66" i="7" s="1"/>
  <c r="AQ66" i="5"/>
  <c r="AQ66" i="7" s="1"/>
  <c r="AP66" i="5"/>
  <c r="AP66" i="7" s="1"/>
  <c r="AO66" i="5"/>
  <c r="AO66" i="7" s="1"/>
  <c r="AN66" i="5"/>
  <c r="AN66" i="7" s="1"/>
  <c r="AM66" i="5"/>
  <c r="AM66" i="7" s="1"/>
  <c r="AL66" i="5"/>
  <c r="AL66" i="7" s="1"/>
  <c r="AK66" i="5"/>
  <c r="AK66" i="7" s="1"/>
  <c r="AJ66" i="5"/>
  <c r="AJ66" i="7" s="1"/>
  <c r="AI66" i="5"/>
  <c r="AI66" i="7" s="1"/>
  <c r="AH66" i="5"/>
  <c r="AH66" i="7" s="1"/>
  <c r="AG66" i="5"/>
  <c r="AG66" i="7" s="1"/>
  <c r="AF66" i="5"/>
  <c r="AF66" i="7" s="1"/>
  <c r="AE66" i="5"/>
  <c r="AE66" i="7" s="1"/>
  <c r="AD66" i="5"/>
  <c r="AD66" i="7" s="1"/>
  <c r="AC66" i="5"/>
  <c r="AC66" i="7" s="1"/>
  <c r="AB66" i="5"/>
  <c r="AB66" i="7" s="1"/>
  <c r="AA66" i="5"/>
  <c r="AA66" i="7" s="1"/>
  <c r="Z66" i="5"/>
  <c r="Z66" i="7" s="1"/>
  <c r="Y66" i="5"/>
  <c r="Y66" i="7" s="1"/>
  <c r="X66" i="5"/>
  <c r="X66" i="7" s="1"/>
  <c r="W66" i="5"/>
  <c r="W66" i="7" s="1"/>
  <c r="V66" i="5"/>
  <c r="V66" i="7" s="1"/>
  <c r="U66" i="5"/>
  <c r="U66" i="7" s="1"/>
  <c r="T66" i="5"/>
  <c r="T66" i="7" s="1"/>
  <c r="S66" i="5"/>
  <c r="S66" i="7" s="1"/>
  <c r="R66" i="5"/>
  <c r="R66" i="7" s="1"/>
  <c r="Q66" i="5"/>
  <c r="Q66" i="7" s="1"/>
  <c r="P66" i="5"/>
  <c r="P66" i="7" s="1"/>
  <c r="O66" i="5"/>
  <c r="O66" i="7" s="1"/>
  <c r="N66" i="5"/>
  <c r="N66" i="7" s="1"/>
  <c r="M66" i="5"/>
  <c r="M66" i="7" s="1"/>
  <c r="L66" i="5"/>
  <c r="L66" i="7" s="1"/>
  <c r="K66" i="5"/>
  <c r="K66" i="7" s="1"/>
  <c r="J66" i="5"/>
  <c r="J66" i="7" s="1"/>
  <c r="I66" i="5"/>
  <c r="I66" i="7" s="1"/>
  <c r="H66" i="5"/>
  <c r="H66" i="7" s="1"/>
  <c r="G66" i="5"/>
  <c r="G66" i="7" s="1"/>
  <c r="F66" i="5"/>
  <c r="F66" i="7" s="1"/>
  <c r="E66" i="5"/>
  <c r="E66" i="7" s="1"/>
  <c r="D66" i="5"/>
  <c r="D66" i="7" s="1"/>
  <c r="C66" i="5"/>
  <c r="C66" i="7" s="1"/>
  <c r="B66" i="5"/>
  <c r="B66" i="7" s="1"/>
  <c r="DB65" i="5"/>
  <c r="DB65" i="7" s="1"/>
  <c r="DA65" i="5"/>
  <c r="DA65" i="7" s="1"/>
  <c r="CZ65" i="5"/>
  <c r="CZ65" i="7" s="1"/>
  <c r="CY65" i="5"/>
  <c r="CY65" i="7" s="1"/>
  <c r="CX65" i="5"/>
  <c r="CX65" i="7" s="1"/>
  <c r="CW65" i="5"/>
  <c r="CW65" i="7" s="1"/>
  <c r="CV65" i="5"/>
  <c r="CV65" i="7" s="1"/>
  <c r="CU65" i="5"/>
  <c r="CU65" i="7" s="1"/>
  <c r="CT65" i="5"/>
  <c r="CT65" i="7" s="1"/>
  <c r="CS65" i="5"/>
  <c r="CS65" i="7" s="1"/>
  <c r="CR65" i="5"/>
  <c r="CR65" i="7" s="1"/>
  <c r="CQ65" i="5"/>
  <c r="CQ65" i="7" s="1"/>
  <c r="CP65" i="5"/>
  <c r="CP65" i="7" s="1"/>
  <c r="CO65" i="5"/>
  <c r="CO65" i="7" s="1"/>
  <c r="CN65" i="5"/>
  <c r="CN65" i="7" s="1"/>
  <c r="CM65" i="5"/>
  <c r="CM65" i="7" s="1"/>
  <c r="CL65" i="5"/>
  <c r="CL65" i="7" s="1"/>
  <c r="CK65" i="5"/>
  <c r="CK65" i="7" s="1"/>
  <c r="CJ65" i="5"/>
  <c r="CJ65" i="7" s="1"/>
  <c r="CI65" i="5"/>
  <c r="CI65" i="7" s="1"/>
  <c r="CH65" i="5"/>
  <c r="CH65" i="7" s="1"/>
  <c r="CG65" i="5"/>
  <c r="CG65" i="7" s="1"/>
  <c r="CF65" i="5"/>
  <c r="CF65" i="7" s="1"/>
  <c r="CE65" i="5"/>
  <c r="CE65" i="7" s="1"/>
  <c r="CD65" i="5"/>
  <c r="CD65" i="7" s="1"/>
  <c r="CC65" i="5"/>
  <c r="CC65" i="7" s="1"/>
  <c r="CB65" i="5"/>
  <c r="CB65" i="7" s="1"/>
  <c r="CA65" i="5"/>
  <c r="CA65" i="7" s="1"/>
  <c r="BZ65" i="5"/>
  <c r="BZ65" i="7" s="1"/>
  <c r="BY65" i="5"/>
  <c r="BY65" i="7" s="1"/>
  <c r="BX65" i="5"/>
  <c r="BX65" i="7" s="1"/>
  <c r="BW65" i="5"/>
  <c r="BW65" i="7" s="1"/>
  <c r="BV65" i="5"/>
  <c r="BV65" i="7" s="1"/>
  <c r="BU65" i="5"/>
  <c r="BU65" i="7" s="1"/>
  <c r="BT65" i="5"/>
  <c r="BT65" i="7" s="1"/>
  <c r="BS65" i="5"/>
  <c r="BS65" i="7" s="1"/>
  <c r="BR65" i="5"/>
  <c r="BR65" i="7" s="1"/>
  <c r="BQ65" i="5"/>
  <c r="BQ65" i="7" s="1"/>
  <c r="BP65" i="5"/>
  <c r="BP65" i="7" s="1"/>
  <c r="BO65" i="5"/>
  <c r="BO65" i="7" s="1"/>
  <c r="BN65" i="5"/>
  <c r="BN65" i="7" s="1"/>
  <c r="BM65" i="5"/>
  <c r="BM65" i="7" s="1"/>
  <c r="BL65" i="5"/>
  <c r="BL65" i="7" s="1"/>
  <c r="BK65" i="5"/>
  <c r="BK65" i="7" s="1"/>
  <c r="BJ65" i="5"/>
  <c r="BJ65" i="7" s="1"/>
  <c r="BI65" i="5"/>
  <c r="BI65" i="7" s="1"/>
  <c r="BH65" i="5"/>
  <c r="BH65" i="7" s="1"/>
  <c r="BG65" i="5"/>
  <c r="BG65" i="7" s="1"/>
  <c r="BF65" i="5"/>
  <c r="BF65" i="7" s="1"/>
  <c r="BE65" i="5"/>
  <c r="BE65" i="7" s="1"/>
  <c r="BD65" i="5"/>
  <c r="BD65" i="7" s="1"/>
  <c r="BC65" i="5"/>
  <c r="BC65" i="7" s="1"/>
  <c r="BB65" i="5"/>
  <c r="BB65" i="7" s="1"/>
  <c r="BA65" i="5"/>
  <c r="BA65" i="7" s="1"/>
  <c r="AZ65" i="5"/>
  <c r="AZ65" i="7" s="1"/>
  <c r="AY65" i="5"/>
  <c r="AY65" i="7" s="1"/>
  <c r="AX65" i="5"/>
  <c r="AX65" i="7" s="1"/>
  <c r="AW65" i="5"/>
  <c r="AW65" i="7" s="1"/>
  <c r="AV65" i="5"/>
  <c r="AV65" i="7" s="1"/>
  <c r="AU65" i="5"/>
  <c r="AU65" i="7" s="1"/>
  <c r="AT65" i="5"/>
  <c r="AT65" i="7" s="1"/>
  <c r="AS65" i="5"/>
  <c r="AS65" i="7" s="1"/>
  <c r="AR65" i="5"/>
  <c r="AR65" i="7" s="1"/>
  <c r="AQ65" i="5"/>
  <c r="AQ65" i="7" s="1"/>
  <c r="AP65" i="5"/>
  <c r="AP65" i="7" s="1"/>
  <c r="AO65" i="5"/>
  <c r="AO65" i="7" s="1"/>
  <c r="AN65" i="5"/>
  <c r="AN65" i="7" s="1"/>
  <c r="AM65" i="5"/>
  <c r="AM65" i="7" s="1"/>
  <c r="AL65" i="5"/>
  <c r="AL65" i="7" s="1"/>
  <c r="AK65" i="5"/>
  <c r="AK65" i="7" s="1"/>
  <c r="AJ65" i="5"/>
  <c r="AJ65" i="7" s="1"/>
  <c r="AI65" i="5"/>
  <c r="AI65" i="7" s="1"/>
  <c r="AH65" i="5"/>
  <c r="AH65" i="7" s="1"/>
  <c r="AG65" i="5"/>
  <c r="AG65" i="7" s="1"/>
  <c r="AF65" i="5"/>
  <c r="AF65" i="7" s="1"/>
  <c r="AE65" i="5"/>
  <c r="AE65" i="7" s="1"/>
  <c r="AD65" i="5"/>
  <c r="AD65" i="7" s="1"/>
  <c r="AC65" i="5"/>
  <c r="AC65" i="7" s="1"/>
  <c r="AB65" i="5"/>
  <c r="AB65" i="7" s="1"/>
  <c r="AA65" i="5"/>
  <c r="AA65" i="7" s="1"/>
  <c r="Z65" i="5"/>
  <c r="Z65" i="7" s="1"/>
  <c r="Y65" i="5"/>
  <c r="Y65" i="7" s="1"/>
  <c r="X65" i="5"/>
  <c r="X65" i="7" s="1"/>
  <c r="W65" i="5"/>
  <c r="W65" i="7" s="1"/>
  <c r="V65" i="5"/>
  <c r="V65" i="7" s="1"/>
  <c r="U65" i="5"/>
  <c r="U65" i="7" s="1"/>
  <c r="T65" i="5"/>
  <c r="T65" i="7" s="1"/>
  <c r="S65" i="5"/>
  <c r="S65" i="7" s="1"/>
  <c r="R65" i="5"/>
  <c r="R65" i="7" s="1"/>
  <c r="Q65" i="5"/>
  <c r="Q65" i="7" s="1"/>
  <c r="P65" i="5"/>
  <c r="P65" i="7" s="1"/>
  <c r="O65" i="5"/>
  <c r="O65" i="7" s="1"/>
  <c r="N65" i="5"/>
  <c r="N65" i="7" s="1"/>
  <c r="M65" i="5"/>
  <c r="M65" i="7" s="1"/>
  <c r="L65" i="5"/>
  <c r="L65" i="7" s="1"/>
  <c r="K65" i="5"/>
  <c r="K65" i="7" s="1"/>
  <c r="J65" i="5"/>
  <c r="J65" i="7" s="1"/>
  <c r="I65" i="5"/>
  <c r="I65" i="7" s="1"/>
  <c r="H65" i="5"/>
  <c r="H65" i="7" s="1"/>
  <c r="G65" i="5"/>
  <c r="G65" i="7" s="1"/>
  <c r="F65" i="5"/>
  <c r="F65" i="7" s="1"/>
  <c r="E65" i="5"/>
  <c r="E65" i="7" s="1"/>
  <c r="D65" i="5"/>
  <c r="D65" i="7" s="1"/>
  <c r="C65" i="5"/>
  <c r="C65" i="7" s="1"/>
  <c r="B65" i="5"/>
  <c r="B65" i="7" s="1"/>
  <c r="DB64" i="5"/>
  <c r="DB64" i="7" s="1"/>
  <c r="DA64" i="5"/>
  <c r="DA64" i="7" s="1"/>
  <c r="CZ64" i="5"/>
  <c r="CZ64" i="7" s="1"/>
  <c r="CY64" i="5"/>
  <c r="CY64" i="7" s="1"/>
  <c r="CX64" i="5"/>
  <c r="CX64" i="7" s="1"/>
  <c r="CW64" i="5"/>
  <c r="CW64" i="7" s="1"/>
  <c r="CV64" i="5"/>
  <c r="CV64" i="7" s="1"/>
  <c r="CU64" i="5"/>
  <c r="CU64" i="7" s="1"/>
  <c r="CT64" i="5"/>
  <c r="CT64" i="7" s="1"/>
  <c r="CS64" i="5"/>
  <c r="CS64" i="7" s="1"/>
  <c r="CR64" i="5"/>
  <c r="CR64" i="7" s="1"/>
  <c r="CQ64" i="5"/>
  <c r="CQ64" i="7" s="1"/>
  <c r="CP64" i="5"/>
  <c r="CP64" i="7" s="1"/>
  <c r="CO64" i="5"/>
  <c r="CO64" i="7" s="1"/>
  <c r="CN64" i="5"/>
  <c r="CN64" i="7" s="1"/>
  <c r="CM64" i="5"/>
  <c r="CM64" i="7" s="1"/>
  <c r="CL64" i="5"/>
  <c r="CL64" i="7" s="1"/>
  <c r="CK64" i="5"/>
  <c r="CK64" i="7" s="1"/>
  <c r="CJ64" i="5"/>
  <c r="CJ64" i="7" s="1"/>
  <c r="CI64" i="5"/>
  <c r="CI64" i="7" s="1"/>
  <c r="CH64" i="5"/>
  <c r="CH64" i="7" s="1"/>
  <c r="CG64" i="5"/>
  <c r="CG64" i="7" s="1"/>
  <c r="CF64" i="5"/>
  <c r="CF64" i="7" s="1"/>
  <c r="CE64" i="5"/>
  <c r="CE64" i="7" s="1"/>
  <c r="CD64" i="5"/>
  <c r="CD64" i="7" s="1"/>
  <c r="CC64" i="5"/>
  <c r="CC64" i="7" s="1"/>
  <c r="CB64" i="5"/>
  <c r="CB64" i="7" s="1"/>
  <c r="CA64" i="5"/>
  <c r="CA64" i="7" s="1"/>
  <c r="BZ64" i="5"/>
  <c r="BZ64" i="7" s="1"/>
  <c r="BY64" i="5"/>
  <c r="BY64" i="7" s="1"/>
  <c r="BX64" i="5"/>
  <c r="BX64" i="7" s="1"/>
  <c r="BW64" i="5"/>
  <c r="BW64" i="7" s="1"/>
  <c r="BV64" i="5"/>
  <c r="BV64" i="7" s="1"/>
  <c r="BU64" i="5"/>
  <c r="BU64" i="7" s="1"/>
  <c r="BT64" i="5"/>
  <c r="BT64" i="7" s="1"/>
  <c r="BS64" i="5"/>
  <c r="BS64" i="7" s="1"/>
  <c r="BR64" i="5"/>
  <c r="BR64" i="7" s="1"/>
  <c r="BQ64" i="5"/>
  <c r="BQ64" i="7" s="1"/>
  <c r="BP64" i="5"/>
  <c r="BP64" i="7" s="1"/>
  <c r="BO64" i="5"/>
  <c r="BO64" i="7" s="1"/>
  <c r="BN64" i="5"/>
  <c r="BN64" i="7" s="1"/>
  <c r="BM64" i="5"/>
  <c r="BM64" i="7" s="1"/>
  <c r="BL64" i="5"/>
  <c r="BL64" i="7" s="1"/>
  <c r="BK64" i="5"/>
  <c r="BK64" i="7" s="1"/>
  <c r="BJ64" i="5"/>
  <c r="BJ64" i="7" s="1"/>
  <c r="BI64" i="5"/>
  <c r="BI64" i="7" s="1"/>
  <c r="BH64" i="5"/>
  <c r="BH64" i="7" s="1"/>
  <c r="BG64" i="5"/>
  <c r="BG64" i="7" s="1"/>
  <c r="BF64" i="5"/>
  <c r="BF64" i="7" s="1"/>
  <c r="BE64" i="5"/>
  <c r="BE64" i="7" s="1"/>
  <c r="BD64" i="5"/>
  <c r="BD64" i="7" s="1"/>
  <c r="BC64" i="5"/>
  <c r="BC64" i="7" s="1"/>
  <c r="BB64" i="5"/>
  <c r="BB64" i="7" s="1"/>
  <c r="BA64" i="5"/>
  <c r="BA64" i="7" s="1"/>
  <c r="AZ64" i="5"/>
  <c r="AZ64" i="7" s="1"/>
  <c r="AY64" i="5"/>
  <c r="AY64" i="7" s="1"/>
  <c r="AX64" i="5"/>
  <c r="AX64" i="7" s="1"/>
  <c r="AW64" i="5"/>
  <c r="AW64" i="7" s="1"/>
  <c r="AV64" i="5"/>
  <c r="AV64" i="7" s="1"/>
  <c r="AU64" i="5"/>
  <c r="AU64" i="7" s="1"/>
  <c r="AT64" i="5"/>
  <c r="AT64" i="7" s="1"/>
  <c r="AS64" i="5"/>
  <c r="AS64" i="7" s="1"/>
  <c r="AR64" i="5"/>
  <c r="AR64" i="7" s="1"/>
  <c r="AQ64" i="5"/>
  <c r="AQ64" i="7" s="1"/>
  <c r="AP64" i="5"/>
  <c r="AP64" i="7" s="1"/>
  <c r="AO64" i="5"/>
  <c r="AO64" i="7" s="1"/>
  <c r="AN64" i="5"/>
  <c r="AN64" i="7" s="1"/>
  <c r="AM64" i="5"/>
  <c r="AM64" i="7" s="1"/>
  <c r="AL64" i="5"/>
  <c r="AL64" i="7" s="1"/>
  <c r="AK64" i="5"/>
  <c r="AK64" i="7" s="1"/>
  <c r="AJ64" i="5"/>
  <c r="AJ64" i="7" s="1"/>
  <c r="AI64" i="5"/>
  <c r="AI64" i="7" s="1"/>
  <c r="AH64" i="5"/>
  <c r="AH64" i="7" s="1"/>
  <c r="AG64" i="5"/>
  <c r="AG64" i="7" s="1"/>
  <c r="AF64" i="5"/>
  <c r="AF64" i="7" s="1"/>
  <c r="AE64" i="5"/>
  <c r="AE64" i="7" s="1"/>
  <c r="AD64" i="5"/>
  <c r="AD64" i="7" s="1"/>
  <c r="AC64" i="5"/>
  <c r="AC64" i="7" s="1"/>
  <c r="AB64" i="5"/>
  <c r="AB64" i="7" s="1"/>
  <c r="AA64" i="5"/>
  <c r="AA64" i="7" s="1"/>
  <c r="Z64" i="5"/>
  <c r="Z64" i="7" s="1"/>
  <c r="Y64" i="5"/>
  <c r="Y64" i="7" s="1"/>
  <c r="X64" i="5"/>
  <c r="X64" i="7" s="1"/>
  <c r="W64" i="5"/>
  <c r="W64" i="7" s="1"/>
  <c r="V64" i="5"/>
  <c r="V64" i="7" s="1"/>
  <c r="U64" i="5"/>
  <c r="U64" i="7" s="1"/>
  <c r="T64" i="5"/>
  <c r="T64" i="7" s="1"/>
  <c r="S64" i="5"/>
  <c r="S64" i="7" s="1"/>
  <c r="R64" i="5"/>
  <c r="R64" i="7" s="1"/>
  <c r="Q64" i="5"/>
  <c r="Q64" i="7" s="1"/>
  <c r="P64" i="5"/>
  <c r="P64" i="7" s="1"/>
  <c r="O64" i="5"/>
  <c r="O64" i="7" s="1"/>
  <c r="N64" i="5"/>
  <c r="N64" i="7" s="1"/>
  <c r="M64" i="5"/>
  <c r="M64" i="7" s="1"/>
  <c r="L64" i="5"/>
  <c r="L64" i="7" s="1"/>
  <c r="K64" i="5"/>
  <c r="K64" i="7" s="1"/>
  <c r="J64" i="5"/>
  <c r="J64" i="7" s="1"/>
  <c r="I64" i="5"/>
  <c r="I64" i="7" s="1"/>
  <c r="H64" i="5"/>
  <c r="H64" i="7" s="1"/>
  <c r="G64" i="5"/>
  <c r="G64" i="7" s="1"/>
  <c r="F64" i="5"/>
  <c r="F64" i="7" s="1"/>
  <c r="E64" i="5"/>
  <c r="E64" i="7" s="1"/>
  <c r="D64" i="5"/>
  <c r="D64" i="7" s="1"/>
  <c r="C64" i="5"/>
  <c r="C64" i="7" s="1"/>
  <c r="B64" i="5"/>
  <c r="B64" i="7" s="1"/>
  <c r="DB63" i="5"/>
  <c r="DB63" i="7" s="1"/>
  <c r="DA63" i="5"/>
  <c r="DA63" i="7" s="1"/>
  <c r="CZ63" i="5"/>
  <c r="CZ63" i="7" s="1"/>
  <c r="CY63" i="5"/>
  <c r="CY63" i="7" s="1"/>
  <c r="CX63" i="5"/>
  <c r="CX63" i="7" s="1"/>
  <c r="CW63" i="5"/>
  <c r="CW63" i="7" s="1"/>
  <c r="CV63" i="5"/>
  <c r="CV63" i="7" s="1"/>
  <c r="CU63" i="5"/>
  <c r="CU63" i="7" s="1"/>
  <c r="CT63" i="5"/>
  <c r="CT63" i="7" s="1"/>
  <c r="CS63" i="5"/>
  <c r="CS63" i="7" s="1"/>
  <c r="CR63" i="5"/>
  <c r="CR63" i="7" s="1"/>
  <c r="CQ63" i="5"/>
  <c r="CQ63" i="7" s="1"/>
  <c r="CP63" i="5"/>
  <c r="CP63" i="7" s="1"/>
  <c r="CO63" i="5"/>
  <c r="CO63" i="7" s="1"/>
  <c r="CN63" i="5"/>
  <c r="CN63" i="7" s="1"/>
  <c r="CM63" i="5"/>
  <c r="CM63" i="7" s="1"/>
  <c r="CL63" i="5"/>
  <c r="CL63" i="7" s="1"/>
  <c r="CK63" i="5"/>
  <c r="CK63" i="7" s="1"/>
  <c r="CJ63" i="5"/>
  <c r="CJ63" i="7" s="1"/>
  <c r="CI63" i="5"/>
  <c r="CI63" i="7" s="1"/>
  <c r="CH63" i="5"/>
  <c r="CH63" i="7" s="1"/>
  <c r="CG63" i="5"/>
  <c r="CG63" i="7" s="1"/>
  <c r="CF63" i="5"/>
  <c r="CF63" i="7" s="1"/>
  <c r="CE63" i="5"/>
  <c r="CE63" i="7" s="1"/>
  <c r="CD63" i="5"/>
  <c r="CD63" i="7" s="1"/>
  <c r="CC63" i="5"/>
  <c r="CC63" i="7" s="1"/>
  <c r="CB63" i="5"/>
  <c r="CB63" i="7" s="1"/>
  <c r="CA63" i="5"/>
  <c r="CA63" i="7" s="1"/>
  <c r="BZ63" i="5"/>
  <c r="BZ63" i="7" s="1"/>
  <c r="BY63" i="5"/>
  <c r="BY63" i="7" s="1"/>
  <c r="BX63" i="5"/>
  <c r="BX63" i="7" s="1"/>
  <c r="BW63" i="5"/>
  <c r="BW63" i="7" s="1"/>
  <c r="BV63" i="5"/>
  <c r="BV63" i="7" s="1"/>
  <c r="BU63" i="5"/>
  <c r="BU63" i="7" s="1"/>
  <c r="BT63" i="5"/>
  <c r="BT63" i="7" s="1"/>
  <c r="BS63" i="5"/>
  <c r="BS63" i="7" s="1"/>
  <c r="BR63" i="5"/>
  <c r="BR63" i="7" s="1"/>
  <c r="BQ63" i="5"/>
  <c r="BQ63" i="7" s="1"/>
  <c r="BP63" i="5"/>
  <c r="BP63" i="7" s="1"/>
  <c r="BO63" i="5"/>
  <c r="BO63" i="7" s="1"/>
  <c r="BN63" i="5"/>
  <c r="BN63" i="7" s="1"/>
  <c r="BM63" i="5"/>
  <c r="BM63" i="7" s="1"/>
  <c r="BL63" i="5"/>
  <c r="BL63" i="7" s="1"/>
  <c r="BK63" i="5"/>
  <c r="BK63" i="7" s="1"/>
  <c r="BJ63" i="5"/>
  <c r="BJ63" i="7" s="1"/>
  <c r="BI63" i="5"/>
  <c r="BI63" i="7" s="1"/>
  <c r="BH63" i="5"/>
  <c r="BH63" i="7" s="1"/>
  <c r="BG63" i="5"/>
  <c r="BG63" i="7" s="1"/>
  <c r="BF63" i="5"/>
  <c r="BF63" i="7" s="1"/>
  <c r="BE63" i="5"/>
  <c r="BE63" i="7" s="1"/>
  <c r="BD63" i="5"/>
  <c r="BD63" i="7" s="1"/>
  <c r="BC63" i="5"/>
  <c r="BC63" i="7" s="1"/>
  <c r="BB63" i="5"/>
  <c r="BB63" i="7" s="1"/>
  <c r="BA63" i="5"/>
  <c r="BA63" i="7" s="1"/>
  <c r="AZ63" i="5"/>
  <c r="AZ63" i="7" s="1"/>
  <c r="AY63" i="5"/>
  <c r="AY63" i="7" s="1"/>
  <c r="AX63" i="5"/>
  <c r="AX63" i="7" s="1"/>
  <c r="AW63" i="5"/>
  <c r="AW63" i="7" s="1"/>
  <c r="AV63" i="5"/>
  <c r="AV63" i="7" s="1"/>
  <c r="AU63" i="5"/>
  <c r="AU63" i="7" s="1"/>
  <c r="AT63" i="5"/>
  <c r="AT63" i="7" s="1"/>
  <c r="AS63" i="5"/>
  <c r="AS63" i="7" s="1"/>
  <c r="AR63" i="5"/>
  <c r="AR63" i="7" s="1"/>
  <c r="AQ63" i="5"/>
  <c r="AQ63" i="7" s="1"/>
  <c r="AP63" i="5"/>
  <c r="AP63" i="7" s="1"/>
  <c r="AO63" i="5"/>
  <c r="AO63" i="7" s="1"/>
  <c r="AN63" i="5"/>
  <c r="AN63" i="7" s="1"/>
  <c r="AM63" i="5"/>
  <c r="AM63" i="7" s="1"/>
  <c r="AL63" i="5"/>
  <c r="AL63" i="7" s="1"/>
  <c r="AK63" i="5"/>
  <c r="AK63" i="7" s="1"/>
  <c r="AJ63" i="5"/>
  <c r="AJ63" i="7" s="1"/>
  <c r="AI63" i="5"/>
  <c r="AI63" i="7" s="1"/>
  <c r="AH63" i="5"/>
  <c r="AH63" i="7" s="1"/>
  <c r="AG63" i="5"/>
  <c r="AG63" i="7" s="1"/>
  <c r="AF63" i="5"/>
  <c r="AF63" i="7" s="1"/>
  <c r="AE63" i="5"/>
  <c r="AE63" i="7" s="1"/>
  <c r="AD63" i="5"/>
  <c r="AD63" i="7" s="1"/>
  <c r="AC63" i="5"/>
  <c r="AC63" i="7" s="1"/>
  <c r="AB63" i="5"/>
  <c r="AB63" i="7" s="1"/>
  <c r="AA63" i="5"/>
  <c r="AA63" i="7" s="1"/>
  <c r="Z63" i="5"/>
  <c r="Z63" i="7" s="1"/>
  <c r="Y63" i="5"/>
  <c r="Y63" i="7" s="1"/>
  <c r="X63" i="5"/>
  <c r="X63" i="7" s="1"/>
  <c r="W63" i="5"/>
  <c r="W63" i="7" s="1"/>
  <c r="V63" i="5"/>
  <c r="V63" i="7" s="1"/>
  <c r="U63" i="5"/>
  <c r="U63" i="7" s="1"/>
  <c r="T63" i="5"/>
  <c r="T63" i="7" s="1"/>
  <c r="S63" i="5"/>
  <c r="S63" i="7" s="1"/>
  <c r="R63" i="5"/>
  <c r="R63" i="7" s="1"/>
  <c r="Q63" i="5"/>
  <c r="Q63" i="7" s="1"/>
  <c r="P63" i="5"/>
  <c r="P63" i="7" s="1"/>
  <c r="O63" i="5"/>
  <c r="O63" i="7" s="1"/>
  <c r="N63" i="5"/>
  <c r="N63" i="7" s="1"/>
  <c r="M63" i="5"/>
  <c r="M63" i="7" s="1"/>
  <c r="L63" i="5"/>
  <c r="L63" i="7" s="1"/>
  <c r="K63" i="5"/>
  <c r="K63" i="7" s="1"/>
  <c r="J63" i="5"/>
  <c r="J63" i="7" s="1"/>
  <c r="I63" i="5"/>
  <c r="I63" i="7" s="1"/>
  <c r="H63" i="5"/>
  <c r="H63" i="7" s="1"/>
  <c r="G63" i="5"/>
  <c r="G63" i="7" s="1"/>
  <c r="F63" i="5"/>
  <c r="F63" i="7" s="1"/>
  <c r="E63" i="5"/>
  <c r="E63" i="7" s="1"/>
  <c r="D63" i="5"/>
  <c r="D63" i="7" s="1"/>
  <c r="C63" i="5"/>
  <c r="C63" i="7" s="1"/>
  <c r="B63" i="5"/>
  <c r="B63" i="7" s="1"/>
  <c r="DB62" i="5"/>
  <c r="DB62" i="7" s="1"/>
  <c r="DA62" i="5"/>
  <c r="DA62" i="7" s="1"/>
  <c r="CZ62" i="5"/>
  <c r="CZ62" i="7" s="1"/>
  <c r="CY62" i="5"/>
  <c r="CY62" i="7" s="1"/>
  <c r="CX62" i="5"/>
  <c r="CX62" i="7" s="1"/>
  <c r="CW62" i="5"/>
  <c r="CW62" i="7" s="1"/>
  <c r="CV62" i="5"/>
  <c r="CV62" i="7" s="1"/>
  <c r="CU62" i="5"/>
  <c r="CU62" i="7" s="1"/>
  <c r="CT62" i="5"/>
  <c r="CT62" i="7" s="1"/>
  <c r="CS62" i="5"/>
  <c r="CS62" i="7" s="1"/>
  <c r="CR62" i="5"/>
  <c r="CR62" i="7" s="1"/>
  <c r="CQ62" i="5"/>
  <c r="CQ62" i="7" s="1"/>
  <c r="CP62" i="5"/>
  <c r="CP62" i="7" s="1"/>
  <c r="CO62" i="5"/>
  <c r="CO62" i="7" s="1"/>
  <c r="CN62" i="5"/>
  <c r="CN62" i="7" s="1"/>
  <c r="CM62" i="5"/>
  <c r="CM62" i="7" s="1"/>
  <c r="CL62" i="5"/>
  <c r="CL62" i="7" s="1"/>
  <c r="CK62" i="5"/>
  <c r="CK62" i="7" s="1"/>
  <c r="CJ62" i="5"/>
  <c r="CJ62" i="7" s="1"/>
  <c r="CI62" i="5"/>
  <c r="CI62" i="7" s="1"/>
  <c r="CH62" i="5"/>
  <c r="CH62" i="7" s="1"/>
  <c r="CG62" i="5"/>
  <c r="CG62" i="7" s="1"/>
  <c r="CF62" i="5"/>
  <c r="CF62" i="7" s="1"/>
  <c r="CE62" i="5"/>
  <c r="CE62" i="7" s="1"/>
  <c r="CD62" i="5"/>
  <c r="CD62" i="7" s="1"/>
  <c r="CC62" i="5"/>
  <c r="CC62" i="7" s="1"/>
  <c r="CB62" i="5"/>
  <c r="CB62" i="7" s="1"/>
  <c r="CA62" i="5"/>
  <c r="CA62" i="7" s="1"/>
  <c r="BZ62" i="5"/>
  <c r="BZ62" i="7" s="1"/>
  <c r="BY62" i="5"/>
  <c r="BY62" i="7" s="1"/>
  <c r="BX62" i="5"/>
  <c r="BX62" i="7" s="1"/>
  <c r="BW62" i="5"/>
  <c r="BW62" i="7" s="1"/>
  <c r="BV62" i="5"/>
  <c r="BV62" i="7" s="1"/>
  <c r="BU62" i="5"/>
  <c r="BU62" i="7" s="1"/>
  <c r="BT62" i="5"/>
  <c r="BT62" i="7" s="1"/>
  <c r="BS62" i="5"/>
  <c r="BS62" i="7" s="1"/>
  <c r="BR62" i="5"/>
  <c r="BR62" i="7" s="1"/>
  <c r="BQ62" i="5"/>
  <c r="BQ62" i="7" s="1"/>
  <c r="BP62" i="5"/>
  <c r="BP62" i="7" s="1"/>
  <c r="BO62" i="5"/>
  <c r="BO62" i="7" s="1"/>
  <c r="BN62" i="5"/>
  <c r="BN62" i="7" s="1"/>
  <c r="BM62" i="5"/>
  <c r="BM62" i="7" s="1"/>
  <c r="BL62" i="5"/>
  <c r="BL62" i="7" s="1"/>
  <c r="BK62" i="5"/>
  <c r="BK62" i="7" s="1"/>
  <c r="BJ62" i="5"/>
  <c r="BJ62" i="7" s="1"/>
  <c r="BI62" i="5"/>
  <c r="BI62" i="7" s="1"/>
  <c r="BH62" i="5"/>
  <c r="BH62" i="7" s="1"/>
  <c r="BG62" i="5"/>
  <c r="BG62" i="7" s="1"/>
  <c r="BF62" i="5"/>
  <c r="BF62" i="7" s="1"/>
  <c r="BE62" i="5"/>
  <c r="BE62" i="7" s="1"/>
  <c r="BD62" i="5"/>
  <c r="BD62" i="7" s="1"/>
  <c r="BC62" i="5"/>
  <c r="BC62" i="7" s="1"/>
  <c r="BB62" i="5"/>
  <c r="BB62" i="7" s="1"/>
  <c r="BA62" i="5"/>
  <c r="BA62" i="7" s="1"/>
  <c r="AZ62" i="5"/>
  <c r="AZ62" i="7" s="1"/>
  <c r="AY62" i="5"/>
  <c r="AY62" i="7" s="1"/>
  <c r="AX62" i="5"/>
  <c r="AX62" i="7" s="1"/>
  <c r="AW62" i="5"/>
  <c r="AW62" i="7" s="1"/>
  <c r="AV62" i="5"/>
  <c r="AV62" i="7" s="1"/>
  <c r="AU62" i="5"/>
  <c r="AU62" i="7" s="1"/>
  <c r="AT62" i="5"/>
  <c r="AT62" i="7" s="1"/>
  <c r="AS62" i="5"/>
  <c r="AS62" i="7" s="1"/>
  <c r="AR62" i="5"/>
  <c r="AR62" i="7" s="1"/>
  <c r="AQ62" i="5"/>
  <c r="AQ62" i="7" s="1"/>
  <c r="AP62" i="5"/>
  <c r="AP62" i="7" s="1"/>
  <c r="AO62" i="5"/>
  <c r="AO62" i="7" s="1"/>
  <c r="AN62" i="5"/>
  <c r="AN62" i="7" s="1"/>
  <c r="AM62" i="5"/>
  <c r="AM62" i="7" s="1"/>
  <c r="AL62" i="5"/>
  <c r="AL62" i="7" s="1"/>
  <c r="AK62" i="5"/>
  <c r="AK62" i="7" s="1"/>
  <c r="AJ62" i="5"/>
  <c r="AJ62" i="7" s="1"/>
  <c r="AI62" i="5"/>
  <c r="AI62" i="7" s="1"/>
  <c r="AH62" i="5"/>
  <c r="AH62" i="7" s="1"/>
  <c r="AG62" i="5"/>
  <c r="AG62" i="7" s="1"/>
  <c r="AF62" i="5"/>
  <c r="AF62" i="7" s="1"/>
  <c r="AE62" i="5"/>
  <c r="AE62" i="7" s="1"/>
  <c r="AD62" i="5"/>
  <c r="AD62" i="7" s="1"/>
  <c r="AC62" i="5"/>
  <c r="AC62" i="7" s="1"/>
  <c r="AB62" i="5"/>
  <c r="AB62" i="7" s="1"/>
  <c r="AA62" i="5"/>
  <c r="AA62" i="7" s="1"/>
  <c r="Z62" i="5"/>
  <c r="Z62" i="7" s="1"/>
  <c r="Y62" i="5"/>
  <c r="Y62" i="7" s="1"/>
  <c r="X62" i="5"/>
  <c r="X62" i="7" s="1"/>
  <c r="W62" i="5"/>
  <c r="W62" i="7" s="1"/>
  <c r="V62" i="5"/>
  <c r="V62" i="7" s="1"/>
  <c r="U62" i="5"/>
  <c r="U62" i="7" s="1"/>
  <c r="T62" i="5"/>
  <c r="T62" i="7" s="1"/>
  <c r="S62" i="5"/>
  <c r="S62" i="7" s="1"/>
  <c r="R62" i="5"/>
  <c r="R62" i="7" s="1"/>
  <c r="Q62" i="5"/>
  <c r="Q62" i="7" s="1"/>
  <c r="P62" i="5"/>
  <c r="P62" i="7" s="1"/>
  <c r="O62" i="5"/>
  <c r="O62" i="7" s="1"/>
  <c r="N62" i="5"/>
  <c r="N62" i="7" s="1"/>
  <c r="M62" i="5"/>
  <c r="M62" i="7" s="1"/>
  <c r="L62" i="5"/>
  <c r="L62" i="7" s="1"/>
  <c r="K62" i="5"/>
  <c r="K62" i="7" s="1"/>
  <c r="J62" i="5"/>
  <c r="J62" i="7" s="1"/>
  <c r="I62" i="5"/>
  <c r="I62" i="7" s="1"/>
  <c r="H62" i="5"/>
  <c r="H62" i="7" s="1"/>
  <c r="G62" i="5"/>
  <c r="G62" i="7" s="1"/>
  <c r="F62" i="5"/>
  <c r="F62" i="7" s="1"/>
  <c r="E62" i="5"/>
  <c r="E62" i="7" s="1"/>
  <c r="D62" i="5"/>
  <c r="D62" i="7" s="1"/>
  <c r="C62" i="5"/>
  <c r="C62" i="7" s="1"/>
  <c r="B62" i="5"/>
  <c r="B62" i="7" s="1"/>
  <c r="DB61" i="5"/>
  <c r="DB61" i="7" s="1"/>
  <c r="DA61" i="5"/>
  <c r="DA61" i="7" s="1"/>
  <c r="CZ61" i="5"/>
  <c r="CZ61" i="7" s="1"/>
  <c r="CY61" i="5"/>
  <c r="CY61" i="7" s="1"/>
  <c r="CX61" i="5"/>
  <c r="CX61" i="7" s="1"/>
  <c r="CW61" i="5"/>
  <c r="CW61" i="7" s="1"/>
  <c r="CV61" i="5"/>
  <c r="CV61" i="7" s="1"/>
  <c r="CU61" i="5"/>
  <c r="CU61" i="7" s="1"/>
  <c r="CT61" i="5"/>
  <c r="CT61" i="7" s="1"/>
  <c r="CS61" i="5"/>
  <c r="CS61" i="7" s="1"/>
  <c r="CR61" i="5"/>
  <c r="CR61" i="7" s="1"/>
  <c r="CQ61" i="5"/>
  <c r="CQ61" i="7" s="1"/>
  <c r="CP61" i="5"/>
  <c r="CP61" i="7" s="1"/>
  <c r="CO61" i="5"/>
  <c r="CO61" i="7" s="1"/>
  <c r="CN61" i="5"/>
  <c r="CN61" i="7" s="1"/>
  <c r="CM61" i="5"/>
  <c r="CM61" i="7" s="1"/>
  <c r="CL61" i="5"/>
  <c r="CL61" i="7" s="1"/>
  <c r="CK61" i="5"/>
  <c r="CK61" i="7" s="1"/>
  <c r="CJ61" i="5"/>
  <c r="CJ61" i="7" s="1"/>
  <c r="CI61" i="5"/>
  <c r="CI61" i="7" s="1"/>
  <c r="CH61" i="5"/>
  <c r="CH61" i="7" s="1"/>
  <c r="CG61" i="5"/>
  <c r="CG61" i="7" s="1"/>
  <c r="CF61" i="5"/>
  <c r="CF61" i="7" s="1"/>
  <c r="CE61" i="5"/>
  <c r="CE61" i="7" s="1"/>
  <c r="CD61" i="5"/>
  <c r="CD61" i="7" s="1"/>
  <c r="CC61" i="5"/>
  <c r="CC61" i="7" s="1"/>
  <c r="CB61" i="5"/>
  <c r="CB61" i="7" s="1"/>
  <c r="CA61" i="5"/>
  <c r="CA61" i="7" s="1"/>
  <c r="BZ61" i="5"/>
  <c r="BZ61" i="7" s="1"/>
  <c r="BY61" i="5"/>
  <c r="BY61" i="7" s="1"/>
  <c r="BX61" i="5"/>
  <c r="BX61" i="7" s="1"/>
  <c r="BW61" i="5"/>
  <c r="BW61" i="7" s="1"/>
  <c r="BV61" i="5"/>
  <c r="BV61" i="7" s="1"/>
  <c r="BU61" i="5"/>
  <c r="BU61" i="7" s="1"/>
  <c r="BT61" i="5"/>
  <c r="BT61" i="7" s="1"/>
  <c r="BS61" i="5"/>
  <c r="BS61" i="7" s="1"/>
  <c r="BR61" i="5"/>
  <c r="BR61" i="7" s="1"/>
  <c r="BQ61" i="5"/>
  <c r="BQ61" i="7" s="1"/>
  <c r="BP61" i="5"/>
  <c r="BP61" i="7" s="1"/>
  <c r="BO61" i="5"/>
  <c r="BO61" i="7" s="1"/>
  <c r="BN61" i="5"/>
  <c r="BN61" i="7" s="1"/>
  <c r="BM61" i="5"/>
  <c r="BM61" i="7" s="1"/>
  <c r="BL61" i="5"/>
  <c r="BL61" i="7" s="1"/>
  <c r="BK61" i="5"/>
  <c r="BK61" i="7" s="1"/>
  <c r="BJ61" i="5"/>
  <c r="BJ61" i="7" s="1"/>
  <c r="BI61" i="5"/>
  <c r="BI61" i="7" s="1"/>
  <c r="BH61" i="5"/>
  <c r="BH61" i="7" s="1"/>
  <c r="BG61" i="5"/>
  <c r="BG61" i="7" s="1"/>
  <c r="BF61" i="5"/>
  <c r="BF61" i="7" s="1"/>
  <c r="BE61" i="5"/>
  <c r="BE61" i="7" s="1"/>
  <c r="BD61" i="5"/>
  <c r="BD61" i="7" s="1"/>
  <c r="BC61" i="5"/>
  <c r="BC61" i="7" s="1"/>
  <c r="BB61" i="5"/>
  <c r="BB61" i="7" s="1"/>
  <c r="BA61" i="5"/>
  <c r="BA61" i="7" s="1"/>
  <c r="AZ61" i="5"/>
  <c r="AZ61" i="7" s="1"/>
  <c r="AY61" i="5"/>
  <c r="AY61" i="7" s="1"/>
  <c r="AX61" i="5"/>
  <c r="AX61" i="7" s="1"/>
  <c r="AW61" i="5"/>
  <c r="AW61" i="7" s="1"/>
  <c r="AV61" i="5"/>
  <c r="AV61" i="7" s="1"/>
  <c r="AU61" i="5"/>
  <c r="AU61" i="7" s="1"/>
  <c r="AT61" i="5"/>
  <c r="AT61" i="7" s="1"/>
  <c r="AS61" i="5"/>
  <c r="AS61" i="7" s="1"/>
  <c r="AR61" i="5"/>
  <c r="AR61" i="7" s="1"/>
  <c r="AQ61" i="5"/>
  <c r="AQ61" i="7" s="1"/>
  <c r="AP61" i="5"/>
  <c r="AP61" i="7" s="1"/>
  <c r="AO61" i="5"/>
  <c r="AO61" i="7" s="1"/>
  <c r="AN61" i="5"/>
  <c r="AN61" i="7" s="1"/>
  <c r="AM61" i="5"/>
  <c r="AM61" i="7" s="1"/>
  <c r="AL61" i="5"/>
  <c r="AL61" i="7" s="1"/>
  <c r="AK61" i="5"/>
  <c r="AK61" i="7" s="1"/>
  <c r="AJ61" i="5"/>
  <c r="AJ61" i="7" s="1"/>
  <c r="AI61" i="5"/>
  <c r="AI61" i="7" s="1"/>
  <c r="AH61" i="5"/>
  <c r="AH61" i="7" s="1"/>
  <c r="AG61" i="5"/>
  <c r="AG61" i="7" s="1"/>
  <c r="AF61" i="5"/>
  <c r="AF61" i="7" s="1"/>
  <c r="AE61" i="5"/>
  <c r="AE61" i="7" s="1"/>
  <c r="AD61" i="5"/>
  <c r="AD61" i="7" s="1"/>
  <c r="AC61" i="5"/>
  <c r="AC61" i="7" s="1"/>
  <c r="AB61" i="5"/>
  <c r="AB61" i="7" s="1"/>
  <c r="AA61" i="5"/>
  <c r="AA61" i="7" s="1"/>
  <c r="Z61" i="5"/>
  <c r="Z61" i="7" s="1"/>
  <c r="Y61" i="5"/>
  <c r="Y61" i="7" s="1"/>
  <c r="X61" i="5"/>
  <c r="X61" i="7" s="1"/>
  <c r="W61" i="5"/>
  <c r="W61" i="7" s="1"/>
  <c r="V61" i="5"/>
  <c r="V61" i="7" s="1"/>
  <c r="U61" i="5"/>
  <c r="U61" i="7" s="1"/>
  <c r="T61" i="5"/>
  <c r="T61" i="7" s="1"/>
  <c r="S61" i="5"/>
  <c r="S61" i="7" s="1"/>
  <c r="R61" i="5"/>
  <c r="R61" i="7" s="1"/>
  <c r="Q61" i="5"/>
  <c r="Q61" i="7" s="1"/>
  <c r="P61" i="5"/>
  <c r="P61" i="7" s="1"/>
  <c r="O61" i="5"/>
  <c r="O61" i="7" s="1"/>
  <c r="N61" i="5"/>
  <c r="N61" i="7" s="1"/>
  <c r="M61" i="5"/>
  <c r="M61" i="7" s="1"/>
  <c r="L61" i="5"/>
  <c r="L61" i="7" s="1"/>
  <c r="K61" i="5"/>
  <c r="K61" i="7" s="1"/>
  <c r="J61" i="5"/>
  <c r="J61" i="7" s="1"/>
  <c r="I61" i="5"/>
  <c r="I61" i="7" s="1"/>
  <c r="H61" i="5"/>
  <c r="H61" i="7" s="1"/>
  <c r="G61" i="5"/>
  <c r="G61" i="7" s="1"/>
  <c r="F61" i="5"/>
  <c r="F61" i="7" s="1"/>
  <c r="E61" i="5"/>
  <c r="E61" i="7" s="1"/>
  <c r="D61" i="5"/>
  <c r="D61" i="7" s="1"/>
  <c r="C61" i="5"/>
  <c r="C61" i="7" s="1"/>
  <c r="B61" i="5"/>
  <c r="B61" i="7" s="1"/>
  <c r="DB60" i="5"/>
  <c r="DB60" i="7" s="1"/>
  <c r="DA60" i="5"/>
  <c r="DA60" i="7" s="1"/>
  <c r="CZ60" i="5"/>
  <c r="CZ60" i="7" s="1"/>
  <c r="CY60" i="5"/>
  <c r="CY60" i="7" s="1"/>
  <c r="CX60" i="5"/>
  <c r="CX60" i="7" s="1"/>
  <c r="CW60" i="5"/>
  <c r="CW60" i="7" s="1"/>
  <c r="CV60" i="5"/>
  <c r="CV60" i="7" s="1"/>
  <c r="CU60" i="5"/>
  <c r="CU60" i="7" s="1"/>
  <c r="CT60" i="5"/>
  <c r="CT60" i="7" s="1"/>
  <c r="CS60" i="5"/>
  <c r="CS60" i="7" s="1"/>
  <c r="CR60" i="5"/>
  <c r="CR60" i="7" s="1"/>
  <c r="CQ60" i="5"/>
  <c r="CQ60" i="7" s="1"/>
  <c r="CP60" i="5"/>
  <c r="CP60" i="7" s="1"/>
  <c r="CO60" i="5"/>
  <c r="CO60" i="7" s="1"/>
  <c r="CN60" i="5"/>
  <c r="CN60" i="7" s="1"/>
  <c r="CM60" i="5"/>
  <c r="CM60" i="7" s="1"/>
  <c r="CL60" i="5"/>
  <c r="CL60" i="7" s="1"/>
  <c r="CK60" i="5"/>
  <c r="CK60" i="7" s="1"/>
  <c r="CJ60" i="5"/>
  <c r="CJ60" i="7" s="1"/>
  <c r="CI60" i="5"/>
  <c r="CI60" i="7" s="1"/>
  <c r="CH60" i="5"/>
  <c r="CH60" i="7" s="1"/>
  <c r="CG60" i="5"/>
  <c r="CG60" i="7" s="1"/>
  <c r="CF60" i="5"/>
  <c r="CF60" i="7" s="1"/>
  <c r="CE60" i="5"/>
  <c r="CE60" i="7" s="1"/>
  <c r="CD60" i="5"/>
  <c r="CD60" i="7" s="1"/>
  <c r="CC60" i="5"/>
  <c r="CC60" i="7" s="1"/>
  <c r="CB60" i="5"/>
  <c r="CB60" i="7" s="1"/>
  <c r="CA60" i="5"/>
  <c r="CA60" i="7" s="1"/>
  <c r="BZ60" i="5"/>
  <c r="BZ60" i="7" s="1"/>
  <c r="BY60" i="5"/>
  <c r="BY60" i="7" s="1"/>
  <c r="BX60" i="5"/>
  <c r="BX60" i="7" s="1"/>
  <c r="BW60" i="5"/>
  <c r="BW60" i="7" s="1"/>
  <c r="BV60" i="5"/>
  <c r="BV60" i="7" s="1"/>
  <c r="BU60" i="5"/>
  <c r="BU60" i="7" s="1"/>
  <c r="BT60" i="5"/>
  <c r="BT60" i="7" s="1"/>
  <c r="BS60" i="5"/>
  <c r="BS60" i="7" s="1"/>
  <c r="BR60" i="5"/>
  <c r="BR60" i="7" s="1"/>
  <c r="BQ60" i="5"/>
  <c r="BQ60" i="7" s="1"/>
  <c r="BP60" i="5"/>
  <c r="BP60" i="7" s="1"/>
  <c r="BO60" i="5"/>
  <c r="BO60" i="7" s="1"/>
  <c r="BN60" i="5"/>
  <c r="BN60" i="7" s="1"/>
  <c r="BM60" i="5"/>
  <c r="BM60" i="7" s="1"/>
  <c r="BL60" i="5"/>
  <c r="BL60" i="7" s="1"/>
  <c r="BK60" i="5"/>
  <c r="BK60" i="7" s="1"/>
  <c r="BJ60" i="5"/>
  <c r="BJ60" i="7" s="1"/>
  <c r="BI60" i="5"/>
  <c r="BI60" i="7" s="1"/>
  <c r="BH60" i="5"/>
  <c r="BH60" i="7" s="1"/>
  <c r="BG60" i="5"/>
  <c r="BG60" i="7" s="1"/>
  <c r="BF60" i="5"/>
  <c r="BF60" i="7" s="1"/>
  <c r="BE60" i="5"/>
  <c r="BE60" i="7" s="1"/>
  <c r="BD60" i="5"/>
  <c r="BD60" i="7" s="1"/>
  <c r="BC60" i="5"/>
  <c r="BC60" i="7" s="1"/>
  <c r="BB60" i="5"/>
  <c r="BB60" i="7" s="1"/>
  <c r="BA60" i="5"/>
  <c r="BA60" i="7" s="1"/>
  <c r="AZ60" i="5"/>
  <c r="AZ60" i="7" s="1"/>
  <c r="AY60" i="5"/>
  <c r="AY60" i="7" s="1"/>
  <c r="AX60" i="5"/>
  <c r="AX60" i="7" s="1"/>
  <c r="AW60" i="5"/>
  <c r="AW60" i="7" s="1"/>
  <c r="AV60" i="5"/>
  <c r="AV60" i="7" s="1"/>
  <c r="AU60" i="5"/>
  <c r="AU60" i="7" s="1"/>
  <c r="AT60" i="5"/>
  <c r="AT60" i="7" s="1"/>
  <c r="AS60" i="5"/>
  <c r="AS60" i="7" s="1"/>
  <c r="AR60" i="5"/>
  <c r="AR60" i="7" s="1"/>
  <c r="AQ60" i="5"/>
  <c r="AQ60" i="7" s="1"/>
  <c r="AP60" i="5"/>
  <c r="AP60" i="7" s="1"/>
  <c r="AO60" i="5"/>
  <c r="AO60" i="7" s="1"/>
  <c r="AN60" i="5"/>
  <c r="AN60" i="7" s="1"/>
  <c r="AM60" i="5"/>
  <c r="AM60" i="7" s="1"/>
  <c r="AL60" i="5"/>
  <c r="AL60" i="7" s="1"/>
  <c r="AK60" i="5"/>
  <c r="AK60" i="7" s="1"/>
  <c r="AJ60" i="5"/>
  <c r="AJ60" i="7" s="1"/>
  <c r="AI60" i="5"/>
  <c r="AI60" i="7" s="1"/>
  <c r="AH60" i="5"/>
  <c r="AH60" i="7" s="1"/>
  <c r="AG60" i="5"/>
  <c r="AG60" i="7" s="1"/>
  <c r="AF60" i="5"/>
  <c r="AF60" i="7" s="1"/>
  <c r="AE60" i="5"/>
  <c r="AE60" i="7" s="1"/>
  <c r="AD60" i="5"/>
  <c r="AD60" i="7" s="1"/>
  <c r="AC60" i="5"/>
  <c r="AC60" i="7" s="1"/>
  <c r="AB60" i="5"/>
  <c r="AB60" i="7" s="1"/>
  <c r="AA60" i="5"/>
  <c r="AA60" i="7" s="1"/>
  <c r="Z60" i="5"/>
  <c r="Z60" i="7" s="1"/>
  <c r="Y60" i="5"/>
  <c r="Y60" i="7" s="1"/>
  <c r="X60" i="5"/>
  <c r="X60" i="7" s="1"/>
  <c r="W60" i="5"/>
  <c r="W60" i="7" s="1"/>
  <c r="V60" i="5"/>
  <c r="V60" i="7" s="1"/>
  <c r="U60" i="5"/>
  <c r="U60" i="7" s="1"/>
  <c r="T60" i="5"/>
  <c r="T60" i="7" s="1"/>
  <c r="S60" i="5"/>
  <c r="S60" i="7" s="1"/>
  <c r="R60" i="5"/>
  <c r="R60" i="7" s="1"/>
  <c r="Q60" i="5"/>
  <c r="Q60" i="7" s="1"/>
  <c r="P60" i="5"/>
  <c r="P60" i="7" s="1"/>
  <c r="O60" i="5"/>
  <c r="O60" i="7" s="1"/>
  <c r="N60" i="5"/>
  <c r="N60" i="7" s="1"/>
  <c r="M60" i="5"/>
  <c r="M60" i="7" s="1"/>
  <c r="L60" i="5"/>
  <c r="L60" i="7" s="1"/>
  <c r="K60" i="5"/>
  <c r="K60" i="7" s="1"/>
  <c r="J60" i="5"/>
  <c r="J60" i="7" s="1"/>
  <c r="I60" i="5"/>
  <c r="I60" i="7" s="1"/>
  <c r="H60" i="5"/>
  <c r="H60" i="7" s="1"/>
  <c r="G60" i="5"/>
  <c r="G60" i="7" s="1"/>
  <c r="F60" i="5"/>
  <c r="F60" i="7" s="1"/>
  <c r="E60" i="5"/>
  <c r="E60" i="7" s="1"/>
  <c r="D60" i="5"/>
  <c r="D60" i="7" s="1"/>
  <c r="C60" i="5"/>
  <c r="C60" i="7" s="1"/>
  <c r="B60" i="5"/>
  <c r="B60" i="7" s="1"/>
  <c r="DB59" i="5"/>
  <c r="DB59" i="7" s="1"/>
  <c r="DA59" i="5"/>
  <c r="DA59" i="7" s="1"/>
  <c r="CZ59" i="5"/>
  <c r="CZ59" i="7" s="1"/>
  <c r="CY59" i="5"/>
  <c r="CY59" i="7" s="1"/>
  <c r="CX59" i="5"/>
  <c r="CX59" i="7" s="1"/>
  <c r="CW59" i="5"/>
  <c r="CW59" i="7" s="1"/>
  <c r="CV59" i="5"/>
  <c r="CV59" i="7" s="1"/>
  <c r="CU59" i="5"/>
  <c r="CU59" i="7" s="1"/>
  <c r="CT59" i="5"/>
  <c r="CT59" i="7" s="1"/>
  <c r="CS59" i="5"/>
  <c r="CS59" i="7" s="1"/>
  <c r="CR59" i="5"/>
  <c r="CR59" i="7" s="1"/>
  <c r="CQ59" i="5"/>
  <c r="CQ59" i="7" s="1"/>
  <c r="CP59" i="5"/>
  <c r="CP59" i="7" s="1"/>
  <c r="CO59" i="5"/>
  <c r="CO59" i="7" s="1"/>
  <c r="CN59" i="5"/>
  <c r="CN59" i="7" s="1"/>
  <c r="CM59" i="5"/>
  <c r="CM59" i="7" s="1"/>
  <c r="CL59" i="5"/>
  <c r="CL59" i="7" s="1"/>
  <c r="CK59" i="5"/>
  <c r="CK59" i="7" s="1"/>
  <c r="CJ59" i="5"/>
  <c r="CJ59" i="7" s="1"/>
  <c r="CI59" i="5"/>
  <c r="CI59" i="7" s="1"/>
  <c r="CH59" i="5"/>
  <c r="CH59" i="7" s="1"/>
  <c r="CG59" i="5"/>
  <c r="CG59" i="7" s="1"/>
  <c r="CF59" i="5"/>
  <c r="CF59" i="7" s="1"/>
  <c r="CE59" i="5"/>
  <c r="CE59" i="7" s="1"/>
  <c r="CD59" i="5"/>
  <c r="CD59" i="7" s="1"/>
  <c r="CC59" i="5"/>
  <c r="CC59" i="7" s="1"/>
  <c r="CB59" i="5"/>
  <c r="CB59" i="7" s="1"/>
  <c r="CA59" i="5"/>
  <c r="CA59" i="7" s="1"/>
  <c r="BZ59" i="5"/>
  <c r="BZ59" i="7" s="1"/>
  <c r="BY59" i="5"/>
  <c r="BY59" i="7" s="1"/>
  <c r="BX59" i="5"/>
  <c r="BX59" i="7" s="1"/>
  <c r="BW59" i="5"/>
  <c r="BW59" i="7" s="1"/>
  <c r="BV59" i="5"/>
  <c r="BV59" i="7" s="1"/>
  <c r="BU59" i="5"/>
  <c r="BU59" i="7" s="1"/>
  <c r="BT59" i="5"/>
  <c r="BT59" i="7" s="1"/>
  <c r="BS59" i="5"/>
  <c r="BS59" i="7" s="1"/>
  <c r="BR59" i="5"/>
  <c r="BR59" i="7" s="1"/>
  <c r="BQ59" i="5"/>
  <c r="BQ59" i="7" s="1"/>
  <c r="BP59" i="5"/>
  <c r="BP59" i="7" s="1"/>
  <c r="BO59" i="5"/>
  <c r="BO59" i="7" s="1"/>
  <c r="BN59" i="5"/>
  <c r="BN59" i="7" s="1"/>
  <c r="BM59" i="5"/>
  <c r="BM59" i="7" s="1"/>
  <c r="BL59" i="5"/>
  <c r="BL59" i="7" s="1"/>
  <c r="BK59" i="5"/>
  <c r="BK59" i="7" s="1"/>
  <c r="BJ59" i="5"/>
  <c r="BJ59" i="7" s="1"/>
  <c r="BI59" i="5"/>
  <c r="BI59" i="7" s="1"/>
  <c r="BH59" i="5"/>
  <c r="BH59" i="7" s="1"/>
  <c r="BG59" i="5"/>
  <c r="BG59" i="7" s="1"/>
  <c r="BF59" i="5"/>
  <c r="BF59" i="7" s="1"/>
  <c r="BE59" i="5"/>
  <c r="BE59" i="7" s="1"/>
  <c r="BD59" i="5"/>
  <c r="BD59" i="7" s="1"/>
  <c r="BC59" i="5"/>
  <c r="BC59" i="7" s="1"/>
  <c r="BB59" i="5"/>
  <c r="BB59" i="7" s="1"/>
  <c r="BA59" i="5"/>
  <c r="BA59" i="7" s="1"/>
  <c r="AZ59" i="5"/>
  <c r="AZ59" i="7" s="1"/>
  <c r="AY59" i="5"/>
  <c r="AY59" i="7" s="1"/>
  <c r="AX59" i="5"/>
  <c r="AX59" i="7" s="1"/>
  <c r="AW59" i="5"/>
  <c r="AW59" i="7" s="1"/>
  <c r="AV59" i="5"/>
  <c r="AV59" i="7" s="1"/>
  <c r="AU59" i="5"/>
  <c r="AU59" i="7" s="1"/>
  <c r="AT59" i="5"/>
  <c r="AT59" i="7" s="1"/>
  <c r="AS59" i="5"/>
  <c r="AS59" i="7" s="1"/>
  <c r="AR59" i="5"/>
  <c r="AR59" i="7" s="1"/>
  <c r="AQ59" i="5"/>
  <c r="AQ59" i="7" s="1"/>
  <c r="AP59" i="5"/>
  <c r="AP59" i="7" s="1"/>
  <c r="AO59" i="5"/>
  <c r="AO59" i="7" s="1"/>
  <c r="AN59" i="5"/>
  <c r="AN59" i="7" s="1"/>
  <c r="AM59" i="5"/>
  <c r="AM59" i="7" s="1"/>
  <c r="AL59" i="5"/>
  <c r="AL59" i="7" s="1"/>
  <c r="AK59" i="5"/>
  <c r="AK59" i="7" s="1"/>
  <c r="AJ59" i="5"/>
  <c r="AJ59" i="7" s="1"/>
  <c r="AI59" i="5"/>
  <c r="AI59" i="7" s="1"/>
  <c r="AH59" i="5"/>
  <c r="AH59" i="7" s="1"/>
  <c r="AG59" i="5"/>
  <c r="AG59" i="7" s="1"/>
  <c r="AF59" i="5"/>
  <c r="AF59" i="7" s="1"/>
  <c r="AE59" i="5"/>
  <c r="AE59" i="7" s="1"/>
  <c r="AD59" i="5"/>
  <c r="AD59" i="7" s="1"/>
  <c r="AC59" i="5"/>
  <c r="AC59" i="7" s="1"/>
  <c r="AB59" i="5"/>
  <c r="AB59" i="7" s="1"/>
  <c r="AA59" i="5"/>
  <c r="AA59" i="7" s="1"/>
  <c r="Z59" i="5"/>
  <c r="Z59" i="7" s="1"/>
  <c r="Y59" i="5"/>
  <c r="Y59" i="7" s="1"/>
  <c r="X59" i="5"/>
  <c r="X59" i="7" s="1"/>
  <c r="W59" i="5"/>
  <c r="W59" i="7" s="1"/>
  <c r="V59" i="5"/>
  <c r="V59" i="7" s="1"/>
  <c r="U59" i="5"/>
  <c r="U59" i="7" s="1"/>
  <c r="T59" i="5"/>
  <c r="T59" i="7" s="1"/>
  <c r="S59" i="5"/>
  <c r="S59" i="7" s="1"/>
  <c r="R59" i="5"/>
  <c r="R59" i="7" s="1"/>
  <c r="Q59" i="5"/>
  <c r="Q59" i="7" s="1"/>
  <c r="P59" i="5"/>
  <c r="P59" i="7" s="1"/>
  <c r="O59" i="5"/>
  <c r="O59" i="7" s="1"/>
  <c r="N59" i="5"/>
  <c r="N59" i="7" s="1"/>
  <c r="M59" i="5"/>
  <c r="M59" i="7" s="1"/>
  <c r="L59" i="5"/>
  <c r="L59" i="7" s="1"/>
  <c r="K59" i="5"/>
  <c r="K59" i="7" s="1"/>
  <c r="J59" i="5"/>
  <c r="J59" i="7" s="1"/>
  <c r="I59" i="5"/>
  <c r="I59" i="7" s="1"/>
  <c r="H59" i="5"/>
  <c r="H59" i="7" s="1"/>
  <c r="G59" i="5"/>
  <c r="G59" i="7" s="1"/>
  <c r="F59" i="5"/>
  <c r="F59" i="7" s="1"/>
  <c r="E59" i="5"/>
  <c r="E59" i="7" s="1"/>
  <c r="D59" i="5"/>
  <c r="D59" i="7" s="1"/>
  <c r="C59" i="5"/>
  <c r="C59" i="7" s="1"/>
  <c r="B59" i="5"/>
  <c r="B59" i="7" s="1"/>
  <c r="DB58" i="5"/>
  <c r="DB58" i="7" s="1"/>
  <c r="DA58" i="5"/>
  <c r="DA58" i="7" s="1"/>
  <c r="CZ58" i="5"/>
  <c r="CZ58" i="7" s="1"/>
  <c r="CY58" i="5"/>
  <c r="CY58" i="7" s="1"/>
  <c r="CX58" i="5"/>
  <c r="CX58" i="7" s="1"/>
  <c r="CW58" i="5"/>
  <c r="CW58" i="7" s="1"/>
  <c r="CV58" i="5"/>
  <c r="CV58" i="7" s="1"/>
  <c r="CU58" i="5"/>
  <c r="CU58" i="7" s="1"/>
  <c r="CT58" i="5"/>
  <c r="CT58" i="7" s="1"/>
  <c r="CS58" i="5"/>
  <c r="CS58" i="7" s="1"/>
  <c r="CR58" i="5"/>
  <c r="CR58" i="7" s="1"/>
  <c r="CQ58" i="5"/>
  <c r="CQ58" i="7" s="1"/>
  <c r="CP58" i="5"/>
  <c r="CP58" i="7" s="1"/>
  <c r="CO58" i="5"/>
  <c r="CO58" i="7" s="1"/>
  <c r="CN58" i="5"/>
  <c r="CN58" i="7" s="1"/>
  <c r="CM58" i="5"/>
  <c r="CM58" i="7" s="1"/>
  <c r="CL58" i="5"/>
  <c r="CL58" i="7" s="1"/>
  <c r="CK58" i="5"/>
  <c r="CK58" i="7" s="1"/>
  <c r="CJ58" i="5"/>
  <c r="CJ58" i="7" s="1"/>
  <c r="CI58" i="5"/>
  <c r="CI58" i="7" s="1"/>
  <c r="CH58" i="5"/>
  <c r="CH58" i="7" s="1"/>
  <c r="CG58" i="5"/>
  <c r="CG58" i="7" s="1"/>
  <c r="CF58" i="5"/>
  <c r="CF58" i="7" s="1"/>
  <c r="CE58" i="5"/>
  <c r="CE58" i="7" s="1"/>
  <c r="CD58" i="5"/>
  <c r="CD58" i="7" s="1"/>
  <c r="CC58" i="5"/>
  <c r="CC58" i="7" s="1"/>
  <c r="CB58" i="5"/>
  <c r="CB58" i="7" s="1"/>
  <c r="CA58" i="5"/>
  <c r="CA58" i="7" s="1"/>
  <c r="BZ58" i="5"/>
  <c r="BZ58" i="7" s="1"/>
  <c r="BY58" i="5"/>
  <c r="BY58" i="7" s="1"/>
  <c r="BX58" i="5"/>
  <c r="BX58" i="7" s="1"/>
  <c r="BW58" i="5"/>
  <c r="BW58" i="7" s="1"/>
  <c r="BV58" i="5"/>
  <c r="BV58" i="7" s="1"/>
  <c r="BU58" i="5"/>
  <c r="BU58" i="7" s="1"/>
  <c r="BT58" i="5"/>
  <c r="BT58" i="7" s="1"/>
  <c r="BS58" i="5"/>
  <c r="BS58" i="7" s="1"/>
  <c r="BR58" i="5"/>
  <c r="BR58" i="7" s="1"/>
  <c r="BQ58" i="5"/>
  <c r="BQ58" i="7" s="1"/>
  <c r="BP58" i="5"/>
  <c r="BP58" i="7" s="1"/>
  <c r="BO58" i="5"/>
  <c r="BO58" i="7" s="1"/>
  <c r="BN58" i="5"/>
  <c r="BN58" i="7" s="1"/>
  <c r="BM58" i="5"/>
  <c r="BM58" i="7" s="1"/>
  <c r="BL58" i="5"/>
  <c r="BL58" i="7" s="1"/>
  <c r="BK58" i="5"/>
  <c r="BK58" i="7" s="1"/>
  <c r="BJ58" i="5"/>
  <c r="BJ58" i="7" s="1"/>
  <c r="BI58" i="5"/>
  <c r="BI58" i="7" s="1"/>
  <c r="BH58" i="5"/>
  <c r="BH58" i="7" s="1"/>
  <c r="BG58" i="5"/>
  <c r="BG58" i="7" s="1"/>
  <c r="BF58" i="5"/>
  <c r="BF58" i="7" s="1"/>
  <c r="BE58" i="5"/>
  <c r="BE58" i="7" s="1"/>
  <c r="BD58" i="5"/>
  <c r="BD58" i="7" s="1"/>
  <c r="BC58" i="5"/>
  <c r="BC58" i="7" s="1"/>
  <c r="BB58" i="5"/>
  <c r="BB58" i="7" s="1"/>
  <c r="BA58" i="5"/>
  <c r="BA58" i="7" s="1"/>
  <c r="AZ58" i="5"/>
  <c r="AZ58" i="7" s="1"/>
  <c r="AY58" i="5"/>
  <c r="AY58" i="7" s="1"/>
  <c r="AX58" i="5"/>
  <c r="AX58" i="7" s="1"/>
  <c r="AW58" i="5"/>
  <c r="AW58" i="7" s="1"/>
  <c r="AV58" i="5"/>
  <c r="AV58" i="7" s="1"/>
  <c r="AU58" i="5"/>
  <c r="AU58" i="7" s="1"/>
  <c r="AT58" i="5"/>
  <c r="AT58" i="7" s="1"/>
  <c r="AS58" i="5"/>
  <c r="AS58" i="7" s="1"/>
  <c r="AR58" i="5"/>
  <c r="AR58" i="7" s="1"/>
  <c r="AQ58" i="5"/>
  <c r="AQ58" i="7" s="1"/>
  <c r="AP58" i="5"/>
  <c r="AP58" i="7" s="1"/>
  <c r="AO58" i="5"/>
  <c r="AO58" i="7" s="1"/>
  <c r="AN58" i="5"/>
  <c r="AN58" i="7" s="1"/>
  <c r="AM58" i="5"/>
  <c r="AM58" i="7" s="1"/>
  <c r="AL58" i="5"/>
  <c r="AL58" i="7" s="1"/>
  <c r="AK58" i="5"/>
  <c r="AK58" i="7" s="1"/>
  <c r="AJ58" i="5"/>
  <c r="AJ58" i="7" s="1"/>
  <c r="AI58" i="5"/>
  <c r="AI58" i="7" s="1"/>
  <c r="AH58" i="5"/>
  <c r="AH58" i="7" s="1"/>
  <c r="AG58" i="5"/>
  <c r="AG58" i="7" s="1"/>
  <c r="AF58" i="5"/>
  <c r="AF58" i="7" s="1"/>
  <c r="AE58" i="5"/>
  <c r="AE58" i="7" s="1"/>
  <c r="AD58" i="5"/>
  <c r="AD58" i="7" s="1"/>
  <c r="AC58" i="5"/>
  <c r="AC58" i="7" s="1"/>
  <c r="AB58" i="5"/>
  <c r="AB58" i="7" s="1"/>
  <c r="AA58" i="5"/>
  <c r="AA58" i="7" s="1"/>
  <c r="Z58" i="5"/>
  <c r="Z58" i="7" s="1"/>
  <c r="Y58" i="5"/>
  <c r="Y58" i="7" s="1"/>
  <c r="X58" i="5"/>
  <c r="X58" i="7" s="1"/>
  <c r="W58" i="5"/>
  <c r="W58" i="7" s="1"/>
  <c r="V58" i="5"/>
  <c r="V58" i="7" s="1"/>
  <c r="U58" i="5"/>
  <c r="U58" i="7" s="1"/>
  <c r="T58" i="5"/>
  <c r="T58" i="7" s="1"/>
  <c r="S58" i="5"/>
  <c r="S58" i="7" s="1"/>
  <c r="R58" i="5"/>
  <c r="R58" i="7" s="1"/>
  <c r="Q58" i="5"/>
  <c r="Q58" i="7" s="1"/>
  <c r="P58" i="5"/>
  <c r="P58" i="7" s="1"/>
  <c r="O58" i="5"/>
  <c r="O58" i="7" s="1"/>
  <c r="N58" i="5"/>
  <c r="N58" i="7" s="1"/>
  <c r="M58" i="5"/>
  <c r="M58" i="7" s="1"/>
  <c r="L58" i="5"/>
  <c r="L58" i="7" s="1"/>
  <c r="K58" i="5"/>
  <c r="K58" i="7" s="1"/>
  <c r="J58" i="5"/>
  <c r="J58" i="7" s="1"/>
  <c r="I58" i="5"/>
  <c r="I58" i="7" s="1"/>
  <c r="H58" i="5"/>
  <c r="H58" i="7" s="1"/>
  <c r="G58" i="5"/>
  <c r="G58" i="7" s="1"/>
  <c r="F58" i="5"/>
  <c r="F58" i="7" s="1"/>
  <c r="E58" i="5"/>
  <c r="E58" i="7" s="1"/>
  <c r="D58" i="5"/>
  <c r="D58" i="7" s="1"/>
  <c r="C58" i="5"/>
  <c r="C58" i="7" s="1"/>
  <c r="B58" i="5"/>
  <c r="B58" i="7" s="1"/>
  <c r="DB57" i="5"/>
  <c r="DB57" i="7" s="1"/>
  <c r="DA57" i="5"/>
  <c r="DA57" i="7" s="1"/>
  <c r="CZ57" i="5"/>
  <c r="CZ57" i="7" s="1"/>
  <c r="CY57" i="5"/>
  <c r="CY57" i="7" s="1"/>
  <c r="CX57" i="5"/>
  <c r="CX57" i="7" s="1"/>
  <c r="CW57" i="5"/>
  <c r="CW57" i="7" s="1"/>
  <c r="CV57" i="5"/>
  <c r="CV57" i="7" s="1"/>
  <c r="CU57" i="5"/>
  <c r="CU57" i="7" s="1"/>
  <c r="CT57" i="5"/>
  <c r="CT57" i="7" s="1"/>
  <c r="CS57" i="5"/>
  <c r="CS57" i="7" s="1"/>
  <c r="CR57" i="5"/>
  <c r="CR57" i="7" s="1"/>
  <c r="CQ57" i="5"/>
  <c r="CQ57" i="7" s="1"/>
  <c r="CP57" i="5"/>
  <c r="CP57" i="7" s="1"/>
  <c r="CO57" i="5"/>
  <c r="CO57" i="7" s="1"/>
  <c r="CN57" i="5"/>
  <c r="CN57" i="7" s="1"/>
  <c r="CM57" i="5"/>
  <c r="CM57" i="7" s="1"/>
  <c r="CL57" i="5"/>
  <c r="CL57" i="7" s="1"/>
  <c r="CK57" i="5"/>
  <c r="CK57" i="7" s="1"/>
  <c r="CJ57" i="5"/>
  <c r="CJ57" i="7" s="1"/>
  <c r="CI57" i="5"/>
  <c r="CI57" i="7" s="1"/>
  <c r="CH57" i="5"/>
  <c r="CH57" i="7" s="1"/>
  <c r="CG57" i="5"/>
  <c r="CG57" i="7" s="1"/>
  <c r="CF57" i="5"/>
  <c r="CF57" i="7" s="1"/>
  <c r="CE57" i="5"/>
  <c r="CE57" i="7" s="1"/>
  <c r="CD57" i="5"/>
  <c r="CD57" i="7" s="1"/>
  <c r="CC57" i="5"/>
  <c r="CC57" i="7" s="1"/>
  <c r="CB57" i="5"/>
  <c r="CB57" i="7" s="1"/>
  <c r="CA57" i="5"/>
  <c r="CA57" i="7" s="1"/>
  <c r="BZ57" i="5"/>
  <c r="BZ57" i="7" s="1"/>
  <c r="BY57" i="5"/>
  <c r="BY57" i="7" s="1"/>
  <c r="BX57" i="5"/>
  <c r="BX57" i="7" s="1"/>
  <c r="BW57" i="5"/>
  <c r="BW57" i="7" s="1"/>
  <c r="BV57" i="5"/>
  <c r="BV57" i="7" s="1"/>
  <c r="BU57" i="5"/>
  <c r="BU57" i="7" s="1"/>
  <c r="BT57" i="5"/>
  <c r="BT57" i="7" s="1"/>
  <c r="BS57" i="5"/>
  <c r="BS57" i="7" s="1"/>
  <c r="BR57" i="5"/>
  <c r="BR57" i="7" s="1"/>
  <c r="BQ57" i="5"/>
  <c r="BQ57" i="7" s="1"/>
  <c r="BP57" i="5"/>
  <c r="BP57" i="7" s="1"/>
  <c r="BO57" i="5"/>
  <c r="BO57" i="7" s="1"/>
  <c r="BN57" i="5"/>
  <c r="BN57" i="7" s="1"/>
  <c r="BM57" i="5"/>
  <c r="BM57" i="7" s="1"/>
  <c r="BL57" i="5"/>
  <c r="BL57" i="7" s="1"/>
  <c r="BK57" i="5"/>
  <c r="BK57" i="7" s="1"/>
  <c r="BJ57" i="5"/>
  <c r="BJ57" i="7" s="1"/>
  <c r="BI57" i="5"/>
  <c r="BI57" i="7" s="1"/>
  <c r="BH57" i="5"/>
  <c r="BH57" i="7" s="1"/>
  <c r="BG57" i="5"/>
  <c r="BG57" i="7" s="1"/>
  <c r="BF57" i="5"/>
  <c r="BF57" i="7" s="1"/>
  <c r="BE57" i="5"/>
  <c r="BE57" i="7" s="1"/>
  <c r="BD57" i="5"/>
  <c r="BD57" i="7" s="1"/>
  <c r="BC57" i="5"/>
  <c r="BC57" i="7" s="1"/>
  <c r="BB57" i="5"/>
  <c r="BB57" i="7" s="1"/>
  <c r="BA57" i="5"/>
  <c r="BA57" i="7" s="1"/>
  <c r="AZ57" i="5"/>
  <c r="AZ57" i="7" s="1"/>
  <c r="AY57" i="5"/>
  <c r="AY57" i="7" s="1"/>
  <c r="AX57" i="5"/>
  <c r="AX57" i="7" s="1"/>
  <c r="AW57" i="5"/>
  <c r="AW57" i="7" s="1"/>
  <c r="AV57" i="5"/>
  <c r="AV57" i="7" s="1"/>
  <c r="AU57" i="5"/>
  <c r="AU57" i="7" s="1"/>
  <c r="AT57" i="5"/>
  <c r="AT57" i="7" s="1"/>
  <c r="AS57" i="5"/>
  <c r="AS57" i="7" s="1"/>
  <c r="AR57" i="5"/>
  <c r="AR57" i="7" s="1"/>
  <c r="AQ57" i="5"/>
  <c r="AQ57" i="7" s="1"/>
  <c r="AP57" i="5"/>
  <c r="AP57" i="7" s="1"/>
  <c r="AO57" i="5"/>
  <c r="AO57" i="7" s="1"/>
  <c r="AN57" i="5"/>
  <c r="AN57" i="7" s="1"/>
  <c r="AM57" i="5"/>
  <c r="AM57" i="7" s="1"/>
  <c r="AL57" i="5"/>
  <c r="AL57" i="7" s="1"/>
  <c r="AK57" i="5"/>
  <c r="AK57" i="7" s="1"/>
  <c r="AJ57" i="5"/>
  <c r="AJ57" i="7" s="1"/>
  <c r="AI57" i="5"/>
  <c r="AI57" i="7" s="1"/>
  <c r="AH57" i="5"/>
  <c r="AH57" i="7" s="1"/>
  <c r="AG57" i="5"/>
  <c r="AG57" i="7" s="1"/>
  <c r="AF57" i="5"/>
  <c r="AF57" i="7" s="1"/>
  <c r="AE57" i="5"/>
  <c r="AE57" i="7" s="1"/>
  <c r="AD57" i="5"/>
  <c r="AD57" i="7" s="1"/>
  <c r="AC57" i="5"/>
  <c r="AC57" i="7" s="1"/>
  <c r="AB57" i="5"/>
  <c r="AB57" i="7" s="1"/>
  <c r="AA57" i="5"/>
  <c r="AA57" i="7" s="1"/>
  <c r="Z57" i="5"/>
  <c r="Z57" i="7" s="1"/>
  <c r="Y57" i="5"/>
  <c r="Y57" i="7" s="1"/>
  <c r="X57" i="5"/>
  <c r="X57" i="7" s="1"/>
  <c r="W57" i="5"/>
  <c r="W57" i="7" s="1"/>
  <c r="V57" i="5"/>
  <c r="V57" i="7" s="1"/>
  <c r="U57" i="5"/>
  <c r="U57" i="7" s="1"/>
  <c r="T57" i="5"/>
  <c r="T57" i="7" s="1"/>
  <c r="S57" i="5"/>
  <c r="S57" i="7" s="1"/>
  <c r="R57" i="5"/>
  <c r="R57" i="7" s="1"/>
  <c r="Q57" i="5"/>
  <c r="Q57" i="7" s="1"/>
  <c r="P57" i="5"/>
  <c r="P57" i="7" s="1"/>
  <c r="O57" i="5"/>
  <c r="O57" i="7" s="1"/>
  <c r="N57" i="5"/>
  <c r="N57" i="7" s="1"/>
  <c r="M57" i="5"/>
  <c r="M57" i="7" s="1"/>
  <c r="L57" i="5"/>
  <c r="L57" i="7" s="1"/>
  <c r="K57" i="5"/>
  <c r="K57" i="7" s="1"/>
  <c r="J57" i="5"/>
  <c r="J57" i="7" s="1"/>
  <c r="I57" i="5"/>
  <c r="I57" i="7" s="1"/>
  <c r="H57" i="5"/>
  <c r="H57" i="7" s="1"/>
  <c r="G57" i="5"/>
  <c r="G57" i="7" s="1"/>
  <c r="F57" i="5"/>
  <c r="F57" i="7" s="1"/>
  <c r="E57" i="5"/>
  <c r="E57" i="7" s="1"/>
  <c r="D57" i="5"/>
  <c r="D57" i="7" s="1"/>
  <c r="C57" i="5"/>
  <c r="C57" i="7" s="1"/>
  <c r="B57" i="5"/>
  <c r="B57" i="7" s="1"/>
  <c r="DB56" i="5"/>
  <c r="DB56" i="7" s="1"/>
  <c r="DA56" i="5"/>
  <c r="DA56" i="7" s="1"/>
  <c r="CZ56" i="5"/>
  <c r="CZ56" i="7" s="1"/>
  <c r="CY56" i="5"/>
  <c r="CY56" i="7" s="1"/>
  <c r="CX56" i="5"/>
  <c r="CX56" i="7" s="1"/>
  <c r="CW56" i="5"/>
  <c r="CW56" i="7" s="1"/>
  <c r="CV56" i="5"/>
  <c r="CV56" i="7" s="1"/>
  <c r="CU56" i="5"/>
  <c r="CU56" i="7" s="1"/>
  <c r="CT56" i="5"/>
  <c r="CT56" i="7" s="1"/>
  <c r="CS56" i="5"/>
  <c r="CS56" i="7" s="1"/>
  <c r="CR56" i="5"/>
  <c r="CR56" i="7" s="1"/>
  <c r="CQ56" i="5"/>
  <c r="CQ56" i="7" s="1"/>
  <c r="CP56" i="5"/>
  <c r="CP56" i="7" s="1"/>
  <c r="CO56" i="5"/>
  <c r="CO56" i="7" s="1"/>
  <c r="CN56" i="5"/>
  <c r="CN56" i="7" s="1"/>
  <c r="CM56" i="5"/>
  <c r="CM56" i="7" s="1"/>
  <c r="CL56" i="5"/>
  <c r="CL56" i="7" s="1"/>
  <c r="CK56" i="5"/>
  <c r="CK56" i="7" s="1"/>
  <c r="CJ56" i="5"/>
  <c r="CJ56" i="7" s="1"/>
  <c r="CI56" i="5"/>
  <c r="CI56" i="7" s="1"/>
  <c r="CH56" i="5"/>
  <c r="CH56" i="7" s="1"/>
  <c r="CG56" i="5"/>
  <c r="CG56" i="7" s="1"/>
  <c r="CF56" i="5"/>
  <c r="CF56" i="7" s="1"/>
  <c r="CE56" i="5"/>
  <c r="CE56" i="7" s="1"/>
  <c r="CD56" i="5"/>
  <c r="CD56" i="7" s="1"/>
  <c r="CC56" i="5"/>
  <c r="CC56" i="7" s="1"/>
  <c r="CB56" i="5"/>
  <c r="CB56" i="7" s="1"/>
  <c r="CA56" i="5"/>
  <c r="CA56" i="7" s="1"/>
  <c r="BZ56" i="5"/>
  <c r="BZ56" i="7" s="1"/>
  <c r="BY56" i="5"/>
  <c r="BY56" i="7" s="1"/>
  <c r="BX56" i="5"/>
  <c r="BX56" i="7" s="1"/>
  <c r="BW56" i="5"/>
  <c r="BW56" i="7" s="1"/>
  <c r="BV56" i="5"/>
  <c r="BV56" i="7" s="1"/>
  <c r="BU56" i="5"/>
  <c r="BU56" i="7" s="1"/>
  <c r="BT56" i="5"/>
  <c r="BT56" i="7" s="1"/>
  <c r="BS56" i="5"/>
  <c r="BS56" i="7" s="1"/>
  <c r="BR56" i="5"/>
  <c r="BR56" i="7" s="1"/>
  <c r="BQ56" i="5"/>
  <c r="BQ56" i="7" s="1"/>
  <c r="BP56" i="5"/>
  <c r="BP56" i="7" s="1"/>
  <c r="BO56" i="5"/>
  <c r="BO56" i="7" s="1"/>
  <c r="BN56" i="5"/>
  <c r="BN56" i="7" s="1"/>
  <c r="BM56" i="5"/>
  <c r="BM56" i="7" s="1"/>
  <c r="BL56" i="5"/>
  <c r="BL56" i="7" s="1"/>
  <c r="BK56" i="5"/>
  <c r="BK56" i="7" s="1"/>
  <c r="BJ56" i="5"/>
  <c r="BJ56" i="7" s="1"/>
  <c r="BI56" i="5"/>
  <c r="BI56" i="7" s="1"/>
  <c r="BH56" i="5"/>
  <c r="BH56" i="7" s="1"/>
  <c r="BG56" i="5"/>
  <c r="BG56" i="7" s="1"/>
  <c r="BF56" i="5"/>
  <c r="BF56" i="7" s="1"/>
  <c r="BE56" i="5"/>
  <c r="BE56" i="7" s="1"/>
  <c r="BD56" i="5"/>
  <c r="BD56" i="7" s="1"/>
  <c r="BC56" i="5"/>
  <c r="BC56" i="7" s="1"/>
  <c r="BB56" i="5"/>
  <c r="BB56" i="7" s="1"/>
  <c r="BA56" i="5"/>
  <c r="BA56" i="7" s="1"/>
  <c r="AZ56" i="5"/>
  <c r="AZ56" i="7" s="1"/>
  <c r="AY56" i="5"/>
  <c r="AY56" i="7" s="1"/>
  <c r="AX56" i="5"/>
  <c r="AX56" i="7" s="1"/>
  <c r="AW56" i="5"/>
  <c r="AW56" i="7" s="1"/>
  <c r="AV56" i="5"/>
  <c r="AV56" i="7" s="1"/>
  <c r="AU56" i="5"/>
  <c r="AU56" i="7" s="1"/>
  <c r="AT56" i="5"/>
  <c r="AT56" i="7" s="1"/>
  <c r="AS56" i="5"/>
  <c r="AS56" i="7" s="1"/>
  <c r="AR56" i="5"/>
  <c r="AR56" i="7" s="1"/>
  <c r="AQ56" i="5"/>
  <c r="AQ56" i="7" s="1"/>
  <c r="AP56" i="5"/>
  <c r="AP56" i="7" s="1"/>
  <c r="AO56" i="5"/>
  <c r="AO56" i="7" s="1"/>
  <c r="AN56" i="5"/>
  <c r="AN56" i="7" s="1"/>
  <c r="AM56" i="5"/>
  <c r="AM56" i="7" s="1"/>
  <c r="AL56" i="5"/>
  <c r="AL56" i="7" s="1"/>
  <c r="AK56" i="5"/>
  <c r="AK56" i="7" s="1"/>
  <c r="AJ56" i="5"/>
  <c r="AJ56" i="7" s="1"/>
  <c r="AI56" i="5"/>
  <c r="AI56" i="7" s="1"/>
  <c r="AH56" i="5"/>
  <c r="AH56" i="7" s="1"/>
  <c r="AG56" i="5"/>
  <c r="AG56" i="7" s="1"/>
  <c r="AF56" i="5"/>
  <c r="AF56" i="7" s="1"/>
  <c r="AE56" i="5"/>
  <c r="AE56" i="7" s="1"/>
  <c r="AD56" i="5"/>
  <c r="AD56" i="7" s="1"/>
  <c r="AC56" i="5"/>
  <c r="AC56" i="7" s="1"/>
  <c r="AB56" i="5"/>
  <c r="AB56" i="7" s="1"/>
  <c r="AA56" i="5"/>
  <c r="AA56" i="7" s="1"/>
  <c r="Z56" i="5"/>
  <c r="Z56" i="7" s="1"/>
  <c r="Y56" i="5"/>
  <c r="Y56" i="7" s="1"/>
  <c r="X56" i="5"/>
  <c r="X56" i="7" s="1"/>
  <c r="W56" i="5"/>
  <c r="W56" i="7" s="1"/>
  <c r="V56" i="5"/>
  <c r="V56" i="7" s="1"/>
  <c r="U56" i="5"/>
  <c r="U56" i="7" s="1"/>
  <c r="T56" i="5"/>
  <c r="T56" i="7" s="1"/>
  <c r="S56" i="5"/>
  <c r="S56" i="7" s="1"/>
  <c r="R56" i="5"/>
  <c r="R56" i="7" s="1"/>
  <c r="Q56" i="5"/>
  <c r="Q56" i="7" s="1"/>
  <c r="P56" i="5"/>
  <c r="P56" i="7" s="1"/>
  <c r="O56" i="5"/>
  <c r="O56" i="7" s="1"/>
  <c r="N56" i="5"/>
  <c r="N56" i="7" s="1"/>
  <c r="M56" i="5"/>
  <c r="M56" i="7" s="1"/>
  <c r="L56" i="5"/>
  <c r="L56" i="7" s="1"/>
  <c r="K56" i="5"/>
  <c r="K56" i="7" s="1"/>
  <c r="J56" i="5"/>
  <c r="J56" i="7" s="1"/>
  <c r="I56" i="5"/>
  <c r="I56" i="7" s="1"/>
  <c r="H56" i="5"/>
  <c r="H56" i="7" s="1"/>
  <c r="G56" i="5"/>
  <c r="G56" i="7" s="1"/>
  <c r="F56" i="5"/>
  <c r="F56" i="7" s="1"/>
  <c r="E56" i="5"/>
  <c r="E56" i="7" s="1"/>
  <c r="D56" i="5"/>
  <c r="D56" i="7" s="1"/>
  <c r="C56" i="5"/>
  <c r="C56" i="7" s="1"/>
  <c r="B56" i="5"/>
  <c r="B56" i="7" s="1"/>
  <c r="DB55" i="5"/>
  <c r="DB55" i="7" s="1"/>
  <c r="DA55" i="5"/>
  <c r="DA55" i="7" s="1"/>
  <c r="CZ55" i="5"/>
  <c r="CZ55" i="7" s="1"/>
  <c r="CY55" i="5"/>
  <c r="CY55" i="7" s="1"/>
  <c r="CX55" i="5"/>
  <c r="CX55" i="7" s="1"/>
  <c r="CW55" i="5"/>
  <c r="CW55" i="7" s="1"/>
  <c r="CV55" i="5"/>
  <c r="CV55" i="7" s="1"/>
  <c r="CU55" i="5"/>
  <c r="CU55" i="7" s="1"/>
  <c r="CT55" i="5"/>
  <c r="CT55" i="7" s="1"/>
  <c r="CS55" i="5"/>
  <c r="CS55" i="7" s="1"/>
  <c r="CR55" i="5"/>
  <c r="CR55" i="7" s="1"/>
  <c r="CQ55" i="5"/>
  <c r="CQ55" i="7" s="1"/>
  <c r="CP55" i="5"/>
  <c r="CP55" i="7" s="1"/>
  <c r="CO55" i="5"/>
  <c r="CO55" i="7" s="1"/>
  <c r="CN55" i="5"/>
  <c r="CN55" i="7" s="1"/>
  <c r="CM55" i="5"/>
  <c r="CM55" i="7" s="1"/>
  <c r="CL55" i="5"/>
  <c r="CL55" i="7" s="1"/>
  <c r="CK55" i="5"/>
  <c r="CK55" i="7" s="1"/>
  <c r="CJ55" i="5"/>
  <c r="CJ55" i="7" s="1"/>
  <c r="CI55" i="5"/>
  <c r="CI55" i="7" s="1"/>
  <c r="CH55" i="5"/>
  <c r="CH55" i="7" s="1"/>
  <c r="CG55" i="5"/>
  <c r="CG55" i="7" s="1"/>
  <c r="CF55" i="5"/>
  <c r="CF55" i="7" s="1"/>
  <c r="CE55" i="5"/>
  <c r="CE55" i="7" s="1"/>
  <c r="CD55" i="5"/>
  <c r="CD55" i="7" s="1"/>
  <c r="CC55" i="5"/>
  <c r="CC55" i="7" s="1"/>
  <c r="CB55" i="5"/>
  <c r="CB55" i="7" s="1"/>
  <c r="CA55" i="5"/>
  <c r="CA55" i="7" s="1"/>
  <c r="BZ55" i="5"/>
  <c r="BZ55" i="7" s="1"/>
  <c r="BY55" i="5"/>
  <c r="BY55" i="7" s="1"/>
  <c r="BX55" i="5"/>
  <c r="BX55" i="7" s="1"/>
  <c r="BW55" i="5"/>
  <c r="BW55" i="7" s="1"/>
  <c r="BV55" i="5"/>
  <c r="BV55" i="7" s="1"/>
  <c r="BU55" i="5"/>
  <c r="BU55" i="7" s="1"/>
  <c r="BT55" i="5"/>
  <c r="BT55" i="7" s="1"/>
  <c r="BS55" i="5"/>
  <c r="BS55" i="7" s="1"/>
  <c r="BR55" i="5"/>
  <c r="BR55" i="7" s="1"/>
  <c r="BQ55" i="5"/>
  <c r="BQ55" i="7" s="1"/>
  <c r="BP55" i="5"/>
  <c r="BP55" i="7" s="1"/>
  <c r="BO55" i="5"/>
  <c r="BO55" i="7" s="1"/>
  <c r="BN55" i="5"/>
  <c r="BN55" i="7" s="1"/>
  <c r="BM55" i="5"/>
  <c r="BM55" i="7" s="1"/>
  <c r="BL55" i="5"/>
  <c r="BL55" i="7" s="1"/>
  <c r="BK55" i="5"/>
  <c r="BK55" i="7" s="1"/>
  <c r="BJ55" i="5"/>
  <c r="BJ55" i="7" s="1"/>
  <c r="BI55" i="5"/>
  <c r="BI55" i="7" s="1"/>
  <c r="BH55" i="5"/>
  <c r="BH55" i="7" s="1"/>
  <c r="BG55" i="5"/>
  <c r="BG55" i="7" s="1"/>
  <c r="BF55" i="5"/>
  <c r="BF55" i="7" s="1"/>
  <c r="BE55" i="5"/>
  <c r="BE55" i="7" s="1"/>
  <c r="BD55" i="5"/>
  <c r="BD55" i="7" s="1"/>
  <c r="BC55" i="5"/>
  <c r="BC55" i="7" s="1"/>
  <c r="BB55" i="5"/>
  <c r="BB55" i="7" s="1"/>
  <c r="BA55" i="5"/>
  <c r="BA55" i="7" s="1"/>
  <c r="AZ55" i="5"/>
  <c r="AZ55" i="7" s="1"/>
  <c r="AY55" i="5"/>
  <c r="AY55" i="7" s="1"/>
  <c r="AX55" i="5"/>
  <c r="AX55" i="7" s="1"/>
  <c r="AW55" i="5"/>
  <c r="AW55" i="7" s="1"/>
  <c r="AV55" i="5"/>
  <c r="AV55" i="7" s="1"/>
  <c r="AU55" i="5"/>
  <c r="AU55" i="7" s="1"/>
  <c r="AT55" i="5"/>
  <c r="AT55" i="7" s="1"/>
  <c r="AS55" i="5"/>
  <c r="AS55" i="7" s="1"/>
  <c r="AR55" i="5"/>
  <c r="AR55" i="7" s="1"/>
  <c r="AQ55" i="5"/>
  <c r="AQ55" i="7" s="1"/>
  <c r="AP55" i="5"/>
  <c r="AP55" i="7" s="1"/>
  <c r="AO55" i="5"/>
  <c r="AO55" i="7" s="1"/>
  <c r="AN55" i="5"/>
  <c r="AN55" i="7" s="1"/>
  <c r="AM55" i="5"/>
  <c r="AM55" i="7" s="1"/>
  <c r="AL55" i="5"/>
  <c r="AL55" i="7" s="1"/>
  <c r="AK55" i="5"/>
  <c r="AK55" i="7" s="1"/>
  <c r="AJ55" i="5"/>
  <c r="AJ55" i="7" s="1"/>
  <c r="AI55" i="5"/>
  <c r="AI55" i="7" s="1"/>
  <c r="AH55" i="5"/>
  <c r="AH55" i="7" s="1"/>
  <c r="AG55" i="5"/>
  <c r="AG55" i="7" s="1"/>
  <c r="AF55" i="5"/>
  <c r="AF55" i="7" s="1"/>
  <c r="AE55" i="5"/>
  <c r="AE55" i="7" s="1"/>
  <c r="AD55" i="5"/>
  <c r="AD55" i="7" s="1"/>
  <c r="AC55" i="5"/>
  <c r="AC55" i="7" s="1"/>
  <c r="AB55" i="5"/>
  <c r="AB55" i="7" s="1"/>
  <c r="AA55" i="5"/>
  <c r="AA55" i="7" s="1"/>
  <c r="Z55" i="5"/>
  <c r="Z55" i="7" s="1"/>
  <c r="Y55" i="5"/>
  <c r="Y55" i="7" s="1"/>
  <c r="X55" i="5"/>
  <c r="X55" i="7" s="1"/>
  <c r="W55" i="5"/>
  <c r="W55" i="7" s="1"/>
  <c r="V55" i="5"/>
  <c r="V55" i="7" s="1"/>
  <c r="U55" i="5"/>
  <c r="U55" i="7" s="1"/>
  <c r="T55" i="5"/>
  <c r="T55" i="7" s="1"/>
  <c r="S55" i="5"/>
  <c r="S55" i="7" s="1"/>
  <c r="R55" i="5"/>
  <c r="R55" i="7" s="1"/>
  <c r="Q55" i="5"/>
  <c r="Q55" i="7" s="1"/>
  <c r="P55" i="5"/>
  <c r="P55" i="7" s="1"/>
  <c r="O55" i="5"/>
  <c r="O55" i="7" s="1"/>
  <c r="N55" i="5"/>
  <c r="N55" i="7" s="1"/>
  <c r="M55" i="5"/>
  <c r="M55" i="7" s="1"/>
  <c r="L55" i="5"/>
  <c r="L55" i="7" s="1"/>
  <c r="K55" i="5"/>
  <c r="K55" i="7" s="1"/>
  <c r="J55" i="5"/>
  <c r="J55" i="7" s="1"/>
  <c r="I55" i="5"/>
  <c r="I55" i="7" s="1"/>
  <c r="H55" i="5"/>
  <c r="H55" i="7" s="1"/>
  <c r="G55" i="5"/>
  <c r="G55" i="7" s="1"/>
  <c r="F55" i="5"/>
  <c r="F55" i="7" s="1"/>
  <c r="E55" i="5"/>
  <c r="E55" i="7" s="1"/>
  <c r="D55" i="5"/>
  <c r="D55" i="7" s="1"/>
  <c r="C55" i="5"/>
  <c r="C55" i="7" s="1"/>
  <c r="B55" i="5"/>
  <c r="B55" i="7" s="1"/>
  <c r="DB54" i="5"/>
  <c r="DB54" i="7" s="1"/>
  <c r="DA54" i="5"/>
  <c r="DA54" i="7" s="1"/>
  <c r="CZ54" i="5"/>
  <c r="CZ54" i="7" s="1"/>
  <c r="CY54" i="5"/>
  <c r="CY54" i="7" s="1"/>
  <c r="CX54" i="5"/>
  <c r="CX54" i="7" s="1"/>
  <c r="CW54" i="5"/>
  <c r="CW54" i="7" s="1"/>
  <c r="CV54" i="5"/>
  <c r="CV54" i="7" s="1"/>
  <c r="CU54" i="5"/>
  <c r="CU54" i="7" s="1"/>
  <c r="CT54" i="5"/>
  <c r="CT54" i="7" s="1"/>
  <c r="CS54" i="5"/>
  <c r="CS54" i="7" s="1"/>
  <c r="CR54" i="5"/>
  <c r="CR54" i="7" s="1"/>
  <c r="CQ54" i="5"/>
  <c r="CQ54" i="7" s="1"/>
  <c r="CP54" i="5"/>
  <c r="CP54" i="7" s="1"/>
  <c r="CO54" i="5"/>
  <c r="CO54" i="7" s="1"/>
  <c r="CN54" i="5"/>
  <c r="CN54" i="7" s="1"/>
  <c r="CM54" i="5"/>
  <c r="CM54" i="7" s="1"/>
  <c r="CL54" i="5"/>
  <c r="CL54" i="7" s="1"/>
  <c r="CK54" i="5"/>
  <c r="CK54" i="7" s="1"/>
  <c r="CJ54" i="5"/>
  <c r="CJ54" i="7" s="1"/>
  <c r="CI54" i="5"/>
  <c r="CI54" i="7" s="1"/>
  <c r="CH54" i="5"/>
  <c r="CH54" i="7" s="1"/>
  <c r="CG54" i="5"/>
  <c r="CG54" i="7" s="1"/>
  <c r="CF54" i="5"/>
  <c r="CF54" i="7" s="1"/>
  <c r="CE54" i="5"/>
  <c r="CE54" i="7" s="1"/>
  <c r="CD54" i="5"/>
  <c r="CD54" i="7" s="1"/>
  <c r="CC54" i="5"/>
  <c r="CC54" i="7" s="1"/>
  <c r="CB54" i="5"/>
  <c r="CB54" i="7" s="1"/>
  <c r="CA54" i="5"/>
  <c r="CA54" i="7" s="1"/>
  <c r="BZ54" i="5"/>
  <c r="BZ54" i="7" s="1"/>
  <c r="BY54" i="5"/>
  <c r="BY54" i="7" s="1"/>
  <c r="BX54" i="5"/>
  <c r="BX54" i="7" s="1"/>
  <c r="BW54" i="5"/>
  <c r="BW54" i="7" s="1"/>
  <c r="BV54" i="5"/>
  <c r="BV54" i="7" s="1"/>
  <c r="BU54" i="5"/>
  <c r="BU54" i="7" s="1"/>
  <c r="BT54" i="5"/>
  <c r="BT54" i="7" s="1"/>
  <c r="BS54" i="5"/>
  <c r="BS54" i="7" s="1"/>
  <c r="BR54" i="5"/>
  <c r="BR54" i="7" s="1"/>
  <c r="BQ54" i="5"/>
  <c r="BQ54" i="7" s="1"/>
  <c r="BP54" i="5"/>
  <c r="BP54" i="7" s="1"/>
  <c r="BO54" i="5"/>
  <c r="BO54" i="7" s="1"/>
  <c r="BN54" i="5"/>
  <c r="BN54" i="7" s="1"/>
  <c r="BM54" i="5"/>
  <c r="BM54" i="7" s="1"/>
  <c r="BL54" i="5"/>
  <c r="BL54" i="7" s="1"/>
  <c r="BK54" i="5"/>
  <c r="BK54" i="7" s="1"/>
  <c r="BJ54" i="5"/>
  <c r="BJ54" i="7" s="1"/>
  <c r="BI54" i="5"/>
  <c r="BI54" i="7" s="1"/>
  <c r="BH54" i="5"/>
  <c r="BH54" i="7" s="1"/>
  <c r="BG54" i="5"/>
  <c r="BG54" i="7" s="1"/>
  <c r="BF54" i="5"/>
  <c r="BF54" i="7" s="1"/>
  <c r="BE54" i="5"/>
  <c r="BE54" i="7" s="1"/>
  <c r="BD54" i="5"/>
  <c r="BD54" i="7" s="1"/>
  <c r="BC54" i="5"/>
  <c r="BC54" i="7" s="1"/>
  <c r="BB54" i="5"/>
  <c r="BB54" i="7" s="1"/>
  <c r="BA54" i="5"/>
  <c r="BA54" i="7" s="1"/>
  <c r="AZ54" i="5"/>
  <c r="AZ54" i="7" s="1"/>
  <c r="AY54" i="5"/>
  <c r="AY54" i="7" s="1"/>
  <c r="AX54" i="5"/>
  <c r="AX54" i="7" s="1"/>
  <c r="AW54" i="5"/>
  <c r="AW54" i="7" s="1"/>
  <c r="AV54" i="5"/>
  <c r="AV54" i="7" s="1"/>
  <c r="AU54" i="5"/>
  <c r="AU54" i="7" s="1"/>
  <c r="AT54" i="5"/>
  <c r="AT54" i="7" s="1"/>
  <c r="AS54" i="5"/>
  <c r="AS54" i="7" s="1"/>
  <c r="AR54" i="5"/>
  <c r="AR54" i="7" s="1"/>
  <c r="AQ54" i="5"/>
  <c r="AQ54" i="7" s="1"/>
  <c r="AP54" i="5"/>
  <c r="AP54" i="7" s="1"/>
  <c r="AO54" i="5"/>
  <c r="AO54" i="7" s="1"/>
  <c r="AN54" i="5"/>
  <c r="AN54" i="7" s="1"/>
  <c r="AM54" i="5"/>
  <c r="AM54" i="7" s="1"/>
  <c r="AL54" i="5"/>
  <c r="AL54" i="7" s="1"/>
  <c r="AK54" i="5"/>
  <c r="AK54" i="7" s="1"/>
  <c r="AJ54" i="5"/>
  <c r="AJ54" i="7" s="1"/>
  <c r="AI54" i="5"/>
  <c r="AI54" i="7" s="1"/>
  <c r="AH54" i="5"/>
  <c r="AH54" i="7" s="1"/>
  <c r="AG54" i="5"/>
  <c r="AG54" i="7" s="1"/>
  <c r="AF54" i="5"/>
  <c r="AF54" i="7" s="1"/>
  <c r="AE54" i="5"/>
  <c r="AE54" i="7" s="1"/>
  <c r="AD54" i="5"/>
  <c r="AD54" i="7" s="1"/>
  <c r="AC54" i="5"/>
  <c r="AC54" i="7" s="1"/>
  <c r="AB54" i="5"/>
  <c r="AB54" i="7" s="1"/>
  <c r="AA54" i="5"/>
  <c r="AA54" i="7" s="1"/>
  <c r="Z54" i="5"/>
  <c r="Z54" i="7" s="1"/>
  <c r="Y54" i="5"/>
  <c r="Y54" i="7" s="1"/>
  <c r="X54" i="5"/>
  <c r="X54" i="7" s="1"/>
  <c r="W54" i="5"/>
  <c r="W54" i="7" s="1"/>
  <c r="V54" i="5"/>
  <c r="V54" i="7" s="1"/>
  <c r="U54" i="5"/>
  <c r="U54" i="7" s="1"/>
  <c r="T54" i="5"/>
  <c r="T54" i="7" s="1"/>
  <c r="S54" i="5"/>
  <c r="S54" i="7" s="1"/>
  <c r="R54" i="5"/>
  <c r="R54" i="7" s="1"/>
  <c r="Q54" i="5"/>
  <c r="Q54" i="7" s="1"/>
  <c r="P54" i="5"/>
  <c r="P54" i="7" s="1"/>
  <c r="O54" i="5"/>
  <c r="O54" i="7" s="1"/>
  <c r="N54" i="5"/>
  <c r="N54" i="7" s="1"/>
  <c r="M54" i="5"/>
  <c r="M54" i="7" s="1"/>
  <c r="L54" i="5"/>
  <c r="L54" i="7" s="1"/>
  <c r="K54" i="5"/>
  <c r="K54" i="7" s="1"/>
  <c r="J54" i="5"/>
  <c r="J54" i="7" s="1"/>
  <c r="I54" i="5"/>
  <c r="I54" i="7" s="1"/>
  <c r="H54" i="5"/>
  <c r="H54" i="7" s="1"/>
  <c r="G54" i="5"/>
  <c r="G54" i="7" s="1"/>
  <c r="F54" i="5"/>
  <c r="F54" i="7" s="1"/>
  <c r="E54" i="5"/>
  <c r="E54" i="7" s="1"/>
  <c r="D54" i="5"/>
  <c r="D54" i="7" s="1"/>
  <c r="C54" i="5"/>
  <c r="C54" i="7" s="1"/>
  <c r="B54" i="5"/>
  <c r="B54" i="7" s="1"/>
  <c r="DB53" i="5"/>
  <c r="DB53" i="7" s="1"/>
  <c r="DA53" i="5"/>
  <c r="DA53" i="7" s="1"/>
  <c r="CZ53" i="5"/>
  <c r="CZ53" i="7" s="1"/>
  <c r="CY53" i="5"/>
  <c r="CY53" i="7" s="1"/>
  <c r="CX53" i="5"/>
  <c r="CX53" i="7" s="1"/>
  <c r="CW53" i="5"/>
  <c r="CW53" i="7" s="1"/>
  <c r="CV53" i="5"/>
  <c r="CV53" i="7" s="1"/>
  <c r="CU53" i="5"/>
  <c r="CU53" i="7" s="1"/>
  <c r="CT53" i="5"/>
  <c r="CT53" i="7" s="1"/>
  <c r="CS53" i="5"/>
  <c r="CS53" i="7" s="1"/>
  <c r="CR53" i="5"/>
  <c r="CR53" i="7" s="1"/>
  <c r="CQ53" i="5"/>
  <c r="CQ53" i="7" s="1"/>
  <c r="CP53" i="5"/>
  <c r="CP53" i="7" s="1"/>
  <c r="CO53" i="5"/>
  <c r="CO53" i="7" s="1"/>
  <c r="CN53" i="5"/>
  <c r="CN53" i="7" s="1"/>
  <c r="CM53" i="5"/>
  <c r="CM53" i="7" s="1"/>
  <c r="CL53" i="5"/>
  <c r="CL53" i="7" s="1"/>
  <c r="CK53" i="5"/>
  <c r="CK53" i="7" s="1"/>
  <c r="CJ53" i="5"/>
  <c r="CJ53" i="7" s="1"/>
  <c r="CI53" i="5"/>
  <c r="CI53" i="7" s="1"/>
  <c r="CH53" i="5"/>
  <c r="CH53" i="7" s="1"/>
  <c r="CG53" i="5"/>
  <c r="CG53" i="7" s="1"/>
  <c r="CF53" i="5"/>
  <c r="CF53" i="7" s="1"/>
  <c r="CE53" i="5"/>
  <c r="CE53" i="7" s="1"/>
  <c r="CD53" i="5"/>
  <c r="CD53" i="7" s="1"/>
  <c r="CC53" i="5"/>
  <c r="CC53" i="7" s="1"/>
  <c r="CB53" i="5"/>
  <c r="CB53" i="7" s="1"/>
  <c r="CA53" i="5"/>
  <c r="CA53" i="7" s="1"/>
  <c r="BZ53" i="5"/>
  <c r="BZ53" i="7" s="1"/>
  <c r="BY53" i="5"/>
  <c r="BY53" i="7" s="1"/>
  <c r="BX53" i="5"/>
  <c r="BX53" i="7" s="1"/>
  <c r="BW53" i="5"/>
  <c r="BW53" i="7" s="1"/>
  <c r="BV53" i="5"/>
  <c r="BV53" i="7" s="1"/>
  <c r="BU53" i="5"/>
  <c r="BU53" i="7" s="1"/>
  <c r="BT53" i="5"/>
  <c r="BT53" i="7" s="1"/>
  <c r="BS53" i="5"/>
  <c r="BS53" i="7" s="1"/>
  <c r="BR53" i="5"/>
  <c r="BR53" i="7" s="1"/>
  <c r="BQ53" i="5"/>
  <c r="BQ53" i="7" s="1"/>
  <c r="BP53" i="5"/>
  <c r="BP53" i="7" s="1"/>
  <c r="BO53" i="5"/>
  <c r="BO53" i="7" s="1"/>
  <c r="BN53" i="5"/>
  <c r="BN53" i="7" s="1"/>
  <c r="BM53" i="5"/>
  <c r="BM53" i="7" s="1"/>
  <c r="BL53" i="5"/>
  <c r="BL53" i="7" s="1"/>
  <c r="BK53" i="5"/>
  <c r="BK53" i="7" s="1"/>
  <c r="BJ53" i="5"/>
  <c r="BJ53" i="7" s="1"/>
  <c r="BI53" i="5"/>
  <c r="BI53" i="7" s="1"/>
  <c r="BH53" i="5"/>
  <c r="BH53" i="7" s="1"/>
  <c r="BG53" i="5"/>
  <c r="BG53" i="7" s="1"/>
  <c r="BF53" i="5"/>
  <c r="BF53" i="7" s="1"/>
  <c r="BE53" i="5"/>
  <c r="BE53" i="7" s="1"/>
  <c r="BD53" i="5"/>
  <c r="BD53" i="7" s="1"/>
  <c r="BC53" i="5"/>
  <c r="BC53" i="7" s="1"/>
  <c r="BB53" i="5"/>
  <c r="BB53" i="7" s="1"/>
  <c r="BA53" i="5"/>
  <c r="BA53" i="7" s="1"/>
  <c r="AZ53" i="5"/>
  <c r="AZ53" i="7" s="1"/>
  <c r="AY53" i="5"/>
  <c r="AY53" i="7" s="1"/>
  <c r="AX53" i="5"/>
  <c r="AX53" i="7" s="1"/>
  <c r="AW53" i="5"/>
  <c r="AW53" i="7" s="1"/>
  <c r="AV53" i="5"/>
  <c r="AV53" i="7" s="1"/>
  <c r="AU53" i="5"/>
  <c r="AU53" i="7" s="1"/>
  <c r="AT53" i="5"/>
  <c r="AT53" i="7" s="1"/>
  <c r="AS53" i="5"/>
  <c r="AS53" i="7" s="1"/>
  <c r="AR53" i="5"/>
  <c r="AR53" i="7" s="1"/>
  <c r="AQ53" i="5"/>
  <c r="AQ53" i="7" s="1"/>
  <c r="AP53" i="5"/>
  <c r="AP53" i="7" s="1"/>
  <c r="AO53" i="5"/>
  <c r="AO53" i="7" s="1"/>
  <c r="AN53" i="5"/>
  <c r="AN53" i="7" s="1"/>
  <c r="AM53" i="5"/>
  <c r="AM53" i="7" s="1"/>
  <c r="AL53" i="5"/>
  <c r="AL53" i="7" s="1"/>
  <c r="AK53" i="5"/>
  <c r="AK53" i="7" s="1"/>
  <c r="AJ53" i="5"/>
  <c r="AJ53" i="7" s="1"/>
  <c r="AI53" i="5"/>
  <c r="AI53" i="7" s="1"/>
  <c r="AH53" i="5"/>
  <c r="AH53" i="7" s="1"/>
  <c r="AG53" i="5"/>
  <c r="AG53" i="7" s="1"/>
  <c r="AF53" i="5"/>
  <c r="AF53" i="7" s="1"/>
  <c r="AE53" i="5"/>
  <c r="AE53" i="7" s="1"/>
  <c r="AD53" i="5"/>
  <c r="AD53" i="7" s="1"/>
  <c r="AC53" i="5"/>
  <c r="AC53" i="7" s="1"/>
  <c r="AB53" i="5"/>
  <c r="AB53" i="7" s="1"/>
  <c r="AA53" i="5"/>
  <c r="AA53" i="7" s="1"/>
  <c r="Z53" i="5"/>
  <c r="Z53" i="7" s="1"/>
  <c r="Y53" i="5"/>
  <c r="Y53" i="7" s="1"/>
  <c r="X53" i="5"/>
  <c r="X53" i="7" s="1"/>
  <c r="W53" i="5"/>
  <c r="W53" i="7" s="1"/>
  <c r="V53" i="5"/>
  <c r="V53" i="7" s="1"/>
  <c r="U53" i="5"/>
  <c r="U53" i="7" s="1"/>
  <c r="T53" i="5"/>
  <c r="T53" i="7" s="1"/>
  <c r="S53" i="5"/>
  <c r="S53" i="7" s="1"/>
  <c r="R53" i="5"/>
  <c r="R53" i="7" s="1"/>
  <c r="Q53" i="5"/>
  <c r="Q53" i="7" s="1"/>
  <c r="P53" i="5"/>
  <c r="P53" i="7" s="1"/>
  <c r="O53" i="5"/>
  <c r="O53" i="7" s="1"/>
  <c r="N53" i="5"/>
  <c r="N53" i="7" s="1"/>
  <c r="M53" i="5"/>
  <c r="M53" i="7" s="1"/>
  <c r="L53" i="5"/>
  <c r="L53" i="7" s="1"/>
  <c r="K53" i="5"/>
  <c r="K53" i="7" s="1"/>
  <c r="J53" i="5"/>
  <c r="J53" i="7" s="1"/>
  <c r="I53" i="5"/>
  <c r="I53" i="7" s="1"/>
  <c r="H53" i="5"/>
  <c r="H53" i="7" s="1"/>
  <c r="G53" i="5"/>
  <c r="G53" i="7" s="1"/>
  <c r="F53" i="5"/>
  <c r="F53" i="7" s="1"/>
  <c r="E53" i="5"/>
  <c r="E53" i="7" s="1"/>
  <c r="D53" i="5"/>
  <c r="D53" i="7" s="1"/>
  <c r="C53" i="5"/>
  <c r="C53" i="7" s="1"/>
  <c r="B53" i="5"/>
  <c r="B53" i="7" s="1"/>
  <c r="DB52" i="5"/>
  <c r="DB52" i="7" s="1"/>
  <c r="DA52" i="5"/>
  <c r="DA52" i="7" s="1"/>
  <c r="CZ52" i="5"/>
  <c r="CZ52" i="7" s="1"/>
  <c r="CY52" i="5"/>
  <c r="CY52" i="7" s="1"/>
  <c r="CX52" i="5"/>
  <c r="CX52" i="7" s="1"/>
  <c r="CW52" i="5"/>
  <c r="CW52" i="7" s="1"/>
  <c r="CV52" i="5"/>
  <c r="CV52" i="7" s="1"/>
  <c r="CU52" i="5"/>
  <c r="CU52" i="7" s="1"/>
  <c r="CT52" i="5"/>
  <c r="CT52" i="7" s="1"/>
  <c r="CS52" i="5"/>
  <c r="CS52" i="7" s="1"/>
  <c r="CR52" i="5"/>
  <c r="CR52" i="7" s="1"/>
  <c r="CQ52" i="5"/>
  <c r="CQ52" i="7" s="1"/>
  <c r="CP52" i="5"/>
  <c r="CP52" i="7" s="1"/>
  <c r="CO52" i="5"/>
  <c r="CO52" i="7" s="1"/>
  <c r="CN52" i="5"/>
  <c r="CN52" i="7" s="1"/>
  <c r="CM52" i="5"/>
  <c r="CM52" i="7" s="1"/>
  <c r="CL52" i="5"/>
  <c r="CL52" i="7" s="1"/>
  <c r="CK52" i="5"/>
  <c r="CK52" i="7" s="1"/>
  <c r="CJ52" i="5"/>
  <c r="CJ52" i="7" s="1"/>
  <c r="CI52" i="5"/>
  <c r="CI52" i="7" s="1"/>
  <c r="CH52" i="5"/>
  <c r="CH52" i="7" s="1"/>
  <c r="CG52" i="5"/>
  <c r="CG52" i="7" s="1"/>
  <c r="CF52" i="5"/>
  <c r="CF52" i="7" s="1"/>
  <c r="CE52" i="5"/>
  <c r="CE52" i="7" s="1"/>
  <c r="CD52" i="5"/>
  <c r="CD52" i="7" s="1"/>
  <c r="CC52" i="5"/>
  <c r="CC52" i="7" s="1"/>
  <c r="CB52" i="5"/>
  <c r="CB52" i="7" s="1"/>
  <c r="CA52" i="5"/>
  <c r="CA52" i="7" s="1"/>
  <c r="BZ52" i="5"/>
  <c r="BZ52" i="7" s="1"/>
  <c r="BY52" i="5"/>
  <c r="BY52" i="7" s="1"/>
  <c r="BX52" i="5"/>
  <c r="BX52" i="7" s="1"/>
  <c r="BW52" i="5"/>
  <c r="BW52" i="7" s="1"/>
  <c r="BV52" i="5"/>
  <c r="BV52" i="7" s="1"/>
  <c r="BU52" i="5"/>
  <c r="BU52" i="7" s="1"/>
  <c r="BT52" i="5"/>
  <c r="BT52" i="7" s="1"/>
  <c r="BS52" i="5"/>
  <c r="BS52" i="7" s="1"/>
  <c r="BR52" i="5"/>
  <c r="BR52" i="7" s="1"/>
  <c r="BQ52" i="5"/>
  <c r="BQ52" i="7" s="1"/>
  <c r="BP52" i="5"/>
  <c r="BP52" i="7" s="1"/>
  <c r="BO52" i="5"/>
  <c r="BO52" i="7" s="1"/>
  <c r="BN52" i="5"/>
  <c r="BN52" i="7" s="1"/>
  <c r="BM52" i="5"/>
  <c r="BM52" i="7" s="1"/>
  <c r="BL52" i="5"/>
  <c r="BL52" i="7" s="1"/>
  <c r="BK52" i="5"/>
  <c r="BK52" i="7" s="1"/>
  <c r="BJ52" i="5"/>
  <c r="BJ52" i="7" s="1"/>
  <c r="BI52" i="5"/>
  <c r="BI52" i="7" s="1"/>
  <c r="BH52" i="5"/>
  <c r="BH52" i="7" s="1"/>
  <c r="BG52" i="5"/>
  <c r="BG52" i="7" s="1"/>
  <c r="BF52" i="5"/>
  <c r="BF52" i="7" s="1"/>
  <c r="BE52" i="5"/>
  <c r="BE52" i="7" s="1"/>
  <c r="BD52" i="5"/>
  <c r="BD52" i="7" s="1"/>
  <c r="BC52" i="5"/>
  <c r="BC52" i="7" s="1"/>
  <c r="BB52" i="5"/>
  <c r="BB52" i="7" s="1"/>
  <c r="BA52" i="5"/>
  <c r="BA52" i="7" s="1"/>
  <c r="AZ52" i="5"/>
  <c r="AZ52" i="7" s="1"/>
  <c r="AY52" i="5"/>
  <c r="AY52" i="7" s="1"/>
  <c r="AX52" i="5"/>
  <c r="AX52" i="7" s="1"/>
  <c r="AW52" i="5"/>
  <c r="AW52" i="7" s="1"/>
  <c r="AV52" i="5"/>
  <c r="AV52" i="7" s="1"/>
  <c r="AU52" i="5"/>
  <c r="AU52" i="7" s="1"/>
  <c r="AT52" i="5"/>
  <c r="AT52" i="7" s="1"/>
  <c r="AS52" i="5"/>
  <c r="AS52" i="7" s="1"/>
  <c r="AR52" i="5"/>
  <c r="AR52" i="7" s="1"/>
  <c r="AQ52" i="5"/>
  <c r="AQ52" i="7" s="1"/>
  <c r="AP52" i="5"/>
  <c r="AP52" i="7" s="1"/>
  <c r="AO52" i="5"/>
  <c r="AO52" i="7" s="1"/>
  <c r="AN52" i="5"/>
  <c r="AN52" i="7" s="1"/>
  <c r="AM52" i="5"/>
  <c r="AM52" i="7" s="1"/>
  <c r="AL52" i="5"/>
  <c r="AL52" i="7" s="1"/>
  <c r="AK52" i="5"/>
  <c r="AK52" i="7" s="1"/>
  <c r="AJ52" i="5"/>
  <c r="AJ52" i="7" s="1"/>
  <c r="AI52" i="5"/>
  <c r="AI52" i="7" s="1"/>
  <c r="AH52" i="5"/>
  <c r="AH52" i="7" s="1"/>
  <c r="AG52" i="5"/>
  <c r="AG52" i="7" s="1"/>
  <c r="AF52" i="5"/>
  <c r="AF52" i="7" s="1"/>
  <c r="AE52" i="5"/>
  <c r="AE52" i="7" s="1"/>
  <c r="AD52" i="5"/>
  <c r="AD52" i="7" s="1"/>
  <c r="AC52" i="5"/>
  <c r="AC52" i="7" s="1"/>
  <c r="AB52" i="5"/>
  <c r="AB52" i="7" s="1"/>
  <c r="AA52" i="5"/>
  <c r="AA52" i="7" s="1"/>
  <c r="Z52" i="5"/>
  <c r="Z52" i="7" s="1"/>
  <c r="Y52" i="5"/>
  <c r="Y52" i="7" s="1"/>
  <c r="X52" i="5"/>
  <c r="X52" i="7" s="1"/>
  <c r="W52" i="5"/>
  <c r="W52" i="7" s="1"/>
  <c r="V52" i="5"/>
  <c r="V52" i="7" s="1"/>
  <c r="U52" i="5"/>
  <c r="U52" i="7" s="1"/>
  <c r="T52" i="5"/>
  <c r="T52" i="7" s="1"/>
  <c r="S52" i="5"/>
  <c r="S52" i="7" s="1"/>
  <c r="R52" i="5"/>
  <c r="R52" i="7" s="1"/>
  <c r="Q52" i="5"/>
  <c r="Q52" i="7" s="1"/>
  <c r="P52" i="5"/>
  <c r="P52" i="7" s="1"/>
  <c r="O52" i="5"/>
  <c r="O52" i="7" s="1"/>
  <c r="N52" i="5"/>
  <c r="N52" i="7" s="1"/>
  <c r="M52" i="5"/>
  <c r="M52" i="7" s="1"/>
  <c r="L52" i="5"/>
  <c r="L52" i="7" s="1"/>
  <c r="K52" i="5"/>
  <c r="K52" i="7" s="1"/>
  <c r="J52" i="5"/>
  <c r="J52" i="7" s="1"/>
  <c r="I52" i="5"/>
  <c r="I52" i="7" s="1"/>
  <c r="H52" i="5"/>
  <c r="H52" i="7" s="1"/>
  <c r="G52" i="5"/>
  <c r="G52" i="7" s="1"/>
  <c r="F52" i="5"/>
  <c r="F52" i="7" s="1"/>
  <c r="E52" i="5"/>
  <c r="E52" i="7" s="1"/>
  <c r="D52" i="5"/>
  <c r="D52" i="7" s="1"/>
  <c r="C52" i="5"/>
  <c r="C52" i="7" s="1"/>
  <c r="B52" i="5"/>
  <c r="B52" i="7" s="1"/>
  <c r="DB51" i="5"/>
  <c r="DB51" i="7" s="1"/>
  <c r="DA51" i="5"/>
  <c r="DA51" i="7" s="1"/>
  <c r="CZ51" i="5"/>
  <c r="CZ51" i="7" s="1"/>
  <c r="CY51" i="5"/>
  <c r="CY51" i="7" s="1"/>
  <c r="CX51" i="5"/>
  <c r="CX51" i="7" s="1"/>
  <c r="CW51" i="5"/>
  <c r="CW51" i="7" s="1"/>
  <c r="CV51" i="5"/>
  <c r="CV51" i="7" s="1"/>
  <c r="CU51" i="5"/>
  <c r="CU51" i="7" s="1"/>
  <c r="CT51" i="5"/>
  <c r="CT51" i="7" s="1"/>
  <c r="CS51" i="5"/>
  <c r="CS51" i="7" s="1"/>
  <c r="CR51" i="5"/>
  <c r="CR51" i="7" s="1"/>
  <c r="CQ51" i="5"/>
  <c r="CQ51" i="7" s="1"/>
  <c r="CP51" i="5"/>
  <c r="CP51" i="7" s="1"/>
  <c r="CO51" i="5"/>
  <c r="CO51" i="7" s="1"/>
  <c r="CN51" i="5"/>
  <c r="CN51" i="7" s="1"/>
  <c r="CM51" i="5"/>
  <c r="CM51" i="7" s="1"/>
  <c r="CL51" i="5"/>
  <c r="CL51" i="7" s="1"/>
  <c r="CK51" i="5"/>
  <c r="CK51" i="7" s="1"/>
  <c r="CJ51" i="5"/>
  <c r="CJ51" i="7" s="1"/>
  <c r="CI51" i="5"/>
  <c r="CI51" i="7" s="1"/>
  <c r="CH51" i="5"/>
  <c r="CH51" i="7" s="1"/>
  <c r="CG51" i="5"/>
  <c r="CG51" i="7" s="1"/>
  <c r="CF51" i="5"/>
  <c r="CF51" i="7" s="1"/>
  <c r="CE51" i="5"/>
  <c r="CE51" i="7" s="1"/>
  <c r="CD51" i="5"/>
  <c r="CD51" i="7" s="1"/>
  <c r="CC51" i="5"/>
  <c r="CC51" i="7" s="1"/>
  <c r="CB51" i="5"/>
  <c r="CB51" i="7" s="1"/>
  <c r="CA51" i="5"/>
  <c r="CA51" i="7" s="1"/>
  <c r="BZ51" i="5"/>
  <c r="BZ51" i="7" s="1"/>
  <c r="BY51" i="5"/>
  <c r="BY51" i="7" s="1"/>
  <c r="BX51" i="5"/>
  <c r="BX51" i="7" s="1"/>
  <c r="BW51" i="5"/>
  <c r="BW51" i="7" s="1"/>
  <c r="BV51" i="5"/>
  <c r="BV51" i="7" s="1"/>
  <c r="BU51" i="5"/>
  <c r="BU51" i="7" s="1"/>
  <c r="BT51" i="5"/>
  <c r="BT51" i="7" s="1"/>
  <c r="BS51" i="5"/>
  <c r="BS51" i="7" s="1"/>
  <c r="BR51" i="5"/>
  <c r="BR51" i="7" s="1"/>
  <c r="BQ51" i="5"/>
  <c r="BQ51" i="7" s="1"/>
  <c r="BP51" i="5"/>
  <c r="BP51" i="7" s="1"/>
  <c r="BO51" i="5"/>
  <c r="BO51" i="7" s="1"/>
  <c r="BN51" i="5"/>
  <c r="BN51" i="7" s="1"/>
  <c r="BM51" i="5"/>
  <c r="BM51" i="7" s="1"/>
  <c r="BL51" i="5"/>
  <c r="BL51" i="7" s="1"/>
  <c r="BK51" i="5"/>
  <c r="BK51" i="7" s="1"/>
  <c r="BJ51" i="5"/>
  <c r="BJ51" i="7" s="1"/>
  <c r="BI51" i="5"/>
  <c r="BI51" i="7" s="1"/>
  <c r="BH51" i="5"/>
  <c r="BH51" i="7" s="1"/>
  <c r="BG51" i="5"/>
  <c r="BG51" i="7" s="1"/>
  <c r="BF51" i="5"/>
  <c r="BF51" i="7" s="1"/>
  <c r="BE51" i="5"/>
  <c r="BE51" i="7" s="1"/>
  <c r="BD51" i="5"/>
  <c r="BD51" i="7" s="1"/>
  <c r="BC51" i="5"/>
  <c r="BC51" i="7" s="1"/>
  <c r="BB51" i="5"/>
  <c r="BB51" i="7" s="1"/>
  <c r="BA51" i="5"/>
  <c r="BA51" i="7" s="1"/>
  <c r="AZ51" i="5"/>
  <c r="AZ51" i="7" s="1"/>
  <c r="AY51" i="5"/>
  <c r="AY51" i="7" s="1"/>
  <c r="AX51" i="5"/>
  <c r="AX51" i="7" s="1"/>
  <c r="AW51" i="5"/>
  <c r="AW51" i="7" s="1"/>
  <c r="AV51" i="5"/>
  <c r="AV51" i="7" s="1"/>
  <c r="AU51" i="5"/>
  <c r="AU51" i="7" s="1"/>
  <c r="AT51" i="5"/>
  <c r="AT51" i="7" s="1"/>
  <c r="AS51" i="5"/>
  <c r="AS51" i="7" s="1"/>
  <c r="AR51" i="5"/>
  <c r="AR51" i="7" s="1"/>
  <c r="AQ51" i="5"/>
  <c r="AQ51" i="7" s="1"/>
  <c r="AP51" i="5"/>
  <c r="AP51" i="7" s="1"/>
  <c r="AO51" i="5"/>
  <c r="AO51" i="7" s="1"/>
  <c r="AN51" i="5"/>
  <c r="AN51" i="7" s="1"/>
  <c r="AM51" i="5"/>
  <c r="AM51" i="7" s="1"/>
  <c r="AL51" i="5"/>
  <c r="AL51" i="7" s="1"/>
  <c r="AK51" i="5"/>
  <c r="AK51" i="7" s="1"/>
  <c r="AJ51" i="5"/>
  <c r="AJ51" i="7" s="1"/>
  <c r="AI51" i="5"/>
  <c r="AI51" i="7" s="1"/>
  <c r="AH51" i="5"/>
  <c r="AH51" i="7" s="1"/>
  <c r="AG51" i="5"/>
  <c r="AG51" i="7" s="1"/>
  <c r="AF51" i="5"/>
  <c r="AF51" i="7" s="1"/>
  <c r="AE51" i="5"/>
  <c r="AE51" i="7" s="1"/>
  <c r="AD51" i="5"/>
  <c r="AD51" i="7" s="1"/>
  <c r="AC51" i="5"/>
  <c r="AC51" i="7" s="1"/>
  <c r="AB51" i="5"/>
  <c r="AB51" i="7" s="1"/>
  <c r="AA51" i="5"/>
  <c r="AA51" i="7" s="1"/>
  <c r="Z51" i="5"/>
  <c r="Z51" i="7" s="1"/>
  <c r="Y51" i="5"/>
  <c r="Y51" i="7" s="1"/>
  <c r="X51" i="5"/>
  <c r="X51" i="7" s="1"/>
  <c r="W51" i="5"/>
  <c r="W51" i="7" s="1"/>
  <c r="V51" i="5"/>
  <c r="V51" i="7" s="1"/>
  <c r="U51" i="5"/>
  <c r="U51" i="7" s="1"/>
  <c r="T51" i="5"/>
  <c r="T51" i="7" s="1"/>
  <c r="S51" i="5"/>
  <c r="S51" i="7" s="1"/>
  <c r="R51" i="5"/>
  <c r="R51" i="7" s="1"/>
  <c r="Q51" i="5"/>
  <c r="Q51" i="7" s="1"/>
  <c r="P51" i="5"/>
  <c r="P51" i="7" s="1"/>
  <c r="O51" i="5"/>
  <c r="O51" i="7" s="1"/>
  <c r="N51" i="5"/>
  <c r="N51" i="7" s="1"/>
  <c r="M51" i="5"/>
  <c r="M51" i="7" s="1"/>
  <c r="L51" i="5"/>
  <c r="L51" i="7" s="1"/>
  <c r="K51" i="5"/>
  <c r="K51" i="7" s="1"/>
  <c r="J51" i="5"/>
  <c r="J51" i="7" s="1"/>
  <c r="I51" i="5"/>
  <c r="I51" i="7" s="1"/>
  <c r="H51" i="5"/>
  <c r="H51" i="7" s="1"/>
  <c r="G51" i="5"/>
  <c r="G51" i="7" s="1"/>
  <c r="F51" i="5"/>
  <c r="F51" i="7" s="1"/>
  <c r="E51" i="5"/>
  <c r="E51" i="7" s="1"/>
  <c r="D51" i="5"/>
  <c r="D51" i="7" s="1"/>
  <c r="C51" i="5"/>
  <c r="C51" i="7" s="1"/>
  <c r="B51" i="5"/>
  <c r="B51" i="7" s="1"/>
  <c r="DB50" i="5"/>
  <c r="DB50" i="7" s="1"/>
  <c r="DA50" i="5"/>
  <c r="DA50" i="7" s="1"/>
  <c r="CZ50" i="5"/>
  <c r="CZ50" i="7" s="1"/>
  <c r="CY50" i="5"/>
  <c r="CY50" i="7" s="1"/>
  <c r="CX50" i="5"/>
  <c r="CX50" i="7" s="1"/>
  <c r="CW50" i="5"/>
  <c r="CW50" i="7" s="1"/>
  <c r="CV50" i="5"/>
  <c r="CV50" i="7" s="1"/>
  <c r="CU50" i="5"/>
  <c r="CU50" i="7" s="1"/>
  <c r="CT50" i="5"/>
  <c r="CT50" i="7" s="1"/>
  <c r="CS50" i="5"/>
  <c r="CS50" i="7" s="1"/>
  <c r="CR50" i="5"/>
  <c r="CR50" i="7" s="1"/>
  <c r="CQ50" i="5"/>
  <c r="CQ50" i="7" s="1"/>
  <c r="CP50" i="5"/>
  <c r="CP50" i="7" s="1"/>
  <c r="CO50" i="5"/>
  <c r="CO50" i="7" s="1"/>
  <c r="CN50" i="5"/>
  <c r="CN50" i="7" s="1"/>
  <c r="CM50" i="5"/>
  <c r="CM50" i="7" s="1"/>
  <c r="CL50" i="5"/>
  <c r="CL50" i="7" s="1"/>
  <c r="CK50" i="5"/>
  <c r="CK50" i="7" s="1"/>
  <c r="CJ50" i="5"/>
  <c r="CJ50" i="7" s="1"/>
  <c r="CI50" i="5"/>
  <c r="CI50" i="7" s="1"/>
  <c r="CH50" i="5"/>
  <c r="CH50" i="7" s="1"/>
  <c r="CG50" i="5"/>
  <c r="CG50" i="7" s="1"/>
  <c r="CF50" i="5"/>
  <c r="CF50" i="7" s="1"/>
  <c r="CE50" i="5"/>
  <c r="CE50" i="7" s="1"/>
  <c r="CD50" i="5"/>
  <c r="CD50" i="7" s="1"/>
  <c r="CC50" i="5"/>
  <c r="CC50" i="7" s="1"/>
  <c r="CB50" i="5"/>
  <c r="CB50" i="7" s="1"/>
  <c r="CA50" i="5"/>
  <c r="CA50" i="7" s="1"/>
  <c r="BZ50" i="5"/>
  <c r="BZ50" i="7" s="1"/>
  <c r="BY50" i="5"/>
  <c r="BY50" i="7" s="1"/>
  <c r="BX50" i="5"/>
  <c r="BX50" i="7" s="1"/>
  <c r="BW50" i="5"/>
  <c r="BW50" i="7" s="1"/>
  <c r="BV50" i="5"/>
  <c r="BV50" i="7" s="1"/>
  <c r="BU50" i="5"/>
  <c r="BU50" i="7" s="1"/>
  <c r="BT50" i="5"/>
  <c r="BT50" i="7" s="1"/>
  <c r="BS50" i="5"/>
  <c r="BS50" i="7" s="1"/>
  <c r="BR50" i="5"/>
  <c r="BR50" i="7" s="1"/>
  <c r="BQ50" i="5"/>
  <c r="BQ50" i="7" s="1"/>
  <c r="BP50" i="5"/>
  <c r="BP50" i="7" s="1"/>
  <c r="BO50" i="5"/>
  <c r="BO50" i="7" s="1"/>
  <c r="BN50" i="5"/>
  <c r="BN50" i="7" s="1"/>
  <c r="BM50" i="5"/>
  <c r="BM50" i="7" s="1"/>
  <c r="BL50" i="5"/>
  <c r="BL50" i="7" s="1"/>
  <c r="BK50" i="5"/>
  <c r="BK50" i="7" s="1"/>
  <c r="BJ50" i="5"/>
  <c r="BJ50" i="7" s="1"/>
  <c r="BI50" i="5"/>
  <c r="BI50" i="7" s="1"/>
  <c r="BH50" i="5"/>
  <c r="BH50" i="7" s="1"/>
  <c r="BG50" i="5"/>
  <c r="BG50" i="7" s="1"/>
  <c r="BF50" i="5"/>
  <c r="BF50" i="7" s="1"/>
  <c r="BE50" i="5"/>
  <c r="BE50" i="7" s="1"/>
  <c r="BD50" i="5"/>
  <c r="BD50" i="7" s="1"/>
  <c r="BC50" i="5"/>
  <c r="BC50" i="7" s="1"/>
  <c r="BB50" i="5"/>
  <c r="BB50" i="7" s="1"/>
  <c r="BA50" i="5"/>
  <c r="BA50" i="7" s="1"/>
  <c r="AZ50" i="5"/>
  <c r="AZ50" i="7" s="1"/>
  <c r="AY50" i="5"/>
  <c r="AY50" i="7" s="1"/>
  <c r="AX50" i="5"/>
  <c r="AX50" i="7" s="1"/>
  <c r="AW50" i="5"/>
  <c r="AW50" i="7" s="1"/>
  <c r="AV50" i="5"/>
  <c r="AV50" i="7" s="1"/>
  <c r="AU50" i="5"/>
  <c r="AU50" i="7" s="1"/>
  <c r="AT50" i="5"/>
  <c r="AT50" i="7" s="1"/>
  <c r="AS50" i="5"/>
  <c r="AS50" i="7" s="1"/>
  <c r="AR50" i="5"/>
  <c r="AR50" i="7" s="1"/>
  <c r="AQ50" i="5"/>
  <c r="AQ50" i="7" s="1"/>
  <c r="AP50" i="5"/>
  <c r="AP50" i="7" s="1"/>
  <c r="AO50" i="5"/>
  <c r="AO50" i="7" s="1"/>
  <c r="AN50" i="5"/>
  <c r="AN50" i="7" s="1"/>
  <c r="AM50" i="5"/>
  <c r="AM50" i="7" s="1"/>
  <c r="AL50" i="5"/>
  <c r="AL50" i="7" s="1"/>
  <c r="AK50" i="5"/>
  <c r="AK50" i="7" s="1"/>
  <c r="AJ50" i="5"/>
  <c r="AJ50" i="7" s="1"/>
  <c r="AI50" i="5"/>
  <c r="AI50" i="7" s="1"/>
  <c r="AH50" i="5"/>
  <c r="AH50" i="7" s="1"/>
  <c r="AG50" i="5"/>
  <c r="AG50" i="7" s="1"/>
  <c r="AF50" i="5"/>
  <c r="AF50" i="7" s="1"/>
  <c r="AE50" i="5"/>
  <c r="AE50" i="7" s="1"/>
  <c r="AD50" i="5"/>
  <c r="AD50" i="7" s="1"/>
  <c r="AC50" i="5"/>
  <c r="AC50" i="7" s="1"/>
  <c r="AB50" i="5"/>
  <c r="AB50" i="7" s="1"/>
  <c r="AA50" i="5"/>
  <c r="AA50" i="7" s="1"/>
  <c r="Z50" i="5"/>
  <c r="Z50" i="7" s="1"/>
  <c r="Y50" i="5"/>
  <c r="Y50" i="7" s="1"/>
  <c r="X50" i="5"/>
  <c r="X50" i="7" s="1"/>
  <c r="W50" i="5"/>
  <c r="W50" i="7" s="1"/>
  <c r="V50" i="5"/>
  <c r="V50" i="7" s="1"/>
  <c r="U50" i="5"/>
  <c r="U50" i="7" s="1"/>
  <c r="T50" i="5"/>
  <c r="T50" i="7" s="1"/>
  <c r="S50" i="5"/>
  <c r="S50" i="7" s="1"/>
  <c r="R50" i="5"/>
  <c r="R50" i="7" s="1"/>
  <c r="Q50" i="5"/>
  <c r="Q50" i="7" s="1"/>
  <c r="P50" i="5"/>
  <c r="P50" i="7" s="1"/>
  <c r="O50" i="5"/>
  <c r="O50" i="7" s="1"/>
  <c r="N50" i="5"/>
  <c r="N50" i="7" s="1"/>
  <c r="M50" i="5"/>
  <c r="M50" i="7" s="1"/>
  <c r="L50" i="5"/>
  <c r="L50" i="7" s="1"/>
  <c r="K50" i="5"/>
  <c r="K50" i="7" s="1"/>
  <c r="J50" i="5"/>
  <c r="J50" i="7" s="1"/>
  <c r="I50" i="5"/>
  <c r="I50" i="7" s="1"/>
  <c r="H50" i="5"/>
  <c r="H50" i="7" s="1"/>
  <c r="G50" i="5"/>
  <c r="G50" i="7" s="1"/>
  <c r="F50" i="5"/>
  <c r="F50" i="7" s="1"/>
  <c r="E50" i="5"/>
  <c r="E50" i="7" s="1"/>
  <c r="D50" i="5"/>
  <c r="D50" i="7" s="1"/>
  <c r="C50" i="5"/>
  <c r="C50" i="7" s="1"/>
  <c r="B50" i="5"/>
  <c r="B50" i="7" s="1"/>
  <c r="DB49" i="5"/>
  <c r="DB49" i="7" s="1"/>
  <c r="DA49" i="5"/>
  <c r="DA49" i="7" s="1"/>
  <c r="CZ49" i="5"/>
  <c r="CZ49" i="7" s="1"/>
  <c r="CY49" i="5"/>
  <c r="CY49" i="7" s="1"/>
  <c r="CX49" i="5"/>
  <c r="CX49" i="7" s="1"/>
  <c r="CW49" i="5"/>
  <c r="CW49" i="7" s="1"/>
  <c r="CV49" i="5"/>
  <c r="CV49" i="7" s="1"/>
  <c r="CU49" i="5"/>
  <c r="CU49" i="7" s="1"/>
  <c r="CT49" i="5"/>
  <c r="CT49" i="7" s="1"/>
  <c r="CS49" i="5"/>
  <c r="CS49" i="7" s="1"/>
  <c r="CR49" i="5"/>
  <c r="CR49" i="7" s="1"/>
  <c r="CQ49" i="5"/>
  <c r="CQ49" i="7" s="1"/>
  <c r="CP49" i="5"/>
  <c r="CP49" i="7" s="1"/>
  <c r="CO49" i="5"/>
  <c r="CO49" i="7" s="1"/>
  <c r="CN49" i="5"/>
  <c r="CN49" i="7" s="1"/>
  <c r="CM49" i="5"/>
  <c r="CM49" i="7" s="1"/>
  <c r="CL49" i="5"/>
  <c r="CL49" i="7" s="1"/>
  <c r="CK49" i="5"/>
  <c r="CK49" i="7" s="1"/>
  <c r="CJ49" i="5"/>
  <c r="CJ49" i="7" s="1"/>
  <c r="CI49" i="5"/>
  <c r="CI49" i="7" s="1"/>
  <c r="CH49" i="5"/>
  <c r="CH49" i="7" s="1"/>
  <c r="CG49" i="5"/>
  <c r="CG49" i="7" s="1"/>
  <c r="CF49" i="5"/>
  <c r="CF49" i="7" s="1"/>
  <c r="CE49" i="5"/>
  <c r="CE49" i="7" s="1"/>
  <c r="CD49" i="5"/>
  <c r="CD49" i="7" s="1"/>
  <c r="CC49" i="5"/>
  <c r="CC49" i="7" s="1"/>
  <c r="CB49" i="5"/>
  <c r="CB49" i="7" s="1"/>
  <c r="CA49" i="5"/>
  <c r="CA49" i="7" s="1"/>
  <c r="BZ49" i="5"/>
  <c r="BZ49" i="7" s="1"/>
  <c r="BY49" i="5"/>
  <c r="BY49" i="7" s="1"/>
  <c r="BX49" i="5"/>
  <c r="BX49" i="7" s="1"/>
  <c r="BW49" i="5"/>
  <c r="BW49" i="7" s="1"/>
  <c r="BV49" i="5"/>
  <c r="BV49" i="7" s="1"/>
  <c r="BU49" i="5"/>
  <c r="BU49" i="7" s="1"/>
  <c r="BT49" i="5"/>
  <c r="BT49" i="7" s="1"/>
  <c r="BS49" i="5"/>
  <c r="BS49" i="7" s="1"/>
  <c r="BR49" i="5"/>
  <c r="BR49" i="7" s="1"/>
  <c r="BQ49" i="5"/>
  <c r="BQ49" i="7" s="1"/>
  <c r="BP49" i="5"/>
  <c r="BP49" i="7" s="1"/>
  <c r="BO49" i="5"/>
  <c r="BO49" i="7" s="1"/>
  <c r="BN49" i="5"/>
  <c r="BN49" i="7" s="1"/>
  <c r="BM49" i="5"/>
  <c r="BM49" i="7" s="1"/>
  <c r="BL49" i="5"/>
  <c r="BL49" i="7" s="1"/>
  <c r="BK49" i="5"/>
  <c r="BK49" i="7" s="1"/>
  <c r="BJ49" i="5"/>
  <c r="BJ49" i="7" s="1"/>
  <c r="BI49" i="5"/>
  <c r="BI49" i="7" s="1"/>
  <c r="BH49" i="5"/>
  <c r="BH49" i="7" s="1"/>
  <c r="BG49" i="5"/>
  <c r="BG49" i="7" s="1"/>
  <c r="BF49" i="5"/>
  <c r="BF49" i="7" s="1"/>
  <c r="BE49" i="5"/>
  <c r="BE49" i="7" s="1"/>
  <c r="BD49" i="5"/>
  <c r="BD49" i="7" s="1"/>
  <c r="BC49" i="5"/>
  <c r="BC49" i="7" s="1"/>
  <c r="BB49" i="5"/>
  <c r="BB49" i="7" s="1"/>
  <c r="BA49" i="5"/>
  <c r="BA49" i="7" s="1"/>
  <c r="AZ49" i="5"/>
  <c r="AZ49" i="7" s="1"/>
  <c r="AY49" i="5"/>
  <c r="AY49" i="7" s="1"/>
  <c r="AX49" i="5"/>
  <c r="AX49" i="7" s="1"/>
  <c r="AW49" i="5"/>
  <c r="AW49" i="7" s="1"/>
  <c r="AV49" i="5"/>
  <c r="AV49" i="7" s="1"/>
  <c r="AU49" i="5"/>
  <c r="AU49" i="7" s="1"/>
  <c r="AT49" i="5"/>
  <c r="AT49" i="7" s="1"/>
  <c r="AS49" i="5"/>
  <c r="AS49" i="7" s="1"/>
  <c r="AR49" i="5"/>
  <c r="AR49" i="7" s="1"/>
  <c r="AQ49" i="5"/>
  <c r="AQ49" i="7" s="1"/>
  <c r="AP49" i="5"/>
  <c r="AP49" i="7" s="1"/>
  <c r="AO49" i="5"/>
  <c r="AO49" i="7" s="1"/>
  <c r="AN49" i="5"/>
  <c r="AN49" i="7" s="1"/>
  <c r="AM49" i="5"/>
  <c r="AM49" i="7" s="1"/>
  <c r="AL49" i="5"/>
  <c r="AL49" i="7" s="1"/>
  <c r="AK49" i="5"/>
  <c r="AK49" i="7" s="1"/>
  <c r="AJ49" i="5"/>
  <c r="AJ49" i="7" s="1"/>
  <c r="AI49" i="5"/>
  <c r="AI49" i="7" s="1"/>
  <c r="AH49" i="5"/>
  <c r="AH49" i="7" s="1"/>
  <c r="AG49" i="5"/>
  <c r="AG49" i="7" s="1"/>
  <c r="AF49" i="5"/>
  <c r="AF49" i="7" s="1"/>
  <c r="AE49" i="5"/>
  <c r="AE49" i="7" s="1"/>
  <c r="AD49" i="5"/>
  <c r="AD49" i="7" s="1"/>
  <c r="AC49" i="5"/>
  <c r="AC49" i="7" s="1"/>
  <c r="AB49" i="5"/>
  <c r="AB49" i="7" s="1"/>
  <c r="AA49" i="5"/>
  <c r="AA49" i="7" s="1"/>
  <c r="Z49" i="5"/>
  <c r="Z49" i="7" s="1"/>
  <c r="Y49" i="5"/>
  <c r="Y49" i="7" s="1"/>
  <c r="X49" i="5"/>
  <c r="X49" i="7" s="1"/>
  <c r="W49" i="5"/>
  <c r="W49" i="7" s="1"/>
  <c r="V49" i="5"/>
  <c r="V49" i="7" s="1"/>
  <c r="U49" i="5"/>
  <c r="U49" i="7" s="1"/>
  <c r="T49" i="5"/>
  <c r="T49" i="7" s="1"/>
  <c r="S49" i="5"/>
  <c r="S49" i="7" s="1"/>
  <c r="R49" i="5"/>
  <c r="R49" i="7" s="1"/>
  <c r="Q49" i="5"/>
  <c r="Q49" i="7" s="1"/>
  <c r="P49" i="5"/>
  <c r="P49" i="7" s="1"/>
  <c r="O49" i="5"/>
  <c r="O49" i="7" s="1"/>
  <c r="N49" i="5"/>
  <c r="N49" i="7" s="1"/>
  <c r="M49" i="5"/>
  <c r="M49" i="7" s="1"/>
  <c r="L49" i="5"/>
  <c r="L49" i="7" s="1"/>
  <c r="K49" i="5"/>
  <c r="K49" i="7" s="1"/>
  <c r="J49" i="5"/>
  <c r="J49" i="7" s="1"/>
  <c r="I49" i="5"/>
  <c r="I49" i="7" s="1"/>
  <c r="H49" i="5"/>
  <c r="H49" i="7" s="1"/>
  <c r="G49" i="5"/>
  <c r="G49" i="7" s="1"/>
  <c r="F49" i="5"/>
  <c r="F49" i="7" s="1"/>
  <c r="E49" i="5"/>
  <c r="E49" i="7" s="1"/>
  <c r="D49" i="5"/>
  <c r="D49" i="7" s="1"/>
  <c r="C49" i="5"/>
  <c r="C49" i="7" s="1"/>
  <c r="B49" i="5"/>
  <c r="B49" i="7" s="1"/>
  <c r="DB48" i="5"/>
  <c r="DB48" i="7" s="1"/>
  <c r="DA48" i="5"/>
  <c r="DA48" i="7" s="1"/>
  <c r="CZ48" i="5"/>
  <c r="CZ48" i="7" s="1"/>
  <c r="CY48" i="5"/>
  <c r="CY48" i="7" s="1"/>
  <c r="CX48" i="5"/>
  <c r="CX48" i="7" s="1"/>
  <c r="CW48" i="5"/>
  <c r="CW48" i="7" s="1"/>
  <c r="CV48" i="5"/>
  <c r="CV48" i="7" s="1"/>
  <c r="CU48" i="5"/>
  <c r="CU48" i="7" s="1"/>
  <c r="CT48" i="5"/>
  <c r="CT48" i="7" s="1"/>
  <c r="CS48" i="5"/>
  <c r="CS48" i="7" s="1"/>
  <c r="CR48" i="5"/>
  <c r="CR48" i="7" s="1"/>
  <c r="CQ48" i="5"/>
  <c r="CQ48" i="7" s="1"/>
  <c r="CP48" i="5"/>
  <c r="CP48" i="7" s="1"/>
  <c r="CO48" i="5"/>
  <c r="CO48" i="7" s="1"/>
  <c r="CN48" i="5"/>
  <c r="CN48" i="7" s="1"/>
  <c r="CM48" i="5"/>
  <c r="CM48" i="7" s="1"/>
  <c r="CL48" i="5"/>
  <c r="CL48" i="7" s="1"/>
  <c r="CK48" i="5"/>
  <c r="CK48" i="7" s="1"/>
  <c r="CJ48" i="5"/>
  <c r="CJ48" i="7" s="1"/>
  <c r="CI48" i="5"/>
  <c r="CI48" i="7" s="1"/>
  <c r="CH48" i="5"/>
  <c r="CH48" i="7" s="1"/>
  <c r="CG48" i="5"/>
  <c r="CG48" i="7" s="1"/>
  <c r="CF48" i="5"/>
  <c r="CF48" i="7" s="1"/>
  <c r="CE48" i="5"/>
  <c r="CE48" i="7" s="1"/>
  <c r="CD48" i="5"/>
  <c r="CD48" i="7" s="1"/>
  <c r="CC48" i="5"/>
  <c r="CC48" i="7" s="1"/>
  <c r="CB48" i="5"/>
  <c r="CB48" i="7" s="1"/>
  <c r="CA48" i="5"/>
  <c r="CA48" i="7" s="1"/>
  <c r="BZ48" i="5"/>
  <c r="BZ48" i="7" s="1"/>
  <c r="BY48" i="5"/>
  <c r="BY48" i="7" s="1"/>
  <c r="BX48" i="5"/>
  <c r="BX48" i="7" s="1"/>
  <c r="BW48" i="5"/>
  <c r="BW48" i="7" s="1"/>
  <c r="BV48" i="5"/>
  <c r="BV48" i="7" s="1"/>
  <c r="BU48" i="5"/>
  <c r="BU48" i="7" s="1"/>
  <c r="BT48" i="5"/>
  <c r="BT48" i="7" s="1"/>
  <c r="BS48" i="5"/>
  <c r="BS48" i="7" s="1"/>
  <c r="BR48" i="5"/>
  <c r="BR48" i="7" s="1"/>
  <c r="BQ48" i="5"/>
  <c r="BQ48" i="7" s="1"/>
  <c r="BP48" i="5"/>
  <c r="BP48" i="7" s="1"/>
  <c r="BO48" i="5"/>
  <c r="BO48" i="7" s="1"/>
  <c r="BN48" i="5"/>
  <c r="BN48" i="7" s="1"/>
  <c r="BM48" i="5"/>
  <c r="BM48" i="7" s="1"/>
  <c r="BL48" i="5"/>
  <c r="BL48" i="7" s="1"/>
  <c r="BK48" i="5"/>
  <c r="BK48" i="7" s="1"/>
  <c r="BJ48" i="5"/>
  <c r="BJ48" i="7" s="1"/>
  <c r="BI48" i="5"/>
  <c r="BI48" i="7" s="1"/>
  <c r="BH48" i="5"/>
  <c r="BH48" i="7" s="1"/>
  <c r="BG48" i="5"/>
  <c r="BG48" i="7" s="1"/>
  <c r="BF48" i="5"/>
  <c r="BF48" i="7" s="1"/>
  <c r="BE48" i="5"/>
  <c r="BE48" i="7" s="1"/>
  <c r="BD48" i="5"/>
  <c r="BD48" i="7" s="1"/>
  <c r="BC48" i="5"/>
  <c r="BC48" i="7" s="1"/>
  <c r="BB48" i="5"/>
  <c r="BB48" i="7" s="1"/>
  <c r="BA48" i="5"/>
  <c r="BA48" i="7" s="1"/>
  <c r="AZ48" i="5"/>
  <c r="AZ48" i="7" s="1"/>
  <c r="AY48" i="5"/>
  <c r="AY48" i="7" s="1"/>
  <c r="AX48" i="5"/>
  <c r="AX48" i="7" s="1"/>
  <c r="AW48" i="5"/>
  <c r="AW48" i="7" s="1"/>
  <c r="AV48" i="5"/>
  <c r="AV48" i="7" s="1"/>
  <c r="AU48" i="5"/>
  <c r="AU48" i="7" s="1"/>
  <c r="AT48" i="5"/>
  <c r="AT48" i="7" s="1"/>
  <c r="AS48" i="5"/>
  <c r="AS48" i="7" s="1"/>
  <c r="AR48" i="5"/>
  <c r="AR48" i="7" s="1"/>
  <c r="AQ48" i="5"/>
  <c r="AQ48" i="7" s="1"/>
  <c r="AP48" i="5"/>
  <c r="AP48" i="7" s="1"/>
  <c r="AO48" i="5"/>
  <c r="AO48" i="7" s="1"/>
  <c r="AN48" i="5"/>
  <c r="AN48" i="7" s="1"/>
  <c r="AM48" i="5"/>
  <c r="AM48" i="7" s="1"/>
  <c r="AL48" i="5"/>
  <c r="AL48" i="7" s="1"/>
  <c r="AK48" i="5"/>
  <c r="AK48" i="7" s="1"/>
  <c r="AJ48" i="5"/>
  <c r="AJ48" i="7" s="1"/>
  <c r="AI48" i="5"/>
  <c r="AI48" i="7" s="1"/>
  <c r="AH48" i="5"/>
  <c r="AH48" i="7" s="1"/>
  <c r="AG48" i="5"/>
  <c r="AG48" i="7" s="1"/>
  <c r="AF48" i="5"/>
  <c r="AF48" i="7" s="1"/>
  <c r="AE48" i="5"/>
  <c r="AE48" i="7" s="1"/>
  <c r="AD48" i="5"/>
  <c r="AD48" i="7" s="1"/>
  <c r="AC48" i="5"/>
  <c r="AC48" i="7" s="1"/>
  <c r="AB48" i="5"/>
  <c r="AB48" i="7" s="1"/>
  <c r="AA48" i="5"/>
  <c r="AA48" i="7" s="1"/>
  <c r="Z48" i="5"/>
  <c r="Z48" i="7" s="1"/>
  <c r="Y48" i="5"/>
  <c r="Y48" i="7" s="1"/>
  <c r="X48" i="5"/>
  <c r="X48" i="7" s="1"/>
  <c r="W48" i="5"/>
  <c r="W48" i="7" s="1"/>
  <c r="V48" i="5"/>
  <c r="V48" i="7" s="1"/>
  <c r="U48" i="5"/>
  <c r="U48" i="7" s="1"/>
  <c r="T48" i="5"/>
  <c r="T48" i="7" s="1"/>
  <c r="S48" i="5"/>
  <c r="S48" i="7" s="1"/>
  <c r="R48" i="5"/>
  <c r="R48" i="7" s="1"/>
  <c r="Q48" i="5"/>
  <c r="Q48" i="7" s="1"/>
  <c r="P48" i="5"/>
  <c r="P48" i="7" s="1"/>
  <c r="O48" i="5"/>
  <c r="O48" i="7" s="1"/>
  <c r="N48" i="5"/>
  <c r="N48" i="7" s="1"/>
  <c r="M48" i="5"/>
  <c r="M48" i="7" s="1"/>
  <c r="L48" i="5"/>
  <c r="L48" i="7" s="1"/>
  <c r="K48" i="5"/>
  <c r="K48" i="7" s="1"/>
  <c r="J48" i="5"/>
  <c r="J48" i="7" s="1"/>
  <c r="I48" i="5"/>
  <c r="I48" i="7" s="1"/>
  <c r="H48" i="5"/>
  <c r="H48" i="7" s="1"/>
  <c r="G48" i="5"/>
  <c r="G48" i="7" s="1"/>
  <c r="F48" i="5"/>
  <c r="F48" i="7" s="1"/>
  <c r="E48" i="5"/>
  <c r="E48" i="7" s="1"/>
  <c r="D48" i="5"/>
  <c r="D48" i="7" s="1"/>
  <c r="C48" i="5"/>
  <c r="C48" i="7" s="1"/>
  <c r="B48" i="5"/>
  <c r="B48" i="7" s="1"/>
  <c r="DB47" i="5"/>
  <c r="DB47" i="7" s="1"/>
  <c r="DA47" i="5"/>
  <c r="DA47" i="7" s="1"/>
  <c r="CZ47" i="5"/>
  <c r="CZ47" i="7" s="1"/>
  <c r="CY47" i="5"/>
  <c r="CY47" i="7" s="1"/>
  <c r="CX47" i="5"/>
  <c r="CX47" i="7" s="1"/>
  <c r="CW47" i="5"/>
  <c r="CW47" i="7" s="1"/>
  <c r="CV47" i="5"/>
  <c r="CV47" i="7" s="1"/>
  <c r="CU47" i="5"/>
  <c r="CU47" i="7" s="1"/>
  <c r="CT47" i="5"/>
  <c r="CT47" i="7" s="1"/>
  <c r="CS47" i="5"/>
  <c r="CS47" i="7" s="1"/>
  <c r="CR47" i="5"/>
  <c r="CR47" i="7" s="1"/>
  <c r="CQ47" i="5"/>
  <c r="CQ47" i="7" s="1"/>
  <c r="CP47" i="5"/>
  <c r="CP47" i="7" s="1"/>
  <c r="CO47" i="5"/>
  <c r="CO47" i="7" s="1"/>
  <c r="CN47" i="5"/>
  <c r="CN47" i="7" s="1"/>
  <c r="CM47" i="5"/>
  <c r="CM47" i="7" s="1"/>
  <c r="CL47" i="5"/>
  <c r="CL47" i="7" s="1"/>
  <c r="CK47" i="5"/>
  <c r="CK47" i="7" s="1"/>
  <c r="CJ47" i="5"/>
  <c r="CJ47" i="7" s="1"/>
  <c r="CI47" i="5"/>
  <c r="CI47" i="7" s="1"/>
  <c r="CH47" i="5"/>
  <c r="CH47" i="7" s="1"/>
  <c r="CG47" i="5"/>
  <c r="CG47" i="7" s="1"/>
  <c r="CF47" i="5"/>
  <c r="CF47" i="7" s="1"/>
  <c r="CE47" i="5"/>
  <c r="CE47" i="7" s="1"/>
  <c r="CD47" i="5"/>
  <c r="CD47" i="7" s="1"/>
  <c r="CC47" i="5"/>
  <c r="CC47" i="7" s="1"/>
  <c r="CB47" i="5"/>
  <c r="CB47" i="7" s="1"/>
  <c r="CA47" i="5"/>
  <c r="CA47" i="7" s="1"/>
  <c r="BZ47" i="5"/>
  <c r="BZ47" i="7" s="1"/>
  <c r="BY47" i="5"/>
  <c r="BY47" i="7" s="1"/>
  <c r="BX47" i="5"/>
  <c r="BX47" i="7" s="1"/>
  <c r="BW47" i="5"/>
  <c r="BW47" i="7" s="1"/>
  <c r="BV47" i="5"/>
  <c r="BV47" i="7" s="1"/>
  <c r="BU47" i="5"/>
  <c r="BU47" i="7" s="1"/>
  <c r="BT47" i="5"/>
  <c r="BT47" i="7" s="1"/>
  <c r="BS47" i="5"/>
  <c r="BS47" i="7" s="1"/>
  <c r="BR47" i="5"/>
  <c r="BR47" i="7" s="1"/>
  <c r="BQ47" i="5"/>
  <c r="BQ47" i="7" s="1"/>
  <c r="BP47" i="5"/>
  <c r="BP47" i="7" s="1"/>
  <c r="BO47" i="5"/>
  <c r="BO47" i="7" s="1"/>
  <c r="BN47" i="5"/>
  <c r="BN47" i="7" s="1"/>
  <c r="BM47" i="5"/>
  <c r="BM47" i="7" s="1"/>
  <c r="BL47" i="5"/>
  <c r="BL47" i="7" s="1"/>
  <c r="BK47" i="5"/>
  <c r="BK47" i="7" s="1"/>
  <c r="BJ47" i="5"/>
  <c r="BJ47" i="7" s="1"/>
  <c r="BI47" i="5"/>
  <c r="BI47" i="7" s="1"/>
  <c r="BH47" i="5"/>
  <c r="BH47" i="7" s="1"/>
  <c r="BG47" i="5"/>
  <c r="BG47" i="7" s="1"/>
  <c r="BF47" i="5"/>
  <c r="BF47" i="7" s="1"/>
  <c r="BE47" i="5"/>
  <c r="BE47" i="7" s="1"/>
  <c r="BD47" i="5"/>
  <c r="BD47" i="7" s="1"/>
  <c r="BC47" i="5"/>
  <c r="BC47" i="7" s="1"/>
  <c r="BB47" i="5"/>
  <c r="BB47" i="7" s="1"/>
  <c r="BA47" i="5"/>
  <c r="BA47" i="7" s="1"/>
  <c r="AZ47" i="5"/>
  <c r="AZ47" i="7" s="1"/>
  <c r="AY47" i="5"/>
  <c r="AY47" i="7" s="1"/>
  <c r="AX47" i="5"/>
  <c r="AX47" i="7" s="1"/>
  <c r="AW47" i="5"/>
  <c r="AW47" i="7" s="1"/>
  <c r="AV47" i="5"/>
  <c r="AV47" i="7" s="1"/>
  <c r="AU47" i="5"/>
  <c r="AU47" i="7" s="1"/>
  <c r="AT47" i="5"/>
  <c r="AT47" i="7" s="1"/>
  <c r="AS47" i="5"/>
  <c r="AS47" i="7" s="1"/>
  <c r="AR47" i="5"/>
  <c r="AR47" i="7" s="1"/>
  <c r="AQ47" i="5"/>
  <c r="AQ47" i="7" s="1"/>
  <c r="AP47" i="5"/>
  <c r="AP47" i="7" s="1"/>
  <c r="AO47" i="5"/>
  <c r="AO47" i="7" s="1"/>
  <c r="AN47" i="5"/>
  <c r="AN47" i="7" s="1"/>
  <c r="AM47" i="5"/>
  <c r="AM47" i="7" s="1"/>
  <c r="AL47" i="5"/>
  <c r="AL47" i="7" s="1"/>
  <c r="AK47" i="5"/>
  <c r="AK47" i="7" s="1"/>
  <c r="AJ47" i="5"/>
  <c r="AJ47" i="7" s="1"/>
  <c r="AI47" i="5"/>
  <c r="AI47" i="7" s="1"/>
  <c r="AH47" i="5"/>
  <c r="AH47" i="7" s="1"/>
  <c r="AG47" i="5"/>
  <c r="AG47" i="7" s="1"/>
  <c r="AF47" i="5"/>
  <c r="AF47" i="7" s="1"/>
  <c r="AE47" i="5"/>
  <c r="AE47" i="7" s="1"/>
  <c r="AD47" i="5"/>
  <c r="AD47" i="7" s="1"/>
  <c r="AC47" i="5"/>
  <c r="AC47" i="7" s="1"/>
  <c r="AB47" i="5"/>
  <c r="AB47" i="7" s="1"/>
  <c r="AA47" i="5"/>
  <c r="AA47" i="7" s="1"/>
  <c r="Z47" i="5"/>
  <c r="Z47" i="7" s="1"/>
  <c r="Y47" i="5"/>
  <c r="Y47" i="7" s="1"/>
  <c r="X47" i="5"/>
  <c r="X47" i="7" s="1"/>
  <c r="W47" i="5"/>
  <c r="W47" i="7" s="1"/>
  <c r="V47" i="5"/>
  <c r="V47" i="7" s="1"/>
  <c r="U47" i="5"/>
  <c r="U47" i="7" s="1"/>
  <c r="T47" i="5"/>
  <c r="T47" i="7" s="1"/>
  <c r="S47" i="5"/>
  <c r="S47" i="7" s="1"/>
  <c r="R47" i="5"/>
  <c r="R47" i="7" s="1"/>
  <c r="Q47" i="5"/>
  <c r="Q47" i="7" s="1"/>
  <c r="P47" i="5"/>
  <c r="P47" i="7" s="1"/>
  <c r="O47" i="5"/>
  <c r="O47" i="7" s="1"/>
  <c r="N47" i="5"/>
  <c r="N47" i="7" s="1"/>
  <c r="M47" i="5"/>
  <c r="M47" i="7" s="1"/>
  <c r="L47" i="5"/>
  <c r="L47" i="7" s="1"/>
  <c r="K47" i="5"/>
  <c r="K47" i="7" s="1"/>
  <c r="J47" i="5"/>
  <c r="J47" i="7" s="1"/>
  <c r="I47" i="5"/>
  <c r="I47" i="7" s="1"/>
  <c r="H47" i="5"/>
  <c r="H47" i="7" s="1"/>
  <c r="G47" i="5"/>
  <c r="G47" i="7" s="1"/>
  <c r="F47" i="5"/>
  <c r="F47" i="7" s="1"/>
  <c r="E47" i="5"/>
  <c r="E47" i="7" s="1"/>
  <c r="D47" i="5"/>
  <c r="D47" i="7" s="1"/>
  <c r="C47" i="5"/>
  <c r="C47" i="7" s="1"/>
  <c r="B47" i="5"/>
  <c r="B47" i="7" s="1"/>
  <c r="DB46" i="5"/>
  <c r="DB46" i="7" s="1"/>
  <c r="DA46" i="5"/>
  <c r="DA46" i="7" s="1"/>
  <c r="CZ46" i="5"/>
  <c r="CZ46" i="7" s="1"/>
  <c r="CY46" i="5"/>
  <c r="CY46" i="7" s="1"/>
  <c r="CX46" i="5"/>
  <c r="CX46" i="7" s="1"/>
  <c r="CW46" i="5"/>
  <c r="CW46" i="7" s="1"/>
  <c r="CV46" i="5"/>
  <c r="CV46" i="7" s="1"/>
  <c r="CU46" i="5"/>
  <c r="CU46" i="7" s="1"/>
  <c r="CT46" i="5"/>
  <c r="CT46" i="7" s="1"/>
  <c r="CS46" i="5"/>
  <c r="CS46" i="7" s="1"/>
  <c r="CR46" i="5"/>
  <c r="CR46" i="7" s="1"/>
  <c r="CQ46" i="5"/>
  <c r="CQ46" i="7" s="1"/>
  <c r="CP46" i="5"/>
  <c r="CP46" i="7" s="1"/>
  <c r="CO46" i="5"/>
  <c r="CO46" i="7" s="1"/>
  <c r="CN46" i="5"/>
  <c r="CN46" i="7" s="1"/>
  <c r="CM46" i="5"/>
  <c r="CM46" i="7" s="1"/>
  <c r="CL46" i="5"/>
  <c r="CL46" i="7" s="1"/>
  <c r="CK46" i="5"/>
  <c r="CK46" i="7" s="1"/>
  <c r="CJ46" i="5"/>
  <c r="CJ46" i="7" s="1"/>
  <c r="CI46" i="5"/>
  <c r="CI46" i="7" s="1"/>
  <c r="CH46" i="5"/>
  <c r="CH46" i="7" s="1"/>
  <c r="CG46" i="5"/>
  <c r="CG46" i="7" s="1"/>
  <c r="CF46" i="5"/>
  <c r="CF46" i="7" s="1"/>
  <c r="CE46" i="5"/>
  <c r="CE46" i="7" s="1"/>
  <c r="CD46" i="5"/>
  <c r="CD46" i="7" s="1"/>
  <c r="CC46" i="5"/>
  <c r="CC46" i="7" s="1"/>
  <c r="CB46" i="5"/>
  <c r="CB46" i="7" s="1"/>
  <c r="CA46" i="5"/>
  <c r="CA46" i="7" s="1"/>
  <c r="BZ46" i="5"/>
  <c r="BZ46" i="7" s="1"/>
  <c r="BY46" i="5"/>
  <c r="BY46" i="7" s="1"/>
  <c r="BX46" i="5"/>
  <c r="BX46" i="7" s="1"/>
  <c r="BW46" i="5"/>
  <c r="BW46" i="7" s="1"/>
  <c r="BV46" i="5"/>
  <c r="BV46" i="7" s="1"/>
  <c r="BU46" i="5"/>
  <c r="BU46" i="7" s="1"/>
  <c r="BT46" i="5"/>
  <c r="BT46" i="7" s="1"/>
  <c r="BS46" i="5"/>
  <c r="BS46" i="7" s="1"/>
  <c r="BR46" i="5"/>
  <c r="BR46" i="7" s="1"/>
  <c r="BQ46" i="5"/>
  <c r="BQ46" i="7" s="1"/>
  <c r="BP46" i="5"/>
  <c r="BP46" i="7" s="1"/>
  <c r="BO46" i="5"/>
  <c r="BO46" i="7" s="1"/>
  <c r="BN46" i="5"/>
  <c r="BN46" i="7" s="1"/>
  <c r="BM46" i="5"/>
  <c r="BM46" i="7" s="1"/>
  <c r="BL46" i="5"/>
  <c r="BL46" i="7" s="1"/>
  <c r="BK46" i="5"/>
  <c r="BK46" i="7" s="1"/>
  <c r="BJ46" i="5"/>
  <c r="BJ46" i="7" s="1"/>
  <c r="BI46" i="5"/>
  <c r="BI46" i="7" s="1"/>
  <c r="BH46" i="5"/>
  <c r="BH46" i="7" s="1"/>
  <c r="BG46" i="5"/>
  <c r="BG46" i="7" s="1"/>
  <c r="BF46" i="5"/>
  <c r="BF46" i="7" s="1"/>
  <c r="BE46" i="5"/>
  <c r="BE46" i="7" s="1"/>
  <c r="BD46" i="5"/>
  <c r="BD46" i="7" s="1"/>
  <c r="BC46" i="5"/>
  <c r="BC46" i="7" s="1"/>
  <c r="BB46" i="5"/>
  <c r="BB46" i="7" s="1"/>
  <c r="BA46" i="5"/>
  <c r="BA46" i="7" s="1"/>
  <c r="AZ46" i="5"/>
  <c r="AZ46" i="7" s="1"/>
  <c r="AY46" i="5"/>
  <c r="AY46" i="7" s="1"/>
  <c r="AX46" i="5"/>
  <c r="AX46" i="7" s="1"/>
  <c r="AW46" i="5"/>
  <c r="AW46" i="7" s="1"/>
  <c r="AV46" i="5"/>
  <c r="AV46" i="7" s="1"/>
  <c r="AU46" i="5"/>
  <c r="AU46" i="7" s="1"/>
  <c r="AT46" i="5"/>
  <c r="AT46" i="7" s="1"/>
  <c r="AS46" i="5"/>
  <c r="AS46" i="7" s="1"/>
  <c r="AR46" i="5"/>
  <c r="AR46" i="7" s="1"/>
  <c r="AQ46" i="5"/>
  <c r="AQ46" i="7" s="1"/>
  <c r="AP46" i="5"/>
  <c r="AP46" i="7" s="1"/>
  <c r="AO46" i="5"/>
  <c r="AO46" i="7" s="1"/>
  <c r="AN46" i="5"/>
  <c r="AN46" i="7" s="1"/>
  <c r="AM46" i="5"/>
  <c r="AM46" i="7" s="1"/>
  <c r="AL46" i="5"/>
  <c r="AL46" i="7" s="1"/>
  <c r="AK46" i="5"/>
  <c r="AK46" i="7" s="1"/>
  <c r="AJ46" i="5"/>
  <c r="AJ46" i="7" s="1"/>
  <c r="AI46" i="5"/>
  <c r="AI46" i="7" s="1"/>
  <c r="AH46" i="5"/>
  <c r="AH46" i="7" s="1"/>
  <c r="AG46" i="5"/>
  <c r="AG46" i="7" s="1"/>
  <c r="AF46" i="5"/>
  <c r="AF46" i="7" s="1"/>
  <c r="AE46" i="5"/>
  <c r="AE46" i="7" s="1"/>
  <c r="AD46" i="5"/>
  <c r="AD46" i="7" s="1"/>
  <c r="AC46" i="5"/>
  <c r="AC46" i="7" s="1"/>
  <c r="AB46" i="5"/>
  <c r="AB46" i="7" s="1"/>
  <c r="AA46" i="5"/>
  <c r="AA46" i="7" s="1"/>
  <c r="Z46" i="5"/>
  <c r="Z46" i="7" s="1"/>
  <c r="Y46" i="5"/>
  <c r="Y46" i="7" s="1"/>
  <c r="X46" i="5"/>
  <c r="X46" i="7" s="1"/>
  <c r="W46" i="5"/>
  <c r="W46" i="7" s="1"/>
  <c r="V46" i="5"/>
  <c r="V46" i="7" s="1"/>
  <c r="U46" i="5"/>
  <c r="U46" i="7" s="1"/>
  <c r="T46" i="5"/>
  <c r="T46" i="7" s="1"/>
  <c r="S46" i="5"/>
  <c r="S46" i="7" s="1"/>
  <c r="R46" i="5"/>
  <c r="R46" i="7" s="1"/>
  <c r="Q46" i="5"/>
  <c r="Q46" i="7" s="1"/>
  <c r="P46" i="5"/>
  <c r="P46" i="7" s="1"/>
  <c r="O46" i="5"/>
  <c r="O46" i="7" s="1"/>
  <c r="N46" i="5"/>
  <c r="N46" i="7" s="1"/>
  <c r="M46" i="5"/>
  <c r="M46" i="7" s="1"/>
  <c r="L46" i="5"/>
  <c r="L46" i="7" s="1"/>
  <c r="K46" i="5"/>
  <c r="K46" i="7" s="1"/>
  <c r="J46" i="5"/>
  <c r="J46" i="7" s="1"/>
  <c r="I46" i="5"/>
  <c r="I46" i="7" s="1"/>
  <c r="H46" i="5"/>
  <c r="H46" i="7" s="1"/>
  <c r="G46" i="5"/>
  <c r="G46" i="7" s="1"/>
  <c r="F46" i="5"/>
  <c r="F46" i="7" s="1"/>
  <c r="E46" i="5"/>
  <c r="E46" i="7" s="1"/>
  <c r="D46" i="5"/>
  <c r="D46" i="7" s="1"/>
  <c r="C46" i="5"/>
  <c r="C46" i="7" s="1"/>
  <c r="B46" i="5"/>
  <c r="B46" i="7" s="1"/>
  <c r="DB45" i="5"/>
  <c r="DB45" i="7" s="1"/>
  <c r="DA45" i="5"/>
  <c r="DA45" i="7" s="1"/>
  <c r="CZ45" i="5"/>
  <c r="CZ45" i="7" s="1"/>
  <c r="CY45" i="5"/>
  <c r="CY45" i="7" s="1"/>
  <c r="CX45" i="5"/>
  <c r="CX45" i="7" s="1"/>
  <c r="CW45" i="5"/>
  <c r="CW45" i="7" s="1"/>
  <c r="CV45" i="5"/>
  <c r="CV45" i="7" s="1"/>
  <c r="CU45" i="5"/>
  <c r="CU45" i="7" s="1"/>
  <c r="CT45" i="5"/>
  <c r="CT45" i="7" s="1"/>
  <c r="CS45" i="5"/>
  <c r="CS45" i="7" s="1"/>
  <c r="CR45" i="5"/>
  <c r="CR45" i="7" s="1"/>
  <c r="CQ45" i="5"/>
  <c r="CQ45" i="7" s="1"/>
  <c r="CP45" i="5"/>
  <c r="CP45" i="7" s="1"/>
  <c r="CO45" i="5"/>
  <c r="CO45" i="7" s="1"/>
  <c r="CN45" i="5"/>
  <c r="CN45" i="7" s="1"/>
  <c r="CM45" i="5"/>
  <c r="CM45" i="7" s="1"/>
  <c r="CL45" i="5"/>
  <c r="CL45" i="7" s="1"/>
  <c r="CK45" i="5"/>
  <c r="CK45" i="7" s="1"/>
  <c r="CJ45" i="5"/>
  <c r="CJ45" i="7" s="1"/>
  <c r="CI45" i="5"/>
  <c r="CI45" i="7" s="1"/>
  <c r="CH45" i="5"/>
  <c r="CH45" i="7" s="1"/>
  <c r="CG45" i="5"/>
  <c r="CG45" i="7" s="1"/>
  <c r="CF45" i="5"/>
  <c r="CF45" i="7" s="1"/>
  <c r="CE45" i="5"/>
  <c r="CE45" i="7" s="1"/>
  <c r="CD45" i="5"/>
  <c r="CD45" i="7" s="1"/>
  <c r="CC45" i="5"/>
  <c r="CC45" i="7" s="1"/>
  <c r="CB45" i="5"/>
  <c r="CB45" i="7" s="1"/>
  <c r="CA45" i="5"/>
  <c r="CA45" i="7" s="1"/>
  <c r="BZ45" i="5"/>
  <c r="BZ45" i="7" s="1"/>
  <c r="BY45" i="5"/>
  <c r="BY45" i="7" s="1"/>
  <c r="BX45" i="5"/>
  <c r="BX45" i="7" s="1"/>
  <c r="BW45" i="5"/>
  <c r="BW45" i="7" s="1"/>
  <c r="BV45" i="5"/>
  <c r="BV45" i="7" s="1"/>
  <c r="BU45" i="5"/>
  <c r="BU45" i="7" s="1"/>
  <c r="BT45" i="5"/>
  <c r="BT45" i="7" s="1"/>
  <c r="BS45" i="5"/>
  <c r="BS45" i="7" s="1"/>
  <c r="BR45" i="5"/>
  <c r="BR45" i="7" s="1"/>
  <c r="BQ45" i="5"/>
  <c r="BQ45" i="7" s="1"/>
  <c r="BP45" i="5"/>
  <c r="BP45" i="7" s="1"/>
  <c r="BO45" i="5"/>
  <c r="BO45" i="7" s="1"/>
  <c r="BN45" i="5"/>
  <c r="BN45" i="7" s="1"/>
  <c r="BM45" i="5"/>
  <c r="BM45" i="7" s="1"/>
  <c r="BL45" i="5"/>
  <c r="BL45" i="7" s="1"/>
  <c r="BK45" i="5"/>
  <c r="BK45" i="7" s="1"/>
  <c r="BJ45" i="5"/>
  <c r="BJ45" i="7" s="1"/>
  <c r="BI45" i="5"/>
  <c r="BI45" i="7" s="1"/>
  <c r="BH45" i="5"/>
  <c r="BH45" i="7" s="1"/>
  <c r="BG45" i="5"/>
  <c r="BG45" i="7" s="1"/>
  <c r="BF45" i="5"/>
  <c r="BF45" i="7" s="1"/>
  <c r="BE45" i="5"/>
  <c r="BE45" i="7" s="1"/>
  <c r="BD45" i="5"/>
  <c r="BD45" i="7" s="1"/>
  <c r="BC45" i="5"/>
  <c r="BC45" i="7" s="1"/>
  <c r="BB45" i="5"/>
  <c r="BB45" i="7" s="1"/>
  <c r="BA45" i="5"/>
  <c r="BA45" i="7" s="1"/>
  <c r="AZ45" i="5"/>
  <c r="AZ45" i="7" s="1"/>
  <c r="AY45" i="5"/>
  <c r="AY45" i="7" s="1"/>
  <c r="AX45" i="5"/>
  <c r="AX45" i="7" s="1"/>
  <c r="AW45" i="5"/>
  <c r="AW45" i="7" s="1"/>
  <c r="AV45" i="5"/>
  <c r="AV45" i="7" s="1"/>
  <c r="AU45" i="5"/>
  <c r="AU45" i="7" s="1"/>
  <c r="AT45" i="5"/>
  <c r="AT45" i="7" s="1"/>
  <c r="AS45" i="5"/>
  <c r="AS45" i="7" s="1"/>
  <c r="AR45" i="5"/>
  <c r="AR45" i="7" s="1"/>
  <c r="AQ45" i="5"/>
  <c r="AQ45" i="7" s="1"/>
  <c r="AP45" i="5"/>
  <c r="AP45" i="7" s="1"/>
  <c r="AO45" i="5"/>
  <c r="AO45" i="7" s="1"/>
  <c r="AN45" i="5"/>
  <c r="AN45" i="7" s="1"/>
  <c r="AM45" i="5"/>
  <c r="AM45" i="7" s="1"/>
  <c r="AL45" i="5"/>
  <c r="AL45" i="7" s="1"/>
  <c r="AK45" i="5"/>
  <c r="AK45" i="7" s="1"/>
  <c r="AJ45" i="5"/>
  <c r="AJ45" i="7" s="1"/>
  <c r="AI45" i="5"/>
  <c r="AI45" i="7" s="1"/>
  <c r="AH45" i="5"/>
  <c r="AH45" i="7" s="1"/>
  <c r="AG45" i="5"/>
  <c r="AG45" i="7" s="1"/>
  <c r="AF45" i="5"/>
  <c r="AF45" i="7" s="1"/>
  <c r="AE45" i="5"/>
  <c r="AE45" i="7" s="1"/>
  <c r="AD45" i="5"/>
  <c r="AD45" i="7" s="1"/>
  <c r="AC45" i="5"/>
  <c r="AC45" i="7" s="1"/>
  <c r="AB45" i="5"/>
  <c r="AB45" i="7" s="1"/>
  <c r="AA45" i="5"/>
  <c r="AA45" i="7" s="1"/>
  <c r="Z45" i="5"/>
  <c r="Z45" i="7" s="1"/>
  <c r="Y45" i="5"/>
  <c r="Y45" i="7" s="1"/>
  <c r="X45" i="5"/>
  <c r="X45" i="7" s="1"/>
  <c r="W45" i="5"/>
  <c r="W45" i="7" s="1"/>
  <c r="V45" i="5"/>
  <c r="V45" i="7" s="1"/>
  <c r="U45" i="5"/>
  <c r="U45" i="7" s="1"/>
  <c r="T45" i="5"/>
  <c r="T45" i="7" s="1"/>
  <c r="S45" i="5"/>
  <c r="S45" i="7" s="1"/>
  <c r="R45" i="5"/>
  <c r="R45" i="7" s="1"/>
  <c r="Q45" i="5"/>
  <c r="Q45" i="7" s="1"/>
  <c r="P45" i="5"/>
  <c r="P45" i="7" s="1"/>
  <c r="O45" i="5"/>
  <c r="O45" i="7" s="1"/>
  <c r="N45" i="5"/>
  <c r="N45" i="7" s="1"/>
  <c r="M45" i="5"/>
  <c r="M45" i="7" s="1"/>
  <c r="L45" i="5"/>
  <c r="L45" i="7" s="1"/>
  <c r="K45" i="5"/>
  <c r="K45" i="7" s="1"/>
  <c r="J45" i="5"/>
  <c r="J45" i="7" s="1"/>
  <c r="I45" i="5"/>
  <c r="I45" i="7" s="1"/>
  <c r="H45" i="5"/>
  <c r="H45" i="7" s="1"/>
  <c r="G45" i="5"/>
  <c r="G45" i="7" s="1"/>
  <c r="F45" i="5"/>
  <c r="F45" i="7" s="1"/>
  <c r="E45" i="5"/>
  <c r="E45" i="7" s="1"/>
  <c r="D45" i="5"/>
  <c r="D45" i="7" s="1"/>
  <c r="C45" i="5"/>
  <c r="C45" i="7" s="1"/>
  <c r="B45" i="5"/>
  <c r="B45" i="7" s="1"/>
  <c r="DB44" i="5"/>
  <c r="DB44" i="7" s="1"/>
  <c r="DA44" i="5"/>
  <c r="DA44" i="7" s="1"/>
  <c r="CZ44" i="5"/>
  <c r="CZ44" i="7" s="1"/>
  <c r="CY44" i="5"/>
  <c r="CY44" i="7" s="1"/>
  <c r="CX44" i="5"/>
  <c r="CX44" i="7" s="1"/>
  <c r="CW44" i="5"/>
  <c r="CW44" i="7" s="1"/>
  <c r="CV44" i="5"/>
  <c r="CV44" i="7" s="1"/>
  <c r="CU44" i="5"/>
  <c r="CU44" i="7" s="1"/>
  <c r="CT44" i="5"/>
  <c r="CT44" i="7" s="1"/>
  <c r="CS44" i="5"/>
  <c r="CS44" i="7" s="1"/>
  <c r="CR44" i="5"/>
  <c r="CR44" i="7" s="1"/>
  <c r="CQ44" i="5"/>
  <c r="CQ44" i="7" s="1"/>
  <c r="CP44" i="5"/>
  <c r="CP44" i="7" s="1"/>
  <c r="CO44" i="5"/>
  <c r="CO44" i="7" s="1"/>
  <c r="CN44" i="5"/>
  <c r="CN44" i="7" s="1"/>
  <c r="CM44" i="5"/>
  <c r="CM44" i="7" s="1"/>
  <c r="CL44" i="5"/>
  <c r="CL44" i="7" s="1"/>
  <c r="CK44" i="5"/>
  <c r="CK44" i="7" s="1"/>
  <c r="CJ44" i="5"/>
  <c r="CJ44" i="7" s="1"/>
  <c r="CI44" i="5"/>
  <c r="CI44" i="7" s="1"/>
  <c r="CH44" i="5"/>
  <c r="CH44" i="7" s="1"/>
  <c r="CG44" i="5"/>
  <c r="CG44" i="7" s="1"/>
  <c r="CF44" i="5"/>
  <c r="CF44" i="7" s="1"/>
  <c r="CE44" i="5"/>
  <c r="CE44" i="7" s="1"/>
  <c r="CD44" i="5"/>
  <c r="CD44" i="7" s="1"/>
  <c r="CC44" i="5"/>
  <c r="CC44" i="7" s="1"/>
  <c r="CB44" i="5"/>
  <c r="CB44" i="7" s="1"/>
  <c r="CA44" i="5"/>
  <c r="CA44" i="7" s="1"/>
  <c r="BZ44" i="5"/>
  <c r="BZ44" i="7" s="1"/>
  <c r="BY44" i="5"/>
  <c r="BY44" i="7" s="1"/>
  <c r="BX44" i="5"/>
  <c r="BX44" i="7" s="1"/>
  <c r="BW44" i="5"/>
  <c r="BW44" i="7" s="1"/>
  <c r="BV44" i="5"/>
  <c r="BV44" i="7" s="1"/>
  <c r="BU44" i="5"/>
  <c r="BU44" i="7" s="1"/>
  <c r="BT44" i="5"/>
  <c r="BT44" i="7" s="1"/>
  <c r="BS44" i="5"/>
  <c r="BS44" i="7" s="1"/>
  <c r="BR44" i="5"/>
  <c r="BR44" i="7" s="1"/>
  <c r="BQ44" i="5"/>
  <c r="BQ44" i="7" s="1"/>
  <c r="BP44" i="5"/>
  <c r="BP44" i="7" s="1"/>
  <c r="BO44" i="5"/>
  <c r="BO44" i="7" s="1"/>
  <c r="BN44" i="5"/>
  <c r="BN44" i="7" s="1"/>
  <c r="BM44" i="5"/>
  <c r="BM44" i="7" s="1"/>
  <c r="BL44" i="5"/>
  <c r="BL44" i="7" s="1"/>
  <c r="BK44" i="5"/>
  <c r="BK44" i="7" s="1"/>
  <c r="BJ44" i="5"/>
  <c r="BJ44" i="7" s="1"/>
  <c r="BI44" i="5"/>
  <c r="BI44" i="7" s="1"/>
  <c r="BH44" i="5"/>
  <c r="BH44" i="7" s="1"/>
  <c r="BG44" i="5"/>
  <c r="BG44" i="7" s="1"/>
  <c r="BF44" i="5"/>
  <c r="BF44" i="7" s="1"/>
  <c r="BE44" i="5"/>
  <c r="BE44" i="7" s="1"/>
  <c r="BD44" i="5"/>
  <c r="BD44" i="7" s="1"/>
  <c r="BC44" i="5"/>
  <c r="BC44" i="7" s="1"/>
  <c r="BB44" i="5"/>
  <c r="BB44" i="7" s="1"/>
  <c r="BA44" i="5"/>
  <c r="BA44" i="7" s="1"/>
  <c r="AZ44" i="5"/>
  <c r="AZ44" i="7" s="1"/>
  <c r="AY44" i="5"/>
  <c r="AY44" i="7" s="1"/>
  <c r="AX44" i="5"/>
  <c r="AX44" i="7" s="1"/>
  <c r="AW44" i="5"/>
  <c r="AW44" i="7" s="1"/>
  <c r="AV44" i="5"/>
  <c r="AV44" i="7" s="1"/>
  <c r="AU44" i="5"/>
  <c r="AU44" i="7" s="1"/>
  <c r="AT44" i="5"/>
  <c r="AT44" i="7" s="1"/>
  <c r="AS44" i="5"/>
  <c r="AS44" i="7" s="1"/>
  <c r="AR44" i="5"/>
  <c r="AR44" i="7" s="1"/>
  <c r="AQ44" i="5"/>
  <c r="AQ44" i="7" s="1"/>
  <c r="AP44" i="5"/>
  <c r="AP44" i="7" s="1"/>
  <c r="AO44" i="5"/>
  <c r="AO44" i="7" s="1"/>
  <c r="AN44" i="5"/>
  <c r="AN44" i="7" s="1"/>
  <c r="AM44" i="5"/>
  <c r="AM44" i="7" s="1"/>
  <c r="AL44" i="5"/>
  <c r="AL44" i="7" s="1"/>
  <c r="AK44" i="5"/>
  <c r="AK44" i="7" s="1"/>
  <c r="AJ44" i="5"/>
  <c r="AJ44" i="7" s="1"/>
  <c r="AI44" i="5"/>
  <c r="AI44" i="7" s="1"/>
  <c r="AH44" i="5"/>
  <c r="AH44" i="7" s="1"/>
  <c r="AG44" i="5"/>
  <c r="AG44" i="7" s="1"/>
  <c r="AF44" i="5"/>
  <c r="AF44" i="7" s="1"/>
  <c r="AE44" i="5"/>
  <c r="AE44" i="7" s="1"/>
  <c r="AD44" i="5"/>
  <c r="AD44" i="7" s="1"/>
  <c r="AC44" i="5"/>
  <c r="AC44" i="7" s="1"/>
  <c r="AB44" i="5"/>
  <c r="AB44" i="7" s="1"/>
  <c r="AA44" i="5"/>
  <c r="AA44" i="7" s="1"/>
  <c r="Z44" i="5"/>
  <c r="Z44" i="7" s="1"/>
  <c r="Y44" i="5"/>
  <c r="Y44" i="7" s="1"/>
  <c r="X44" i="5"/>
  <c r="X44" i="7" s="1"/>
  <c r="W44" i="5"/>
  <c r="W44" i="7" s="1"/>
  <c r="V44" i="5"/>
  <c r="V44" i="7" s="1"/>
  <c r="U44" i="5"/>
  <c r="U44" i="7" s="1"/>
  <c r="T44" i="5"/>
  <c r="T44" i="7" s="1"/>
  <c r="S44" i="5"/>
  <c r="S44" i="7" s="1"/>
  <c r="R44" i="5"/>
  <c r="R44" i="7" s="1"/>
  <c r="Q44" i="5"/>
  <c r="Q44" i="7" s="1"/>
  <c r="P44" i="5"/>
  <c r="P44" i="7" s="1"/>
  <c r="O44" i="5"/>
  <c r="O44" i="7" s="1"/>
  <c r="N44" i="5"/>
  <c r="N44" i="7" s="1"/>
  <c r="M44" i="5"/>
  <c r="M44" i="7" s="1"/>
  <c r="L44" i="5"/>
  <c r="L44" i="7" s="1"/>
  <c r="K44" i="5"/>
  <c r="K44" i="7" s="1"/>
  <c r="J44" i="5"/>
  <c r="J44" i="7" s="1"/>
  <c r="I44" i="5"/>
  <c r="I44" i="7" s="1"/>
  <c r="H44" i="5"/>
  <c r="H44" i="7" s="1"/>
  <c r="G44" i="5"/>
  <c r="G44" i="7" s="1"/>
  <c r="F44" i="5"/>
  <c r="F44" i="7" s="1"/>
  <c r="E44" i="5"/>
  <c r="E44" i="7" s="1"/>
  <c r="D44" i="5"/>
  <c r="D44" i="7" s="1"/>
  <c r="C44" i="5"/>
  <c r="C44" i="7" s="1"/>
  <c r="B44" i="5"/>
  <c r="B44" i="7" s="1"/>
  <c r="DB43" i="5"/>
  <c r="DB43" i="7" s="1"/>
  <c r="DA43" i="5"/>
  <c r="DA43" i="7" s="1"/>
  <c r="CZ43" i="5"/>
  <c r="CZ43" i="7" s="1"/>
  <c r="CY43" i="5"/>
  <c r="CY43" i="7" s="1"/>
  <c r="CX43" i="5"/>
  <c r="CX43" i="7" s="1"/>
  <c r="CW43" i="5"/>
  <c r="CW43" i="7" s="1"/>
  <c r="CV43" i="5"/>
  <c r="CV43" i="7" s="1"/>
  <c r="CU43" i="5"/>
  <c r="CU43" i="7" s="1"/>
  <c r="CT43" i="5"/>
  <c r="CT43" i="7" s="1"/>
  <c r="CS43" i="5"/>
  <c r="CS43" i="7" s="1"/>
  <c r="CR43" i="5"/>
  <c r="CR43" i="7" s="1"/>
  <c r="CQ43" i="5"/>
  <c r="CQ43" i="7" s="1"/>
  <c r="CP43" i="5"/>
  <c r="CP43" i="7" s="1"/>
  <c r="CO43" i="5"/>
  <c r="CO43" i="7" s="1"/>
  <c r="CN43" i="5"/>
  <c r="CN43" i="7" s="1"/>
  <c r="CM43" i="5"/>
  <c r="CM43" i="7" s="1"/>
  <c r="CL43" i="5"/>
  <c r="CL43" i="7" s="1"/>
  <c r="CK43" i="5"/>
  <c r="CK43" i="7" s="1"/>
  <c r="CJ43" i="5"/>
  <c r="CJ43" i="7" s="1"/>
  <c r="CI43" i="5"/>
  <c r="CI43" i="7" s="1"/>
  <c r="CH43" i="5"/>
  <c r="CH43" i="7" s="1"/>
  <c r="CG43" i="5"/>
  <c r="CG43" i="7" s="1"/>
  <c r="CF43" i="5"/>
  <c r="CF43" i="7" s="1"/>
  <c r="CE43" i="5"/>
  <c r="CE43" i="7" s="1"/>
  <c r="CD43" i="5"/>
  <c r="CD43" i="7" s="1"/>
  <c r="CC43" i="5"/>
  <c r="CC43" i="7" s="1"/>
  <c r="CB43" i="5"/>
  <c r="CB43" i="7" s="1"/>
  <c r="CA43" i="5"/>
  <c r="CA43" i="7" s="1"/>
  <c r="BZ43" i="5"/>
  <c r="BZ43" i="7" s="1"/>
  <c r="BY43" i="5"/>
  <c r="BY43" i="7" s="1"/>
  <c r="BX43" i="5"/>
  <c r="BX43" i="7" s="1"/>
  <c r="BW43" i="5"/>
  <c r="BW43" i="7" s="1"/>
  <c r="BV43" i="5"/>
  <c r="BV43" i="7" s="1"/>
  <c r="BU43" i="5"/>
  <c r="BU43" i="7" s="1"/>
  <c r="BT43" i="5"/>
  <c r="BT43" i="7" s="1"/>
  <c r="BS43" i="5"/>
  <c r="BS43" i="7" s="1"/>
  <c r="BR43" i="5"/>
  <c r="BR43" i="7" s="1"/>
  <c r="BQ43" i="5"/>
  <c r="BQ43" i="7" s="1"/>
  <c r="BP43" i="5"/>
  <c r="BP43" i="7" s="1"/>
  <c r="BO43" i="5"/>
  <c r="BO43" i="7" s="1"/>
  <c r="BN43" i="5"/>
  <c r="BN43" i="7" s="1"/>
  <c r="BM43" i="5"/>
  <c r="BM43" i="7" s="1"/>
  <c r="BL43" i="5"/>
  <c r="BL43" i="7" s="1"/>
  <c r="BK43" i="5"/>
  <c r="BK43" i="7" s="1"/>
  <c r="BJ43" i="5"/>
  <c r="BJ43" i="7" s="1"/>
  <c r="BI43" i="5"/>
  <c r="BI43" i="7" s="1"/>
  <c r="BH43" i="5"/>
  <c r="BH43" i="7" s="1"/>
  <c r="BG43" i="5"/>
  <c r="BG43" i="7" s="1"/>
  <c r="BF43" i="5"/>
  <c r="BF43" i="7" s="1"/>
  <c r="BE43" i="5"/>
  <c r="BE43" i="7" s="1"/>
  <c r="BD43" i="5"/>
  <c r="BD43" i="7" s="1"/>
  <c r="BC43" i="5"/>
  <c r="BC43" i="7" s="1"/>
  <c r="BB43" i="5"/>
  <c r="BB43" i="7" s="1"/>
  <c r="BA43" i="5"/>
  <c r="BA43" i="7" s="1"/>
  <c r="AZ43" i="5"/>
  <c r="AZ43" i="7" s="1"/>
  <c r="AY43" i="5"/>
  <c r="AY43" i="7" s="1"/>
  <c r="AX43" i="5"/>
  <c r="AX43" i="7" s="1"/>
  <c r="AW43" i="5"/>
  <c r="AW43" i="7" s="1"/>
  <c r="AV43" i="5"/>
  <c r="AV43" i="7" s="1"/>
  <c r="AU43" i="5"/>
  <c r="AU43" i="7" s="1"/>
  <c r="AT43" i="5"/>
  <c r="AT43" i="7" s="1"/>
  <c r="AS43" i="5"/>
  <c r="AS43" i="7" s="1"/>
  <c r="AR43" i="5"/>
  <c r="AR43" i="7" s="1"/>
  <c r="AQ43" i="5"/>
  <c r="AQ43" i="7" s="1"/>
  <c r="AP43" i="5"/>
  <c r="AP43" i="7" s="1"/>
  <c r="AO43" i="5"/>
  <c r="AO43" i="7" s="1"/>
  <c r="AN43" i="5"/>
  <c r="AN43" i="7" s="1"/>
  <c r="AM43" i="5"/>
  <c r="AM43" i="7" s="1"/>
  <c r="AL43" i="5"/>
  <c r="AL43" i="7" s="1"/>
  <c r="AK43" i="5"/>
  <c r="AK43" i="7" s="1"/>
  <c r="AJ43" i="5"/>
  <c r="AJ43" i="7" s="1"/>
  <c r="AI43" i="5"/>
  <c r="AI43" i="7" s="1"/>
  <c r="AH43" i="5"/>
  <c r="AH43" i="7" s="1"/>
  <c r="AG43" i="5"/>
  <c r="AG43" i="7" s="1"/>
  <c r="AF43" i="5"/>
  <c r="AF43" i="7" s="1"/>
  <c r="AE43" i="5"/>
  <c r="AE43" i="7" s="1"/>
  <c r="AD43" i="5"/>
  <c r="AD43" i="7" s="1"/>
  <c r="AC43" i="5"/>
  <c r="AC43" i="7" s="1"/>
  <c r="AB43" i="5"/>
  <c r="AB43" i="7" s="1"/>
  <c r="AA43" i="5"/>
  <c r="AA43" i="7" s="1"/>
  <c r="Z43" i="5"/>
  <c r="Z43" i="7" s="1"/>
  <c r="Y43" i="5"/>
  <c r="Y43" i="7" s="1"/>
  <c r="X43" i="5"/>
  <c r="X43" i="7" s="1"/>
  <c r="W43" i="5"/>
  <c r="W43" i="7" s="1"/>
  <c r="V43" i="5"/>
  <c r="V43" i="7" s="1"/>
  <c r="U43" i="5"/>
  <c r="U43" i="7" s="1"/>
  <c r="T43" i="5"/>
  <c r="T43" i="7" s="1"/>
  <c r="S43" i="5"/>
  <c r="S43" i="7" s="1"/>
  <c r="R43" i="5"/>
  <c r="R43" i="7" s="1"/>
  <c r="Q43" i="5"/>
  <c r="Q43" i="7" s="1"/>
  <c r="P43" i="5"/>
  <c r="P43" i="7" s="1"/>
  <c r="O43" i="5"/>
  <c r="O43" i="7" s="1"/>
  <c r="N43" i="5"/>
  <c r="N43" i="7" s="1"/>
  <c r="M43" i="5"/>
  <c r="M43" i="7" s="1"/>
  <c r="L43" i="5"/>
  <c r="L43" i="7" s="1"/>
  <c r="K43" i="5"/>
  <c r="K43" i="7" s="1"/>
  <c r="J43" i="5"/>
  <c r="J43" i="7" s="1"/>
  <c r="I43" i="5"/>
  <c r="I43" i="7" s="1"/>
  <c r="H43" i="5"/>
  <c r="H43" i="7" s="1"/>
  <c r="G43" i="5"/>
  <c r="G43" i="7" s="1"/>
  <c r="F43" i="5"/>
  <c r="F43" i="7" s="1"/>
  <c r="E43" i="5"/>
  <c r="E43" i="7" s="1"/>
  <c r="D43" i="5"/>
  <c r="D43" i="7" s="1"/>
  <c r="C43" i="5"/>
  <c r="C43" i="7" s="1"/>
  <c r="B43" i="5"/>
  <c r="B43" i="7" s="1"/>
  <c r="DB42" i="5"/>
  <c r="DB42" i="7" s="1"/>
  <c r="DA42" i="5"/>
  <c r="DA42" i="7" s="1"/>
  <c r="CZ42" i="5"/>
  <c r="CZ42" i="7" s="1"/>
  <c r="CY42" i="5"/>
  <c r="CY42" i="7" s="1"/>
  <c r="CX42" i="5"/>
  <c r="CX42" i="7" s="1"/>
  <c r="CW42" i="5"/>
  <c r="CW42" i="7" s="1"/>
  <c r="CV42" i="5"/>
  <c r="CV42" i="7" s="1"/>
  <c r="CU42" i="5"/>
  <c r="CU42" i="7" s="1"/>
  <c r="CT42" i="5"/>
  <c r="CT42" i="7" s="1"/>
  <c r="CS42" i="5"/>
  <c r="CS42" i="7" s="1"/>
  <c r="CR42" i="5"/>
  <c r="CR42" i="7" s="1"/>
  <c r="CQ42" i="5"/>
  <c r="CQ42" i="7" s="1"/>
  <c r="CP42" i="5"/>
  <c r="CP42" i="7" s="1"/>
  <c r="CO42" i="5"/>
  <c r="CO42" i="7" s="1"/>
  <c r="CN42" i="5"/>
  <c r="CN42" i="7" s="1"/>
  <c r="CM42" i="5"/>
  <c r="CM42" i="7" s="1"/>
  <c r="CL42" i="5"/>
  <c r="CL42" i="7" s="1"/>
  <c r="CK42" i="5"/>
  <c r="CK42" i="7" s="1"/>
  <c r="CJ42" i="5"/>
  <c r="CJ42" i="7" s="1"/>
  <c r="CI42" i="5"/>
  <c r="CI42" i="7" s="1"/>
  <c r="CH42" i="5"/>
  <c r="CH42" i="7" s="1"/>
  <c r="CG42" i="5"/>
  <c r="CG42" i="7" s="1"/>
  <c r="CF42" i="5"/>
  <c r="CF42" i="7" s="1"/>
  <c r="CE42" i="5"/>
  <c r="CE42" i="7" s="1"/>
  <c r="CD42" i="5"/>
  <c r="CD42" i="7" s="1"/>
  <c r="CC42" i="5"/>
  <c r="CC42" i="7" s="1"/>
  <c r="CB42" i="5"/>
  <c r="CB42" i="7" s="1"/>
  <c r="CA42" i="5"/>
  <c r="CA42" i="7" s="1"/>
  <c r="BZ42" i="5"/>
  <c r="BZ42" i="7" s="1"/>
  <c r="BY42" i="5"/>
  <c r="BY42" i="7" s="1"/>
  <c r="BX42" i="5"/>
  <c r="BX42" i="7" s="1"/>
  <c r="BW42" i="5"/>
  <c r="BW42" i="7" s="1"/>
  <c r="BV42" i="5"/>
  <c r="BV42" i="7" s="1"/>
  <c r="BU42" i="5"/>
  <c r="BU42" i="7" s="1"/>
  <c r="BT42" i="5"/>
  <c r="BT42" i="7" s="1"/>
  <c r="BS42" i="5"/>
  <c r="BS42" i="7" s="1"/>
  <c r="BR42" i="5"/>
  <c r="BR42" i="7" s="1"/>
  <c r="BQ42" i="5"/>
  <c r="BQ42" i="7" s="1"/>
  <c r="BP42" i="5"/>
  <c r="BP42" i="7" s="1"/>
  <c r="BO42" i="5"/>
  <c r="BO42" i="7" s="1"/>
  <c r="BN42" i="5"/>
  <c r="BN42" i="7" s="1"/>
  <c r="BM42" i="5"/>
  <c r="BM42" i="7" s="1"/>
  <c r="BL42" i="5"/>
  <c r="BL42" i="7" s="1"/>
  <c r="BK42" i="5"/>
  <c r="BK42" i="7" s="1"/>
  <c r="BJ42" i="5"/>
  <c r="BJ42" i="7" s="1"/>
  <c r="BI42" i="5"/>
  <c r="BI42" i="7" s="1"/>
  <c r="BH42" i="5"/>
  <c r="BH42" i="7" s="1"/>
  <c r="BG42" i="5"/>
  <c r="BG42" i="7" s="1"/>
  <c r="BF42" i="5"/>
  <c r="BF42" i="7" s="1"/>
  <c r="BE42" i="5"/>
  <c r="BE42" i="7" s="1"/>
  <c r="BD42" i="5"/>
  <c r="BD42" i="7" s="1"/>
  <c r="BC42" i="5"/>
  <c r="BC42" i="7" s="1"/>
  <c r="BB42" i="5"/>
  <c r="BB42" i="7" s="1"/>
  <c r="BA42" i="5"/>
  <c r="BA42" i="7" s="1"/>
  <c r="AZ42" i="5"/>
  <c r="AZ42" i="7" s="1"/>
  <c r="AY42" i="5"/>
  <c r="AY42" i="7" s="1"/>
  <c r="AX42" i="5"/>
  <c r="AX42" i="7" s="1"/>
  <c r="AW42" i="5"/>
  <c r="AW42" i="7" s="1"/>
  <c r="AV42" i="5"/>
  <c r="AV42" i="7" s="1"/>
  <c r="AU42" i="5"/>
  <c r="AU42" i="7" s="1"/>
  <c r="AT42" i="5"/>
  <c r="AT42" i="7" s="1"/>
  <c r="AS42" i="5"/>
  <c r="AS42" i="7" s="1"/>
  <c r="AR42" i="5"/>
  <c r="AR42" i="7" s="1"/>
  <c r="AQ42" i="5"/>
  <c r="AQ42" i="7" s="1"/>
  <c r="AP42" i="5"/>
  <c r="AP42" i="7" s="1"/>
  <c r="AO42" i="5"/>
  <c r="AO42" i="7" s="1"/>
  <c r="AN42" i="5"/>
  <c r="AN42" i="7" s="1"/>
  <c r="AM42" i="5"/>
  <c r="AM42" i="7" s="1"/>
  <c r="AL42" i="5"/>
  <c r="AL42" i="7" s="1"/>
  <c r="AK42" i="5"/>
  <c r="AK42" i="7" s="1"/>
  <c r="AJ42" i="5"/>
  <c r="AJ42" i="7" s="1"/>
  <c r="AI42" i="5"/>
  <c r="AI42" i="7" s="1"/>
  <c r="AH42" i="5"/>
  <c r="AH42" i="7" s="1"/>
  <c r="AG42" i="5"/>
  <c r="AG42" i="7" s="1"/>
  <c r="AF42" i="5"/>
  <c r="AF42" i="7" s="1"/>
  <c r="AE42" i="5"/>
  <c r="AE42" i="7" s="1"/>
  <c r="AD42" i="5"/>
  <c r="AD42" i="7" s="1"/>
  <c r="AC42" i="5"/>
  <c r="AC42" i="7" s="1"/>
  <c r="AB42" i="5"/>
  <c r="AB42" i="7" s="1"/>
  <c r="AA42" i="5"/>
  <c r="AA42" i="7" s="1"/>
  <c r="Z42" i="5"/>
  <c r="Z42" i="7" s="1"/>
  <c r="Y42" i="5"/>
  <c r="Y42" i="7" s="1"/>
  <c r="X42" i="5"/>
  <c r="X42" i="7" s="1"/>
  <c r="W42" i="5"/>
  <c r="W42" i="7" s="1"/>
  <c r="V42" i="5"/>
  <c r="V42" i="7" s="1"/>
  <c r="U42" i="5"/>
  <c r="U42" i="7" s="1"/>
  <c r="T42" i="5"/>
  <c r="T42" i="7" s="1"/>
  <c r="S42" i="5"/>
  <c r="S42" i="7" s="1"/>
  <c r="R42" i="5"/>
  <c r="R42" i="7" s="1"/>
  <c r="Q42" i="5"/>
  <c r="Q42" i="7" s="1"/>
  <c r="P42" i="5"/>
  <c r="P42" i="7" s="1"/>
  <c r="O42" i="5"/>
  <c r="O42" i="7" s="1"/>
  <c r="N42" i="5"/>
  <c r="N42" i="7" s="1"/>
  <c r="M42" i="5"/>
  <c r="M42" i="7" s="1"/>
  <c r="L42" i="5"/>
  <c r="L42" i="7" s="1"/>
  <c r="K42" i="5"/>
  <c r="K42" i="7" s="1"/>
  <c r="J42" i="5"/>
  <c r="J42" i="7" s="1"/>
  <c r="I42" i="5"/>
  <c r="I42" i="7" s="1"/>
  <c r="H42" i="5"/>
  <c r="H42" i="7" s="1"/>
  <c r="G42" i="5"/>
  <c r="G42" i="7" s="1"/>
  <c r="F42" i="5"/>
  <c r="F42" i="7" s="1"/>
  <c r="E42" i="5"/>
  <c r="E42" i="7" s="1"/>
  <c r="D42" i="5"/>
  <c r="D42" i="7" s="1"/>
  <c r="C42" i="5"/>
  <c r="C42" i="7" s="1"/>
  <c r="B42" i="5"/>
  <c r="B42" i="7" s="1"/>
  <c r="DB41" i="5"/>
  <c r="DB41" i="7" s="1"/>
  <c r="DA41" i="5"/>
  <c r="DA41" i="7" s="1"/>
  <c r="CZ41" i="5"/>
  <c r="CZ41" i="7" s="1"/>
  <c r="CY41" i="5"/>
  <c r="CY41" i="7" s="1"/>
  <c r="CX41" i="5"/>
  <c r="CX41" i="7" s="1"/>
  <c r="CW41" i="5"/>
  <c r="CW41" i="7" s="1"/>
  <c r="CV41" i="5"/>
  <c r="CV41" i="7" s="1"/>
  <c r="CU41" i="5"/>
  <c r="CU41" i="7" s="1"/>
  <c r="CT41" i="5"/>
  <c r="CT41" i="7" s="1"/>
  <c r="CS41" i="5"/>
  <c r="CS41" i="7" s="1"/>
  <c r="CR41" i="5"/>
  <c r="CR41" i="7" s="1"/>
  <c r="CQ41" i="5"/>
  <c r="CQ41" i="7" s="1"/>
  <c r="CP41" i="5"/>
  <c r="CP41" i="7" s="1"/>
  <c r="CO41" i="5"/>
  <c r="CO41" i="7" s="1"/>
  <c r="CN41" i="5"/>
  <c r="CN41" i="7" s="1"/>
  <c r="CM41" i="5"/>
  <c r="CM41" i="7" s="1"/>
  <c r="CL41" i="5"/>
  <c r="CL41" i="7" s="1"/>
  <c r="CK41" i="5"/>
  <c r="CK41" i="7" s="1"/>
  <c r="CJ41" i="5"/>
  <c r="CJ41" i="7" s="1"/>
  <c r="CI41" i="5"/>
  <c r="CI41" i="7" s="1"/>
  <c r="CH41" i="5"/>
  <c r="CH41" i="7" s="1"/>
  <c r="CG41" i="5"/>
  <c r="CG41" i="7" s="1"/>
  <c r="CF41" i="5"/>
  <c r="CF41" i="7" s="1"/>
  <c r="CE41" i="5"/>
  <c r="CE41" i="7" s="1"/>
  <c r="CD41" i="5"/>
  <c r="CD41" i="7" s="1"/>
  <c r="CC41" i="5"/>
  <c r="CC41" i="7" s="1"/>
  <c r="CB41" i="5"/>
  <c r="CB41" i="7" s="1"/>
  <c r="CA41" i="5"/>
  <c r="CA41" i="7" s="1"/>
  <c r="BZ41" i="5"/>
  <c r="BZ41" i="7" s="1"/>
  <c r="BY41" i="5"/>
  <c r="BY41" i="7" s="1"/>
  <c r="BX41" i="5"/>
  <c r="BX41" i="7" s="1"/>
  <c r="BW41" i="5"/>
  <c r="BW41" i="7" s="1"/>
  <c r="BV41" i="5"/>
  <c r="BV41" i="7" s="1"/>
  <c r="BU41" i="5"/>
  <c r="BU41" i="7" s="1"/>
  <c r="BT41" i="5"/>
  <c r="BT41" i="7" s="1"/>
  <c r="BS41" i="5"/>
  <c r="BS41" i="7" s="1"/>
  <c r="BR41" i="5"/>
  <c r="BR41" i="7" s="1"/>
  <c r="BQ41" i="5"/>
  <c r="BQ41" i="7" s="1"/>
  <c r="BP41" i="5"/>
  <c r="BP41" i="7" s="1"/>
  <c r="BO41" i="5"/>
  <c r="BO41" i="7" s="1"/>
  <c r="BN41" i="5"/>
  <c r="BN41" i="7" s="1"/>
  <c r="BM41" i="5"/>
  <c r="BM41" i="7" s="1"/>
  <c r="BL41" i="5"/>
  <c r="BL41" i="7" s="1"/>
  <c r="BK41" i="5"/>
  <c r="BK41" i="7" s="1"/>
  <c r="BJ41" i="5"/>
  <c r="BJ41" i="7" s="1"/>
  <c r="BI41" i="5"/>
  <c r="BI41" i="7" s="1"/>
  <c r="BH41" i="5"/>
  <c r="BH41" i="7" s="1"/>
  <c r="BG41" i="5"/>
  <c r="BG41" i="7" s="1"/>
  <c r="BF41" i="5"/>
  <c r="BF41" i="7" s="1"/>
  <c r="BE41" i="5"/>
  <c r="BE41" i="7" s="1"/>
  <c r="BD41" i="5"/>
  <c r="BD41" i="7" s="1"/>
  <c r="BC41" i="5"/>
  <c r="BC41" i="7" s="1"/>
  <c r="BB41" i="5"/>
  <c r="BB41" i="7" s="1"/>
  <c r="BA41" i="5"/>
  <c r="BA41" i="7" s="1"/>
  <c r="AZ41" i="5"/>
  <c r="AZ41" i="7" s="1"/>
  <c r="AY41" i="5"/>
  <c r="AY41" i="7" s="1"/>
  <c r="AX41" i="5"/>
  <c r="AX41" i="7" s="1"/>
  <c r="AW41" i="5"/>
  <c r="AW41" i="7" s="1"/>
  <c r="AV41" i="5"/>
  <c r="AV41" i="7" s="1"/>
  <c r="AU41" i="5"/>
  <c r="AU41" i="7" s="1"/>
  <c r="AT41" i="5"/>
  <c r="AT41" i="7" s="1"/>
  <c r="AS41" i="5"/>
  <c r="AS41" i="7" s="1"/>
  <c r="AR41" i="5"/>
  <c r="AR41" i="7" s="1"/>
  <c r="AQ41" i="5"/>
  <c r="AQ41" i="7" s="1"/>
  <c r="AP41" i="5"/>
  <c r="AP41" i="7" s="1"/>
  <c r="AO41" i="5"/>
  <c r="AO41" i="7" s="1"/>
  <c r="AN41" i="5"/>
  <c r="AN41" i="7" s="1"/>
  <c r="AM41" i="5"/>
  <c r="AM41" i="7" s="1"/>
  <c r="AL41" i="5"/>
  <c r="AL41" i="7" s="1"/>
  <c r="AK41" i="5"/>
  <c r="AK41" i="7" s="1"/>
  <c r="AJ41" i="5"/>
  <c r="AJ41" i="7" s="1"/>
  <c r="AI41" i="5"/>
  <c r="AI41" i="7" s="1"/>
  <c r="AH41" i="5"/>
  <c r="AH41" i="7" s="1"/>
  <c r="AG41" i="5"/>
  <c r="AG41" i="7" s="1"/>
  <c r="AF41" i="5"/>
  <c r="AF41" i="7" s="1"/>
  <c r="AE41" i="5"/>
  <c r="AE41" i="7" s="1"/>
  <c r="AD41" i="5"/>
  <c r="AD41" i="7" s="1"/>
  <c r="AC41" i="5"/>
  <c r="AC41" i="7" s="1"/>
  <c r="AB41" i="5"/>
  <c r="AB41" i="7" s="1"/>
  <c r="AA41" i="5"/>
  <c r="AA41" i="7" s="1"/>
  <c r="Z41" i="5"/>
  <c r="Z41" i="7" s="1"/>
  <c r="Y41" i="5"/>
  <c r="Y41" i="7" s="1"/>
  <c r="X41" i="5"/>
  <c r="X41" i="7" s="1"/>
  <c r="W41" i="5"/>
  <c r="W41" i="7" s="1"/>
  <c r="V41" i="5"/>
  <c r="V41" i="7" s="1"/>
  <c r="U41" i="5"/>
  <c r="U41" i="7" s="1"/>
  <c r="T41" i="5"/>
  <c r="T41" i="7" s="1"/>
  <c r="S41" i="5"/>
  <c r="S41" i="7" s="1"/>
  <c r="R41" i="5"/>
  <c r="R41" i="7" s="1"/>
  <c r="Q41" i="5"/>
  <c r="Q41" i="7" s="1"/>
  <c r="P41" i="5"/>
  <c r="P41" i="7" s="1"/>
  <c r="O41" i="5"/>
  <c r="O41" i="7" s="1"/>
  <c r="N41" i="5"/>
  <c r="N41" i="7" s="1"/>
  <c r="M41" i="5"/>
  <c r="M41" i="7" s="1"/>
  <c r="L41" i="5"/>
  <c r="L41" i="7" s="1"/>
  <c r="K41" i="5"/>
  <c r="K41" i="7" s="1"/>
  <c r="J41" i="5"/>
  <c r="J41" i="7" s="1"/>
  <c r="I41" i="5"/>
  <c r="I41" i="7" s="1"/>
  <c r="H41" i="5"/>
  <c r="H41" i="7" s="1"/>
  <c r="G41" i="5"/>
  <c r="G41" i="7" s="1"/>
  <c r="F41" i="5"/>
  <c r="F41" i="7" s="1"/>
  <c r="E41" i="5"/>
  <c r="E41" i="7" s="1"/>
  <c r="D41" i="5"/>
  <c r="D41" i="7" s="1"/>
  <c r="C41" i="5"/>
  <c r="C41" i="7" s="1"/>
  <c r="B41" i="5"/>
  <c r="B41" i="7" s="1"/>
  <c r="DB40" i="5"/>
  <c r="DB40" i="7" s="1"/>
  <c r="DA40" i="5"/>
  <c r="DA40" i="7" s="1"/>
  <c r="CZ40" i="5"/>
  <c r="CZ40" i="7" s="1"/>
  <c r="CY40" i="5"/>
  <c r="CY40" i="7" s="1"/>
  <c r="CX40" i="5"/>
  <c r="CX40" i="7" s="1"/>
  <c r="CW40" i="5"/>
  <c r="CW40" i="7" s="1"/>
  <c r="CV40" i="5"/>
  <c r="CV40" i="7" s="1"/>
  <c r="CU40" i="5"/>
  <c r="CU40" i="7" s="1"/>
  <c r="CT40" i="5"/>
  <c r="CT40" i="7" s="1"/>
  <c r="CS40" i="5"/>
  <c r="CS40" i="7" s="1"/>
  <c r="CR40" i="5"/>
  <c r="CR40" i="7" s="1"/>
  <c r="CQ40" i="5"/>
  <c r="CQ40" i="7" s="1"/>
  <c r="CP40" i="5"/>
  <c r="CP40" i="7" s="1"/>
  <c r="CO40" i="5"/>
  <c r="CO40" i="7" s="1"/>
  <c r="CN40" i="5"/>
  <c r="CN40" i="7" s="1"/>
  <c r="CM40" i="5"/>
  <c r="CM40" i="7" s="1"/>
  <c r="CL40" i="5"/>
  <c r="CL40" i="7" s="1"/>
  <c r="CK40" i="5"/>
  <c r="CK40" i="7" s="1"/>
  <c r="CJ40" i="5"/>
  <c r="CJ40" i="7" s="1"/>
  <c r="CI40" i="5"/>
  <c r="CI40" i="7" s="1"/>
  <c r="CH40" i="5"/>
  <c r="CH40" i="7" s="1"/>
  <c r="CG40" i="5"/>
  <c r="CG40" i="7" s="1"/>
  <c r="CF40" i="5"/>
  <c r="CF40" i="7" s="1"/>
  <c r="CE40" i="5"/>
  <c r="CE40" i="7" s="1"/>
  <c r="CD40" i="5"/>
  <c r="CD40" i="7" s="1"/>
  <c r="CC40" i="5"/>
  <c r="CC40" i="7" s="1"/>
  <c r="CB40" i="5"/>
  <c r="CB40" i="7" s="1"/>
  <c r="CA40" i="5"/>
  <c r="CA40" i="7" s="1"/>
  <c r="BZ40" i="5"/>
  <c r="BZ40" i="7" s="1"/>
  <c r="BY40" i="5"/>
  <c r="BY40" i="7" s="1"/>
  <c r="BX40" i="5"/>
  <c r="BX40" i="7" s="1"/>
  <c r="BW40" i="5"/>
  <c r="BW40" i="7" s="1"/>
  <c r="BV40" i="5"/>
  <c r="BV40" i="7" s="1"/>
  <c r="BU40" i="5"/>
  <c r="BU40" i="7" s="1"/>
  <c r="BT40" i="5"/>
  <c r="BT40" i="7" s="1"/>
  <c r="BS40" i="5"/>
  <c r="BS40" i="7" s="1"/>
  <c r="BR40" i="5"/>
  <c r="BR40" i="7" s="1"/>
  <c r="BQ40" i="5"/>
  <c r="BQ40" i="7" s="1"/>
  <c r="BP40" i="5"/>
  <c r="BP40" i="7" s="1"/>
  <c r="BO40" i="5"/>
  <c r="BO40" i="7" s="1"/>
  <c r="BN40" i="5"/>
  <c r="BN40" i="7" s="1"/>
  <c r="BM40" i="5"/>
  <c r="BM40" i="7" s="1"/>
  <c r="BL40" i="5"/>
  <c r="BL40" i="7" s="1"/>
  <c r="BK40" i="5"/>
  <c r="BK40" i="7" s="1"/>
  <c r="BJ40" i="5"/>
  <c r="BJ40" i="7" s="1"/>
  <c r="BI40" i="5"/>
  <c r="BI40" i="7" s="1"/>
  <c r="BH40" i="5"/>
  <c r="BH40" i="7" s="1"/>
  <c r="BG40" i="5"/>
  <c r="BG40" i="7" s="1"/>
  <c r="BF40" i="5"/>
  <c r="BF40" i="7" s="1"/>
  <c r="BE40" i="5"/>
  <c r="BE40" i="7" s="1"/>
  <c r="BD40" i="5"/>
  <c r="BD40" i="7" s="1"/>
  <c r="BC40" i="5"/>
  <c r="BC40" i="7" s="1"/>
  <c r="BB40" i="5"/>
  <c r="BB40" i="7" s="1"/>
  <c r="BA40" i="5"/>
  <c r="BA40" i="7" s="1"/>
  <c r="AZ40" i="5"/>
  <c r="AZ40" i="7" s="1"/>
  <c r="AY40" i="5"/>
  <c r="AY40" i="7" s="1"/>
  <c r="AX40" i="5"/>
  <c r="AX40" i="7" s="1"/>
  <c r="AW40" i="5"/>
  <c r="AW40" i="7" s="1"/>
  <c r="AV40" i="5"/>
  <c r="AV40" i="7" s="1"/>
  <c r="AU40" i="5"/>
  <c r="AU40" i="7" s="1"/>
  <c r="AT40" i="5"/>
  <c r="AT40" i="7" s="1"/>
  <c r="AS40" i="5"/>
  <c r="AS40" i="7" s="1"/>
  <c r="AR40" i="5"/>
  <c r="AR40" i="7" s="1"/>
  <c r="AQ40" i="5"/>
  <c r="AQ40" i="7" s="1"/>
  <c r="AP40" i="5"/>
  <c r="AP40" i="7" s="1"/>
  <c r="AO40" i="5"/>
  <c r="AO40" i="7" s="1"/>
  <c r="AN40" i="5"/>
  <c r="AN40" i="7" s="1"/>
  <c r="AM40" i="5"/>
  <c r="AM40" i="7" s="1"/>
  <c r="AL40" i="5"/>
  <c r="AL40" i="7" s="1"/>
  <c r="AK40" i="5"/>
  <c r="AK40" i="7" s="1"/>
  <c r="AJ40" i="5"/>
  <c r="AJ40" i="7" s="1"/>
  <c r="AI40" i="5"/>
  <c r="AI40" i="7" s="1"/>
  <c r="AH40" i="5"/>
  <c r="AH40" i="7" s="1"/>
  <c r="AG40" i="5"/>
  <c r="AG40" i="7" s="1"/>
  <c r="AF40" i="5"/>
  <c r="AF40" i="7" s="1"/>
  <c r="AE40" i="5"/>
  <c r="AE40" i="7" s="1"/>
  <c r="AD40" i="5"/>
  <c r="AD40" i="7" s="1"/>
  <c r="AC40" i="5"/>
  <c r="AC40" i="7" s="1"/>
  <c r="AB40" i="5"/>
  <c r="AB40" i="7" s="1"/>
  <c r="AA40" i="5"/>
  <c r="AA40" i="7" s="1"/>
  <c r="Z40" i="5"/>
  <c r="Z40" i="7" s="1"/>
  <c r="Y40" i="5"/>
  <c r="Y40" i="7" s="1"/>
  <c r="X40" i="5"/>
  <c r="X40" i="7" s="1"/>
  <c r="W40" i="5"/>
  <c r="W40" i="7" s="1"/>
  <c r="V40" i="5"/>
  <c r="V40" i="7" s="1"/>
  <c r="U40" i="5"/>
  <c r="U40" i="7" s="1"/>
  <c r="T40" i="5"/>
  <c r="T40" i="7" s="1"/>
  <c r="S40" i="5"/>
  <c r="S40" i="7" s="1"/>
  <c r="R40" i="5"/>
  <c r="R40" i="7" s="1"/>
  <c r="Q40" i="5"/>
  <c r="Q40" i="7" s="1"/>
  <c r="P40" i="5"/>
  <c r="P40" i="7" s="1"/>
  <c r="O40" i="5"/>
  <c r="O40" i="7" s="1"/>
  <c r="N40" i="5"/>
  <c r="N40" i="7" s="1"/>
  <c r="M40" i="5"/>
  <c r="M40" i="7" s="1"/>
  <c r="L40" i="5"/>
  <c r="L40" i="7" s="1"/>
  <c r="K40" i="5"/>
  <c r="K40" i="7" s="1"/>
  <c r="J40" i="5"/>
  <c r="J40" i="7" s="1"/>
  <c r="I40" i="5"/>
  <c r="I40" i="7" s="1"/>
  <c r="H40" i="5"/>
  <c r="H40" i="7" s="1"/>
  <c r="G40" i="5"/>
  <c r="G40" i="7" s="1"/>
  <c r="F40" i="5"/>
  <c r="F40" i="7" s="1"/>
  <c r="E40" i="5"/>
  <c r="E40" i="7" s="1"/>
  <c r="D40" i="5"/>
  <c r="D40" i="7" s="1"/>
  <c r="C40" i="5"/>
  <c r="C40" i="7" s="1"/>
  <c r="B40" i="5"/>
  <c r="B40" i="7" s="1"/>
  <c r="DB39" i="5"/>
  <c r="DB39" i="7" s="1"/>
  <c r="DA39" i="5"/>
  <c r="DA39" i="7" s="1"/>
  <c r="CZ39" i="5"/>
  <c r="CZ39" i="7" s="1"/>
  <c r="CY39" i="5"/>
  <c r="CY39" i="7" s="1"/>
  <c r="CX39" i="5"/>
  <c r="CX39" i="7" s="1"/>
  <c r="CW39" i="5"/>
  <c r="CW39" i="7" s="1"/>
  <c r="CV39" i="5"/>
  <c r="CV39" i="7" s="1"/>
  <c r="CU39" i="5"/>
  <c r="CU39" i="7" s="1"/>
  <c r="CT39" i="5"/>
  <c r="CT39" i="7" s="1"/>
  <c r="CS39" i="5"/>
  <c r="CS39" i="7" s="1"/>
  <c r="CR39" i="5"/>
  <c r="CR39" i="7" s="1"/>
  <c r="CQ39" i="5"/>
  <c r="CQ39" i="7" s="1"/>
  <c r="CP39" i="5"/>
  <c r="CP39" i="7" s="1"/>
  <c r="CO39" i="5"/>
  <c r="CO39" i="7" s="1"/>
  <c r="CN39" i="5"/>
  <c r="CN39" i="7" s="1"/>
  <c r="CM39" i="5"/>
  <c r="CM39" i="7" s="1"/>
  <c r="CL39" i="5"/>
  <c r="CL39" i="7" s="1"/>
  <c r="CK39" i="5"/>
  <c r="CK39" i="7" s="1"/>
  <c r="CJ39" i="5"/>
  <c r="CJ39" i="7" s="1"/>
  <c r="CI39" i="5"/>
  <c r="CI39" i="7" s="1"/>
  <c r="CH39" i="5"/>
  <c r="CH39" i="7" s="1"/>
  <c r="CG39" i="5"/>
  <c r="CG39" i="7" s="1"/>
  <c r="CF39" i="5"/>
  <c r="CF39" i="7" s="1"/>
  <c r="CE39" i="5"/>
  <c r="CE39" i="7" s="1"/>
  <c r="CD39" i="5"/>
  <c r="CD39" i="7" s="1"/>
  <c r="CC39" i="5"/>
  <c r="CC39" i="7" s="1"/>
  <c r="CB39" i="5"/>
  <c r="CB39" i="7" s="1"/>
  <c r="CA39" i="5"/>
  <c r="CA39" i="7" s="1"/>
  <c r="BZ39" i="5"/>
  <c r="BZ39" i="7" s="1"/>
  <c r="BY39" i="5"/>
  <c r="BY39" i="7" s="1"/>
  <c r="BX39" i="5"/>
  <c r="BX39" i="7" s="1"/>
  <c r="BW39" i="5"/>
  <c r="BW39" i="7" s="1"/>
  <c r="BV39" i="5"/>
  <c r="BV39" i="7" s="1"/>
  <c r="BU39" i="5"/>
  <c r="BU39" i="7" s="1"/>
  <c r="BT39" i="5"/>
  <c r="BT39" i="7" s="1"/>
  <c r="BS39" i="5"/>
  <c r="BS39" i="7" s="1"/>
  <c r="BR39" i="5"/>
  <c r="BR39" i="7" s="1"/>
  <c r="BQ39" i="5"/>
  <c r="BQ39" i="7" s="1"/>
  <c r="BP39" i="5"/>
  <c r="BP39" i="7" s="1"/>
  <c r="BO39" i="5"/>
  <c r="BO39" i="7" s="1"/>
  <c r="BN39" i="5"/>
  <c r="BN39" i="7" s="1"/>
  <c r="BM39" i="5"/>
  <c r="BM39" i="7" s="1"/>
  <c r="BL39" i="5"/>
  <c r="BL39" i="7" s="1"/>
  <c r="BK39" i="5"/>
  <c r="BK39" i="7" s="1"/>
  <c r="BJ39" i="5"/>
  <c r="BJ39" i="7" s="1"/>
  <c r="BI39" i="5"/>
  <c r="BI39" i="7" s="1"/>
  <c r="BH39" i="5"/>
  <c r="BH39" i="7" s="1"/>
  <c r="BG39" i="5"/>
  <c r="BG39" i="7" s="1"/>
  <c r="BF39" i="5"/>
  <c r="BF39" i="7" s="1"/>
  <c r="BE39" i="5"/>
  <c r="BE39" i="7" s="1"/>
  <c r="BD39" i="5"/>
  <c r="BD39" i="7" s="1"/>
  <c r="BC39" i="5"/>
  <c r="BC39" i="7" s="1"/>
  <c r="BB39" i="5"/>
  <c r="BB39" i="7" s="1"/>
  <c r="BA39" i="5"/>
  <c r="BA39" i="7" s="1"/>
  <c r="AZ39" i="5"/>
  <c r="AZ39" i="7" s="1"/>
  <c r="AY39" i="5"/>
  <c r="AY39" i="7" s="1"/>
  <c r="AX39" i="5"/>
  <c r="AX39" i="7" s="1"/>
  <c r="AW39" i="5"/>
  <c r="AW39" i="7" s="1"/>
  <c r="AV39" i="5"/>
  <c r="AV39" i="7" s="1"/>
  <c r="AU39" i="5"/>
  <c r="AU39" i="7" s="1"/>
  <c r="AT39" i="5"/>
  <c r="AT39" i="7" s="1"/>
  <c r="AS39" i="5"/>
  <c r="AS39" i="7" s="1"/>
  <c r="AR39" i="5"/>
  <c r="AR39" i="7" s="1"/>
  <c r="AQ39" i="5"/>
  <c r="AQ39" i="7" s="1"/>
  <c r="AP39" i="5"/>
  <c r="AP39" i="7" s="1"/>
  <c r="AO39" i="5"/>
  <c r="AO39" i="7" s="1"/>
  <c r="AN39" i="5"/>
  <c r="AN39" i="7" s="1"/>
  <c r="AM39" i="5"/>
  <c r="AM39" i="7" s="1"/>
  <c r="AL39" i="5"/>
  <c r="AL39" i="7" s="1"/>
  <c r="AK39" i="5"/>
  <c r="AK39" i="7" s="1"/>
  <c r="AJ39" i="5"/>
  <c r="AJ39" i="7" s="1"/>
  <c r="AI39" i="5"/>
  <c r="AI39" i="7" s="1"/>
  <c r="AH39" i="5"/>
  <c r="AH39" i="7" s="1"/>
  <c r="AG39" i="5"/>
  <c r="AG39" i="7" s="1"/>
  <c r="AF39" i="5"/>
  <c r="AF39" i="7" s="1"/>
  <c r="AE39" i="5"/>
  <c r="AE39" i="7" s="1"/>
  <c r="AD39" i="5"/>
  <c r="AD39" i="7" s="1"/>
  <c r="AC39" i="5"/>
  <c r="AC39" i="7" s="1"/>
  <c r="AB39" i="5"/>
  <c r="AB39" i="7" s="1"/>
  <c r="AA39" i="5"/>
  <c r="AA39" i="7" s="1"/>
  <c r="Z39" i="5"/>
  <c r="Z39" i="7" s="1"/>
  <c r="Y39" i="5"/>
  <c r="Y39" i="7" s="1"/>
  <c r="X39" i="5"/>
  <c r="X39" i="7" s="1"/>
  <c r="W39" i="5"/>
  <c r="W39" i="7" s="1"/>
  <c r="V39" i="5"/>
  <c r="V39" i="7" s="1"/>
  <c r="U39" i="5"/>
  <c r="U39" i="7" s="1"/>
  <c r="T39" i="5"/>
  <c r="T39" i="7" s="1"/>
  <c r="S39" i="5"/>
  <c r="S39" i="7" s="1"/>
  <c r="R39" i="5"/>
  <c r="R39" i="7" s="1"/>
  <c r="Q39" i="5"/>
  <c r="Q39" i="7" s="1"/>
  <c r="P39" i="5"/>
  <c r="P39" i="7" s="1"/>
  <c r="O39" i="5"/>
  <c r="O39" i="7" s="1"/>
  <c r="N39" i="5"/>
  <c r="N39" i="7" s="1"/>
  <c r="M39" i="5"/>
  <c r="M39" i="7" s="1"/>
  <c r="L39" i="5"/>
  <c r="L39" i="7" s="1"/>
  <c r="K39" i="5"/>
  <c r="K39" i="7" s="1"/>
  <c r="J39" i="5"/>
  <c r="J39" i="7" s="1"/>
  <c r="I39" i="5"/>
  <c r="I39" i="7" s="1"/>
  <c r="H39" i="5"/>
  <c r="H39" i="7" s="1"/>
  <c r="G39" i="5"/>
  <c r="G39" i="7" s="1"/>
  <c r="F39" i="5"/>
  <c r="F39" i="7" s="1"/>
  <c r="E39" i="5"/>
  <c r="E39" i="7" s="1"/>
  <c r="D39" i="5"/>
  <c r="D39" i="7" s="1"/>
  <c r="C39" i="5"/>
  <c r="C39" i="7" s="1"/>
  <c r="B39" i="5"/>
  <c r="B39" i="7" s="1"/>
  <c r="DB38" i="5"/>
  <c r="DB38" i="7" s="1"/>
  <c r="DA38" i="5"/>
  <c r="DA38" i="7" s="1"/>
  <c r="CZ38" i="5"/>
  <c r="CZ38" i="7" s="1"/>
  <c r="CY38" i="5"/>
  <c r="CY38" i="7" s="1"/>
  <c r="CX38" i="5"/>
  <c r="CX38" i="7" s="1"/>
  <c r="CW38" i="5"/>
  <c r="CW38" i="7" s="1"/>
  <c r="CV38" i="5"/>
  <c r="CV38" i="7" s="1"/>
  <c r="CU38" i="5"/>
  <c r="CU38" i="7" s="1"/>
  <c r="CT38" i="5"/>
  <c r="CT38" i="7" s="1"/>
  <c r="CS38" i="5"/>
  <c r="CS38" i="7" s="1"/>
  <c r="CR38" i="5"/>
  <c r="CR38" i="7" s="1"/>
  <c r="CQ38" i="5"/>
  <c r="CQ38" i="7" s="1"/>
  <c r="CP38" i="5"/>
  <c r="CP38" i="7" s="1"/>
  <c r="CO38" i="5"/>
  <c r="CO38" i="7" s="1"/>
  <c r="CN38" i="5"/>
  <c r="CN38" i="7" s="1"/>
  <c r="CM38" i="5"/>
  <c r="CM38" i="7" s="1"/>
  <c r="CL38" i="5"/>
  <c r="CL38" i="7" s="1"/>
  <c r="CK38" i="5"/>
  <c r="CK38" i="7" s="1"/>
  <c r="CJ38" i="5"/>
  <c r="CJ38" i="7" s="1"/>
  <c r="CI38" i="5"/>
  <c r="CI38" i="7" s="1"/>
  <c r="CH38" i="5"/>
  <c r="CH38" i="7" s="1"/>
  <c r="CG38" i="5"/>
  <c r="CG38" i="7" s="1"/>
  <c r="CF38" i="5"/>
  <c r="CF38" i="7" s="1"/>
  <c r="CE38" i="5"/>
  <c r="CE38" i="7" s="1"/>
  <c r="CD38" i="5"/>
  <c r="CD38" i="7" s="1"/>
  <c r="CC38" i="5"/>
  <c r="CC38" i="7" s="1"/>
  <c r="CB38" i="5"/>
  <c r="CB38" i="7" s="1"/>
  <c r="CA38" i="5"/>
  <c r="CA38" i="7" s="1"/>
  <c r="BZ38" i="5"/>
  <c r="BZ38" i="7" s="1"/>
  <c r="BY38" i="5"/>
  <c r="BY38" i="7" s="1"/>
  <c r="BX38" i="5"/>
  <c r="BX38" i="7" s="1"/>
  <c r="BW38" i="5"/>
  <c r="BW38" i="7" s="1"/>
  <c r="BV38" i="5"/>
  <c r="BV38" i="7" s="1"/>
  <c r="BU38" i="5"/>
  <c r="BU38" i="7" s="1"/>
  <c r="BT38" i="5"/>
  <c r="BT38" i="7" s="1"/>
  <c r="BS38" i="5"/>
  <c r="BS38" i="7" s="1"/>
  <c r="BR38" i="5"/>
  <c r="BR38" i="7" s="1"/>
  <c r="BQ38" i="5"/>
  <c r="BQ38" i="7" s="1"/>
  <c r="BP38" i="5"/>
  <c r="BP38" i="7" s="1"/>
  <c r="BO38" i="5"/>
  <c r="BO38" i="7" s="1"/>
  <c r="BN38" i="5"/>
  <c r="BN38" i="7" s="1"/>
  <c r="BM38" i="5"/>
  <c r="BM38" i="7" s="1"/>
  <c r="BL38" i="5"/>
  <c r="BL38" i="7" s="1"/>
  <c r="BK38" i="5"/>
  <c r="BK38" i="7" s="1"/>
  <c r="BJ38" i="5"/>
  <c r="BJ38" i="7" s="1"/>
  <c r="BI38" i="5"/>
  <c r="BI38" i="7" s="1"/>
  <c r="BH38" i="5"/>
  <c r="BH38" i="7" s="1"/>
  <c r="BG38" i="5"/>
  <c r="BG38" i="7" s="1"/>
  <c r="BF38" i="5"/>
  <c r="BF38" i="7" s="1"/>
  <c r="BE38" i="5"/>
  <c r="BE38" i="7" s="1"/>
  <c r="BD38" i="5"/>
  <c r="BD38" i="7" s="1"/>
  <c r="BC38" i="5"/>
  <c r="BC38" i="7" s="1"/>
  <c r="BB38" i="5"/>
  <c r="BB38" i="7" s="1"/>
  <c r="BA38" i="5"/>
  <c r="BA38" i="7" s="1"/>
  <c r="AZ38" i="5"/>
  <c r="AZ38" i="7" s="1"/>
  <c r="AY38" i="5"/>
  <c r="AY38" i="7" s="1"/>
  <c r="AX38" i="5"/>
  <c r="AX38" i="7" s="1"/>
  <c r="AW38" i="5"/>
  <c r="AW38" i="7" s="1"/>
  <c r="AV38" i="5"/>
  <c r="AV38" i="7" s="1"/>
  <c r="AU38" i="5"/>
  <c r="AU38" i="7" s="1"/>
  <c r="AT38" i="5"/>
  <c r="AT38" i="7" s="1"/>
  <c r="AS38" i="5"/>
  <c r="AS38" i="7" s="1"/>
  <c r="AR38" i="5"/>
  <c r="AR38" i="7" s="1"/>
  <c r="AQ38" i="5"/>
  <c r="AQ38" i="7" s="1"/>
  <c r="AP38" i="5"/>
  <c r="AP38" i="7" s="1"/>
  <c r="AO38" i="5"/>
  <c r="AO38" i="7" s="1"/>
  <c r="AN38" i="5"/>
  <c r="AN38" i="7" s="1"/>
  <c r="AM38" i="5"/>
  <c r="AM38" i="7" s="1"/>
  <c r="AL38" i="5"/>
  <c r="AL38" i="7" s="1"/>
  <c r="AK38" i="5"/>
  <c r="AK38" i="7" s="1"/>
  <c r="AJ38" i="5"/>
  <c r="AJ38" i="7" s="1"/>
  <c r="AI38" i="5"/>
  <c r="AI38" i="7" s="1"/>
  <c r="AH38" i="5"/>
  <c r="AH38" i="7" s="1"/>
  <c r="AG38" i="5"/>
  <c r="AG38" i="7" s="1"/>
  <c r="AF38" i="5"/>
  <c r="AF38" i="7" s="1"/>
  <c r="AE38" i="5"/>
  <c r="AE38" i="7" s="1"/>
  <c r="AD38" i="5"/>
  <c r="AD38" i="7" s="1"/>
  <c r="AC38" i="5"/>
  <c r="AC38" i="7" s="1"/>
  <c r="AB38" i="5"/>
  <c r="AB38" i="7" s="1"/>
  <c r="AA38" i="5"/>
  <c r="AA38" i="7" s="1"/>
  <c r="Z38" i="5"/>
  <c r="Z38" i="7" s="1"/>
  <c r="Y38" i="5"/>
  <c r="Y38" i="7" s="1"/>
  <c r="X38" i="5"/>
  <c r="X38" i="7" s="1"/>
  <c r="W38" i="5"/>
  <c r="W38" i="7" s="1"/>
  <c r="V38" i="5"/>
  <c r="V38" i="7" s="1"/>
  <c r="U38" i="5"/>
  <c r="U38" i="7" s="1"/>
  <c r="T38" i="5"/>
  <c r="T38" i="7" s="1"/>
  <c r="S38" i="5"/>
  <c r="S38" i="7" s="1"/>
  <c r="R38" i="5"/>
  <c r="R38" i="7" s="1"/>
  <c r="Q38" i="5"/>
  <c r="Q38" i="7" s="1"/>
  <c r="P38" i="5"/>
  <c r="P38" i="7" s="1"/>
  <c r="O38" i="5"/>
  <c r="O38" i="7" s="1"/>
  <c r="N38" i="5"/>
  <c r="N38" i="7" s="1"/>
  <c r="M38" i="5"/>
  <c r="M38" i="7" s="1"/>
  <c r="L38" i="5"/>
  <c r="L38" i="7" s="1"/>
  <c r="K38" i="5"/>
  <c r="K38" i="7" s="1"/>
  <c r="J38" i="5"/>
  <c r="J38" i="7" s="1"/>
  <c r="I38" i="5"/>
  <c r="I38" i="7" s="1"/>
  <c r="H38" i="5"/>
  <c r="H38" i="7" s="1"/>
  <c r="G38" i="5"/>
  <c r="G38" i="7" s="1"/>
  <c r="F38" i="5"/>
  <c r="F38" i="7" s="1"/>
  <c r="E38" i="5"/>
  <c r="E38" i="7" s="1"/>
  <c r="D38" i="5"/>
  <c r="D38" i="7" s="1"/>
  <c r="C38" i="5"/>
  <c r="C38" i="7" s="1"/>
  <c r="B38" i="5"/>
  <c r="B38" i="7" s="1"/>
  <c r="DB37" i="5"/>
  <c r="DB37" i="7" s="1"/>
  <c r="DA37" i="5"/>
  <c r="DA37" i="7" s="1"/>
  <c r="CZ37" i="5"/>
  <c r="CZ37" i="7" s="1"/>
  <c r="CY37" i="5"/>
  <c r="CY37" i="7" s="1"/>
  <c r="CX37" i="5"/>
  <c r="CX37" i="7" s="1"/>
  <c r="CW37" i="5"/>
  <c r="CW37" i="7" s="1"/>
  <c r="CV37" i="5"/>
  <c r="CV37" i="7" s="1"/>
  <c r="CU37" i="5"/>
  <c r="CU37" i="7" s="1"/>
  <c r="CT37" i="5"/>
  <c r="CT37" i="7" s="1"/>
  <c r="CS37" i="5"/>
  <c r="CS37" i="7" s="1"/>
  <c r="CR37" i="5"/>
  <c r="CR37" i="7" s="1"/>
  <c r="CQ37" i="5"/>
  <c r="CQ37" i="7" s="1"/>
  <c r="CP37" i="5"/>
  <c r="CP37" i="7" s="1"/>
  <c r="CO37" i="5"/>
  <c r="CO37" i="7" s="1"/>
  <c r="CN37" i="5"/>
  <c r="CN37" i="7" s="1"/>
  <c r="CM37" i="5"/>
  <c r="CM37" i="7" s="1"/>
  <c r="CL37" i="5"/>
  <c r="CL37" i="7" s="1"/>
  <c r="CK37" i="5"/>
  <c r="CK37" i="7" s="1"/>
  <c r="CJ37" i="5"/>
  <c r="CJ37" i="7" s="1"/>
  <c r="CI37" i="5"/>
  <c r="CI37" i="7" s="1"/>
  <c r="CH37" i="5"/>
  <c r="CH37" i="7" s="1"/>
  <c r="CG37" i="5"/>
  <c r="CG37" i="7" s="1"/>
  <c r="CF37" i="5"/>
  <c r="CF37" i="7" s="1"/>
  <c r="CE37" i="5"/>
  <c r="CE37" i="7" s="1"/>
  <c r="CD37" i="5"/>
  <c r="CD37" i="7" s="1"/>
  <c r="CC37" i="5"/>
  <c r="CC37" i="7" s="1"/>
  <c r="CB37" i="5"/>
  <c r="CB37" i="7" s="1"/>
  <c r="CA37" i="5"/>
  <c r="CA37" i="7" s="1"/>
  <c r="BZ37" i="5"/>
  <c r="BZ37" i="7" s="1"/>
  <c r="BY37" i="5"/>
  <c r="BY37" i="7" s="1"/>
  <c r="BX37" i="5"/>
  <c r="BX37" i="7" s="1"/>
  <c r="BW37" i="5"/>
  <c r="BW37" i="7" s="1"/>
  <c r="BV37" i="5"/>
  <c r="BV37" i="7" s="1"/>
  <c r="BU37" i="5"/>
  <c r="BU37" i="7" s="1"/>
  <c r="BT37" i="5"/>
  <c r="BT37" i="7" s="1"/>
  <c r="BS37" i="5"/>
  <c r="BS37" i="7" s="1"/>
  <c r="BR37" i="5"/>
  <c r="BR37" i="7" s="1"/>
  <c r="BQ37" i="5"/>
  <c r="BQ37" i="7" s="1"/>
  <c r="BP37" i="5"/>
  <c r="BP37" i="7" s="1"/>
  <c r="BO37" i="5"/>
  <c r="BO37" i="7" s="1"/>
  <c r="BN37" i="5"/>
  <c r="BN37" i="7" s="1"/>
  <c r="BM37" i="5"/>
  <c r="BM37" i="7" s="1"/>
  <c r="BL37" i="5"/>
  <c r="BL37" i="7" s="1"/>
  <c r="BK37" i="5"/>
  <c r="BK37" i="7" s="1"/>
  <c r="BJ37" i="5"/>
  <c r="BJ37" i="7" s="1"/>
  <c r="BI37" i="5"/>
  <c r="BI37" i="7" s="1"/>
  <c r="BH37" i="5"/>
  <c r="BH37" i="7" s="1"/>
  <c r="BG37" i="5"/>
  <c r="BG37" i="7" s="1"/>
  <c r="BF37" i="5"/>
  <c r="BF37" i="7" s="1"/>
  <c r="BE37" i="5"/>
  <c r="BE37" i="7" s="1"/>
  <c r="BD37" i="5"/>
  <c r="BD37" i="7" s="1"/>
  <c r="BC37" i="5"/>
  <c r="BC37" i="7" s="1"/>
  <c r="BB37" i="5"/>
  <c r="BB37" i="7" s="1"/>
  <c r="BA37" i="5"/>
  <c r="BA37" i="7" s="1"/>
  <c r="AZ37" i="5"/>
  <c r="AZ37" i="7" s="1"/>
  <c r="AY37" i="5"/>
  <c r="AY37" i="7" s="1"/>
  <c r="AX37" i="5"/>
  <c r="AX37" i="7" s="1"/>
  <c r="AW37" i="5"/>
  <c r="AW37" i="7" s="1"/>
  <c r="AV37" i="5"/>
  <c r="AV37" i="7" s="1"/>
  <c r="AU37" i="5"/>
  <c r="AU37" i="7" s="1"/>
  <c r="AT37" i="5"/>
  <c r="AT37" i="7" s="1"/>
  <c r="AS37" i="5"/>
  <c r="AS37" i="7" s="1"/>
  <c r="AR37" i="5"/>
  <c r="AR37" i="7" s="1"/>
  <c r="AQ37" i="5"/>
  <c r="AQ37" i="7" s="1"/>
  <c r="AP37" i="5"/>
  <c r="AP37" i="7" s="1"/>
  <c r="AO37" i="5"/>
  <c r="AO37" i="7" s="1"/>
  <c r="AN37" i="5"/>
  <c r="AN37" i="7" s="1"/>
  <c r="AM37" i="5"/>
  <c r="AM37" i="7" s="1"/>
  <c r="AL37" i="5"/>
  <c r="AL37" i="7" s="1"/>
  <c r="AK37" i="5"/>
  <c r="AK37" i="7" s="1"/>
  <c r="AJ37" i="5"/>
  <c r="AJ37" i="7" s="1"/>
  <c r="AI37" i="5"/>
  <c r="AI37" i="7" s="1"/>
  <c r="AH37" i="5"/>
  <c r="AH37" i="7" s="1"/>
  <c r="AG37" i="5"/>
  <c r="AG37" i="7" s="1"/>
  <c r="AF37" i="5"/>
  <c r="AF37" i="7" s="1"/>
  <c r="AE37" i="5"/>
  <c r="AE37" i="7" s="1"/>
  <c r="AD37" i="5"/>
  <c r="AD37" i="7" s="1"/>
  <c r="AC37" i="5"/>
  <c r="AC37" i="7" s="1"/>
  <c r="AB37" i="5"/>
  <c r="AB37" i="7" s="1"/>
  <c r="AA37" i="5"/>
  <c r="AA37" i="7" s="1"/>
  <c r="Z37" i="5"/>
  <c r="Z37" i="7" s="1"/>
  <c r="Y37" i="5"/>
  <c r="Y37" i="7" s="1"/>
  <c r="X37" i="5"/>
  <c r="X37" i="7" s="1"/>
  <c r="W37" i="5"/>
  <c r="W37" i="7" s="1"/>
  <c r="V37" i="5"/>
  <c r="V37" i="7" s="1"/>
  <c r="U37" i="5"/>
  <c r="U37" i="7" s="1"/>
  <c r="T37" i="5"/>
  <c r="T37" i="7" s="1"/>
  <c r="S37" i="5"/>
  <c r="S37" i="7" s="1"/>
  <c r="R37" i="5"/>
  <c r="R37" i="7" s="1"/>
  <c r="Q37" i="5"/>
  <c r="Q37" i="7" s="1"/>
  <c r="P37" i="5"/>
  <c r="P37" i="7" s="1"/>
  <c r="O37" i="5"/>
  <c r="O37" i="7" s="1"/>
  <c r="N37" i="5"/>
  <c r="N37" i="7" s="1"/>
  <c r="M37" i="5"/>
  <c r="M37" i="7" s="1"/>
  <c r="L37" i="5"/>
  <c r="L37" i="7" s="1"/>
  <c r="K37" i="5"/>
  <c r="K37" i="7" s="1"/>
  <c r="J37" i="5"/>
  <c r="J37" i="7" s="1"/>
  <c r="I37" i="5"/>
  <c r="I37" i="7" s="1"/>
  <c r="H37" i="5"/>
  <c r="H37" i="7" s="1"/>
  <c r="G37" i="5"/>
  <c r="G37" i="7" s="1"/>
  <c r="F37" i="5"/>
  <c r="F37" i="7" s="1"/>
  <c r="E37" i="5"/>
  <c r="E37" i="7" s="1"/>
  <c r="D37" i="5"/>
  <c r="D37" i="7" s="1"/>
  <c r="C37" i="5"/>
  <c r="C37" i="7" s="1"/>
  <c r="B37" i="5"/>
  <c r="B37" i="7" s="1"/>
  <c r="DB36" i="5"/>
  <c r="DB36" i="7" s="1"/>
  <c r="DA36" i="5"/>
  <c r="DA36" i="7" s="1"/>
  <c r="CZ36" i="5"/>
  <c r="CZ36" i="7" s="1"/>
  <c r="CY36" i="5"/>
  <c r="CY36" i="7" s="1"/>
  <c r="CX36" i="5"/>
  <c r="CX36" i="7" s="1"/>
  <c r="CW36" i="5"/>
  <c r="CW36" i="7" s="1"/>
  <c r="CV36" i="5"/>
  <c r="CV36" i="7" s="1"/>
  <c r="CU36" i="5"/>
  <c r="CU36" i="7" s="1"/>
  <c r="CT36" i="5"/>
  <c r="CT36" i="7" s="1"/>
  <c r="CS36" i="5"/>
  <c r="CS36" i="7" s="1"/>
  <c r="CR36" i="5"/>
  <c r="CR36" i="7" s="1"/>
  <c r="CQ36" i="5"/>
  <c r="CQ36" i="7" s="1"/>
  <c r="CP36" i="5"/>
  <c r="CP36" i="7" s="1"/>
  <c r="CO36" i="5"/>
  <c r="CO36" i="7" s="1"/>
  <c r="CN36" i="5"/>
  <c r="CN36" i="7" s="1"/>
  <c r="CM36" i="5"/>
  <c r="CM36" i="7" s="1"/>
  <c r="CL36" i="5"/>
  <c r="CL36" i="7" s="1"/>
  <c r="CK36" i="5"/>
  <c r="CK36" i="7" s="1"/>
  <c r="CJ36" i="5"/>
  <c r="CJ36" i="7" s="1"/>
  <c r="CI36" i="5"/>
  <c r="CI36" i="7" s="1"/>
  <c r="CH36" i="5"/>
  <c r="CH36" i="7" s="1"/>
  <c r="CG36" i="5"/>
  <c r="CG36" i="7" s="1"/>
  <c r="CF36" i="5"/>
  <c r="CF36" i="7" s="1"/>
  <c r="CE36" i="5"/>
  <c r="CE36" i="7" s="1"/>
  <c r="CD36" i="5"/>
  <c r="CD36" i="7" s="1"/>
  <c r="CC36" i="5"/>
  <c r="CC36" i="7" s="1"/>
  <c r="CB36" i="5"/>
  <c r="CB36" i="7" s="1"/>
  <c r="CA36" i="5"/>
  <c r="CA36" i="7" s="1"/>
  <c r="BZ36" i="5"/>
  <c r="BZ36" i="7" s="1"/>
  <c r="BY36" i="5"/>
  <c r="BY36" i="7" s="1"/>
  <c r="BX36" i="5"/>
  <c r="BX36" i="7" s="1"/>
  <c r="BW36" i="5"/>
  <c r="BW36" i="7" s="1"/>
  <c r="BV36" i="5"/>
  <c r="BV36" i="7" s="1"/>
  <c r="BU36" i="5"/>
  <c r="BU36" i="7" s="1"/>
  <c r="BT36" i="5"/>
  <c r="BT36" i="7" s="1"/>
  <c r="BS36" i="5"/>
  <c r="BS36" i="7" s="1"/>
  <c r="BR36" i="5"/>
  <c r="BR36" i="7" s="1"/>
  <c r="BQ36" i="5"/>
  <c r="BQ36" i="7" s="1"/>
  <c r="BP36" i="5"/>
  <c r="BP36" i="7" s="1"/>
  <c r="BO36" i="5"/>
  <c r="BO36" i="7" s="1"/>
  <c r="BN36" i="5"/>
  <c r="BN36" i="7" s="1"/>
  <c r="BM36" i="5"/>
  <c r="BM36" i="7" s="1"/>
  <c r="BL36" i="5"/>
  <c r="BL36" i="7" s="1"/>
  <c r="BK36" i="5"/>
  <c r="BK36" i="7" s="1"/>
  <c r="BJ36" i="5"/>
  <c r="BJ36" i="7" s="1"/>
  <c r="BI36" i="5"/>
  <c r="BI36" i="7" s="1"/>
  <c r="BH36" i="5"/>
  <c r="BH36" i="7" s="1"/>
  <c r="BG36" i="5"/>
  <c r="BG36" i="7" s="1"/>
  <c r="BF36" i="5"/>
  <c r="BF36" i="7" s="1"/>
  <c r="BE36" i="5"/>
  <c r="BE36" i="7" s="1"/>
  <c r="BD36" i="5"/>
  <c r="BD36" i="7" s="1"/>
  <c r="BC36" i="5"/>
  <c r="BC36" i="7" s="1"/>
  <c r="BB36" i="5"/>
  <c r="BB36" i="7" s="1"/>
  <c r="BA36" i="5"/>
  <c r="BA36" i="7" s="1"/>
  <c r="AZ36" i="5"/>
  <c r="AZ36" i="7" s="1"/>
  <c r="AY36" i="5"/>
  <c r="AY36" i="7" s="1"/>
  <c r="AX36" i="5"/>
  <c r="AX36" i="7" s="1"/>
  <c r="AW36" i="5"/>
  <c r="AW36" i="7" s="1"/>
  <c r="AV36" i="5"/>
  <c r="AV36" i="7" s="1"/>
  <c r="AU36" i="5"/>
  <c r="AU36" i="7" s="1"/>
  <c r="AT36" i="5"/>
  <c r="AT36" i="7" s="1"/>
  <c r="AS36" i="5"/>
  <c r="AS36" i="7" s="1"/>
  <c r="AR36" i="5"/>
  <c r="AR36" i="7" s="1"/>
  <c r="AQ36" i="5"/>
  <c r="AQ36" i="7" s="1"/>
  <c r="AP36" i="5"/>
  <c r="AP36" i="7" s="1"/>
  <c r="AO36" i="5"/>
  <c r="AO36" i="7" s="1"/>
  <c r="AN36" i="5"/>
  <c r="AN36" i="7" s="1"/>
  <c r="AM36" i="5"/>
  <c r="AM36" i="7" s="1"/>
  <c r="AL36" i="5"/>
  <c r="AL36" i="7" s="1"/>
  <c r="AK36" i="5"/>
  <c r="AK36" i="7" s="1"/>
  <c r="AJ36" i="5"/>
  <c r="AJ36" i="7" s="1"/>
  <c r="AI36" i="5"/>
  <c r="AI36" i="7" s="1"/>
  <c r="AH36" i="5"/>
  <c r="AH36" i="7" s="1"/>
  <c r="AG36" i="5"/>
  <c r="AG36" i="7" s="1"/>
  <c r="AF36" i="5"/>
  <c r="AF36" i="7" s="1"/>
  <c r="AE36" i="5"/>
  <c r="AE36" i="7" s="1"/>
  <c r="AD36" i="5"/>
  <c r="AD36" i="7" s="1"/>
  <c r="AC36" i="5"/>
  <c r="AC36" i="7" s="1"/>
  <c r="AB36" i="5"/>
  <c r="AB36" i="7" s="1"/>
  <c r="AA36" i="5"/>
  <c r="AA36" i="7" s="1"/>
  <c r="Z36" i="5"/>
  <c r="Z36" i="7" s="1"/>
  <c r="Y36" i="5"/>
  <c r="Y36" i="7" s="1"/>
  <c r="X36" i="5"/>
  <c r="X36" i="7" s="1"/>
  <c r="W36" i="5"/>
  <c r="W36" i="7" s="1"/>
  <c r="V36" i="5"/>
  <c r="V36" i="7" s="1"/>
  <c r="U36" i="5"/>
  <c r="U36" i="7" s="1"/>
  <c r="T36" i="5"/>
  <c r="T36" i="7" s="1"/>
  <c r="S36" i="5"/>
  <c r="S36" i="7" s="1"/>
  <c r="R36" i="5"/>
  <c r="R36" i="7" s="1"/>
  <c r="Q36" i="5"/>
  <c r="Q36" i="7" s="1"/>
  <c r="P36" i="5"/>
  <c r="P36" i="7" s="1"/>
  <c r="O36" i="5"/>
  <c r="O36" i="7" s="1"/>
  <c r="N36" i="5"/>
  <c r="N36" i="7" s="1"/>
  <c r="M36" i="5"/>
  <c r="M36" i="7" s="1"/>
  <c r="L36" i="5"/>
  <c r="L36" i="7" s="1"/>
  <c r="K36" i="5"/>
  <c r="K36" i="7" s="1"/>
  <c r="J36" i="5"/>
  <c r="J36" i="7" s="1"/>
  <c r="I36" i="5"/>
  <c r="I36" i="7" s="1"/>
  <c r="H36" i="5"/>
  <c r="H36" i="7" s="1"/>
  <c r="G36" i="5"/>
  <c r="G36" i="7" s="1"/>
  <c r="F36" i="5"/>
  <c r="F36" i="7" s="1"/>
  <c r="E36" i="5"/>
  <c r="E36" i="7" s="1"/>
  <c r="D36" i="5"/>
  <c r="D36" i="7" s="1"/>
  <c r="C36" i="5"/>
  <c r="C36" i="7" s="1"/>
  <c r="B36" i="5"/>
  <c r="B36" i="7" s="1"/>
  <c r="DB35" i="5"/>
  <c r="DB35" i="7" s="1"/>
  <c r="DA35" i="5"/>
  <c r="DA35" i="7" s="1"/>
  <c r="CZ35" i="5"/>
  <c r="CZ35" i="7" s="1"/>
  <c r="CY35" i="5"/>
  <c r="CY35" i="7" s="1"/>
  <c r="CX35" i="5"/>
  <c r="CX35" i="7" s="1"/>
  <c r="CW35" i="5"/>
  <c r="CW35" i="7" s="1"/>
  <c r="CV35" i="5"/>
  <c r="CV35" i="7" s="1"/>
  <c r="CU35" i="5"/>
  <c r="CU35" i="7" s="1"/>
  <c r="CT35" i="5"/>
  <c r="CT35" i="7" s="1"/>
  <c r="CS35" i="5"/>
  <c r="CS35" i="7" s="1"/>
  <c r="CR35" i="5"/>
  <c r="CR35" i="7" s="1"/>
  <c r="CQ35" i="5"/>
  <c r="CQ35" i="7" s="1"/>
  <c r="CP35" i="5"/>
  <c r="CP35" i="7" s="1"/>
  <c r="CO35" i="5"/>
  <c r="CO35" i="7" s="1"/>
  <c r="CN35" i="5"/>
  <c r="CN35" i="7" s="1"/>
  <c r="CM35" i="5"/>
  <c r="CM35" i="7" s="1"/>
  <c r="CL35" i="5"/>
  <c r="CL35" i="7" s="1"/>
  <c r="CK35" i="5"/>
  <c r="CK35" i="7" s="1"/>
  <c r="CJ35" i="5"/>
  <c r="CJ35" i="7" s="1"/>
  <c r="CI35" i="5"/>
  <c r="CI35" i="7" s="1"/>
  <c r="CH35" i="5"/>
  <c r="CH35" i="7" s="1"/>
  <c r="CG35" i="5"/>
  <c r="CG35" i="7" s="1"/>
  <c r="CF35" i="5"/>
  <c r="CF35" i="7" s="1"/>
  <c r="CE35" i="5"/>
  <c r="CE35" i="7" s="1"/>
  <c r="CD35" i="5"/>
  <c r="CD35" i="7" s="1"/>
  <c r="CC35" i="5"/>
  <c r="CC35" i="7" s="1"/>
  <c r="CB35" i="5"/>
  <c r="CB35" i="7" s="1"/>
  <c r="CA35" i="5"/>
  <c r="CA35" i="7" s="1"/>
  <c r="BZ35" i="5"/>
  <c r="BZ35" i="7" s="1"/>
  <c r="BY35" i="5"/>
  <c r="BY35" i="7" s="1"/>
  <c r="BX35" i="5"/>
  <c r="BX35" i="7" s="1"/>
  <c r="BW35" i="5"/>
  <c r="BW35" i="7" s="1"/>
  <c r="BV35" i="5"/>
  <c r="BV35" i="7" s="1"/>
  <c r="BU35" i="5"/>
  <c r="BU35" i="7" s="1"/>
  <c r="BT35" i="5"/>
  <c r="BT35" i="7" s="1"/>
  <c r="BS35" i="5"/>
  <c r="BS35" i="7" s="1"/>
  <c r="BR35" i="5"/>
  <c r="BR35" i="7" s="1"/>
  <c r="BQ35" i="5"/>
  <c r="BQ35" i="7" s="1"/>
  <c r="BP35" i="5"/>
  <c r="BP35" i="7" s="1"/>
  <c r="BO35" i="5"/>
  <c r="BO35" i="7" s="1"/>
  <c r="BN35" i="5"/>
  <c r="BN35" i="7" s="1"/>
  <c r="BM35" i="5"/>
  <c r="BM35" i="7" s="1"/>
  <c r="BL35" i="5"/>
  <c r="BL35" i="7" s="1"/>
  <c r="BK35" i="5"/>
  <c r="BK35" i="7" s="1"/>
  <c r="BJ35" i="5"/>
  <c r="BJ35" i="7" s="1"/>
  <c r="BI35" i="5"/>
  <c r="BI35" i="7" s="1"/>
  <c r="BH35" i="5"/>
  <c r="BH35" i="7" s="1"/>
  <c r="BG35" i="5"/>
  <c r="BG35" i="7" s="1"/>
  <c r="BF35" i="5"/>
  <c r="BF35" i="7" s="1"/>
  <c r="BE35" i="5"/>
  <c r="BE35" i="7" s="1"/>
  <c r="BD35" i="5"/>
  <c r="BD35" i="7" s="1"/>
  <c r="BC35" i="5"/>
  <c r="BC35" i="7" s="1"/>
  <c r="BB35" i="5"/>
  <c r="BB35" i="7" s="1"/>
  <c r="BA35" i="5"/>
  <c r="BA35" i="7" s="1"/>
  <c r="AZ35" i="5"/>
  <c r="AZ35" i="7" s="1"/>
  <c r="AY35" i="5"/>
  <c r="AY35" i="7" s="1"/>
  <c r="AX35" i="5"/>
  <c r="AX35" i="7" s="1"/>
  <c r="AW35" i="5"/>
  <c r="AW35" i="7" s="1"/>
  <c r="AV35" i="5"/>
  <c r="AV35" i="7" s="1"/>
  <c r="AU35" i="5"/>
  <c r="AU35" i="7" s="1"/>
  <c r="AT35" i="5"/>
  <c r="AT35" i="7" s="1"/>
  <c r="AS35" i="5"/>
  <c r="AS35" i="7" s="1"/>
  <c r="AR35" i="5"/>
  <c r="AR35" i="7" s="1"/>
  <c r="AQ35" i="5"/>
  <c r="AQ35" i="7" s="1"/>
  <c r="AP35" i="5"/>
  <c r="AP35" i="7" s="1"/>
  <c r="AO35" i="5"/>
  <c r="AO35" i="7" s="1"/>
  <c r="AN35" i="5"/>
  <c r="AN35" i="7" s="1"/>
  <c r="AM35" i="5"/>
  <c r="AM35" i="7" s="1"/>
  <c r="AL35" i="5"/>
  <c r="AL35" i="7" s="1"/>
  <c r="AK35" i="5"/>
  <c r="AK35" i="7" s="1"/>
  <c r="AJ35" i="5"/>
  <c r="AJ35" i="7" s="1"/>
  <c r="AI35" i="5"/>
  <c r="AI35" i="7" s="1"/>
  <c r="AH35" i="5"/>
  <c r="AH35" i="7" s="1"/>
  <c r="AG35" i="5"/>
  <c r="AG35" i="7" s="1"/>
  <c r="AF35" i="5"/>
  <c r="AF35" i="7" s="1"/>
  <c r="AE35" i="5"/>
  <c r="AE35" i="7" s="1"/>
  <c r="AD35" i="5"/>
  <c r="AD35" i="7" s="1"/>
  <c r="AC35" i="5"/>
  <c r="AC35" i="7" s="1"/>
  <c r="AB35" i="5"/>
  <c r="AB35" i="7" s="1"/>
  <c r="AA35" i="5"/>
  <c r="AA35" i="7" s="1"/>
  <c r="Z35" i="5"/>
  <c r="Z35" i="7" s="1"/>
  <c r="Y35" i="5"/>
  <c r="Y35" i="7" s="1"/>
  <c r="X35" i="5"/>
  <c r="X35" i="7" s="1"/>
  <c r="W35" i="5"/>
  <c r="W35" i="7" s="1"/>
  <c r="V35" i="5"/>
  <c r="V35" i="7" s="1"/>
  <c r="U35" i="5"/>
  <c r="U35" i="7" s="1"/>
  <c r="T35" i="5"/>
  <c r="T35" i="7" s="1"/>
  <c r="S35" i="5"/>
  <c r="S35" i="7" s="1"/>
  <c r="R35" i="5"/>
  <c r="R35" i="7" s="1"/>
  <c r="Q35" i="5"/>
  <c r="Q35" i="7" s="1"/>
  <c r="P35" i="5"/>
  <c r="P35" i="7" s="1"/>
  <c r="O35" i="5"/>
  <c r="O35" i="7" s="1"/>
  <c r="N35" i="5"/>
  <c r="N35" i="7" s="1"/>
  <c r="M35" i="5"/>
  <c r="M35" i="7" s="1"/>
  <c r="L35" i="5"/>
  <c r="L35" i="7" s="1"/>
  <c r="K35" i="5"/>
  <c r="K35" i="7" s="1"/>
  <c r="J35" i="5"/>
  <c r="J35" i="7" s="1"/>
  <c r="I35" i="5"/>
  <c r="I35" i="7" s="1"/>
  <c r="H35" i="5"/>
  <c r="H35" i="7" s="1"/>
  <c r="G35" i="5"/>
  <c r="G35" i="7" s="1"/>
  <c r="F35" i="5"/>
  <c r="F35" i="7" s="1"/>
  <c r="E35" i="5"/>
  <c r="E35" i="7" s="1"/>
  <c r="D35" i="5"/>
  <c r="D35" i="7" s="1"/>
  <c r="C35" i="5"/>
  <c r="C35" i="7" s="1"/>
  <c r="B35" i="5"/>
  <c r="B35" i="7" s="1"/>
  <c r="DB34" i="5"/>
  <c r="DB34" i="7" s="1"/>
  <c r="DA34" i="5"/>
  <c r="DA34" i="7" s="1"/>
  <c r="CZ34" i="5"/>
  <c r="CZ34" i="7" s="1"/>
  <c r="CY34" i="5"/>
  <c r="CY34" i="7" s="1"/>
  <c r="CX34" i="5"/>
  <c r="CX34" i="7" s="1"/>
  <c r="CW34" i="5"/>
  <c r="CW34" i="7" s="1"/>
  <c r="CV34" i="5"/>
  <c r="CV34" i="7" s="1"/>
  <c r="CU34" i="5"/>
  <c r="CU34" i="7" s="1"/>
  <c r="CT34" i="5"/>
  <c r="CT34" i="7" s="1"/>
  <c r="CS34" i="5"/>
  <c r="CS34" i="7" s="1"/>
  <c r="CR34" i="5"/>
  <c r="CR34" i="7" s="1"/>
  <c r="CQ34" i="5"/>
  <c r="CQ34" i="7" s="1"/>
  <c r="CP34" i="5"/>
  <c r="CP34" i="7" s="1"/>
  <c r="CO34" i="5"/>
  <c r="CO34" i="7" s="1"/>
  <c r="CN34" i="5"/>
  <c r="CN34" i="7" s="1"/>
  <c r="CM34" i="5"/>
  <c r="CM34" i="7" s="1"/>
  <c r="CL34" i="5"/>
  <c r="CL34" i="7" s="1"/>
  <c r="CK34" i="5"/>
  <c r="CK34" i="7" s="1"/>
  <c r="CJ34" i="5"/>
  <c r="CJ34" i="7" s="1"/>
  <c r="CI34" i="5"/>
  <c r="CI34" i="7" s="1"/>
  <c r="CH34" i="5"/>
  <c r="CH34" i="7" s="1"/>
  <c r="CG34" i="5"/>
  <c r="CG34" i="7" s="1"/>
  <c r="CF34" i="5"/>
  <c r="CF34" i="7" s="1"/>
  <c r="CE34" i="5"/>
  <c r="CE34" i="7" s="1"/>
  <c r="CD34" i="5"/>
  <c r="CD34" i="7" s="1"/>
  <c r="CC34" i="5"/>
  <c r="CC34" i="7" s="1"/>
  <c r="CB34" i="5"/>
  <c r="CB34" i="7" s="1"/>
  <c r="CA34" i="5"/>
  <c r="CA34" i="7" s="1"/>
  <c r="BZ34" i="5"/>
  <c r="BZ34" i="7" s="1"/>
  <c r="BY34" i="5"/>
  <c r="BY34" i="7" s="1"/>
  <c r="BX34" i="5"/>
  <c r="BX34" i="7" s="1"/>
  <c r="BW34" i="5"/>
  <c r="BW34" i="7" s="1"/>
  <c r="BV34" i="5"/>
  <c r="BV34" i="7" s="1"/>
  <c r="BU34" i="5"/>
  <c r="BU34" i="7" s="1"/>
  <c r="BT34" i="5"/>
  <c r="BT34" i="7" s="1"/>
  <c r="BS34" i="5"/>
  <c r="BS34" i="7" s="1"/>
  <c r="BR34" i="5"/>
  <c r="BR34" i="7" s="1"/>
  <c r="BQ34" i="5"/>
  <c r="BQ34" i="7" s="1"/>
  <c r="BP34" i="5"/>
  <c r="BP34" i="7" s="1"/>
  <c r="BO34" i="5"/>
  <c r="BO34" i="7" s="1"/>
  <c r="BN34" i="5"/>
  <c r="BN34" i="7" s="1"/>
  <c r="BM34" i="5"/>
  <c r="BM34" i="7" s="1"/>
  <c r="BL34" i="5"/>
  <c r="BL34" i="7" s="1"/>
  <c r="BK34" i="5"/>
  <c r="BK34" i="7" s="1"/>
  <c r="BJ34" i="5"/>
  <c r="BJ34" i="7" s="1"/>
  <c r="BI34" i="5"/>
  <c r="BI34" i="7" s="1"/>
  <c r="BH34" i="5"/>
  <c r="BH34" i="7" s="1"/>
  <c r="BG34" i="5"/>
  <c r="BG34" i="7" s="1"/>
  <c r="BF34" i="5"/>
  <c r="BF34" i="7" s="1"/>
  <c r="BE34" i="5"/>
  <c r="BE34" i="7" s="1"/>
  <c r="BD34" i="5"/>
  <c r="BD34" i="7" s="1"/>
  <c r="BC34" i="5"/>
  <c r="BC34" i="7" s="1"/>
  <c r="BB34" i="5"/>
  <c r="BB34" i="7" s="1"/>
  <c r="BA34" i="5"/>
  <c r="BA34" i="7" s="1"/>
  <c r="AZ34" i="5"/>
  <c r="AZ34" i="7" s="1"/>
  <c r="AY34" i="5"/>
  <c r="AY34" i="7" s="1"/>
  <c r="AX34" i="5"/>
  <c r="AX34" i="7" s="1"/>
  <c r="AW34" i="5"/>
  <c r="AW34" i="7" s="1"/>
  <c r="AV34" i="5"/>
  <c r="AV34" i="7" s="1"/>
  <c r="AU34" i="5"/>
  <c r="AU34" i="7" s="1"/>
  <c r="AT34" i="5"/>
  <c r="AT34" i="7" s="1"/>
  <c r="AS34" i="5"/>
  <c r="AS34" i="7" s="1"/>
  <c r="AR34" i="5"/>
  <c r="AR34" i="7" s="1"/>
  <c r="AQ34" i="5"/>
  <c r="AQ34" i="7" s="1"/>
  <c r="AP34" i="5"/>
  <c r="AP34" i="7" s="1"/>
  <c r="AO34" i="5"/>
  <c r="AO34" i="7" s="1"/>
  <c r="AN34" i="5"/>
  <c r="AN34" i="7" s="1"/>
  <c r="AM34" i="5"/>
  <c r="AM34" i="7" s="1"/>
  <c r="AL34" i="5"/>
  <c r="AL34" i="7" s="1"/>
  <c r="AK34" i="5"/>
  <c r="AK34" i="7" s="1"/>
  <c r="AJ34" i="5"/>
  <c r="AJ34" i="7" s="1"/>
  <c r="AI34" i="5"/>
  <c r="AI34" i="7" s="1"/>
  <c r="AH34" i="5"/>
  <c r="AH34" i="7" s="1"/>
  <c r="AG34" i="5"/>
  <c r="AG34" i="7" s="1"/>
  <c r="AF34" i="5"/>
  <c r="AF34" i="7" s="1"/>
  <c r="AE34" i="5"/>
  <c r="AE34" i="7" s="1"/>
  <c r="AD34" i="5"/>
  <c r="AD34" i="7" s="1"/>
  <c r="AC34" i="5"/>
  <c r="AC34" i="7" s="1"/>
  <c r="AB34" i="5"/>
  <c r="AB34" i="7" s="1"/>
  <c r="AA34" i="5"/>
  <c r="AA34" i="7" s="1"/>
  <c r="Z34" i="5"/>
  <c r="Z34" i="7" s="1"/>
  <c r="Y34" i="5"/>
  <c r="Y34" i="7" s="1"/>
  <c r="X34" i="5"/>
  <c r="X34" i="7" s="1"/>
  <c r="W34" i="5"/>
  <c r="W34" i="7" s="1"/>
  <c r="V34" i="5"/>
  <c r="V34" i="7" s="1"/>
  <c r="U34" i="5"/>
  <c r="U34" i="7" s="1"/>
  <c r="T34" i="5"/>
  <c r="T34" i="7" s="1"/>
  <c r="S34" i="5"/>
  <c r="S34" i="7" s="1"/>
  <c r="R34" i="5"/>
  <c r="R34" i="7" s="1"/>
  <c r="Q34" i="5"/>
  <c r="Q34" i="7" s="1"/>
  <c r="P34" i="5"/>
  <c r="P34" i="7" s="1"/>
  <c r="O34" i="5"/>
  <c r="O34" i="7" s="1"/>
  <c r="N34" i="5"/>
  <c r="N34" i="7" s="1"/>
  <c r="M34" i="5"/>
  <c r="M34" i="7" s="1"/>
  <c r="L34" i="5"/>
  <c r="L34" i="7" s="1"/>
  <c r="K34" i="5"/>
  <c r="K34" i="7" s="1"/>
  <c r="J34" i="5"/>
  <c r="J34" i="7" s="1"/>
  <c r="I34" i="5"/>
  <c r="I34" i="7" s="1"/>
  <c r="H34" i="5"/>
  <c r="H34" i="7" s="1"/>
  <c r="G34" i="5"/>
  <c r="G34" i="7" s="1"/>
  <c r="F34" i="5"/>
  <c r="F34" i="7" s="1"/>
  <c r="E34" i="5"/>
  <c r="E34" i="7" s="1"/>
  <c r="D34" i="5"/>
  <c r="D34" i="7" s="1"/>
  <c r="C34" i="5"/>
  <c r="C34" i="7" s="1"/>
  <c r="B34" i="5"/>
  <c r="B34" i="7" s="1"/>
  <c r="DB33" i="5"/>
  <c r="DB33" i="7" s="1"/>
  <c r="DA33" i="5"/>
  <c r="DA33" i="7" s="1"/>
  <c r="CZ33" i="5"/>
  <c r="CZ33" i="7" s="1"/>
  <c r="CY33" i="5"/>
  <c r="CY33" i="7" s="1"/>
  <c r="CX33" i="5"/>
  <c r="CX33" i="7" s="1"/>
  <c r="CW33" i="5"/>
  <c r="CW33" i="7" s="1"/>
  <c r="CV33" i="5"/>
  <c r="CV33" i="7" s="1"/>
  <c r="CU33" i="5"/>
  <c r="CU33" i="7" s="1"/>
  <c r="CT33" i="5"/>
  <c r="CT33" i="7" s="1"/>
  <c r="CS33" i="5"/>
  <c r="CS33" i="7" s="1"/>
  <c r="CR33" i="5"/>
  <c r="CR33" i="7" s="1"/>
  <c r="CQ33" i="5"/>
  <c r="CQ33" i="7" s="1"/>
  <c r="CP33" i="5"/>
  <c r="CP33" i="7" s="1"/>
  <c r="CO33" i="5"/>
  <c r="CO33" i="7" s="1"/>
  <c r="CN33" i="5"/>
  <c r="CN33" i="7" s="1"/>
  <c r="CM33" i="5"/>
  <c r="CM33" i="7" s="1"/>
  <c r="CL33" i="5"/>
  <c r="CL33" i="7" s="1"/>
  <c r="CK33" i="5"/>
  <c r="CK33" i="7" s="1"/>
  <c r="CJ33" i="5"/>
  <c r="CJ33" i="7" s="1"/>
  <c r="CI33" i="5"/>
  <c r="CI33" i="7" s="1"/>
  <c r="CH33" i="5"/>
  <c r="CH33" i="7" s="1"/>
  <c r="CG33" i="5"/>
  <c r="CG33" i="7" s="1"/>
  <c r="CF33" i="5"/>
  <c r="CF33" i="7" s="1"/>
  <c r="CE33" i="5"/>
  <c r="CE33" i="7" s="1"/>
  <c r="CD33" i="5"/>
  <c r="CD33" i="7" s="1"/>
  <c r="CC33" i="5"/>
  <c r="CC33" i="7" s="1"/>
  <c r="CB33" i="5"/>
  <c r="CB33" i="7" s="1"/>
  <c r="CA33" i="5"/>
  <c r="CA33" i="7" s="1"/>
  <c r="BZ33" i="5"/>
  <c r="BZ33" i="7" s="1"/>
  <c r="BY33" i="5"/>
  <c r="BY33" i="7" s="1"/>
  <c r="BX33" i="5"/>
  <c r="BX33" i="7" s="1"/>
  <c r="BW33" i="5"/>
  <c r="BW33" i="7" s="1"/>
  <c r="BV33" i="5"/>
  <c r="BV33" i="7" s="1"/>
  <c r="BU33" i="5"/>
  <c r="BU33" i="7" s="1"/>
  <c r="BT33" i="5"/>
  <c r="BT33" i="7" s="1"/>
  <c r="BS33" i="5"/>
  <c r="BS33" i="7" s="1"/>
  <c r="BR33" i="5"/>
  <c r="BR33" i="7" s="1"/>
  <c r="BQ33" i="5"/>
  <c r="BQ33" i="7" s="1"/>
  <c r="BP33" i="5"/>
  <c r="BP33" i="7" s="1"/>
  <c r="BO33" i="5"/>
  <c r="BO33" i="7" s="1"/>
  <c r="BN33" i="5"/>
  <c r="BN33" i="7" s="1"/>
  <c r="BM33" i="5"/>
  <c r="BM33" i="7" s="1"/>
  <c r="BL33" i="5"/>
  <c r="BL33" i="7" s="1"/>
  <c r="BK33" i="5"/>
  <c r="BK33" i="7" s="1"/>
  <c r="BJ33" i="5"/>
  <c r="BJ33" i="7" s="1"/>
  <c r="BI33" i="5"/>
  <c r="BI33" i="7" s="1"/>
  <c r="BH33" i="5"/>
  <c r="BH33" i="7" s="1"/>
  <c r="BG33" i="5"/>
  <c r="BG33" i="7" s="1"/>
  <c r="BF33" i="5"/>
  <c r="BF33" i="7" s="1"/>
  <c r="BE33" i="5"/>
  <c r="BE33" i="7" s="1"/>
  <c r="BD33" i="5"/>
  <c r="BD33" i="7" s="1"/>
  <c r="BC33" i="5"/>
  <c r="BC33" i="7" s="1"/>
  <c r="BB33" i="5"/>
  <c r="BB33" i="7" s="1"/>
  <c r="BA33" i="5"/>
  <c r="BA33" i="7" s="1"/>
  <c r="AZ33" i="5"/>
  <c r="AZ33" i="7" s="1"/>
  <c r="AY33" i="5"/>
  <c r="AY33" i="7" s="1"/>
  <c r="AX33" i="5"/>
  <c r="AX33" i="7" s="1"/>
  <c r="AW33" i="5"/>
  <c r="AW33" i="7" s="1"/>
  <c r="AV33" i="5"/>
  <c r="AV33" i="7" s="1"/>
  <c r="AU33" i="5"/>
  <c r="AU33" i="7" s="1"/>
  <c r="AT33" i="5"/>
  <c r="AT33" i="7" s="1"/>
  <c r="AS33" i="5"/>
  <c r="AS33" i="7" s="1"/>
  <c r="AR33" i="5"/>
  <c r="AR33" i="7" s="1"/>
  <c r="AQ33" i="5"/>
  <c r="AQ33" i="7" s="1"/>
  <c r="AP33" i="5"/>
  <c r="AP33" i="7" s="1"/>
  <c r="AO33" i="5"/>
  <c r="AO33" i="7" s="1"/>
  <c r="AN33" i="5"/>
  <c r="AN33" i="7" s="1"/>
  <c r="AM33" i="5"/>
  <c r="AM33" i="7" s="1"/>
  <c r="AL33" i="5"/>
  <c r="AL33" i="7" s="1"/>
  <c r="AK33" i="5"/>
  <c r="AK33" i="7" s="1"/>
  <c r="AJ33" i="5"/>
  <c r="AJ33" i="7" s="1"/>
  <c r="AI33" i="5"/>
  <c r="AI33" i="7" s="1"/>
  <c r="AH33" i="5"/>
  <c r="AH33" i="7" s="1"/>
  <c r="AG33" i="5"/>
  <c r="AG33" i="7" s="1"/>
  <c r="AF33" i="5"/>
  <c r="AF33" i="7" s="1"/>
  <c r="AE33" i="5"/>
  <c r="AE33" i="7" s="1"/>
  <c r="AD33" i="5"/>
  <c r="AD33" i="7" s="1"/>
  <c r="AC33" i="5"/>
  <c r="AC33" i="7" s="1"/>
  <c r="AB33" i="5"/>
  <c r="AB33" i="7" s="1"/>
  <c r="AA33" i="5"/>
  <c r="AA33" i="7" s="1"/>
  <c r="Z33" i="5"/>
  <c r="Z33" i="7" s="1"/>
  <c r="Y33" i="5"/>
  <c r="Y33" i="7" s="1"/>
  <c r="X33" i="5"/>
  <c r="X33" i="7" s="1"/>
  <c r="W33" i="5"/>
  <c r="W33" i="7" s="1"/>
  <c r="V33" i="5"/>
  <c r="V33" i="7" s="1"/>
  <c r="U33" i="5"/>
  <c r="U33" i="7" s="1"/>
  <c r="T33" i="5"/>
  <c r="T33" i="7" s="1"/>
  <c r="S33" i="5"/>
  <c r="S33" i="7" s="1"/>
  <c r="R33" i="5"/>
  <c r="R33" i="7" s="1"/>
  <c r="Q33" i="5"/>
  <c r="Q33" i="7" s="1"/>
  <c r="P33" i="5"/>
  <c r="P33" i="7" s="1"/>
  <c r="O33" i="5"/>
  <c r="O33" i="7" s="1"/>
  <c r="N33" i="5"/>
  <c r="N33" i="7" s="1"/>
  <c r="M33" i="5"/>
  <c r="M33" i="7" s="1"/>
  <c r="L33" i="5"/>
  <c r="L33" i="7" s="1"/>
  <c r="K33" i="5"/>
  <c r="K33" i="7" s="1"/>
  <c r="J33" i="5"/>
  <c r="J33" i="7" s="1"/>
  <c r="I33" i="5"/>
  <c r="I33" i="7" s="1"/>
  <c r="H33" i="5"/>
  <c r="H33" i="7" s="1"/>
  <c r="G33" i="5"/>
  <c r="G33" i="7" s="1"/>
  <c r="F33" i="5"/>
  <c r="F33" i="7" s="1"/>
  <c r="E33" i="5"/>
  <c r="E33" i="7" s="1"/>
  <c r="D33" i="5"/>
  <c r="D33" i="7" s="1"/>
  <c r="C33" i="5"/>
  <c r="C33" i="7" s="1"/>
  <c r="B33" i="5"/>
  <c r="B33" i="7" s="1"/>
  <c r="DB32" i="5"/>
  <c r="DB32" i="7" s="1"/>
  <c r="DA32" i="5"/>
  <c r="DA32" i="7" s="1"/>
  <c r="CZ32" i="5"/>
  <c r="CZ32" i="7" s="1"/>
  <c r="CY32" i="5"/>
  <c r="CY32" i="7" s="1"/>
  <c r="CX32" i="5"/>
  <c r="CX32" i="7" s="1"/>
  <c r="CW32" i="5"/>
  <c r="CW32" i="7" s="1"/>
  <c r="CV32" i="5"/>
  <c r="CV32" i="7" s="1"/>
  <c r="CU32" i="5"/>
  <c r="CU32" i="7" s="1"/>
  <c r="CT32" i="5"/>
  <c r="CT32" i="7" s="1"/>
  <c r="CS32" i="5"/>
  <c r="CS32" i="7" s="1"/>
  <c r="CR32" i="5"/>
  <c r="CR32" i="7" s="1"/>
  <c r="CQ32" i="5"/>
  <c r="CQ32" i="7" s="1"/>
  <c r="CP32" i="5"/>
  <c r="CP32" i="7" s="1"/>
  <c r="CO32" i="5"/>
  <c r="CO32" i="7" s="1"/>
  <c r="CN32" i="5"/>
  <c r="CN32" i="7" s="1"/>
  <c r="CM32" i="5"/>
  <c r="CM32" i="7" s="1"/>
  <c r="CL32" i="5"/>
  <c r="CL32" i="7" s="1"/>
  <c r="CK32" i="5"/>
  <c r="CK32" i="7" s="1"/>
  <c r="CJ32" i="5"/>
  <c r="CJ32" i="7" s="1"/>
  <c r="CI32" i="5"/>
  <c r="CI32" i="7" s="1"/>
  <c r="CH32" i="5"/>
  <c r="CH32" i="7" s="1"/>
  <c r="CG32" i="5"/>
  <c r="CG32" i="7" s="1"/>
  <c r="CF32" i="5"/>
  <c r="CF32" i="7" s="1"/>
  <c r="CE32" i="5"/>
  <c r="CE32" i="7" s="1"/>
  <c r="CD32" i="5"/>
  <c r="CD32" i="7" s="1"/>
  <c r="CC32" i="5"/>
  <c r="CC32" i="7" s="1"/>
  <c r="CB32" i="5"/>
  <c r="CB32" i="7" s="1"/>
  <c r="CA32" i="5"/>
  <c r="CA32" i="7" s="1"/>
  <c r="BZ32" i="5"/>
  <c r="BZ32" i="7" s="1"/>
  <c r="BY32" i="5"/>
  <c r="BY32" i="7" s="1"/>
  <c r="BX32" i="5"/>
  <c r="BX32" i="7" s="1"/>
  <c r="BW32" i="5"/>
  <c r="BW32" i="7" s="1"/>
  <c r="BV32" i="5"/>
  <c r="BV32" i="7" s="1"/>
  <c r="BU32" i="5"/>
  <c r="BU32" i="7" s="1"/>
  <c r="BT32" i="5"/>
  <c r="BT32" i="7" s="1"/>
  <c r="BS32" i="5"/>
  <c r="BS32" i="7" s="1"/>
  <c r="BR32" i="5"/>
  <c r="BR32" i="7" s="1"/>
  <c r="BQ32" i="5"/>
  <c r="BQ32" i="7" s="1"/>
  <c r="BP32" i="5"/>
  <c r="BP32" i="7" s="1"/>
  <c r="BO32" i="5"/>
  <c r="BO32" i="7" s="1"/>
  <c r="BN32" i="5"/>
  <c r="BN32" i="7" s="1"/>
  <c r="BM32" i="5"/>
  <c r="BM32" i="7" s="1"/>
  <c r="BL32" i="5"/>
  <c r="BL32" i="7" s="1"/>
  <c r="BK32" i="5"/>
  <c r="BK32" i="7" s="1"/>
  <c r="BJ32" i="5"/>
  <c r="BJ32" i="7" s="1"/>
  <c r="BI32" i="5"/>
  <c r="BI32" i="7" s="1"/>
  <c r="BH32" i="5"/>
  <c r="BH32" i="7" s="1"/>
  <c r="BG32" i="5"/>
  <c r="BG32" i="7" s="1"/>
  <c r="BF32" i="5"/>
  <c r="BF32" i="7" s="1"/>
  <c r="BE32" i="5"/>
  <c r="BE32" i="7" s="1"/>
  <c r="BD32" i="5"/>
  <c r="BD32" i="7" s="1"/>
  <c r="BC32" i="5"/>
  <c r="BC32" i="7" s="1"/>
  <c r="BB32" i="5"/>
  <c r="BB32" i="7" s="1"/>
  <c r="BA32" i="5"/>
  <c r="BA32" i="7" s="1"/>
  <c r="AZ32" i="5"/>
  <c r="AZ32" i="7" s="1"/>
  <c r="AY32" i="5"/>
  <c r="AY32" i="7" s="1"/>
  <c r="AX32" i="5"/>
  <c r="AX32" i="7" s="1"/>
  <c r="AW32" i="5"/>
  <c r="AW32" i="7" s="1"/>
  <c r="AV32" i="5"/>
  <c r="AV32" i="7" s="1"/>
  <c r="AU32" i="5"/>
  <c r="AU32" i="7" s="1"/>
  <c r="AT32" i="5"/>
  <c r="AT32" i="7" s="1"/>
  <c r="AS32" i="5"/>
  <c r="AS32" i="7" s="1"/>
  <c r="AR32" i="5"/>
  <c r="AR32" i="7" s="1"/>
  <c r="AQ32" i="5"/>
  <c r="AQ32" i="7" s="1"/>
  <c r="AP32" i="5"/>
  <c r="AP32" i="7" s="1"/>
  <c r="AO32" i="5"/>
  <c r="AO32" i="7" s="1"/>
  <c r="AN32" i="5"/>
  <c r="AN32" i="7" s="1"/>
  <c r="AM32" i="5"/>
  <c r="AM32" i="7" s="1"/>
  <c r="AL32" i="5"/>
  <c r="AL32" i="7" s="1"/>
  <c r="AK32" i="5"/>
  <c r="AK32" i="7" s="1"/>
  <c r="AJ32" i="5"/>
  <c r="AJ32" i="7" s="1"/>
  <c r="AI32" i="5"/>
  <c r="AI32" i="7" s="1"/>
  <c r="AH32" i="5"/>
  <c r="AH32" i="7" s="1"/>
  <c r="AG32" i="5"/>
  <c r="AG32" i="7" s="1"/>
  <c r="AF32" i="5"/>
  <c r="AF32" i="7" s="1"/>
  <c r="AE32" i="5"/>
  <c r="AE32" i="7" s="1"/>
  <c r="AD32" i="5"/>
  <c r="AD32" i="7" s="1"/>
  <c r="AC32" i="5"/>
  <c r="AC32" i="7" s="1"/>
  <c r="AB32" i="5"/>
  <c r="AB32" i="7" s="1"/>
  <c r="AA32" i="5"/>
  <c r="AA32" i="7" s="1"/>
  <c r="Z32" i="5"/>
  <c r="Z32" i="7" s="1"/>
  <c r="Y32" i="5"/>
  <c r="Y32" i="7" s="1"/>
  <c r="X32" i="5"/>
  <c r="X32" i="7" s="1"/>
  <c r="W32" i="5"/>
  <c r="W32" i="7" s="1"/>
  <c r="V32" i="5"/>
  <c r="V32" i="7" s="1"/>
  <c r="U32" i="5"/>
  <c r="U32" i="7" s="1"/>
  <c r="T32" i="5"/>
  <c r="T32" i="7" s="1"/>
  <c r="S32" i="5"/>
  <c r="S32" i="7" s="1"/>
  <c r="R32" i="5"/>
  <c r="R32" i="7" s="1"/>
  <c r="Q32" i="5"/>
  <c r="Q32" i="7" s="1"/>
  <c r="P32" i="5"/>
  <c r="P32" i="7" s="1"/>
  <c r="O32" i="5"/>
  <c r="O32" i="7" s="1"/>
  <c r="N32" i="5"/>
  <c r="N32" i="7" s="1"/>
  <c r="M32" i="5"/>
  <c r="M32" i="7" s="1"/>
  <c r="L32" i="5"/>
  <c r="L32" i="7" s="1"/>
  <c r="K32" i="5"/>
  <c r="K32" i="7" s="1"/>
  <c r="J32" i="5"/>
  <c r="J32" i="7" s="1"/>
  <c r="I32" i="5"/>
  <c r="I32" i="7" s="1"/>
  <c r="H32" i="5"/>
  <c r="H32" i="7" s="1"/>
  <c r="G32" i="5"/>
  <c r="G32" i="7" s="1"/>
  <c r="F32" i="5"/>
  <c r="F32" i="7" s="1"/>
  <c r="E32" i="5"/>
  <c r="E32" i="7" s="1"/>
  <c r="D32" i="5"/>
  <c r="D32" i="7" s="1"/>
  <c r="C32" i="5"/>
  <c r="C32" i="7" s="1"/>
  <c r="B32" i="5"/>
  <c r="B32" i="7" s="1"/>
  <c r="DB31" i="5"/>
  <c r="DB31" i="7" s="1"/>
  <c r="DA31" i="5"/>
  <c r="DA31" i="7" s="1"/>
  <c r="CZ31" i="5"/>
  <c r="CZ31" i="7" s="1"/>
  <c r="CY31" i="5"/>
  <c r="CY31" i="7" s="1"/>
  <c r="CX31" i="5"/>
  <c r="CX31" i="7" s="1"/>
  <c r="CW31" i="5"/>
  <c r="CW31" i="7" s="1"/>
  <c r="CV31" i="5"/>
  <c r="CV31" i="7" s="1"/>
  <c r="CU31" i="5"/>
  <c r="CU31" i="7" s="1"/>
  <c r="CT31" i="5"/>
  <c r="CT31" i="7" s="1"/>
  <c r="CS31" i="5"/>
  <c r="CS31" i="7" s="1"/>
  <c r="CR31" i="5"/>
  <c r="CR31" i="7" s="1"/>
  <c r="CQ31" i="5"/>
  <c r="CQ31" i="7" s="1"/>
  <c r="CP31" i="5"/>
  <c r="CP31" i="7" s="1"/>
  <c r="CO31" i="5"/>
  <c r="CO31" i="7" s="1"/>
  <c r="CN31" i="5"/>
  <c r="CN31" i="7" s="1"/>
  <c r="CM31" i="5"/>
  <c r="CM31" i="7" s="1"/>
  <c r="CL31" i="5"/>
  <c r="CL31" i="7" s="1"/>
  <c r="CK31" i="5"/>
  <c r="CK31" i="7" s="1"/>
  <c r="CJ31" i="5"/>
  <c r="CJ31" i="7" s="1"/>
  <c r="CI31" i="5"/>
  <c r="CI31" i="7" s="1"/>
  <c r="CH31" i="5"/>
  <c r="CH31" i="7" s="1"/>
  <c r="CG31" i="5"/>
  <c r="CG31" i="7" s="1"/>
  <c r="CF31" i="5"/>
  <c r="CF31" i="7" s="1"/>
  <c r="CE31" i="5"/>
  <c r="CE31" i="7" s="1"/>
  <c r="CD31" i="5"/>
  <c r="CD31" i="7" s="1"/>
  <c r="CC31" i="5"/>
  <c r="CC31" i="7" s="1"/>
  <c r="CB31" i="5"/>
  <c r="CB31" i="7" s="1"/>
  <c r="CA31" i="5"/>
  <c r="CA31" i="7" s="1"/>
  <c r="BZ31" i="5"/>
  <c r="BZ31" i="7" s="1"/>
  <c r="BY31" i="5"/>
  <c r="BY31" i="7" s="1"/>
  <c r="BX31" i="5"/>
  <c r="BX31" i="7" s="1"/>
  <c r="BW31" i="5"/>
  <c r="BW31" i="7" s="1"/>
  <c r="BV31" i="5"/>
  <c r="BV31" i="7" s="1"/>
  <c r="BU31" i="5"/>
  <c r="BU31" i="7" s="1"/>
  <c r="BT31" i="5"/>
  <c r="BT31" i="7" s="1"/>
  <c r="BS31" i="5"/>
  <c r="BS31" i="7" s="1"/>
  <c r="BR31" i="5"/>
  <c r="BR31" i="7" s="1"/>
  <c r="BQ31" i="5"/>
  <c r="BQ31" i="7" s="1"/>
  <c r="BP31" i="5"/>
  <c r="BP31" i="7" s="1"/>
  <c r="BO31" i="5"/>
  <c r="BO31" i="7" s="1"/>
  <c r="BN31" i="5"/>
  <c r="BN31" i="7" s="1"/>
  <c r="BM31" i="5"/>
  <c r="BM31" i="7" s="1"/>
  <c r="BL31" i="5"/>
  <c r="BL31" i="7" s="1"/>
  <c r="BK31" i="5"/>
  <c r="BK31" i="7" s="1"/>
  <c r="BJ31" i="5"/>
  <c r="BJ31" i="7" s="1"/>
  <c r="BI31" i="5"/>
  <c r="BI31" i="7" s="1"/>
  <c r="BH31" i="5"/>
  <c r="BH31" i="7" s="1"/>
  <c r="BG31" i="5"/>
  <c r="BG31" i="7" s="1"/>
  <c r="BF31" i="5"/>
  <c r="BF31" i="7" s="1"/>
  <c r="BE31" i="5"/>
  <c r="BE31" i="7" s="1"/>
  <c r="BD31" i="5"/>
  <c r="BD31" i="7" s="1"/>
  <c r="BC31" i="5"/>
  <c r="BC31" i="7" s="1"/>
  <c r="BB31" i="5"/>
  <c r="BB31" i="7" s="1"/>
  <c r="BA31" i="5"/>
  <c r="BA31" i="7" s="1"/>
  <c r="AZ31" i="5"/>
  <c r="AZ31" i="7" s="1"/>
  <c r="AY31" i="5"/>
  <c r="AY31" i="7" s="1"/>
  <c r="AX31" i="5"/>
  <c r="AX31" i="7" s="1"/>
  <c r="AW31" i="5"/>
  <c r="AW31" i="7" s="1"/>
  <c r="AV31" i="5"/>
  <c r="AV31" i="7" s="1"/>
  <c r="AU31" i="5"/>
  <c r="AU31" i="7" s="1"/>
  <c r="AT31" i="5"/>
  <c r="AT31" i="7" s="1"/>
  <c r="AS31" i="5"/>
  <c r="AS31" i="7" s="1"/>
  <c r="AR31" i="5"/>
  <c r="AR31" i="7" s="1"/>
  <c r="AQ31" i="5"/>
  <c r="AQ31" i="7" s="1"/>
  <c r="AP31" i="5"/>
  <c r="AP31" i="7" s="1"/>
  <c r="AO31" i="5"/>
  <c r="AO31" i="7" s="1"/>
  <c r="AN31" i="5"/>
  <c r="AN31" i="7" s="1"/>
  <c r="AM31" i="5"/>
  <c r="AM31" i="7" s="1"/>
  <c r="AL31" i="5"/>
  <c r="AL31" i="7" s="1"/>
  <c r="AK31" i="5"/>
  <c r="AK31" i="7" s="1"/>
  <c r="AJ31" i="5"/>
  <c r="AJ31" i="7" s="1"/>
  <c r="AI31" i="5"/>
  <c r="AI31" i="7" s="1"/>
  <c r="AH31" i="5"/>
  <c r="AH31" i="7" s="1"/>
  <c r="AG31" i="5"/>
  <c r="AG31" i="7" s="1"/>
  <c r="AF31" i="5"/>
  <c r="AF31" i="7" s="1"/>
  <c r="AE31" i="5"/>
  <c r="AE31" i="7" s="1"/>
  <c r="AD31" i="5"/>
  <c r="AD31" i="7" s="1"/>
  <c r="AC31" i="5"/>
  <c r="AC31" i="7" s="1"/>
  <c r="AB31" i="5"/>
  <c r="AB31" i="7" s="1"/>
  <c r="AA31" i="5"/>
  <c r="AA31" i="7" s="1"/>
  <c r="Z31" i="5"/>
  <c r="Z31" i="7" s="1"/>
  <c r="Y31" i="5"/>
  <c r="Y31" i="7" s="1"/>
  <c r="X31" i="5"/>
  <c r="X31" i="7" s="1"/>
  <c r="W31" i="5"/>
  <c r="W31" i="7" s="1"/>
  <c r="V31" i="5"/>
  <c r="V31" i="7" s="1"/>
  <c r="U31" i="5"/>
  <c r="U31" i="7" s="1"/>
  <c r="T31" i="5"/>
  <c r="T31" i="7" s="1"/>
  <c r="S31" i="5"/>
  <c r="S31" i="7" s="1"/>
  <c r="R31" i="5"/>
  <c r="R31" i="7" s="1"/>
  <c r="Q31" i="5"/>
  <c r="Q31" i="7" s="1"/>
  <c r="P31" i="5"/>
  <c r="P31" i="7" s="1"/>
  <c r="O31" i="5"/>
  <c r="O31" i="7" s="1"/>
  <c r="N31" i="5"/>
  <c r="N31" i="7" s="1"/>
  <c r="M31" i="5"/>
  <c r="M31" i="7" s="1"/>
  <c r="L31" i="5"/>
  <c r="L31" i="7" s="1"/>
  <c r="K31" i="5"/>
  <c r="K31" i="7" s="1"/>
  <c r="J31" i="5"/>
  <c r="J31" i="7" s="1"/>
  <c r="I31" i="5"/>
  <c r="I31" i="7" s="1"/>
  <c r="H31" i="5"/>
  <c r="H31" i="7" s="1"/>
  <c r="G31" i="5"/>
  <c r="G31" i="7" s="1"/>
  <c r="F31" i="5"/>
  <c r="F31" i="7" s="1"/>
  <c r="E31" i="5"/>
  <c r="E31" i="7" s="1"/>
  <c r="D31" i="5"/>
  <c r="D31" i="7" s="1"/>
  <c r="C31" i="5"/>
  <c r="C31" i="7" s="1"/>
  <c r="B31" i="5"/>
  <c r="B31" i="7" s="1"/>
  <c r="DB30" i="5"/>
  <c r="DB30" i="7" s="1"/>
  <c r="DA30" i="5"/>
  <c r="DA30" i="7" s="1"/>
  <c r="CZ30" i="5"/>
  <c r="CZ30" i="7" s="1"/>
  <c r="CY30" i="5"/>
  <c r="CY30" i="7" s="1"/>
  <c r="CX30" i="5"/>
  <c r="CX30" i="7" s="1"/>
  <c r="CW30" i="5"/>
  <c r="CW30" i="7" s="1"/>
  <c r="CV30" i="5"/>
  <c r="CV30" i="7" s="1"/>
  <c r="CU30" i="5"/>
  <c r="CU30" i="7" s="1"/>
  <c r="CT30" i="5"/>
  <c r="CT30" i="7" s="1"/>
  <c r="CS30" i="5"/>
  <c r="CS30" i="7" s="1"/>
  <c r="CR30" i="5"/>
  <c r="CR30" i="7" s="1"/>
  <c r="CQ30" i="5"/>
  <c r="CQ30" i="7" s="1"/>
  <c r="CP30" i="5"/>
  <c r="CP30" i="7" s="1"/>
  <c r="CO30" i="5"/>
  <c r="CO30" i="7" s="1"/>
  <c r="CN30" i="5"/>
  <c r="CN30" i="7" s="1"/>
  <c r="CM30" i="5"/>
  <c r="CM30" i="7" s="1"/>
  <c r="CL30" i="5"/>
  <c r="CL30" i="7" s="1"/>
  <c r="CK30" i="5"/>
  <c r="CK30" i="7" s="1"/>
  <c r="CJ30" i="5"/>
  <c r="CJ30" i="7" s="1"/>
  <c r="CI30" i="5"/>
  <c r="CI30" i="7" s="1"/>
  <c r="CH30" i="5"/>
  <c r="CH30" i="7" s="1"/>
  <c r="CG30" i="5"/>
  <c r="CG30" i="7" s="1"/>
  <c r="CF30" i="5"/>
  <c r="CF30" i="7" s="1"/>
  <c r="CE30" i="5"/>
  <c r="CE30" i="7" s="1"/>
  <c r="CD30" i="5"/>
  <c r="CD30" i="7" s="1"/>
  <c r="CC30" i="5"/>
  <c r="CC30" i="7" s="1"/>
  <c r="CB30" i="5"/>
  <c r="CB30" i="7" s="1"/>
  <c r="CA30" i="5"/>
  <c r="CA30" i="7" s="1"/>
  <c r="BZ30" i="5"/>
  <c r="BZ30" i="7" s="1"/>
  <c r="BY30" i="5"/>
  <c r="BY30" i="7" s="1"/>
  <c r="BX30" i="5"/>
  <c r="BX30" i="7" s="1"/>
  <c r="BW30" i="5"/>
  <c r="BW30" i="7" s="1"/>
  <c r="BV30" i="5"/>
  <c r="BV30" i="7" s="1"/>
  <c r="BU30" i="5"/>
  <c r="BU30" i="7" s="1"/>
  <c r="BT30" i="5"/>
  <c r="BT30" i="7" s="1"/>
  <c r="BS30" i="5"/>
  <c r="BS30" i="7" s="1"/>
  <c r="BR30" i="5"/>
  <c r="BR30" i="7" s="1"/>
  <c r="BQ30" i="5"/>
  <c r="BQ30" i="7" s="1"/>
  <c r="BP30" i="5"/>
  <c r="BP30" i="7" s="1"/>
  <c r="BO30" i="5"/>
  <c r="BO30" i="7" s="1"/>
  <c r="BN30" i="5"/>
  <c r="BN30" i="7" s="1"/>
  <c r="BM30" i="5"/>
  <c r="BM30" i="7" s="1"/>
  <c r="BL30" i="5"/>
  <c r="BL30" i="7" s="1"/>
  <c r="BK30" i="5"/>
  <c r="BK30" i="7" s="1"/>
  <c r="BJ30" i="5"/>
  <c r="BJ30" i="7" s="1"/>
  <c r="BI30" i="5"/>
  <c r="BI30" i="7" s="1"/>
  <c r="BH30" i="5"/>
  <c r="BH30" i="7" s="1"/>
  <c r="BG30" i="5"/>
  <c r="BG30" i="7" s="1"/>
  <c r="BF30" i="5"/>
  <c r="BF30" i="7" s="1"/>
  <c r="BE30" i="5"/>
  <c r="BE30" i="7" s="1"/>
  <c r="BD30" i="5"/>
  <c r="BD30" i="7" s="1"/>
  <c r="BC30" i="5"/>
  <c r="BC30" i="7" s="1"/>
  <c r="BB30" i="5"/>
  <c r="BB30" i="7" s="1"/>
  <c r="BA30" i="5"/>
  <c r="BA30" i="7" s="1"/>
  <c r="AZ30" i="5"/>
  <c r="AZ30" i="7" s="1"/>
  <c r="AY30" i="5"/>
  <c r="AY30" i="7" s="1"/>
  <c r="AX30" i="5"/>
  <c r="AX30" i="7" s="1"/>
  <c r="AW30" i="5"/>
  <c r="AW30" i="7" s="1"/>
  <c r="AV30" i="5"/>
  <c r="AV30" i="7" s="1"/>
  <c r="AU30" i="5"/>
  <c r="AU30" i="7" s="1"/>
  <c r="AT30" i="5"/>
  <c r="AT30" i="7" s="1"/>
  <c r="AS30" i="5"/>
  <c r="AS30" i="7" s="1"/>
  <c r="AR30" i="5"/>
  <c r="AR30" i="7" s="1"/>
  <c r="AQ30" i="5"/>
  <c r="AQ30" i="7" s="1"/>
  <c r="AP30" i="5"/>
  <c r="AP30" i="7" s="1"/>
  <c r="AO30" i="5"/>
  <c r="AO30" i="7" s="1"/>
  <c r="AN30" i="5"/>
  <c r="AN30" i="7" s="1"/>
  <c r="AM30" i="5"/>
  <c r="AM30" i="7" s="1"/>
  <c r="AL30" i="5"/>
  <c r="AL30" i="7" s="1"/>
  <c r="AK30" i="5"/>
  <c r="AK30" i="7" s="1"/>
  <c r="AJ30" i="5"/>
  <c r="AJ30" i="7" s="1"/>
  <c r="AI30" i="5"/>
  <c r="AI30" i="7" s="1"/>
  <c r="AH30" i="5"/>
  <c r="AH30" i="7" s="1"/>
  <c r="AG30" i="5"/>
  <c r="AG30" i="7" s="1"/>
  <c r="AF30" i="5"/>
  <c r="AF30" i="7" s="1"/>
  <c r="AE30" i="5"/>
  <c r="AE30" i="7" s="1"/>
  <c r="AD30" i="5"/>
  <c r="AD30" i="7" s="1"/>
  <c r="AC30" i="5"/>
  <c r="AC30" i="7" s="1"/>
  <c r="AB30" i="5"/>
  <c r="AB30" i="7" s="1"/>
  <c r="AA30" i="5"/>
  <c r="AA30" i="7" s="1"/>
  <c r="Z30" i="5"/>
  <c r="Z30" i="7" s="1"/>
  <c r="Y30" i="5"/>
  <c r="Y30" i="7" s="1"/>
  <c r="X30" i="5"/>
  <c r="X30" i="7" s="1"/>
  <c r="W30" i="5"/>
  <c r="W30" i="7" s="1"/>
  <c r="V30" i="5"/>
  <c r="V30" i="7" s="1"/>
  <c r="U30" i="5"/>
  <c r="U30" i="7" s="1"/>
  <c r="T30" i="5"/>
  <c r="T30" i="7" s="1"/>
  <c r="S30" i="5"/>
  <c r="S30" i="7" s="1"/>
  <c r="R30" i="5"/>
  <c r="R30" i="7" s="1"/>
  <c r="Q30" i="5"/>
  <c r="Q30" i="7" s="1"/>
  <c r="P30" i="5"/>
  <c r="P30" i="7" s="1"/>
  <c r="O30" i="5"/>
  <c r="O30" i="7" s="1"/>
  <c r="N30" i="5"/>
  <c r="N30" i="7" s="1"/>
  <c r="M30" i="5"/>
  <c r="M30" i="7" s="1"/>
  <c r="L30" i="5"/>
  <c r="L30" i="7" s="1"/>
  <c r="K30" i="5"/>
  <c r="K30" i="7" s="1"/>
  <c r="J30" i="5"/>
  <c r="J30" i="7" s="1"/>
  <c r="I30" i="5"/>
  <c r="I30" i="7" s="1"/>
  <c r="H30" i="5"/>
  <c r="H30" i="7" s="1"/>
  <c r="G30" i="5"/>
  <c r="G30" i="7" s="1"/>
  <c r="F30" i="5"/>
  <c r="F30" i="7" s="1"/>
  <c r="E30" i="5"/>
  <c r="E30" i="7" s="1"/>
  <c r="D30" i="5"/>
  <c r="D30" i="7" s="1"/>
  <c r="C30" i="5"/>
  <c r="C30" i="7" s="1"/>
  <c r="B30" i="5"/>
  <c r="B30" i="7" s="1"/>
  <c r="DB29" i="5"/>
  <c r="DB29" i="7" s="1"/>
  <c r="DA29" i="5"/>
  <c r="DA29" i="7" s="1"/>
  <c r="CZ29" i="5"/>
  <c r="CZ29" i="7" s="1"/>
  <c r="CY29" i="5"/>
  <c r="CY29" i="7" s="1"/>
  <c r="CX29" i="5"/>
  <c r="CX29" i="7" s="1"/>
  <c r="CW29" i="5"/>
  <c r="CW29" i="7" s="1"/>
  <c r="CV29" i="5"/>
  <c r="CV29" i="7" s="1"/>
  <c r="CU29" i="5"/>
  <c r="CU29" i="7" s="1"/>
  <c r="CT29" i="5"/>
  <c r="CT29" i="7" s="1"/>
  <c r="CS29" i="5"/>
  <c r="CS29" i="7" s="1"/>
  <c r="CR29" i="5"/>
  <c r="CR29" i="7" s="1"/>
  <c r="CQ29" i="5"/>
  <c r="CQ29" i="7" s="1"/>
  <c r="CP29" i="5"/>
  <c r="CP29" i="7" s="1"/>
  <c r="CO29" i="5"/>
  <c r="CO29" i="7" s="1"/>
  <c r="CN29" i="5"/>
  <c r="CN29" i="7" s="1"/>
  <c r="CM29" i="5"/>
  <c r="CM29" i="7" s="1"/>
  <c r="CL29" i="5"/>
  <c r="CL29" i="7" s="1"/>
  <c r="CK29" i="5"/>
  <c r="CK29" i="7" s="1"/>
  <c r="CJ29" i="5"/>
  <c r="CJ29" i="7" s="1"/>
  <c r="CI29" i="5"/>
  <c r="CI29" i="7" s="1"/>
  <c r="CH29" i="5"/>
  <c r="CH29" i="7" s="1"/>
  <c r="CG29" i="5"/>
  <c r="CG29" i="7" s="1"/>
  <c r="CF29" i="5"/>
  <c r="CF29" i="7" s="1"/>
  <c r="CE29" i="5"/>
  <c r="CE29" i="7" s="1"/>
  <c r="CD29" i="5"/>
  <c r="CD29" i="7" s="1"/>
  <c r="CC29" i="5"/>
  <c r="CC29" i="7" s="1"/>
  <c r="CB29" i="5"/>
  <c r="CB29" i="7" s="1"/>
  <c r="CA29" i="5"/>
  <c r="CA29" i="7" s="1"/>
  <c r="BZ29" i="5"/>
  <c r="BZ29" i="7" s="1"/>
  <c r="BY29" i="5"/>
  <c r="BY29" i="7" s="1"/>
  <c r="BX29" i="5"/>
  <c r="BX29" i="7" s="1"/>
  <c r="BW29" i="5"/>
  <c r="BW29" i="7" s="1"/>
  <c r="BV29" i="5"/>
  <c r="BV29" i="7" s="1"/>
  <c r="BU29" i="5"/>
  <c r="BU29" i="7" s="1"/>
  <c r="BT29" i="5"/>
  <c r="BT29" i="7" s="1"/>
  <c r="BS29" i="5"/>
  <c r="BS29" i="7" s="1"/>
  <c r="BR29" i="5"/>
  <c r="BR29" i="7" s="1"/>
  <c r="BQ29" i="5"/>
  <c r="BQ29" i="7" s="1"/>
  <c r="BP29" i="5"/>
  <c r="BP29" i="7" s="1"/>
  <c r="BO29" i="5"/>
  <c r="BO29" i="7" s="1"/>
  <c r="BN29" i="5"/>
  <c r="BN29" i="7" s="1"/>
  <c r="BM29" i="5"/>
  <c r="BM29" i="7" s="1"/>
  <c r="BL29" i="5"/>
  <c r="BL29" i="7" s="1"/>
  <c r="BK29" i="5"/>
  <c r="BK29" i="7" s="1"/>
  <c r="BJ29" i="5"/>
  <c r="BJ29" i="7" s="1"/>
  <c r="BI29" i="5"/>
  <c r="BI29" i="7" s="1"/>
  <c r="BH29" i="5"/>
  <c r="BH29" i="7" s="1"/>
  <c r="BG29" i="5"/>
  <c r="BG29" i="7" s="1"/>
  <c r="BF29" i="5"/>
  <c r="BF29" i="7" s="1"/>
  <c r="BE29" i="5"/>
  <c r="BE29" i="7" s="1"/>
  <c r="BD29" i="5"/>
  <c r="BD29" i="7" s="1"/>
  <c r="BC29" i="5"/>
  <c r="BC29" i="7" s="1"/>
  <c r="BB29" i="5"/>
  <c r="BB29" i="7" s="1"/>
  <c r="BA29" i="5"/>
  <c r="BA29" i="7" s="1"/>
  <c r="AZ29" i="5"/>
  <c r="AZ29" i="7" s="1"/>
  <c r="AY29" i="5"/>
  <c r="AY29" i="7" s="1"/>
  <c r="AX29" i="5"/>
  <c r="AX29" i="7" s="1"/>
  <c r="AW29" i="5"/>
  <c r="AW29" i="7" s="1"/>
  <c r="AV29" i="5"/>
  <c r="AV29" i="7" s="1"/>
  <c r="AU29" i="5"/>
  <c r="AU29" i="7" s="1"/>
  <c r="AT29" i="5"/>
  <c r="AT29" i="7" s="1"/>
  <c r="AS29" i="5"/>
  <c r="AS29" i="7" s="1"/>
  <c r="AR29" i="5"/>
  <c r="AR29" i="7" s="1"/>
  <c r="AQ29" i="5"/>
  <c r="AQ29" i="7" s="1"/>
  <c r="AP29" i="5"/>
  <c r="AP29" i="7" s="1"/>
  <c r="AO29" i="5"/>
  <c r="AO29" i="7" s="1"/>
  <c r="AN29" i="5"/>
  <c r="AN29" i="7" s="1"/>
  <c r="AM29" i="5"/>
  <c r="AM29" i="7" s="1"/>
  <c r="AL29" i="5"/>
  <c r="AL29" i="7" s="1"/>
  <c r="AK29" i="5"/>
  <c r="AK29" i="7" s="1"/>
  <c r="AJ29" i="5"/>
  <c r="AJ29" i="7" s="1"/>
  <c r="AI29" i="5"/>
  <c r="AI29" i="7" s="1"/>
  <c r="AH29" i="5"/>
  <c r="AH29" i="7" s="1"/>
  <c r="AG29" i="5"/>
  <c r="AG29" i="7" s="1"/>
  <c r="AF29" i="5"/>
  <c r="AF29" i="7" s="1"/>
  <c r="AE29" i="5"/>
  <c r="AE29" i="7" s="1"/>
  <c r="AD29" i="5"/>
  <c r="AD29" i="7" s="1"/>
  <c r="AC29" i="5"/>
  <c r="AC29" i="7" s="1"/>
  <c r="AB29" i="5"/>
  <c r="AB29" i="7" s="1"/>
  <c r="AA29" i="5"/>
  <c r="AA29" i="7" s="1"/>
  <c r="Z29" i="5"/>
  <c r="Z29" i="7" s="1"/>
  <c r="Y29" i="5"/>
  <c r="Y29" i="7" s="1"/>
  <c r="X29" i="5"/>
  <c r="X29" i="7" s="1"/>
  <c r="W29" i="5"/>
  <c r="W29" i="7" s="1"/>
  <c r="V29" i="5"/>
  <c r="V29" i="7" s="1"/>
  <c r="U29" i="5"/>
  <c r="U29" i="7" s="1"/>
  <c r="T29" i="5"/>
  <c r="T29" i="7" s="1"/>
  <c r="S29" i="5"/>
  <c r="S29" i="7" s="1"/>
  <c r="R29" i="5"/>
  <c r="R29" i="7" s="1"/>
  <c r="Q29" i="5"/>
  <c r="Q29" i="7" s="1"/>
  <c r="P29" i="5"/>
  <c r="P29" i="7" s="1"/>
  <c r="O29" i="5"/>
  <c r="O29" i="7" s="1"/>
  <c r="N29" i="5"/>
  <c r="N29" i="7" s="1"/>
  <c r="M29" i="5"/>
  <c r="M29" i="7" s="1"/>
  <c r="L29" i="5"/>
  <c r="L29" i="7" s="1"/>
  <c r="K29" i="5"/>
  <c r="K29" i="7" s="1"/>
  <c r="J29" i="5"/>
  <c r="J29" i="7" s="1"/>
  <c r="I29" i="5"/>
  <c r="I29" i="7" s="1"/>
  <c r="H29" i="5"/>
  <c r="H29" i="7" s="1"/>
  <c r="G29" i="5"/>
  <c r="G29" i="7" s="1"/>
  <c r="F29" i="5"/>
  <c r="F29" i="7" s="1"/>
  <c r="E29" i="5"/>
  <c r="E29" i="7" s="1"/>
  <c r="D29" i="5"/>
  <c r="D29" i="7" s="1"/>
  <c r="C29" i="5"/>
  <c r="C29" i="7" s="1"/>
  <c r="B29" i="5"/>
  <c r="B29" i="7" s="1"/>
  <c r="DB28" i="5"/>
  <c r="DB28" i="7" s="1"/>
  <c r="DA28" i="5"/>
  <c r="DA28" i="7" s="1"/>
  <c r="CZ28" i="5"/>
  <c r="CZ28" i="7" s="1"/>
  <c r="CY28" i="5"/>
  <c r="CY28" i="7" s="1"/>
  <c r="CX28" i="5"/>
  <c r="CX28" i="7" s="1"/>
  <c r="CW28" i="5"/>
  <c r="CW28" i="7" s="1"/>
  <c r="CV28" i="5"/>
  <c r="CV28" i="7" s="1"/>
  <c r="CU28" i="5"/>
  <c r="CU28" i="7" s="1"/>
  <c r="CT28" i="5"/>
  <c r="CT28" i="7" s="1"/>
  <c r="CS28" i="5"/>
  <c r="CS28" i="7" s="1"/>
  <c r="CR28" i="5"/>
  <c r="CR28" i="7" s="1"/>
  <c r="CQ28" i="5"/>
  <c r="CQ28" i="7" s="1"/>
  <c r="CP28" i="5"/>
  <c r="CP28" i="7" s="1"/>
  <c r="CO28" i="5"/>
  <c r="CO28" i="7" s="1"/>
  <c r="CN28" i="5"/>
  <c r="CN28" i="7" s="1"/>
  <c r="CM28" i="5"/>
  <c r="CM28" i="7" s="1"/>
  <c r="CL28" i="5"/>
  <c r="CL28" i="7" s="1"/>
  <c r="CK28" i="5"/>
  <c r="CK28" i="7" s="1"/>
  <c r="CJ28" i="5"/>
  <c r="CJ28" i="7" s="1"/>
  <c r="CI28" i="5"/>
  <c r="CI28" i="7" s="1"/>
  <c r="CH28" i="5"/>
  <c r="CH28" i="7" s="1"/>
  <c r="CG28" i="5"/>
  <c r="CG28" i="7" s="1"/>
  <c r="CF28" i="5"/>
  <c r="CF28" i="7" s="1"/>
  <c r="CE28" i="5"/>
  <c r="CE28" i="7" s="1"/>
  <c r="CD28" i="5"/>
  <c r="CD28" i="7" s="1"/>
  <c r="CC28" i="5"/>
  <c r="CC28" i="7" s="1"/>
  <c r="CB28" i="5"/>
  <c r="CB28" i="7" s="1"/>
  <c r="CA28" i="5"/>
  <c r="CA28" i="7" s="1"/>
  <c r="BZ28" i="5"/>
  <c r="BZ28" i="7" s="1"/>
  <c r="BY28" i="5"/>
  <c r="BY28" i="7" s="1"/>
  <c r="BX28" i="5"/>
  <c r="BX28" i="7" s="1"/>
  <c r="BW28" i="5"/>
  <c r="BW28" i="7" s="1"/>
  <c r="BV28" i="5"/>
  <c r="BV28" i="7" s="1"/>
  <c r="BU28" i="5"/>
  <c r="BU28" i="7" s="1"/>
  <c r="BT28" i="5"/>
  <c r="BT28" i="7" s="1"/>
  <c r="BS28" i="5"/>
  <c r="BS28" i="7" s="1"/>
  <c r="BR28" i="5"/>
  <c r="BR28" i="7" s="1"/>
  <c r="BQ28" i="5"/>
  <c r="BQ28" i="7" s="1"/>
  <c r="BP28" i="5"/>
  <c r="BP28" i="7" s="1"/>
  <c r="BO28" i="5"/>
  <c r="BO28" i="7" s="1"/>
  <c r="BN28" i="5"/>
  <c r="BN28" i="7" s="1"/>
  <c r="BM28" i="5"/>
  <c r="BM28" i="7" s="1"/>
  <c r="BL28" i="5"/>
  <c r="BL28" i="7" s="1"/>
  <c r="BK28" i="5"/>
  <c r="BK28" i="7" s="1"/>
  <c r="BJ28" i="5"/>
  <c r="BJ28" i="7" s="1"/>
  <c r="BI28" i="5"/>
  <c r="BI28" i="7" s="1"/>
  <c r="BH28" i="5"/>
  <c r="BH28" i="7" s="1"/>
  <c r="BG28" i="5"/>
  <c r="BG28" i="7" s="1"/>
  <c r="BF28" i="5"/>
  <c r="BF28" i="7" s="1"/>
  <c r="BE28" i="5"/>
  <c r="BE28" i="7" s="1"/>
  <c r="BD28" i="5"/>
  <c r="BD28" i="7" s="1"/>
  <c r="BC28" i="5"/>
  <c r="BC28" i="7" s="1"/>
  <c r="BB28" i="5"/>
  <c r="BB28" i="7" s="1"/>
  <c r="BA28" i="5"/>
  <c r="BA28" i="7" s="1"/>
  <c r="AZ28" i="5"/>
  <c r="AZ28" i="7" s="1"/>
  <c r="AY28" i="5"/>
  <c r="AY28" i="7" s="1"/>
  <c r="AX28" i="5"/>
  <c r="AX28" i="7" s="1"/>
  <c r="AW28" i="5"/>
  <c r="AW28" i="7" s="1"/>
  <c r="AV28" i="5"/>
  <c r="AV28" i="7" s="1"/>
  <c r="AU28" i="5"/>
  <c r="AU28" i="7" s="1"/>
  <c r="AT28" i="5"/>
  <c r="AT28" i="7" s="1"/>
  <c r="AS28" i="5"/>
  <c r="AS28" i="7" s="1"/>
  <c r="AR28" i="5"/>
  <c r="AR28" i="7" s="1"/>
  <c r="AQ28" i="5"/>
  <c r="AQ28" i="7" s="1"/>
  <c r="AP28" i="5"/>
  <c r="AP28" i="7" s="1"/>
  <c r="AO28" i="5"/>
  <c r="AO28" i="7" s="1"/>
  <c r="AN28" i="5"/>
  <c r="AN28" i="7" s="1"/>
  <c r="AM28" i="5"/>
  <c r="AM28" i="7" s="1"/>
  <c r="AL28" i="5"/>
  <c r="AL28" i="7" s="1"/>
  <c r="AK28" i="5"/>
  <c r="AK28" i="7" s="1"/>
  <c r="AJ28" i="5"/>
  <c r="AJ28" i="7" s="1"/>
  <c r="AI28" i="5"/>
  <c r="AI28" i="7" s="1"/>
  <c r="AH28" i="5"/>
  <c r="AH28" i="7" s="1"/>
  <c r="AG28" i="5"/>
  <c r="AG28" i="7" s="1"/>
  <c r="AF28" i="5"/>
  <c r="AF28" i="7" s="1"/>
  <c r="AE28" i="5"/>
  <c r="AE28" i="7" s="1"/>
  <c r="AD28" i="5"/>
  <c r="AD28" i="7" s="1"/>
  <c r="AC28" i="5"/>
  <c r="AC28" i="7" s="1"/>
  <c r="AB28" i="5"/>
  <c r="AB28" i="7" s="1"/>
  <c r="AA28" i="5"/>
  <c r="AA28" i="7" s="1"/>
  <c r="Z28" i="5"/>
  <c r="Z28" i="7" s="1"/>
  <c r="Y28" i="5"/>
  <c r="Y28" i="7" s="1"/>
  <c r="X28" i="5"/>
  <c r="X28" i="7" s="1"/>
  <c r="W28" i="5"/>
  <c r="W28" i="7" s="1"/>
  <c r="V28" i="5"/>
  <c r="V28" i="7" s="1"/>
  <c r="U28" i="5"/>
  <c r="U28" i="7" s="1"/>
  <c r="T28" i="5"/>
  <c r="T28" i="7" s="1"/>
  <c r="S28" i="5"/>
  <c r="S28" i="7" s="1"/>
  <c r="R28" i="5"/>
  <c r="R28" i="7" s="1"/>
  <c r="Q28" i="5"/>
  <c r="Q28" i="7" s="1"/>
  <c r="P28" i="5"/>
  <c r="P28" i="7" s="1"/>
  <c r="O28" i="5"/>
  <c r="O28" i="7" s="1"/>
  <c r="N28" i="5"/>
  <c r="N28" i="7" s="1"/>
  <c r="M28" i="5"/>
  <c r="M28" i="7" s="1"/>
  <c r="L28" i="5"/>
  <c r="L28" i="7" s="1"/>
  <c r="K28" i="5"/>
  <c r="K28" i="7" s="1"/>
  <c r="J28" i="5"/>
  <c r="J28" i="7" s="1"/>
  <c r="I28" i="5"/>
  <c r="I28" i="7" s="1"/>
  <c r="H28" i="5"/>
  <c r="H28" i="7" s="1"/>
  <c r="G28" i="5"/>
  <c r="G28" i="7" s="1"/>
  <c r="F28" i="5"/>
  <c r="F28" i="7" s="1"/>
  <c r="E28" i="5"/>
  <c r="E28" i="7" s="1"/>
  <c r="D28" i="5"/>
  <c r="D28" i="7" s="1"/>
  <c r="C28" i="5"/>
  <c r="C28" i="7" s="1"/>
  <c r="B28" i="5"/>
  <c r="B28" i="7" s="1"/>
  <c r="DB27" i="5"/>
  <c r="DB27" i="7" s="1"/>
  <c r="DA27" i="5"/>
  <c r="DA27" i="7" s="1"/>
  <c r="CZ27" i="5"/>
  <c r="CZ27" i="7" s="1"/>
  <c r="CY27" i="5"/>
  <c r="CY27" i="7" s="1"/>
  <c r="CX27" i="5"/>
  <c r="CX27" i="7" s="1"/>
  <c r="CW27" i="5"/>
  <c r="CW27" i="7" s="1"/>
  <c r="CV27" i="5"/>
  <c r="CV27" i="7" s="1"/>
  <c r="CU27" i="5"/>
  <c r="CU27" i="7" s="1"/>
  <c r="CT27" i="5"/>
  <c r="CT27" i="7" s="1"/>
  <c r="CS27" i="5"/>
  <c r="CS27" i="7" s="1"/>
  <c r="CR27" i="5"/>
  <c r="CR27" i="7" s="1"/>
  <c r="CQ27" i="5"/>
  <c r="CQ27" i="7" s="1"/>
  <c r="CP27" i="5"/>
  <c r="CP27" i="7" s="1"/>
  <c r="CO27" i="5"/>
  <c r="CO27" i="7" s="1"/>
  <c r="CN27" i="5"/>
  <c r="CN27" i="7" s="1"/>
  <c r="CM27" i="5"/>
  <c r="CM27" i="7" s="1"/>
  <c r="CL27" i="5"/>
  <c r="CL27" i="7" s="1"/>
  <c r="CK27" i="5"/>
  <c r="CK27" i="7" s="1"/>
  <c r="CJ27" i="5"/>
  <c r="CJ27" i="7" s="1"/>
  <c r="CI27" i="5"/>
  <c r="CI27" i="7" s="1"/>
  <c r="CH27" i="5"/>
  <c r="CH27" i="7" s="1"/>
  <c r="CG27" i="5"/>
  <c r="CG27" i="7" s="1"/>
  <c r="CF27" i="5"/>
  <c r="CF27" i="7" s="1"/>
  <c r="CE27" i="5"/>
  <c r="CE27" i="7" s="1"/>
  <c r="CD27" i="5"/>
  <c r="CD27" i="7" s="1"/>
  <c r="CC27" i="5"/>
  <c r="CC27" i="7" s="1"/>
  <c r="CB27" i="5"/>
  <c r="CB27" i="7" s="1"/>
  <c r="CA27" i="5"/>
  <c r="CA27" i="7" s="1"/>
  <c r="BZ27" i="5"/>
  <c r="BZ27" i="7" s="1"/>
  <c r="BY27" i="5"/>
  <c r="BY27" i="7" s="1"/>
  <c r="BX27" i="5"/>
  <c r="BX27" i="7" s="1"/>
  <c r="BW27" i="5"/>
  <c r="BW27" i="7" s="1"/>
  <c r="BV27" i="5"/>
  <c r="BV27" i="7" s="1"/>
  <c r="BU27" i="5"/>
  <c r="BU27" i="7" s="1"/>
  <c r="BT27" i="5"/>
  <c r="BT27" i="7" s="1"/>
  <c r="BS27" i="5"/>
  <c r="BS27" i="7" s="1"/>
  <c r="BR27" i="5"/>
  <c r="BR27" i="7" s="1"/>
  <c r="BQ27" i="5"/>
  <c r="BQ27" i="7" s="1"/>
  <c r="BP27" i="5"/>
  <c r="BP27" i="7" s="1"/>
  <c r="BO27" i="5"/>
  <c r="BO27" i="7" s="1"/>
  <c r="BN27" i="5"/>
  <c r="BN27" i="7" s="1"/>
  <c r="BM27" i="5"/>
  <c r="BM27" i="7" s="1"/>
  <c r="BL27" i="5"/>
  <c r="BL27" i="7" s="1"/>
  <c r="BK27" i="5"/>
  <c r="BK27" i="7" s="1"/>
  <c r="BJ27" i="5"/>
  <c r="BJ27" i="7" s="1"/>
  <c r="BI27" i="5"/>
  <c r="BI27" i="7" s="1"/>
  <c r="BH27" i="5"/>
  <c r="BH27" i="7" s="1"/>
  <c r="BG27" i="5"/>
  <c r="BG27" i="7" s="1"/>
  <c r="BF27" i="5"/>
  <c r="BF27" i="7" s="1"/>
  <c r="BE27" i="5"/>
  <c r="BE27" i="7" s="1"/>
  <c r="BD27" i="5"/>
  <c r="BD27" i="7" s="1"/>
  <c r="BC27" i="5"/>
  <c r="BC27" i="7" s="1"/>
  <c r="BB27" i="5"/>
  <c r="BB27" i="7" s="1"/>
  <c r="BA27" i="5"/>
  <c r="BA27" i="7" s="1"/>
  <c r="AZ27" i="5"/>
  <c r="AZ27" i="7" s="1"/>
  <c r="AY27" i="5"/>
  <c r="AY27" i="7" s="1"/>
  <c r="AX27" i="5"/>
  <c r="AX27" i="7" s="1"/>
  <c r="AW27" i="5"/>
  <c r="AW27" i="7" s="1"/>
  <c r="AV27" i="5"/>
  <c r="AV27" i="7" s="1"/>
  <c r="AU27" i="5"/>
  <c r="AU27" i="7" s="1"/>
  <c r="AT27" i="5"/>
  <c r="AT27" i="7" s="1"/>
  <c r="AS27" i="5"/>
  <c r="AS27" i="7" s="1"/>
  <c r="AR27" i="5"/>
  <c r="AR27" i="7" s="1"/>
  <c r="AQ27" i="5"/>
  <c r="AQ27" i="7" s="1"/>
  <c r="AP27" i="5"/>
  <c r="AP27" i="7" s="1"/>
  <c r="AO27" i="5"/>
  <c r="AO27" i="7" s="1"/>
  <c r="AN27" i="5"/>
  <c r="AN27" i="7" s="1"/>
  <c r="AM27" i="5"/>
  <c r="AM27" i="7" s="1"/>
  <c r="AL27" i="5"/>
  <c r="AL27" i="7" s="1"/>
  <c r="AK27" i="5"/>
  <c r="AK27" i="7" s="1"/>
  <c r="AJ27" i="5"/>
  <c r="AJ27" i="7" s="1"/>
  <c r="AI27" i="5"/>
  <c r="AI27" i="7" s="1"/>
  <c r="AH27" i="5"/>
  <c r="AH27" i="7" s="1"/>
  <c r="AG27" i="5"/>
  <c r="AG27" i="7" s="1"/>
  <c r="AF27" i="5"/>
  <c r="AF27" i="7" s="1"/>
  <c r="AE27" i="5"/>
  <c r="AE27" i="7" s="1"/>
  <c r="AD27" i="5"/>
  <c r="AD27" i="7" s="1"/>
  <c r="AC27" i="5"/>
  <c r="AC27" i="7" s="1"/>
  <c r="AB27" i="5"/>
  <c r="AB27" i="7" s="1"/>
  <c r="AA27" i="5"/>
  <c r="AA27" i="7" s="1"/>
  <c r="Z27" i="5"/>
  <c r="Z27" i="7" s="1"/>
  <c r="Y27" i="5"/>
  <c r="Y27" i="7" s="1"/>
  <c r="X27" i="5"/>
  <c r="X27" i="7" s="1"/>
  <c r="W27" i="5"/>
  <c r="W27" i="7" s="1"/>
  <c r="V27" i="5"/>
  <c r="V27" i="7" s="1"/>
  <c r="U27" i="5"/>
  <c r="U27" i="7" s="1"/>
  <c r="T27" i="5"/>
  <c r="T27" i="7" s="1"/>
  <c r="S27" i="5"/>
  <c r="S27" i="7" s="1"/>
  <c r="R27" i="5"/>
  <c r="R27" i="7" s="1"/>
  <c r="Q27" i="5"/>
  <c r="Q27" i="7" s="1"/>
  <c r="P27" i="5"/>
  <c r="P27" i="7" s="1"/>
  <c r="O27" i="5"/>
  <c r="O27" i="7" s="1"/>
  <c r="N27" i="5"/>
  <c r="N27" i="7" s="1"/>
  <c r="M27" i="5"/>
  <c r="M27" i="7" s="1"/>
  <c r="L27" i="5"/>
  <c r="L27" i="7" s="1"/>
  <c r="K27" i="5"/>
  <c r="K27" i="7" s="1"/>
  <c r="J27" i="5"/>
  <c r="J27" i="7" s="1"/>
  <c r="I27" i="5"/>
  <c r="I27" i="7" s="1"/>
  <c r="H27" i="5"/>
  <c r="H27" i="7" s="1"/>
  <c r="G27" i="5"/>
  <c r="G27" i="7" s="1"/>
  <c r="F27" i="5"/>
  <c r="F27" i="7" s="1"/>
  <c r="E27" i="5"/>
  <c r="E27" i="7" s="1"/>
  <c r="D27" i="5"/>
  <c r="D27" i="7" s="1"/>
  <c r="C27" i="5"/>
  <c r="C27" i="7" s="1"/>
  <c r="B27" i="5"/>
  <c r="B27" i="7" s="1"/>
  <c r="DB26" i="5"/>
  <c r="DB26" i="7" s="1"/>
  <c r="DA26" i="5"/>
  <c r="DA26" i="7" s="1"/>
  <c r="CZ26" i="5"/>
  <c r="CZ26" i="7" s="1"/>
  <c r="CY26" i="5"/>
  <c r="CY26" i="7" s="1"/>
  <c r="CX26" i="5"/>
  <c r="CX26" i="7" s="1"/>
  <c r="CW26" i="5"/>
  <c r="CW26" i="7" s="1"/>
  <c r="CV26" i="5"/>
  <c r="CV26" i="7" s="1"/>
  <c r="CU26" i="5"/>
  <c r="CU26" i="7" s="1"/>
  <c r="CT26" i="5"/>
  <c r="CT26" i="7" s="1"/>
  <c r="CS26" i="5"/>
  <c r="CS26" i="7" s="1"/>
  <c r="CR26" i="5"/>
  <c r="CR26" i="7" s="1"/>
  <c r="CQ26" i="5"/>
  <c r="CQ26" i="7" s="1"/>
  <c r="CP26" i="5"/>
  <c r="CP26" i="7" s="1"/>
  <c r="CO26" i="5"/>
  <c r="CO26" i="7" s="1"/>
  <c r="CN26" i="5"/>
  <c r="CN26" i="7" s="1"/>
  <c r="CM26" i="5"/>
  <c r="CM26" i="7" s="1"/>
  <c r="CL26" i="5"/>
  <c r="CL26" i="7" s="1"/>
  <c r="CK26" i="5"/>
  <c r="CK26" i="7" s="1"/>
  <c r="CJ26" i="5"/>
  <c r="CJ26" i="7" s="1"/>
  <c r="CI26" i="5"/>
  <c r="CI26" i="7" s="1"/>
  <c r="CH26" i="5"/>
  <c r="CH26" i="7" s="1"/>
  <c r="CG26" i="5"/>
  <c r="CG26" i="7" s="1"/>
  <c r="CF26" i="5"/>
  <c r="CF26" i="7" s="1"/>
  <c r="CE26" i="5"/>
  <c r="CE26" i="7" s="1"/>
  <c r="CD26" i="5"/>
  <c r="CD26" i="7" s="1"/>
  <c r="CC26" i="5"/>
  <c r="CC26" i="7" s="1"/>
  <c r="CB26" i="5"/>
  <c r="CB26" i="7" s="1"/>
  <c r="CA26" i="5"/>
  <c r="CA26" i="7" s="1"/>
  <c r="BZ26" i="5"/>
  <c r="BZ26" i="7" s="1"/>
  <c r="BY26" i="5"/>
  <c r="BY26" i="7" s="1"/>
  <c r="BX26" i="5"/>
  <c r="BX26" i="7" s="1"/>
  <c r="BW26" i="5"/>
  <c r="BW26" i="7" s="1"/>
  <c r="BV26" i="5"/>
  <c r="BV26" i="7" s="1"/>
  <c r="BU26" i="5"/>
  <c r="BU26" i="7" s="1"/>
  <c r="BT26" i="5"/>
  <c r="BT26" i="7" s="1"/>
  <c r="BS26" i="5"/>
  <c r="BS26" i="7" s="1"/>
  <c r="BR26" i="5"/>
  <c r="BR26" i="7" s="1"/>
  <c r="BQ26" i="5"/>
  <c r="BQ26" i="7" s="1"/>
  <c r="BP26" i="5"/>
  <c r="BP26" i="7" s="1"/>
  <c r="BO26" i="5"/>
  <c r="BO26" i="7" s="1"/>
  <c r="BN26" i="5"/>
  <c r="BN26" i="7" s="1"/>
  <c r="BM26" i="5"/>
  <c r="BM26" i="7" s="1"/>
  <c r="BL26" i="5"/>
  <c r="BL26" i="7" s="1"/>
  <c r="BK26" i="5"/>
  <c r="BK26" i="7" s="1"/>
  <c r="BJ26" i="5"/>
  <c r="BJ26" i="7" s="1"/>
  <c r="BI26" i="5"/>
  <c r="BI26" i="7" s="1"/>
  <c r="BH26" i="5"/>
  <c r="BH26" i="7" s="1"/>
  <c r="BG26" i="5"/>
  <c r="BG26" i="7" s="1"/>
  <c r="BF26" i="5"/>
  <c r="BF26" i="7" s="1"/>
  <c r="BE26" i="5"/>
  <c r="BE26" i="7" s="1"/>
  <c r="BD26" i="5"/>
  <c r="BD26" i="7" s="1"/>
  <c r="BC26" i="5"/>
  <c r="BC26" i="7" s="1"/>
  <c r="BB26" i="5"/>
  <c r="BB26" i="7" s="1"/>
  <c r="BA26" i="5"/>
  <c r="BA26" i="7" s="1"/>
  <c r="AZ26" i="5"/>
  <c r="AZ26" i="7" s="1"/>
  <c r="AY26" i="5"/>
  <c r="AY26" i="7" s="1"/>
  <c r="AX26" i="5"/>
  <c r="AX26" i="7" s="1"/>
  <c r="AW26" i="5"/>
  <c r="AW26" i="7" s="1"/>
  <c r="AV26" i="5"/>
  <c r="AV26" i="7" s="1"/>
  <c r="AU26" i="5"/>
  <c r="AU26" i="7" s="1"/>
  <c r="AT26" i="5"/>
  <c r="AT26" i="7" s="1"/>
  <c r="AS26" i="5"/>
  <c r="AS26" i="7" s="1"/>
  <c r="AR26" i="5"/>
  <c r="AR26" i="7" s="1"/>
  <c r="AQ26" i="5"/>
  <c r="AQ26" i="7" s="1"/>
  <c r="AP26" i="5"/>
  <c r="AP26" i="7" s="1"/>
  <c r="AO26" i="5"/>
  <c r="AO26" i="7" s="1"/>
  <c r="AN26" i="5"/>
  <c r="AN26" i="7" s="1"/>
  <c r="AM26" i="5"/>
  <c r="AM26" i="7" s="1"/>
  <c r="AL26" i="5"/>
  <c r="AL26" i="7" s="1"/>
  <c r="AK26" i="5"/>
  <c r="AK26" i="7" s="1"/>
  <c r="AJ26" i="5"/>
  <c r="AJ26" i="7" s="1"/>
  <c r="AI26" i="5"/>
  <c r="AI26" i="7" s="1"/>
  <c r="AH26" i="5"/>
  <c r="AH26" i="7" s="1"/>
  <c r="AG26" i="5"/>
  <c r="AG26" i="7" s="1"/>
  <c r="AF26" i="5"/>
  <c r="AF26" i="7" s="1"/>
  <c r="AE26" i="5"/>
  <c r="AE26" i="7" s="1"/>
  <c r="AD26" i="5"/>
  <c r="AD26" i="7" s="1"/>
  <c r="AC26" i="5"/>
  <c r="AC26" i="7" s="1"/>
  <c r="AB26" i="5"/>
  <c r="AB26" i="7" s="1"/>
  <c r="AA26" i="5"/>
  <c r="AA26" i="7" s="1"/>
  <c r="Z26" i="5"/>
  <c r="Z26" i="7" s="1"/>
  <c r="Y26" i="5"/>
  <c r="Y26" i="7" s="1"/>
  <c r="X26" i="5"/>
  <c r="X26" i="7" s="1"/>
  <c r="W26" i="5"/>
  <c r="W26" i="7" s="1"/>
  <c r="V26" i="5"/>
  <c r="V26" i="7" s="1"/>
  <c r="U26" i="5"/>
  <c r="U26" i="7" s="1"/>
  <c r="T26" i="5"/>
  <c r="T26" i="7" s="1"/>
  <c r="S26" i="5"/>
  <c r="S26" i="7" s="1"/>
  <c r="R26" i="5"/>
  <c r="R26" i="7" s="1"/>
  <c r="Q26" i="5"/>
  <c r="Q26" i="7" s="1"/>
  <c r="P26" i="5"/>
  <c r="P26" i="7" s="1"/>
  <c r="O26" i="5"/>
  <c r="O26" i="7" s="1"/>
  <c r="N26" i="5"/>
  <c r="N26" i="7" s="1"/>
  <c r="M26" i="5"/>
  <c r="M26" i="7" s="1"/>
  <c r="L26" i="5"/>
  <c r="L26" i="7" s="1"/>
  <c r="K26" i="5"/>
  <c r="K26" i="7" s="1"/>
  <c r="J26" i="5"/>
  <c r="J26" i="7" s="1"/>
  <c r="I26" i="5"/>
  <c r="I26" i="7" s="1"/>
  <c r="H26" i="5"/>
  <c r="H26" i="7" s="1"/>
  <c r="G26" i="5"/>
  <c r="G26" i="7" s="1"/>
  <c r="F26" i="5"/>
  <c r="F26" i="7" s="1"/>
  <c r="E26" i="5"/>
  <c r="E26" i="7" s="1"/>
  <c r="D26" i="5"/>
  <c r="D26" i="7" s="1"/>
  <c r="C26" i="5"/>
  <c r="C26" i="7" s="1"/>
  <c r="B26" i="5"/>
  <c r="B26" i="7" s="1"/>
  <c r="DB25" i="5"/>
  <c r="DB25" i="7" s="1"/>
  <c r="DA25" i="5"/>
  <c r="DA25" i="7" s="1"/>
  <c r="CZ25" i="5"/>
  <c r="CZ25" i="7" s="1"/>
  <c r="CY25" i="5"/>
  <c r="CY25" i="7" s="1"/>
  <c r="CX25" i="5"/>
  <c r="CX25" i="7" s="1"/>
  <c r="CW25" i="5"/>
  <c r="CW25" i="7" s="1"/>
  <c r="CV25" i="5"/>
  <c r="CV25" i="7" s="1"/>
  <c r="CU25" i="5"/>
  <c r="CU25" i="7" s="1"/>
  <c r="CT25" i="5"/>
  <c r="CT25" i="7" s="1"/>
  <c r="CS25" i="5"/>
  <c r="CS25" i="7" s="1"/>
  <c r="CR25" i="5"/>
  <c r="CR25" i="7" s="1"/>
  <c r="CQ25" i="5"/>
  <c r="CQ25" i="7" s="1"/>
  <c r="CP25" i="5"/>
  <c r="CP25" i="7" s="1"/>
  <c r="CO25" i="5"/>
  <c r="CO25" i="7" s="1"/>
  <c r="CN25" i="5"/>
  <c r="CN25" i="7" s="1"/>
  <c r="CM25" i="5"/>
  <c r="CM25" i="7" s="1"/>
  <c r="CL25" i="5"/>
  <c r="CL25" i="7" s="1"/>
  <c r="CK25" i="5"/>
  <c r="CK25" i="7" s="1"/>
  <c r="CJ25" i="5"/>
  <c r="CJ25" i="7" s="1"/>
  <c r="CI25" i="5"/>
  <c r="CI25" i="7" s="1"/>
  <c r="CH25" i="5"/>
  <c r="CH25" i="7" s="1"/>
  <c r="CG25" i="5"/>
  <c r="CG25" i="7" s="1"/>
  <c r="CF25" i="5"/>
  <c r="CF25" i="7" s="1"/>
  <c r="CE25" i="5"/>
  <c r="CE25" i="7" s="1"/>
  <c r="CD25" i="5"/>
  <c r="CD25" i="7" s="1"/>
  <c r="CC25" i="5"/>
  <c r="CC25" i="7" s="1"/>
  <c r="CB25" i="5"/>
  <c r="CB25" i="7" s="1"/>
  <c r="CA25" i="5"/>
  <c r="CA25" i="7" s="1"/>
  <c r="BZ25" i="5"/>
  <c r="BZ25" i="7" s="1"/>
  <c r="BY25" i="5"/>
  <c r="BY25" i="7" s="1"/>
  <c r="BX25" i="5"/>
  <c r="BX25" i="7" s="1"/>
  <c r="BW25" i="5"/>
  <c r="BW25" i="7" s="1"/>
  <c r="BV25" i="5"/>
  <c r="BV25" i="7" s="1"/>
  <c r="BU25" i="5"/>
  <c r="BU25" i="7" s="1"/>
  <c r="BT25" i="5"/>
  <c r="BT25" i="7" s="1"/>
  <c r="BS25" i="5"/>
  <c r="BS25" i="7" s="1"/>
  <c r="BR25" i="5"/>
  <c r="BR25" i="7" s="1"/>
  <c r="BQ25" i="5"/>
  <c r="BQ25" i="7" s="1"/>
  <c r="BP25" i="5"/>
  <c r="BP25" i="7" s="1"/>
  <c r="BO25" i="5"/>
  <c r="BO25" i="7" s="1"/>
  <c r="BN25" i="5"/>
  <c r="BN25" i="7" s="1"/>
  <c r="BM25" i="5"/>
  <c r="BM25" i="7" s="1"/>
  <c r="BL25" i="5"/>
  <c r="BL25" i="7" s="1"/>
  <c r="BK25" i="5"/>
  <c r="BK25" i="7" s="1"/>
  <c r="BJ25" i="5"/>
  <c r="BJ25" i="7" s="1"/>
  <c r="BI25" i="5"/>
  <c r="BI25" i="7" s="1"/>
  <c r="BH25" i="5"/>
  <c r="BH25" i="7" s="1"/>
  <c r="BG25" i="5"/>
  <c r="BG25" i="7" s="1"/>
  <c r="BF25" i="5"/>
  <c r="BF25" i="7" s="1"/>
  <c r="BE25" i="5"/>
  <c r="BE25" i="7" s="1"/>
  <c r="BD25" i="5"/>
  <c r="BD25" i="7" s="1"/>
  <c r="BC25" i="5"/>
  <c r="BC25" i="7" s="1"/>
  <c r="BB25" i="5"/>
  <c r="BB25" i="7" s="1"/>
  <c r="BA25" i="5"/>
  <c r="BA25" i="7" s="1"/>
  <c r="AZ25" i="5"/>
  <c r="AZ25" i="7" s="1"/>
  <c r="AY25" i="5"/>
  <c r="AY25" i="7" s="1"/>
  <c r="AX25" i="5"/>
  <c r="AX25" i="7" s="1"/>
  <c r="AW25" i="5"/>
  <c r="AW25" i="7" s="1"/>
  <c r="AV25" i="5"/>
  <c r="AV25" i="7" s="1"/>
  <c r="AU25" i="5"/>
  <c r="AU25" i="7" s="1"/>
  <c r="AT25" i="5"/>
  <c r="AT25" i="7" s="1"/>
  <c r="AS25" i="5"/>
  <c r="AS25" i="7" s="1"/>
  <c r="AR25" i="5"/>
  <c r="AR25" i="7" s="1"/>
  <c r="AQ25" i="5"/>
  <c r="AQ25" i="7" s="1"/>
  <c r="AP25" i="5"/>
  <c r="AP25" i="7" s="1"/>
  <c r="AO25" i="5"/>
  <c r="AO25" i="7" s="1"/>
  <c r="AN25" i="5"/>
  <c r="AN25" i="7" s="1"/>
  <c r="AM25" i="5"/>
  <c r="AM25" i="7" s="1"/>
  <c r="AL25" i="5"/>
  <c r="AL25" i="7" s="1"/>
  <c r="AK25" i="5"/>
  <c r="AK25" i="7" s="1"/>
  <c r="AJ25" i="5"/>
  <c r="AJ25" i="7" s="1"/>
  <c r="AI25" i="5"/>
  <c r="AI25" i="7" s="1"/>
  <c r="AH25" i="5"/>
  <c r="AH25" i="7" s="1"/>
  <c r="AG25" i="5"/>
  <c r="AG25" i="7" s="1"/>
  <c r="AF25" i="5"/>
  <c r="AF25" i="7" s="1"/>
  <c r="AE25" i="5"/>
  <c r="AE25" i="7" s="1"/>
  <c r="AD25" i="5"/>
  <c r="AD25" i="7" s="1"/>
  <c r="AC25" i="5"/>
  <c r="AC25" i="7" s="1"/>
  <c r="AB25" i="5"/>
  <c r="AB25" i="7" s="1"/>
  <c r="AA25" i="5"/>
  <c r="AA25" i="7" s="1"/>
  <c r="Z25" i="5"/>
  <c r="Z25" i="7" s="1"/>
  <c r="Y25" i="5"/>
  <c r="Y25" i="7" s="1"/>
  <c r="X25" i="5"/>
  <c r="X25" i="7" s="1"/>
  <c r="W25" i="5"/>
  <c r="W25" i="7" s="1"/>
  <c r="V25" i="5"/>
  <c r="V25" i="7" s="1"/>
  <c r="U25" i="5"/>
  <c r="U25" i="7" s="1"/>
  <c r="T25" i="5"/>
  <c r="T25" i="7" s="1"/>
  <c r="S25" i="5"/>
  <c r="S25" i="7" s="1"/>
  <c r="R25" i="5"/>
  <c r="R25" i="7" s="1"/>
  <c r="Q25" i="5"/>
  <c r="Q25" i="7" s="1"/>
  <c r="P25" i="5"/>
  <c r="P25" i="7" s="1"/>
  <c r="O25" i="5"/>
  <c r="O25" i="7" s="1"/>
  <c r="N25" i="5"/>
  <c r="N25" i="7" s="1"/>
  <c r="M25" i="5"/>
  <c r="M25" i="7" s="1"/>
  <c r="L25" i="5"/>
  <c r="L25" i="7" s="1"/>
  <c r="K25" i="5"/>
  <c r="K25" i="7" s="1"/>
  <c r="J25" i="5"/>
  <c r="J25" i="7" s="1"/>
  <c r="I25" i="5"/>
  <c r="I25" i="7" s="1"/>
  <c r="H25" i="5"/>
  <c r="H25" i="7" s="1"/>
  <c r="G25" i="5"/>
  <c r="G25" i="7" s="1"/>
  <c r="F25" i="5"/>
  <c r="F25" i="7" s="1"/>
  <c r="E25" i="5"/>
  <c r="E25" i="7" s="1"/>
  <c r="D25" i="5"/>
  <c r="D25" i="7" s="1"/>
  <c r="C25" i="5"/>
  <c r="C25" i="7" s="1"/>
  <c r="B25" i="5"/>
  <c r="B25" i="7" s="1"/>
  <c r="DB24" i="5"/>
  <c r="DB24" i="7" s="1"/>
  <c r="DA24" i="5"/>
  <c r="DA24" i="7" s="1"/>
  <c r="CZ24" i="5"/>
  <c r="CZ24" i="7" s="1"/>
  <c r="CY24" i="5"/>
  <c r="CY24" i="7" s="1"/>
  <c r="CX24" i="5"/>
  <c r="CX24" i="7" s="1"/>
  <c r="CW24" i="5"/>
  <c r="CW24" i="7" s="1"/>
  <c r="CV24" i="5"/>
  <c r="CV24" i="7" s="1"/>
  <c r="CU24" i="5"/>
  <c r="CU24" i="7" s="1"/>
  <c r="CT24" i="5"/>
  <c r="CT24" i="7" s="1"/>
  <c r="CS24" i="5"/>
  <c r="CS24" i="7" s="1"/>
  <c r="CR24" i="5"/>
  <c r="CR24" i="7" s="1"/>
  <c r="CQ24" i="5"/>
  <c r="CQ24" i="7" s="1"/>
  <c r="CP24" i="5"/>
  <c r="CP24" i="7" s="1"/>
  <c r="CO24" i="5"/>
  <c r="CO24" i="7" s="1"/>
  <c r="CN24" i="5"/>
  <c r="CN24" i="7" s="1"/>
  <c r="CM24" i="5"/>
  <c r="CM24" i="7" s="1"/>
  <c r="CL24" i="5"/>
  <c r="CL24" i="7" s="1"/>
  <c r="CK24" i="5"/>
  <c r="CK24" i="7" s="1"/>
  <c r="CJ24" i="5"/>
  <c r="CJ24" i="7" s="1"/>
  <c r="CI24" i="5"/>
  <c r="CI24" i="7" s="1"/>
  <c r="CH24" i="5"/>
  <c r="CH24" i="7" s="1"/>
  <c r="CG24" i="5"/>
  <c r="CG24" i="7" s="1"/>
  <c r="CF24" i="5"/>
  <c r="CF24" i="7" s="1"/>
  <c r="CE24" i="5"/>
  <c r="CE24" i="7" s="1"/>
  <c r="CD24" i="5"/>
  <c r="CD24" i="7" s="1"/>
  <c r="CC24" i="5"/>
  <c r="CC24" i="7" s="1"/>
  <c r="CB24" i="5"/>
  <c r="CB24" i="7" s="1"/>
  <c r="CA24" i="5"/>
  <c r="CA24" i="7" s="1"/>
  <c r="BZ24" i="5"/>
  <c r="BZ24" i="7" s="1"/>
  <c r="BY24" i="5"/>
  <c r="BY24" i="7" s="1"/>
  <c r="BX24" i="5"/>
  <c r="BX24" i="7" s="1"/>
  <c r="BW24" i="5"/>
  <c r="BW24" i="7" s="1"/>
  <c r="BV24" i="5"/>
  <c r="BV24" i="7" s="1"/>
  <c r="BU24" i="5"/>
  <c r="BU24" i="7" s="1"/>
  <c r="BT24" i="5"/>
  <c r="BT24" i="7" s="1"/>
  <c r="BS24" i="5"/>
  <c r="BS24" i="7" s="1"/>
  <c r="BR24" i="5"/>
  <c r="BR24" i="7" s="1"/>
  <c r="BQ24" i="5"/>
  <c r="BQ24" i="7" s="1"/>
  <c r="BP24" i="5"/>
  <c r="BP24" i="7" s="1"/>
  <c r="BO24" i="5"/>
  <c r="BO24" i="7" s="1"/>
  <c r="BN24" i="5"/>
  <c r="BN24" i="7" s="1"/>
  <c r="BM24" i="5"/>
  <c r="BM24" i="7" s="1"/>
  <c r="BL24" i="5"/>
  <c r="BL24" i="7" s="1"/>
  <c r="BK24" i="5"/>
  <c r="BK24" i="7" s="1"/>
  <c r="BJ24" i="5"/>
  <c r="BJ24" i="7" s="1"/>
  <c r="BI24" i="5"/>
  <c r="BI24" i="7" s="1"/>
  <c r="BH24" i="5"/>
  <c r="BH24" i="7" s="1"/>
  <c r="BG24" i="5"/>
  <c r="BG24" i="7" s="1"/>
  <c r="BF24" i="5"/>
  <c r="BF24" i="7" s="1"/>
  <c r="BE24" i="5"/>
  <c r="BE24" i="7" s="1"/>
  <c r="BD24" i="5"/>
  <c r="BD24" i="7" s="1"/>
  <c r="BC24" i="5"/>
  <c r="BC24" i="7" s="1"/>
  <c r="BB24" i="5"/>
  <c r="BB24" i="7" s="1"/>
  <c r="BA24" i="5"/>
  <c r="BA24" i="7" s="1"/>
  <c r="AZ24" i="5"/>
  <c r="AZ24" i="7" s="1"/>
  <c r="AY24" i="5"/>
  <c r="AY24" i="7" s="1"/>
  <c r="AX24" i="5"/>
  <c r="AX24" i="7" s="1"/>
  <c r="AW24" i="5"/>
  <c r="AW24" i="7" s="1"/>
  <c r="AV24" i="5"/>
  <c r="AV24" i="7" s="1"/>
  <c r="AU24" i="5"/>
  <c r="AU24" i="7" s="1"/>
  <c r="AT24" i="5"/>
  <c r="AT24" i="7" s="1"/>
  <c r="AS24" i="5"/>
  <c r="AS24" i="7" s="1"/>
  <c r="AR24" i="5"/>
  <c r="AR24" i="7" s="1"/>
  <c r="AQ24" i="5"/>
  <c r="AQ24" i="7" s="1"/>
  <c r="AP24" i="5"/>
  <c r="AP24" i="7" s="1"/>
  <c r="AO24" i="5"/>
  <c r="AO24" i="7" s="1"/>
  <c r="AN24" i="5"/>
  <c r="AN24" i="7" s="1"/>
  <c r="AM24" i="5"/>
  <c r="AM24" i="7" s="1"/>
  <c r="AL24" i="5"/>
  <c r="AL24" i="7" s="1"/>
  <c r="AK24" i="5"/>
  <c r="AK24" i="7" s="1"/>
  <c r="AJ24" i="5"/>
  <c r="AJ24" i="7" s="1"/>
  <c r="AI24" i="5"/>
  <c r="AI24" i="7" s="1"/>
  <c r="AH24" i="5"/>
  <c r="AH24" i="7" s="1"/>
  <c r="AG24" i="5"/>
  <c r="AG24" i="7" s="1"/>
  <c r="AF24" i="5"/>
  <c r="AF24" i="7" s="1"/>
  <c r="AE24" i="5"/>
  <c r="AE24" i="7" s="1"/>
  <c r="AD24" i="5"/>
  <c r="AD24" i="7" s="1"/>
  <c r="AC24" i="5"/>
  <c r="AC24" i="7" s="1"/>
  <c r="AB24" i="5"/>
  <c r="AB24" i="7" s="1"/>
  <c r="AA24" i="5"/>
  <c r="AA24" i="7" s="1"/>
  <c r="Z24" i="5"/>
  <c r="Z24" i="7" s="1"/>
  <c r="Y24" i="5"/>
  <c r="Y24" i="7" s="1"/>
  <c r="X24" i="5"/>
  <c r="X24" i="7" s="1"/>
  <c r="W24" i="5"/>
  <c r="W24" i="7" s="1"/>
  <c r="V24" i="5"/>
  <c r="V24" i="7" s="1"/>
  <c r="U24" i="5"/>
  <c r="U24" i="7" s="1"/>
  <c r="T24" i="5"/>
  <c r="T24" i="7" s="1"/>
  <c r="S24" i="5"/>
  <c r="S24" i="7" s="1"/>
  <c r="R24" i="5"/>
  <c r="R24" i="7" s="1"/>
  <c r="Q24" i="5"/>
  <c r="Q24" i="7" s="1"/>
  <c r="P24" i="5"/>
  <c r="P24" i="7" s="1"/>
  <c r="O24" i="5"/>
  <c r="O24" i="7" s="1"/>
  <c r="N24" i="5"/>
  <c r="N24" i="7" s="1"/>
  <c r="M24" i="5"/>
  <c r="M24" i="7" s="1"/>
  <c r="L24" i="5"/>
  <c r="L24" i="7" s="1"/>
  <c r="K24" i="5"/>
  <c r="K24" i="7" s="1"/>
  <c r="J24" i="5"/>
  <c r="J24" i="7" s="1"/>
  <c r="I24" i="5"/>
  <c r="I24" i="7" s="1"/>
  <c r="H24" i="5"/>
  <c r="H24" i="7" s="1"/>
  <c r="G24" i="5"/>
  <c r="G24" i="7" s="1"/>
  <c r="F24" i="5"/>
  <c r="F24" i="7" s="1"/>
  <c r="E24" i="5"/>
  <c r="E24" i="7" s="1"/>
  <c r="D24" i="5"/>
  <c r="D24" i="7" s="1"/>
  <c r="C24" i="5"/>
  <c r="C24" i="7" s="1"/>
  <c r="B24" i="5"/>
  <c r="B24" i="7" s="1"/>
  <c r="DB23" i="5"/>
  <c r="DB23" i="7" s="1"/>
  <c r="DA23" i="5"/>
  <c r="DA23" i="7" s="1"/>
  <c r="CZ23" i="5"/>
  <c r="CZ23" i="7" s="1"/>
  <c r="CY23" i="5"/>
  <c r="CY23" i="7" s="1"/>
  <c r="CX23" i="5"/>
  <c r="CX23" i="7" s="1"/>
  <c r="CW23" i="5"/>
  <c r="CW23" i="7" s="1"/>
  <c r="CV23" i="5"/>
  <c r="CV23" i="7" s="1"/>
  <c r="CU23" i="5"/>
  <c r="CU23" i="7" s="1"/>
  <c r="CT23" i="5"/>
  <c r="CT23" i="7" s="1"/>
  <c r="CS23" i="5"/>
  <c r="CS23" i="7" s="1"/>
  <c r="CR23" i="5"/>
  <c r="CR23" i="7" s="1"/>
  <c r="CQ23" i="5"/>
  <c r="CQ23" i="7" s="1"/>
  <c r="CP23" i="5"/>
  <c r="CP23" i="7" s="1"/>
  <c r="CO23" i="5"/>
  <c r="CO23" i="7" s="1"/>
  <c r="CN23" i="5"/>
  <c r="CN23" i="7" s="1"/>
  <c r="CM23" i="5"/>
  <c r="CM23" i="7" s="1"/>
  <c r="CL23" i="5"/>
  <c r="CL23" i="7" s="1"/>
  <c r="CK23" i="5"/>
  <c r="CK23" i="7" s="1"/>
  <c r="CJ23" i="5"/>
  <c r="CJ23" i="7" s="1"/>
  <c r="CI23" i="5"/>
  <c r="CI23" i="7" s="1"/>
  <c r="CH23" i="5"/>
  <c r="CH23" i="7" s="1"/>
  <c r="CG23" i="5"/>
  <c r="CG23" i="7" s="1"/>
  <c r="CF23" i="5"/>
  <c r="CF23" i="7" s="1"/>
  <c r="CE23" i="5"/>
  <c r="CE23" i="7" s="1"/>
  <c r="CD23" i="5"/>
  <c r="CD23" i="7" s="1"/>
  <c r="CC23" i="5"/>
  <c r="CC23" i="7" s="1"/>
  <c r="CB23" i="5"/>
  <c r="CB23" i="7" s="1"/>
  <c r="CA23" i="5"/>
  <c r="CA23" i="7" s="1"/>
  <c r="BZ23" i="5"/>
  <c r="BZ23" i="7" s="1"/>
  <c r="BY23" i="5"/>
  <c r="BY23" i="7" s="1"/>
  <c r="BX23" i="5"/>
  <c r="BX23" i="7" s="1"/>
  <c r="BW23" i="5"/>
  <c r="BW23" i="7" s="1"/>
  <c r="BV23" i="5"/>
  <c r="BV23" i="7" s="1"/>
  <c r="BU23" i="5"/>
  <c r="BU23" i="7" s="1"/>
  <c r="BT23" i="5"/>
  <c r="BT23" i="7" s="1"/>
  <c r="BS23" i="5"/>
  <c r="BS23" i="7" s="1"/>
  <c r="BR23" i="5"/>
  <c r="BR23" i="7" s="1"/>
  <c r="BQ23" i="5"/>
  <c r="BQ23" i="7" s="1"/>
  <c r="BP23" i="5"/>
  <c r="BP23" i="7" s="1"/>
  <c r="BO23" i="5"/>
  <c r="BO23" i="7" s="1"/>
  <c r="BN23" i="5"/>
  <c r="BN23" i="7" s="1"/>
  <c r="BM23" i="5"/>
  <c r="BM23" i="7" s="1"/>
  <c r="BL23" i="5"/>
  <c r="BL23" i="7" s="1"/>
  <c r="BK23" i="5"/>
  <c r="BK23" i="7" s="1"/>
  <c r="BJ23" i="5"/>
  <c r="BJ23" i="7" s="1"/>
  <c r="BI23" i="5"/>
  <c r="BI23" i="7" s="1"/>
  <c r="BH23" i="5"/>
  <c r="BH23" i="7" s="1"/>
  <c r="BG23" i="5"/>
  <c r="BG23" i="7" s="1"/>
  <c r="BF23" i="5"/>
  <c r="BF23" i="7" s="1"/>
  <c r="BE23" i="5"/>
  <c r="BE23" i="7" s="1"/>
  <c r="BD23" i="5"/>
  <c r="BD23" i="7" s="1"/>
  <c r="BC23" i="5"/>
  <c r="BC23" i="7" s="1"/>
  <c r="BB23" i="5"/>
  <c r="BB23" i="7" s="1"/>
  <c r="BA23" i="5"/>
  <c r="BA23" i="7" s="1"/>
  <c r="AZ23" i="5"/>
  <c r="AZ23" i="7" s="1"/>
  <c r="AY23" i="5"/>
  <c r="AY23" i="7" s="1"/>
  <c r="AX23" i="5"/>
  <c r="AX23" i="7" s="1"/>
  <c r="AW23" i="5"/>
  <c r="AW23" i="7" s="1"/>
  <c r="AV23" i="5"/>
  <c r="AV23" i="7" s="1"/>
  <c r="AU23" i="5"/>
  <c r="AU23" i="7" s="1"/>
  <c r="AT23" i="5"/>
  <c r="AT23" i="7" s="1"/>
  <c r="AS23" i="5"/>
  <c r="AS23" i="7" s="1"/>
  <c r="AR23" i="5"/>
  <c r="AR23" i="7" s="1"/>
  <c r="AQ23" i="5"/>
  <c r="AQ23" i="7" s="1"/>
  <c r="AP23" i="5"/>
  <c r="AP23" i="7" s="1"/>
  <c r="AO23" i="5"/>
  <c r="AO23" i="7" s="1"/>
  <c r="AN23" i="5"/>
  <c r="AN23" i="7" s="1"/>
  <c r="AM23" i="5"/>
  <c r="AM23" i="7" s="1"/>
  <c r="AL23" i="5"/>
  <c r="AL23" i="7" s="1"/>
  <c r="AK23" i="5"/>
  <c r="AK23" i="7" s="1"/>
  <c r="AJ23" i="5"/>
  <c r="AJ23" i="7" s="1"/>
  <c r="AI23" i="5"/>
  <c r="AI23" i="7" s="1"/>
  <c r="AH23" i="5"/>
  <c r="AH23" i="7" s="1"/>
  <c r="AG23" i="5"/>
  <c r="AG23" i="7" s="1"/>
  <c r="AF23" i="5"/>
  <c r="AF23" i="7" s="1"/>
  <c r="AE23" i="5"/>
  <c r="AE23" i="7" s="1"/>
  <c r="AD23" i="5"/>
  <c r="AD23" i="7" s="1"/>
  <c r="AC23" i="5"/>
  <c r="AC23" i="7" s="1"/>
  <c r="AB23" i="5"/>
  <c r="AB23" i="7" s="1"/>
  <c r="AA23" i="5"/>
  <c r="AA23" i="7" s="1"/>
  <c r="Z23" i="5"/>
  <c r="Z23" i="7" s="1"/>
  <c r="Y23" i="5"/>
  <c r="Y23" i="7" s="1"/>
  <c r="X23" i="5"/>
  <c r="X23" i="7" s="1"/>
  <c r="W23" i="5"/>
  <c r="W23" i="7" s="1"/>
  <c r="V23" i="5"/>
  <c r="V23" i="7" s="1"/>
  <c r="U23" i="5"/>
  <c r="U23" i="7" s="1"/>
  <c r="T23" i="5"/>
  <c r="T23" i="7" s="1"/>
  <c r="S23" i="5"/>
  <c r="S23" i="7" s="1"/>
  <c r="R23" i="5"/>
  <c r="R23" i="7" s="1"/>
  <c r="Q23" i="5"/>
  <c r="Q23" i="7" s="1"/>
  <c r="P23" i="5"/>
  <c r="P23" i="7" s="1"/>
  <c r="O23" i="5"/>
  <c r="O23" i="7" s="1"/>
  <c r="N23" i="5"/>
  <c r="N23" i="7" s="1"/>
  <c r="M23" i="5"/>
  <c r="M23" i="7" s="1"/>
  <c r="L23" i="5"/>
  <c r="L23" i="7" s="1"/>
  <c r="K23" i="5"/>
  <c r="K23" i="7" s="1"/>
  <c r="J23" i="5"/>
  <c r="J23" i="7" s="1"/>
  <c r="I23" i="5"/>
  <c r="I23" i="7" s="1"/>
  <c r="H23" i="5"/>
  <c r="H23" i="7" s="1"/>
  <c r="G23" i="5"/>
  <c r="G23" i="7" s="1"/>
  <c r="F23" i="5"/>
  <c r="F23" i="7" s="1"/>
  <c r="E23" i="5"/>
  <c r="E23" i="7" s="1"/>
  <c r="D23" i="5"/>
  <c r="D23" i="7" s="1"/>
  <c r="C23" i="5"/>
  <c r="C23" i="7" s="1"/>
  <c r="B23" i="5"/>
  <c r="B23" i="7" s="1"/>
  <c r="DB22" i="5"/>
  <c r="DB22" i="7" s="1"/>
  <c r="DA22" i="5"/>
  <c r="DA22" i="7" s="1"/>
  <c r="CZ22" i="5"/>
  <c r="CZ22" i="7" s="1"/>
  <c r="CY22" i="5"/>
  <c r="CY22" i="7" s="1"/>
  <c r="CX22" i="5"/>
  <c r="CX22" i="7" s="1"/>
  <c r="CW22" i="5"/>
  <c r="CW22" i="7" s="1"/>
  <c r="CV22" i="5"/>
  <c r="CV22" i="7" s="1"/>
  <c r="CU22" i="5"/>
  <c r="CU22" i="7" s="1"/>
  <c r="CT22" i="5"/>
  <c r="CT22" i="7" s="1"/>
  <c r="CS22" i="5"/>
  <c r="CS22" i="7" s="1"/>
  <c r="CR22" i="5"/>
  <c r="CR22" i="7" s="1"/>
  <c r="CQ22" i="5"/>
  <c r="CQ22" i="7" s="1"/>
  <c r="CP22" i="5"/>
  <c r="CP22" i="7" s="1"/>
  <c r="CO22" i="5"/>
  <c r="CO22" i="7" s="1"/>
  <c r="CN22" i="5"/>
  <c r="CN22" i="7" s="1"/>
  <c r="CM22" i="5"/>
  <c r="CM22" i="7" s="1"/>
  <c r="CL22" i="5"/>
  <c r="CL22" i="7" s="1"/>
  <c r="CK22" i="5"/>
  <c r="CK22" i="7" s="1"/>
  <c r="CJ22" i="5"/>
  <c r="CJ22" i="7" s="1"/>
  <c r="CI22" i="5"/>
  <c r="CI22" i="7" s="1"/>
  <c r="CH22" i="5"/>
  <c r="CH22" i="7" s="1"/>
  <c r="CG22" i="5"/>
  <c r="CG22" i="7" s="1"/>
  <c r="CF22" i="5"/>
  <c r="CF22" i="7" s="1"/>
  <c r="CE22" i="5"/>
  <c r="CE22" i="7" s="1"/>
  <c r="CD22" i="5"/>
  <c r="CD22" i="7" s="1"/>
  <c r="CC22" i="5"/>
  <c r="CC22" i="7" s="1"/>
  <c r="CB22" i="5"/>
  <c r="CB22" i="7" s="1"/>
  <c r="CA22" i="5"/>
  <c r="CA22" i="7" s="1"/>
  <c r="BZ22" i="5"/>
  <c r="BZ22" i="7" s="1"/>
  <c r="BY22" i="5"/>
  <c r="BY22" i="7" s="1"/>
  <c r="BX22" i="5"/>
  <c r="BX22" i="7" s="1"/>
  <c r="BW22" i="5"/>
  <c r="BW22" i="7" s="1"/>
  <c r="BV22" i="5"/>
  <c r="BV22" i="7" s="1"/>
  <c r="BU22" i="5"/>
  <c r="BU22" i="7" s="1"/>
  <c r="BT22" i="5"/>
  <c r="BT22" i="7" s="1"/>
  <c r="BS22" i="5"/>
  <c r="BS22" i="7" s="1"/>
  <c r="BR22" i="5"/>
  <c r="BR22" i="7" s="1"/>
  <c r="BQ22" i="5"/>
  <c r="BQ22" i="7" s="1"/>
  <c r="BP22" i="5"/>
  <c r="BP22" i="7" s="1"/>
  <c r="BO22" i="5"/>
  <c r="BO22" i="7" s="1"/>
  <c r="BN22" i="5"/>
  <c r="BN22" i="7" s="1"/>
  <c r="BM22" i="5"/>
  <c r="BM22" i="7" s="1"/>
  <c r="BL22" i="5"/>
  <c r="BL22" i="7" s="1"/>
  <c r="BK22" i="5"/>
  <c r="BK22" i="7" s="1"/>
  <c r="BJ22" i="5"/>
  <c r="BJ22" i="7" s="1"/>
  <c r="BI22" i="5"/>
  <c r="BI22" i="7" s="1"/>
  <c r="BH22" i="5"/>
  <c r="BH22" i="7" s="1"/>
  <c r="BG22" i="5"/>
  <c r="BG22" i="7" s="1"/>
  <c r="BF22" i="5"/>
  <c r="BF22" i="7" s="1"/>
  <c r="BE22" i="5"/>
  <c r="BE22" i="7" s="1"/>
  <c r="BD22" i="5"/>
  <c r="BD22" i="7" s="1"/>
  <c r="BC22" i="5"/>
  <c r="BC22" i="7" s="1"/>
  <c r="BB22" i="5"/>
  <c r="BB22" i="7" s="1"/>
  <c r="BA22" i="5"/>
  <c r="BA22" i="7" s="1"/>
  <c r="AZ22" i="5"/>
  <c r="AZ22" i="7" s="1"/>
  <c r="AY22" i="5"/>
  <c r="AY22" i="7" s="1"/>
  <c r="AX22" i="5"/>
  <c r="AX22" i="7" s="1"/>
  <c r="AW22" i="5"/>
  <c r="AW22" i="7" s="1"/>
  <c r="AV22" i="5"/>
  <c r="AV22" i="7" s="1"/>
  <c r="AU22" i="5"/>
  <c r="AU22" i="7" s="1"/>
  <c r="AT22" i="5"/>
  <c r="AT22" i="7" s="1"/>
  <c r="AS22" i="5"/>
  <c r="AS22" i="7" s="1"/>
  <c r="AR22" i="5"/>
  <c r="AR22" i="7" s="1"/>
  <c r="AQ22" i="5"/>
  <c r="AQ22" i="7" s="1"/>
  <c r="AP22" i="5"/>
  <c r="AP22" i="7" s="1"/>
  <c r="AO22" i="5"/>
  <c r="AO22" i="7" s="1"/>
  <c r="AN22" i="5"/>
  <c r="AN22" i="7" s="1"/>
  <c r="AM22" i="5"/>
  <c r="AM22" i="7" s="1"/>
  <c r="AL22" i="5"/>
  <c r="AL22" i="7" s="1"/>
  <c r="AK22" i="5"/>
  <c r="AK22" i="7" s="1"/>
  <c r="AJ22" i="5"/>
  <c r="AJ22" i="7" s="1"/>
  <c r="AI22" i="5"/>
  <c r="AI22" i="7" s="1"/>
  <c r="AH22" i="5"/>
  <c r="AH22" i="7" s="1"/>
  <c r="AG22" i="5"/>
  <c r="AG22" i="7" s="1"/>
  <c r="AF22" i="5"/>
  <c r="AF22" i="7" s="1"/>
  <c r="AE22" i="5"/>
  <c r="AE22" i="7" s="1"/>
  <c r="AD22" i="5"/>
  <c r="AD22" i="7" s="1"/>
  <c r="AC22" i="5"/>
  <c r="AC22" i="7" s="1"/>
  <c r="AB22" i="5"/>
  <c r="AB22" i="7" s="1"/>
  <c r="AA22" i="5"/>
  <c r="AA22" i="7" s="1"/>
  <c r="Z22" i="5"/>
  <c r="Z22" i="7" s="1"/>
  <c r="Y22" i="5"/>
  <c r="Y22" i="7" s="1"/>
  <c r="X22" i="5"/>
  <c r="X22" i="7" s="1"/>
  <c r="W22" i="5"/>
  <c r="W22" i="7" s="1"/>
  <c r="V22" i="5"/>
  <c r="V22" i="7" s="1"/>
  <c r="U22" i="5"/>
  <c r="U22" i="7" s="1"/>
  <c r="T22" i="5"/>
  <c r="T22" i="7" s="1"/>
  <c r="S22" i="5"/>
  <c r="S22" i="7" s="1"/>
  <c r="R22" i="5"/>
  <c r="R22" i="7" s="1"/>
  <c r="Q22" i="5"/>
  <c r="Q22" i="7" s="1"/>
  <c r="P22" i="5"/>
  <c r="P22" i="7" s="1"/>
  <c r="O22" i="5"/>
  <c r="O22" i="7" s="1"/>
  <c r="N22" i="5"/>
  <c r="N22" i="7" s="1"/>
  <c r="M22" i="5"/>
  <c r="M22" i="7" s="1"/>
  <c r="L22" i="5"/>
  <c r="L22" i="7" s="1"/>
  <c r="K22" i="5"/>
  <c r="K22" i="7" s="1"/>
  <c r="J22" i="5"/>
  <c r="J22" i="7" s="1"/>
  <c r="I22" i="5"/>
  <c r="I22" i="7" s="1"/>
  <c r="H22" i="5"/>
  <c r="H22" i="7" s="1"/>
  <c r="G22" i="5"/>
  <c r="G22" i="7" s="1"/>
  <c r="F22" i="5"/>
  <c r="F22" i="7" s="1"/>
  <c r="E22" i="5"/>
  <c r="E22" i="7" s="1"/>
  <c r="D22" i="5"/>
  <c r="D22" i="7" s="1"/>
  <c r="C22" i="5"/>
  <c r="C22" i="7" s="1"/>
  <c r="B22" i="5"/>
  <c r="B22" i="7" s="1"/>
  <c r="DB21" i="5"/>
  <c r="DB21" i="7" s="1"/>
  <c r="DA21" i="5"/>
  <c r="DA21" i="7" s="1"/>
  <c r="CZ21" i="5"/>
  <c r="CZ21" i="7" s="1"/>
  <c r="CY21" i="5"/>
  <c r="CY21" i="7" s="1"/>
  <c r="CX21" i="5"/>
  <c r="CX21" i="7" s="1"/>
  <c r="CW21" i="5"/>
  <c r="CW21" i="7" s="1"/>
  <c r="CV21" i="5"/>
  <c r="CV21" i="7" s="1"/>
  <c r="CU21" i="5"/>
  <c r="CU21" i="7" s="1"/>
  <c r="CT21" i="5"/>
  <c r="CT21" i="7" s="1"/>
  <c r="CS21" i="5"/>
  <c r="CS21" i="7" s="1"/>
  <c r="CR21" i="5"/>
  <c r="CR21" i="7" s="1"/>
  <c r="CQ21" i="5"/>
  <c r="CQ21" i="7" s="1"/>
  <c r="CP21" i="5"/>
  <c r="CP21" i="7" s="1"/>
  <c r="CO21" i="5"/>
  <c r="CO21" i="7" s="1"/>
  <c r="CN21" i="5"/>
  <c r="CN21" i="7" s="1"/>
  <c r="CM21" i="5"/>
  <c r="CM21" i="7" s="1"/>
  <c r="CL21" i="5"/>
  <c r="CL21" i="7" s="1"/>
  <c r="CK21" i="5"/>
  <c r="CK21" i="7" s="1"/>
  <c r="CJ21" i="5"/>
  <c r="CJ21" i="7" s="1"/>
  <c r="CI21" i="5"/>
  <c r="CI21" i="7" s="1"/>
  <c r="CH21" i="5"/>
  <c r="CH21" i="7" s="1"/>
  <c r="CG21" i="5"/>
  <c r="CG21" i="7" s="1"/>
  <c r="CF21" i="5"/>
  <c r="CF21" i="7" s="1"/>
  <c r="CE21" i="5"/>
  <c r="CE21" i="7" s="1"/>
  <c r="CD21" i="5"/>
  <c r="CD21" i="7" s="1"/>
  <c r="CC21" i="5"/>
  <c r="CC21" i="7" s="1"/>
  <c r="CB21" i="5"/>
  <c r="CB21" i="7" s="1"/>
  <c r="CA21" i="5"/>
  <c r="CA21" i="7" s="1"/>
  <c r="BZ21" i="5"/>
  <c r="BZ21" i="7" s="1"/>
  <c r="BY21" i="5"/>
  <c r="BY21" i="7" s="1"/>
  <c r="BX21" i="5"/>
  <c r="BX21" i="7" s="1"/>
  <c r="BW21" i="5"/>
  <c r="BW21" i="7" s="1"/>
  <c r="BV21" i="5"/>
  <c r="BV21" i="7" s="1"/>
  <c r="BU21" i="5"/>
  <c r="BU21" i="7" s="1"/>
  <c r="BT21" i="5"/>
  <c r="BT21" i="7" s="1"/>
  <c r="BS21" i="5"/>
  <c r="BS21" i="7" s="1"/>
  <c r="BR21" i="5"/>
  <c r="BR21" i="7" s="1"/>
  <c r="BQ21" i="5"/>
  <c r="BQ21" i="7" s="1"/>
  <c r="BP21" i="5"/>
  <c r="BP21" i="7" s="1"/>
  <c r="BO21" i="5"/>
  <c r="BO21" i="7" s="1"/>
  <c r="BN21" i="5"/>
  <c r="BN21" i="7" s="1"/>
  <c r="BM21" i="5"/>
  <c r="BM21" i="7" s="1"/>
  <c r="BL21" i="5"/>
  <c r="BL21" i="7" s="1"/>
  <c r="BK21" i="5"/>
  <c r="BK21" i="7" s="1"/>
  <c r="BJ21" i="5"/>
  <c r="BJ21" i="7" s="1"/>
  <c r="BI21" i="5"/>
  <c r="BI21" i="7" s="1"/>
  <c r="BH21" i="5"/>
  <c r="BH21" i="7" s="1"/>
  <c r="BG21" i="5"/>
  <c r="BG21" i="7" s="1"/>
  <c r="BF21" i="5"/>
  <c r="BF21" i="7" s="1"/>
  <c r="BE21" i="5"/>
  <c r="BE21" i="7" s="1"/>
  <c r="BD21" i="5"/>
  <c r="BD21" i="7" s="1"/>
  <c r="BC21" i="5"/>
  <c r="BC21" i="7" s="1"/>
  <c r="BB21" i="5"/>
  <c r="BB21" i="7" s="1"/>
  <c r="BA21" i="5"/>
  <c r="BA21" i="7" s="1"/>
  <c r="AZ21" i="5"/>
  <c r="AZ21" i="7" s="1"/>
  <c r="AY21" i="5"/>
  <c r="AY21" i="7" s="1"/>
  <c r="AX21" i="5"/>
  <c r="AX21" i="7" s="1"/>
  <c r="AW21" i="5"/>
  <c r="AW21" i="7" s="1"/>
  <c r="AV21" i="5"/>
  <c r="AV21" i="7" s="1"/>
  <c r="AU21" i="5"/>
  <c r="AU21" i="7" s="1"/>
  <c r="AT21" i="5"/>
  <c r="AT21" i="7" s="1"/>
  <c r="AS21" i="5"/>
  <c r="AS21" i="7" s="1"/>
  <c r="AR21" i="5"/>
  <c r="AR21" i="7" s="1"/>
  <c r="AQ21" i="5"/>
  <c r="AQ21" i="7" s="1"/>
  <c r="AP21" i="5"/>
  <c r="AP21" i="7" s="1"/>
  <c r="AO21" i="5"/>
  <c r="AO21" i="7" s="1"/>
  <c r="AN21" i="5"/>
  <c r="AN21" i="7" s="1"/>
  <c r="AM21" i="5"/>
  <c r="AM21" i="7" s="1"/>
  <c r="AL21" i="5"/>
  <c r="AL21" i="7" s="1"/>
  <c r="AK21" i="5"/>
  <c r="AK21" i="7" s="1"/>
  <c r="AJ21" i="5"/>
  <c r="AJ21" i="7" s="1"/>
  <c r="AI21" i="5"/>
  <c r="AI21" i="7" s="1"/>
  <c r="AH21" i="5"/>
  <c r="AH21" i="7" s="1"/>
  <c r="AG21" i="5"/>
  <c r="AG21" i="7" s="1"/>
  <c r="AF21" i="5"/>
  <c r="AF21" i="7" s="1"/>
  <c r="AE21" i="5"/>
  <c r="AE21" i="7" s="1"/>
  <c r="AD21" i="5"/>
  <c r="AD21" i="7" s="1"/>
  <c r="AC21" i="5"/>
  <c r="AC21" i="7" s="1"/>
  <c r="AB21" i="5"/>
  <c r="AB21" i="7" s="1"/>
  <c r="AA21" i="5"/>
  <c r="AA21" i="7" s="1"/>
  <c r="Z21" i="5"/>
  <c r="Z21" i="7" s="1"/>
  <c r="Y21" i="5"/>
  <c r="Y21" i="7" s="1"/>
  <c r="X21" i="5"/>
  <c r="X21" i="7" s="1"/>
  <c r="W21" i="5"/>
  <c r="W21" i="7" s="1"/>
  <c r="V21" i="5"/>
  <c r="V21" i="7" s="1"/>
  <c r="U21" i="5"/>
  <c r="U21" i="7" s="1"/>
  <c r="T21" i="5"/>
  <c r="T21" i="7" s="1"/>
  <c r="S21" i="5"/>
  <c r="S21" i="7" s="1"/>
  <c r="R21" i="5"/>
  <c r="R21" i="7" s="1"/>
  <c r="Q21" i="5"/>
  <c r="Q21" i="7" s="1"/>
  <c r="P21" i="5"/>
  <c r="P21" i="7" s="1"/>
  <c r="O21" i="5"/>
  <c r="O21" i="7" s="1"/>
  <c r="N21" i="5"/>
  <c r="N21" i="7" s="1"/>
  <c r="M21" i="5"/>
  <c r="M21" i="7" s="1"/>
  <c r="L21" i="5"/>
  <c r="L21" i="7" s="1"/>
  <c r="K21" i="5"/>
  <c r="K21" i="7" s="1"/>
  <c r="J21" i="5"/>
  <c r="J21" i="7" s="1"/>
  <c r="I21" i="5"/>
  <c r="I21" i="7" s="1"/>
  <c r="H21" i="5"/>
  <c r="H21" i="7" s="1"/>
  <c r="G21" i="5"/>
  <c r="G21" i="7" s="1"/>
  <c r="F21" i="5"/>
  <c r="F21" i="7" s="1"/>
  <c r="E21" i="5"/>
  <c r="E21" i="7" s="1"/>
  <c r="D21" i="5"/>
  <c r="D21" i="7" s="1"/>
  <c r="C21" i="5"/>
  <c r="C21" i="7" s="1"/>
  <c r="B21" i="5"/>
  <c r="B21" i="7" s="1"/>
  <c r="DB20" i="5"/>
  <c r="DB20" i="7" s="1"/>
  <c r="DA20" i="5"/>
  <c r="DA20" i="7" s="1"/>
  <c r="CZ20" i="5"/>
  <c r="CZ20" i="7" s="1"/>
  <c r="CY20" i="5"/>
  <c r="CY20" i="7" s="1"/>
  <c r="CX20" i="5"/>
  <c r="CX20" i="7" s="1"/>
  <c r="CW20" i="5"/>
  <c r="CW20" i="7" s="1"/>
  <c r="CV20" i="5"/>
  <c r="CV20" i="7" s="1"/>
  <c r="CU20" i="5"/>
  <c r="CU20" i="7" s="1"/>
  <c r="CT20" i="5"/>
  <c r="CT20" i="7" s="1"/>
  <c r="CS20" i="5"/>
  <c r="CS20" i="7" s="1"/>
  <c r="CR20" i="5"/>
  <c r="CR20" i="7" s="1"/>
  <c r="CQ20" i="5"/>
  <c r="CQ20" i="7" s="1"/>
  <c r="CP20" i="5"/>
  <c r="CP20" i="7" s="1"/>
  <c r="CO20" i="5"/>
  <c r="CO20" i="7" s="1"/>
  <c r="CN20" i="5"/>
  <c r="CN20" i="7" s="1"/>
  <c r="CM20" i="5"/>
  <c r="CM20" i="7" s="1"/>
  <c r="CL20" i="5"/>
  <c r="CL20" i="7" s="1"/>
  <c r="CK20" i="5"/>
  <c r="CK20" i="7" s="1"/>
  <c r="CJ20" i="5"/>
  <c r="CJ20" i="7" s="1"/>
  <c r="CI20" i="5"/>
  <c r="CI20" i="7" s="1"/>
  <c r="CH20" i="5"/>
  <c r="CH20" i="7" s="1"/>
  <c r="CG20" i="5"/>
  <c r="CG20" i="7" s="1"/>
  <c r="CF20" i="5"/>
  <c r="CF20" i="7" s="1"/>
  <c r="CE20" i="5"/>
  <c r="CE20" i="7" s="1"/>
  <c r="CD20" i="5"/>
  <c r="CD20" i="7" s="1"/>
  <c r="CC20" i="5"/>
  <c r="CC20" i="7" s="1"/>
  <c r="CB20" i="5"/>
  <c r="CB20" i="7" s="1"/>
  <c r="CA20" i="5"/>
  <c r="CA20" i="7" s="1"/>
  <c r="BZ20" i="5"/>
  <c r="BZ20" i="7" s="1"/>
  <c r="BY20" i="5"/>
  <c r="BY20" i="7" s="1"/>
  <c r="BX20" i="5"/>
  <c r="BX20" i="7" s="1"/>
  <c r="BW20" i="5"/>
  <c r="BW20" i="7" s="1"/>
  <c r="BV20" i="5"/>
  <c r="BV20" i="7" s="1"/>
  <c r="BU20" i="5"/>
  <c r="BU20" i="7" s="1"/>
  <c r="BT20" i="5"/>
  <c r="BT20" i="7" s="1"/>
  <c r="BS20" i="5"/>
  <c r="BS20" i="7" s="1"/>
  <c r="BR20" i="5"/>
  <c r="BR20" i="7" s="1"/>
  <c r="BQ20" i="5"/>
  <c r="BQ20" i="7" s="1"/>
  <c r="BP20" i="5"/>
  <c r="BP20" i="7" s="1"/>
  <c r="BO20" i="5"/>
  <c r="BO20" i="7" s="1"/>
  <c r="BN20" i="5"/>
  <c r="BN20" i="7" s="1"/>
  <c r="BM20" i="5"/>
  <c r="BM20" i="7" s="1"/>
  <c r="BL20" i="5"/>
  <c r="BL20" i="7" s="1"/>
  <c r="BK20" i="5"/>
  <c r="BK20" i="7" s="1"/>
  <c r="BJ20" i="5"/>
  <c r="BJ20" i="7" s="1"/>
  <c r="BI20" i="5"/>
  <c r="BI20" i="7" s="1"/>
  <c r="BH20" i="5"/>
  <c r="BH20" i="7" s="1"/>
  <c r="BG20" i="5"/>
  <c r="BG20" i="7" s="1"/>
  <c r="BF20" i="5"/>
  <c r="BF20" i="7" s="1"/>
  <c r="BE20" i="5"/>
  <c r="BE20" i="7" s="1"/>
  <c r="BD20" i="5"/>
  <c r="BD20" i="7" s="1"/>
  <c r="BC20" i="5"/>
  <c r="BC20" i="7" s="1"/>
  <c r="BB20" i="5"/>
  <c r="BB20" i="7" s="1"/>
  <c r="BA20" i="5"/>
  <c r="BA20" i="7" s="1"/>
  <c r="AZ20" i="5"/>
  <c r="AZ20" i="7" s="1"/>
  <c r="AY20" i="5"/>
  <c r="AY20" i="7" s="1"/>
  <c r="AX20" i="5"/>
  <c r="AX20" i="7" s="1"/>
  <c r="AW20" i="5"/>
  <c r="AW20" i="7" s="1"/>
  <c r="AV20" i="5"/>
  <c r="AV20" i="7" s="1"/>
  <c r="AU20" i="5"/>
  <c r="AU20" i="7" s="1"/>
  <c r="AT20" i="5"/>
  <c r="AT20" i="7" s="1"/>
  <c r="AS20" i="5"/>
  <c r="AS20" i="7" s="1"/>
  <c r="AR20" i="5"/>
  <c r="AR20" i="7" s="1"/>
  <c r="AQ20" i="5"/>
  <c r="AQ20" i="7" s="1"/>
  <c r="AP20" i="5"/>
  <c r="AP20" i="7" s="1"/>
  <c r="AO20" i="5"/>
  <c r="AO20" i="7" s="1"/>
  <c r="AN20" i="5"/>
  <c r="AN20" i="7" s="1"/>
  <c r="AM20" i="5"/>
  <c r="AM20" i="7" s="1"/>
  <c r="AL20" i="5"/>
  <c r="AL20" i="7" s="1"/>
  <c r="AK20" i="5"/>
  <c r="AK20" i="7" s="1"/>
  <c r="AJ20" i="5"/>
  <c r="AJ20" i="7" s="1"/>
  <c r="AI20" i="5"/>
  <c r="AI20" i="7" s="1"/>
  <c r="AH20" i="5"/>
  <c r="AH20" i="7" s="1"/>
  <c r="AG20" i="5"/>
  <c r="AG20" i="7" s="1"/>
  <c r="AF20" i="5"/>
  <c r="AF20" i="7" s="1"/>
  <c r="AE20" i="5"/>
  <c r="AE20" i="7" s="1"/>
  <c r="AD20" i="5"/>
  <c r="AD20" i="7" s="1"/>
  <c r="AC20" i="5"/>
  <c r="AC20" i="7" s="1"/>
  <c r="AB20" i="5"/>
  <c r="AB20" i="7" s="1"/>
  <c r="AA20" i="5"/>
  <c r="AA20" i="7" s="1"/>
  <c r="Z20" i="5"/>
  <c r="Z20" i="7" s="1"/>
  <c r="Y20" i="5"/>
  <c r="Y20" i="7" s="1"/>
  <c r="X20" i="5"/>
  <c r="X20" i="7" s="1"/>
  <c r="W20" i="5"/>
  <c r="W20" i="7" s="1"/>
  <c r="V20" i="5"/>
  <c r="V20" i="7" s="1"/>
  <c r="U20" i="5"/>
  <c r="U20" i="7" s="1"/>
  <c r="T20" i="5"/>
  <c r="T20" i="7" s="1"/>
  <c r="S20" i="5"/>
  <c r="S20" i="7" s="1"/>
  <c r="R20" i="5"/>
  <c r="R20" i="7" s="1"/>
  <c r="Q20" i="5"/>
  <c r="Q20" i="7" s="1"/>
  <c r="P20" i="5"/>
  <c r="P20" i="7" s="1"/>
  <c r="O20" i="5"/>
  <c r="O20" i="7" s="1"/>
  <c r="N20" i="5"/>
  <c r="N20" i="7" s="1"/>
  <c r="M20" i="5"/>
  <c r="M20" i="7" s="1"/>
  <c r="L20" i="5"/>
  <c r="L20" i="7" s="1"/>
  <c r="K20" i="5"/>
  <c r="K20" i="7" s="1"/>
  <c r="J20" i="5"/>
  <c r="J20" i="7" s="1"/>
  <c r="I20" i="5"/>
  <c r="I20" i="7" s="1"/>
  <c r="H20" i="5"/>
  <c r="H20" i="7" s="1"/>
  <c r="G20" i="5"/>
  <c r="G20" i="7" s="1"/>
  <c r="F20" i="5"/>
  <c r="F20" i="7" s="1"/>
  <c r="E20" i="5"/>
  <c r="E20" i="7" s="1"/>
  <c r="D20" i="5"/>
  <c r="D20" i="7" s="1"/>
  <c r="C20" i="5"/>
  <c r="C20" i="7" s="1"/>
  <c r="B20" i="5"/>
  <c r="B20" i="7" s="1"/>
  <c r="DB19" i="5"/>
  <c r="DB19" i="7" s="1"/>
  <c r="DA19" i="5"/>
  <c r="DA19" i="7" s="1"/>
  <c r="CZ19" i="5"/>
  <c r="CZ19" i="7" s="1"/>
  <c r="CY19" i="5"/>
  <c r="CY19" i="7" s="1"/>
  <c r="CX19" i="5"/>
  <c r="CX19" i="7" s="1"/>
  <c r="CW19" i="5"/>
  <c r="CW19" i="7" s="1"/>
  <c r="CV19" i="5"/>
  <c r="CV19" i="7" s="1"/>
  <c r="CU19" i="5"/>
  <c r="CU19" i="7" s="1"/>
  <c r="CT19" i="5"/>
  <c r="CT19" i="7" s="1"/>
  <c r="CS19" i="5"/>
  <c r="CS19" i="7" s="1"/>
  <c r="CR19" i="5"/>
  <c r="CR19" i="7" s="1"/>
  <c r="CQ19" i="5"/>
  <c r="CQ19" i="7" s="1"/>
  <c r="CP19" i="5"/>
  <c r="CP19" i="7" s="1"/>
  <c r="CO19" i="5"/>
  <c r="CO19" i="7" s="1"/>
  <c r="CN19" i="5"/>
  <c r="CN19" i="7" s="1"/>
  <c r="CM19" i="5"/>
  <c r="CM19" i="7" s="1"/>
  <c r="CL19" i="5"/>
  <c r="CL19" i="7" s="1"/>
  <c r="CK19" i="5"/>
  <c r="CK19" i="7" s="1"/>
  <c r="CJ19" i="5"/>
  <c r="CJ19" i="7" s="1"/>
  <c r="CI19" i="5"/>
  <c r="CI19" i="7" s="1"/>
  <c r="CH19" i="5"/>
  <c r="CH19" i="7" s="1"/>
  <c r="CG19" i="5"/>
  <c r="CG19" i="7" s="1"/>
  <c r="CF19" i="5"/>
  <c r="CF19" i="7" s="1"/>
  <c r="CE19" i="5"/>
  <c r="CE19" i="7" s="1"/>
  <c r="CD19" i="5"/>
  <c r="CD19" i="7" s="1"/>
  <c r="CC19" i="5"/>
  <c r="CC19" i="7" s="1"/>
  <c r="CB19" i="5"/>
  <c r="CB19" i="7" s="1"/>
  <c r="CA19" i="5"/>
  <c r="CA19" i="7" s="1"/>
  <c r="BZ19" i="5"/>
  <c r="BZ19" i="7" s="1"/>
  <c r="BY19" i="5"/>
  <c r="BY19" i="7" s="1"/>
  <c r="BX19" i="5"/>
  <c r="BX19" i="7" s="1"/>
  <c r="BW19" i="5"/>
  <c r="BW19" i="7" s="1"/>
  <c r="BV19" i="5"/>
  <c r="BV19" i="7" s="1"/>
  <c r="BU19" i="5"/>
  <c r="BU19" i="7" s="1"/>
  <c r="BT19" i="5"/>
  <c r="BT19" i="7" s="1"/>
  <c r="BS19" i="5"/>
  <c r="BS19" i="7" s="1"/>
  <c r="BR19" i="5"/>
  <c r="BR19" i="7" s="1"/>
  <c r="BQ19" i="5"/>
  <c r="BQ19" i="7" s="1"/>
  <c r="BP19" i="5"/>
  <c r="BP19" i="7" s="1"/>
  <c r="BO19" i="5"/>
  <c r="BO19" i="7" s="1"/>
  <c r="BN19" i="5"/>
  <c r="BN19" i="7" s="1"/>
  <c r="BM19" i="5"/>
  <c r="BM19" i="7" s="1"/>
  <c r="BL19" i="5"/>
  <c r="BL19" i="7" s="1"/>
  <c r="BK19" i="5"/>
  <c r="BK19" i="7" s="1"/>
  <c r="BJ19" i="5"/>
  <c r="BJ19" i="7" s="1"/>
  <c r="BI19" i="5"/>
  <c r="BI19" i="7" s="1"/>
  <c r="BH19" i="5"/>
  <c r="BH19" i="7" s="1"/>
  <c r="BG19" i="5"/>
  <c r="BG19" i="7" s="1"/>
  <c r="BF19" i="5"/>
  <c r="BF19" i="7" s="1"/>
  <c r="BE19" i="5"/>
  <c r="BE19" i="7" s="1"/>
  <c r="BD19" i="5"/>
  <c r="BD19" i="7" s="1"/>
  <c r="BC19" i="5"/>
  <c r="BC19" i="7" s="1"/>
  <c r="BB19" i="5"/>
  <c r="BB19" i="7" s="1"/>
  <c r="BA19" i="5"/>
  <c r="BA19" i="7" s="1"/>
  <c r="AZ19" i="5"/>
  <c r="AZ19" i="7" s="1"/>
  <c r="AY19" i="5"/>
  <c r="AY19" i="7" s="1"/>
  <c r="AX19" i="5"/>
  <c r="AX19" i="7" s="1"/>
  <c r="AW19" i="5"/>
  <c r="AW19" i="7" s="1"/>
  <c r="AV19" i="5"/>
  <c r="AV19" i="7" s="1"/>
  <c r="AU19" i="5"/>
  <c r="AU19" i="7" s="1"/>
  <c r="AT19" i="5"/>
  <c r="AT19" i="7" s="1"/>
  <c r="AS19" i="5"/>
  <c r="AS19" i="7" s="1"/>
  <c r="AR19" i="5"/>
  <c r="AR19" i="7" s="1"/>
  <c r="AQ19" i="5"/>
  <c r="AQ19" i="7" s="1"/>
  <c r="AP19" i="5"/>
  <c r="AP19" i="7" s="1"/>
  <c r="AO19" i="5"/>
  <c r="AO19" i="7" s="1"/>
  <c r="AN19" i="5"/>
  <c r="AN19" i="7" s="1"/>
  <c r="AM19" i="5"/>
  <c r="AM19" i="7" s="1"/>
  <c r="AL19" i="5"/>
  <c r="AL19" i="7" s="1"/>
  <c r="AK19" i="5"/>
  <c r="AK19" i="7" s="1"/>
  <c r="AJ19" i="5"/>
  <c r="AJ19" i="7" s="1"/>
  <c r="AI19" i="5"/>
  <c r="AI19" i="7" s="1"/>
  <c r="AH19" i="5"/>
  <c r="AH19" i="7" s="1"/>
  <c r="AG19" i="5"/>
  <c r="AG19" i="7" s="1"/>
  <c r="AF19" i="5"/>
  <c r="AF19" i="7" s="1"/>
  <c r="AE19" i="5"/>
  <c r="AE19" i="7" s="1"/>
  <c r="AD19" i="5"/>
  <c r="AD19" i="7" s="1"/>
  <c r="AC19" i="5"/>
  <c r="AC19" i="7" s="1"/>
  <c r="AB19" i="5"/>
  <c r="AB19" i="7" s="1"/>
  <c r="AA19" i="5"/>
  <c r="AA19" i="7" s="1"/>
  <c r="Z19" i="5"/>
  <c r="Z19" i="7" s="1"/>
  <c r="Y19" i="5"/>
  <c r="Y19" i="7" s="1"/>
  <c r="X19" i="5"/>
  <c r="X19" i="7" s="1"/>
  <c r="W19" i="5"/>
  <c r="W19" i="7" s="1"/>
  <c r="V19" i="5"/>
  <c r="V19" i="7" s="1"/>
  <c r="U19" i="5"/>
  <c r="U19" i="7" s="1"/>
  <c r="T19" i="5"/>
  <c r="T19" i="7" s="1"/>
  <c r="S19" i="5"/>
  <c r="S19" i="7" s="1"/>
  <c r="R19" i="5"/>
  <c r="R19" i="7" s="1"/>
  <c r="Q19" i="5"/>
  <c r="Q19" i="7" s="1"/>
  <c r="P19" i="5"/>
  <c r="P19" i="7" s="1"/>
  <c r="O19" i="5"/>
  <c r="O19" i="7" s="1"/>
  <c r="N19" i="5"/>
  <c r="N19" i="7" s="1"/>
  <c r="M19" i="5"/>
  <c r="M19" i="7" s="1"/>
  <c r="L19" i="5"/>
  <c r="L19" i="7" s="1"/>
  <c r="K19" i="5"/>
  <c r="K19" i="7" s="1"/>
  <c r="J19" i="5"/>
  <c r="J19" i="7" s="1"/>
  <c r="I19" i="5"/>
  <c r="I19" i="7" s="1"/>
  <c r="H19" i="5"/>
  <c r="H19" i="7" s="1"/>
  <c r="G19" i="5"/>
  <c r="G19" i="7" s="1"/>
  <c r="F19" i="5"/>
  <c r="F19" i="7" s="1"/>
  <c r="E19" i="5"/>
  <c r="E19" i="7" s="1"/>
  <c r="D19" i="5"/>
  <c r="D19" i="7" s="1"/>
  <c r="C19" i="5"/>
  <c r="C19" i="7" s="1"/>
  <c r="B19" i="5"/>
  <c r="B19" i="7" s="1"/>
  <c r="DB18" i="5"/>
  <c r="DB18" i="7" s="1"/>
  <c r="DA18" i="5"/>
  <c r="DA18" i="7" s="1"/>
  <c r="CZ18" i="5"/>
  <c r="CZ18" i="7" s="1"/>
  <c r="CY18" i="5"/>
  <c r="CY18" i="7" s="1"/>
  <c r="CX18" i="5"/>
  <c r="CX18" i="7" s="1"/>
  <c r="CW18" i="5"/>
  <c r="CW18" i="7" s="1"/>
  <c r="CV18" i="5"/>
  <c r="CV18" i="7" s="1"/>
  <c r="CU18" i="5"/>
  <c r="CU18" i="7" s="1"/>
  <c r="CT18" i="5"/>
  <c r="CT18" i="7" s="1"/>
  <c r="CS18" i="5"/>
  <c r="CS18" i="7" s="1"/>
  <c r="CR18" i="5"/>
  <c r="CR18" i="7" s="1"/>
  <c r="CQ18" i="5"/>
  <c r="CQ18" i="7" s="1"/>
  <c r="CP18" i="5"/>
  <c r="CP18" i="7" s="1"/>
  <c r="CO18" i="5"/>
  <c r="CO18" i="7" s="1"/>
  <c r="CN18" i="5"/>
  <c r="CN18" i="7" s="1"/>
  <c r="CM18" i="5"/>
  <c r="CM18" i="7" s="1"/>
  <c r="CL18" i="5"/>
  <c r="CL18" i="7" s="1"/>
  <c r="CK18" i="5"/>
  <c r="CK18" i="7" s="1"/>
  <c r="CJ18" i="5"/>
  <c r="CJ18" i="7" s="1"/>
  <c r="CI18" i="5"/>
  <c r="CI18" i="7" s="1"/>
  <c r="CH18" i="5"/>
  <c r="CH18" i="7" s="1"/>
  <c r="CG18" i="5"/>
  <c r="CG18" i="7" s="1"/>
  <c r="CF18" i="5"/>
  <c r="CF18" i="7" s="1"/>
  <c r="CE18" i="5"/>
  <c r="CE18" i="7" s="1"/>
  <c r="CD18" i="5"/>
  <c r="CD18" i="7" s="1"/>
  <c r="CC18" i="5"/>
  <c r="CC18" i="7" s="1"/>
  <c r="CB18" i="5"/>
  <c r="CB18" i="7" s="1"/>
  <c r="CA18" i="5"/>
  <c r="CA18" i="7" s="1"/>
  <c r="BZ18" i="5"/>
  <c r="BZ18" i="7" s="1"/>
  <c r="BY18" i="5"/>
  <c r="BY18" i="7" s="1"/>
  <c r="BX18" i="5"/>
  <c r="BX18" i="7" s="1"/>
  <c r="BW18" i="5"/>
  <c r="BW18" i="7" s="1"/>
  <c r="BV18" i="5"/>
  <c r="BV18" i="7" s="1"/>
  <c r="BU18" i="5"/>
  <c r="BU18" i="7" s="1"/>
  <c r="BT18" i="5"/>
  <c r="BT18" i="7" s="1"/>
  <c r="BS18" i="5"/>
  <c r="BS18" i="7" s="1"/>
  <c r="BR18" i="5"/>
  <c r="BR18" i="7" s="1"/>
  <c r="BQ18" i="5"/>
  <c r="BQ18" i="7" s="1"/>
  <c r="BP18" i="5"/>
  <c r="BP18" i="7" s="1"/>
  <c r="BO18" i="5"/>
  <c r="BO18" i="7" s="1"/>
  <c r="BN18" i="5"/>
  <c r="BN18" i="7" s="1"/>
  <c r="BM18" i="5"/>
  <c r="BM18" i="7" s="1"/>
  <c r="BL18" i="5"/>
  <c r="BL18" i="7" s="1"/>
  <c r="BK18" i="5"/>
  <c r="BK18" i="7" s="1"/>
  <c r="BJ18" i="5"/>
  <c r="BJ18" i="7" s="1"/>
  <c r="BI18" i="5"/>
  <c r="BI18" i="7" s="1"/>
  <c r="BH18" i="5"/>
  <c r="BH18" i="7" s="1"/>
  <c r="BG18" i="5"/>
  <c r="BG18" i="7" s="1"/>
  <c r="BF18" i="5"/>
  <c r="BF18" i="7" s="1"/>
  <c r="BE18" i="5"/>
  <c r="BE18" i="7" s="1"/>
  <c r="BD18" i="5"/>
  <c r="BD18" i="7" s="1"/>
  <c r="BC18" i="5"/>
  <c r="BC18" i="7" s="1"/>
  <c r="BB18" i="5"/>
  <c r="BB18" i="7" s="1"/>
  <c r="BA18" i="5"/>
  <c r="BA18" i="7" s="1"/>
  <c r="AZ18" i="5"/>
  <c r="AZ18" i="7" s="1"/>
  <c r="AY18" i="5"/>
  <c r="AY18" i="7" s="1"/>
  <c r="AX18" i="5"/>
  <c r="AX18" i="7" s="1"/>
  <c r="AW18" i="5"/>
  <c r="AW18" i="7" s="1"/>
  <c r="AV18" i="5"/>
  <c r="AV18" i="7" s="1"/>
  <c r="AU18" i="5"/>
  <c r="AU18" i="7" s="1"/>
  <c r="AT18" i="5"/>
  <c r="AT18" i="7" s="1"/>
  <c r="AS18" i="5"/>
  <c r="AS18" i="7" s="1"/>
  <c r="AR18" i="5"/>
  <c r="AR18" i="7" s="1"/>
  <c r="AQ18" i="5"/>
  <c r="AQ18" i="7" s="1"/>
  <c r="AP18" i="5"/>
  <c r="AP18" i="7" s="1"/>
  <c r="AO18" i="5"/>
  <c r="AO18" i="7" s="1"/>
  <c r="AN18" i="5"/>
  <c r="AN18" i="7" s="1"/>
  <c r="AM18" i="5"/>
  <c r="AM18" i="7" s="1"/>
  <c r="AL18" i="5"/>
  <c r="AL18" i="7" s="1"/>
  <c r="AK18" i="5"/>
  <c r="AK18" i="7" s="1"/>
  <c r="AJ18" i="5"/>
  <c r="AJ18" i="7" s="1"/>
  <c r="AI18" i="5"/>
  <c r="AI18" i="7" s="1"/>
  <c r="AH18" i="5"/>
  <c r="AH18" i="7" s="1"/>
  <c r="AG18" i="5"/>
  <c r="AG18" i="7" s="1"/>
  <c r="AF18" i="5"/>
  <c r="AF18" i="7" s="1"/>
  <c r="AE18" i="5"/>
  <c r="AE18" i="7" s="1"/>
  <c r="AD18" i="5"/>
  <c r="AD18" i="7" s="1"/>
  <c r="AC18" i="5"/>
  <c r="AC18" i="7" s="1"/>
  <c r="AB18" i="5"/>
  <c r="AB18" i="7" s="1"/>
  <c r="AA18" i="5"/>
  <c r="AA18" i="7" s="1"/>
  <c r="Z18" i="5"/>
  <c r="Z18" i="7" s="1"/>
  <c r="Y18" i="5"/>
  <c r="Y18" i="7" s="1"/>
  <c r="X18" i="5"/>
  <c r="X18" i="7" s="1"/>
  <c r="W18" i="5"/>
  <c r="W18" i="7" s="1"/>
  <c r="V18" i="5"/>
  <c r="V18" i="7" s="1"/>
  <c r="U18" i="5"/>
  <c r="U18" i="7" s="1"/>
  <c r="T18" i="5"/>
  <c r="T18" i="7" s="1"/>
  <c r="S18" i="5"/>
  <c r="S18" i="7" s="1"/>
  <c r="R18" i="5"/>
  <c r="R18" i="7" s="1"/>
  <c r="Q18" i="5"/>
  <c r="Q18" i="7" s="1"/>
  <c r="P18" i="5"/>
  <c r="P18" i="7" s="1"/>
  <c r="O18" i="5"/>
  <c r="O18" i="7" s="1"/>
  <c r="N18" i="5"/>
  <c r="N18" i="7" s="1"/>
  <c r="M18" i="5"/>
  <c r="M18" i="7" s="1"/>
  <c r="L18" i="5"/>
  <c r="L18" i="7" s="1"/>
  <c r="K18" i="5"/>
  <c r="K18" i="7" s="1"/>
  <c r="J18" i="5"/>
  <c r="J18" i="7" s="1"/>
  <c r="I18" i="5"/>
  <c r="I18" i="7" s="1"/>
  <c r="H18" i="5"/>
  <c r="H18" i="7" s="1"/>
  <c r="G18" i="5"/>
  <c r="G18" i="7" s="1"/>
  <c r="F18" i="5"/>
  <c r="F18" i="7" s="1"/>
  <c r="E18" i="5"/>
  <c r="E18" i="7" s="1"/>
  <c r="D18" i="5"/>
  <c r="D18" i="7" s="1"/>
  <c r="C18" i="5"/>
  <c r="C18" i="7" s="1"/>
  <c r="B18" i="5"/>
  <c r="B18" i="7" s="1"/>
  <c r="DB17" i="5"/>
  <c r="DB17" i="7" s="1"/>
  <c r="DA17" i="5"/>
  <c r="DA17" i="7" s="1"/>
  <c r="CZ17" i="5"/>
  <c r="CZ17" i="7" s="1"/>
  <c r="CY17" i="5"/>
  <c r="CY17" i="7" s="1"/>
  <c r="CX17" i="5"/>
  <c r="CX17" i="7" s="1"/>
  <c r="CW17" i="5"/>
  <c r="CW17" i="7" s="1"/>
  <c r="CV17" i="5"/>
  <c r="CV17" i="7" s="1"/>
  <c r="CU17" i="5"/>
  <c r="CU17" i="7" s="1"/>
  <c r="CT17" i="5"/>
  <c r="CT17" i="7" s="1"/>
  <c r="CS17" i="5"/>
  <c r="CS17" i="7" s="1"/>
  <c r="CR17" i="5"/>
  <c r="CR17" i="7" s="1"/>
  <c r="CQ17" i="5"/>
  <c r="CQ17" i="7" s="1"/>
  <c r="CP17" i="5"/>
  <c r="CP17" i="7" s="1"/>
  <c r="CO17" i="5"/>
  <c r="CO17" i="7" s="1"/>
  <c r="CN17" i="5"/>
  <c r="CN17" i="7" s="1"/>
  <c r="CM17" i="5"/>
  <c r="CM17" i="7" s="1"/>
  <c r="CL17" i="5"/>
  <c r="CL17" i="7" s="1"/>
  <c r="CK17" i="5"/>
  <c r="CK17" i="7" s="1"/>
  <c r="CJ17" i="5"/>
  <c r="CJ17" i="7" s="1"/>
  <c r="CI17" i="5"/>
  <c r="CI17" i="7" s="1"/>
  <c r="CH17" i="5"/>
  <c r="CH17" i="7" s="1"/>
  <c r="CG17" i="5"/>
  <c r="CG17" i="7" s="1"/>
  <c r="CF17" i="5"/>
  <c r="CF17" i="7" s="1"/>
  <c r="CE17" i="5"/>
  <c r="CE17" i="7" s="1"/>
  <c r="CD17" i="5"/>
  <c r="CD17" i="7" s="1"/>
  <c r="CC17" i="5"/>
  <c r="CC17" i="7" s="1"/>
  <c r="CB17" i="5"/>
  <c r="CB17" i="7" s="1"/>
  <c r="CA17" i="5"/>
  <c r="CA17" i="7" s="1"/>
  <c r="BZ17" i="5"/>
  <c r="BZ17" i="7" s="1"/>
  <c r="BY17" i="5"/>
  <c r="BY17" i="7" s="1"/>
  <c r="BX17" i="5"/>
  <c r="BX17" i="7" s="1"/>
  <c r="BW17" i="5"/>
  <c r="BW17" i="7" s="1"/>
  <c r="BV17" i="5"/>
  <c r="BV17" i="7" s="1"/>
  <c r="BU17" i="5"/>
  <c r="BU17" i="7" s="1"/>
  <c r="BT17" i="5"/>
  <c r="BT17" i="7" s="1"/>
  <c r="BS17" i="5"/>
  <c r="BS17" i="7" s="1"/>
  <c r="BR17" i="5"/>
  <c r="BR17" i="7" s="1"/>
  <c r="BQ17" i="5"/>
  <c r="BQ17" i="7" s="1"/>
  <c r="BP17" i="5"/>
  <c r="BP17" i="7" s="1"/>
  <c r="BO17" i="5"/>
  <c r="BO17" i="7" s="1"/>
  <c r="BN17" i="5"/>
  <c r="BN17" i="7" s="1"/>
  <c r="BM17" i="5"/>
  <c r="BM17" i="7" s="1"/>
  <c r="BL17" i="5"/>
  <c r="BL17" i="7" s="1"/>
  <c r="BK17" i="5"/>
  <c r="BK17" i="7" s="1"/>
  <c r="BJ17" i="5"/>
  <c r="BJ17" i="7" s="1"/>
  <c r="BI17" i="5"/>
  <c r="BI17" i="7" s="1"/>
  <c r="BH17" i="5"/>
  <c r="BH17" i="7" s="1"/>
  <c r="BG17" i="5"/>
  <c r="BG17" i="7" s="1"/>
  <c r="BF17" i="5"/>
  <c r="BF17" i="7" s="1"/>
  <c r="BE17" i="5"/>
  <c r="BE17" i="7" s="1"/>
  <c r="BD17" i="5"/>
  <c r="BD17" i="7" s="1"/>
  <c r="BC17" i="5"/>
  <c r="BC17" i="7" s="1"/>
  <c r="BB17" i="5"/>
  <c r="BB17" i="7" s="1"/>
  <c r="BA17" i="5"/>
  <c r="BA17" i="7" s="1"/>
  <c r="AZ17" i="5"/>
  <c r="AZ17" i="7" s="1"/>
  <c r="AY17" i="5"/>
  <c r="AY17" i="7" s="1"/>
  <c r="AX17" i="5"/>
  <c r="AX17" i="7" s="1"/>
  <c r="AW17" i="5"/>
  <c r="AW17" i="7" s="1"/>
  <c r="AV17" i="5"/>
  <c r="AV17" i="7" s="1"/>
  <c r="AU17" i="5"/>
  <c r="AU17" i="7" s="1"/>
  <c r="AT17" i="5"/>
  <c r="AT17" i="7" s="1"/>
  <c r="AS17" i="5"/>
  <c r="AS17" i="7" s="1"/>
  <c r="AR17" i="5"/>
  <c r="AR17" i="7" s="1"/>
  <c r="AQ17" i="5"/>
  <c r="AQ17" i="7" s="1"/>
  <c r="AP17" i="5"/>
  <c r="AP17" i="7" s="1"/>
  <c r="AO17" i="5"/>
  <c r="AO17" i="7" s="1"/>
  <c r="AN17" i="5"/>
  <c r="AN17" i="7" s="1"/>
  <c r="AM17" i="5"/>
  <c r="AM17" i="7" s="1"/>
  <c r="AL17" i="5"/>
  <c r="AL17" i="7" s="1"/>
  <c r="AK17" i="5"/>
  <c r="AK17" i="7" s="1"/>
  <c r="AJ17" i="5"/>
  <c r="AJ17" i="7" s="1"/>
  <c r="AI17" i="5"/>
  <c r="AI17" i="7" s="1"/>
  <c r="AH17" i="5"/>
  <c r="AH17" i="7" s="1"/>
  <c r="AG17" i="5"/>
  <c r="AG17" i="7" s="1"/>
  <c r="AF17" i="5"/>
  <c r="AF17" i="7" s="1"/>
  <c r="AE17" i="5"/>
  <c r="AE17" i="7" s="1"/>
  <c r="AD17" i="5"/>
  <c r="AD17" i="7" s="1"/>
  <c r="AC17" i="5"/>
  <c r="AC17" i="7" s="1"/>
  <c r="AB17" i="5"/>
  <c r="AB17" i="7" s="1"/>
  <c r="AA17" i="5"/>
  <c r="AA17" i="7" s="1"/>
  <c r="Z17" i="5"/>
  <c r="Z17" i="7" s="1"/>
  <c r="Y17" i="5"/>
  <c r="Y17" i="7" s="1"/>
  <c r="X17" i="5"/>
  <c r="X17" i="7" s="1"/>
  <c r="W17" i="5"/>
  <c r="W17" i="7" s="1"/>
  <c r="V17" i="5"/>
  <c r="V17" i="7" s="1"/>
  <c r="U17" i="5"/>
  <c r="U17" i="7" s="1"/>
  <c r="T17" i="5"/>
  <c r="T17" i="7" s="1"/>
  <c r="S17" i="5"/>
  <c r="S17" i="7" s="1"/>
  <c r="R17" i="5"/>
  <c r="R17" i="7" s="1"/>
  <c r="Q17" i="5"/>
  <c r="Q17" i="7" s="1"/>
  <c r="P17" i="5"/>
  <c r="P17" i="7" s="1"/>
  <c r="O17" i="5"/>
  <c r="O17" i="7" s="1"/>
  <c r="N17" i="5"/>
  <c r="N17" i="7" s="1"/>
  <c r="M17" i="5"/>
  <c r="M17" i="7" s="1"/>
  <c r="L17" i="5"/>
  <c r="L17" i="7" s="1"/>
  <c r="K17" i="5"/>
  <c r="K17" i="7" s="1"/>
  <c r="J17" i="5"/>
  <c r="J17" i="7" s="1"/>
  <c r="I17" i="5"/>
  <c r="I17" i="7" s="1"/>
  <c r="H17" i="5"/>
  <c r="H17" i="7" s="1"/>
  <c r="G17" i="5"/>
  <c r="G17" i="7" s="1"/>
  <c r="F17" i="5"/>
  <c r="F17" i="7" s="1"/>
  <c r="E17" i="5"/>
  <c r="E17" i="7" s="1"/>
  <c r="D17" i="5"/>
  <c r="D17" i="7" s="1"/>
  <c r="C17" i="5"/>
  <c r="C17" i="7" s="1"/>
  <c r="B17" i="5"/>
  <c r="B17" i="7" s="1"/>
  <c r="DB16" i="5"/>
  <c r="DB16" i="7" s="1"/>
  <c r="DA16" i="5"/>
  <c r="DA16" i="7" s="1"/>
  <c r="CZ16" i="5"/>
  <c r="CZ16" i="7" s="1"/>
  <c r="CY16" i="5"/>
  <c r="CY16" i="7" s="1"/>
  <c r="CX16" i="5"/>
  <c r="CX16" i="7" s="1"/>
  <c r="CW16" i="5"/>
  <c r="CW16" i="7" s="1"/>
  <c r="CV16" i="5"/>
  <c r="CV16" i="7" s="1"/>
  <c r="CU16" i="5"/>
  <c r="CU16" i="7" s="1"/>
  <c r="CT16" i="5"/>
  <c r="CT16" i="7" s="1"/>
  <c r="CS16" i="5"/>
  <c r="CS16" i="7" s="1"/>
  <c r="CR16" i="5"/>
  <c r="CR16" i="7" s="1"/>
  <c r="CQ16" i="5"/>
  <c r="CQ16" i="7" s="1"/>
  <c r="CP16" i="5"/>
  <c r="CP16" i="7" s="1"/>
  <c r="CO16" i="5"/>
  <c r="CO16" i="7" s="1"/>
  <c r="CN16" i="5"/>
  <c r="CN16" i="7" s="1"/>
  <c r="CM16" i="5"/>
  <c r="CM16" i="7" s="1"/>
  <c r="CL16" i="5"/>
  <c r="CL16" i="7" s="1"/>
  <c r="CK16" i="5"/>
  <c r="CK16" i="7" s="1"/>
  <c r="CJ16" i="5"/>
  <c r="CJ16" i="7" s="1"/>
  <c r="CI16" i="5"/>
  <c r="CI16" i="7" s="1"/>
  <c r="CH16" i="5"/>
  <c r="CH16" i="7" s="1"/>
  <c r="CG16" i="5"/>
  <c r="CG16" i="7" s="1"/>
  <c r="CF16" i="5"/>
  <c r="CF16" i="7" s="1"/>
  <c r="CE16" i="5"/>
  <c r="CE16" i="7" s="1"/>
  <c r="CD16" i="5"/>
  <c r="CD16" i="7" s="1"/>
  <c r="CC16" i="5"/>
  <c r="CC16" i="7" s="1"/>
  <c r="CB16" i="5"/>
  <c r="CB16" i="7" s="1"/>
  <c r="CA16" i="5"/>
  <c r="CA16" i="7" s="1"/>
  <c r="BZ16" i="5"/>
  <c r="BZ16" i="7" s="1"/>
  <c r="BY16" i="5"/>
  <c r="BY16" i="7" s="1"/>
  <c r="BX16" i="5"/>
  <c r="BX16" i="7" s="1"/>
  <c r="BW16" i="5"/>
  <c r="BW16" i="7" s="1"/>
  <c r="BV16" i="5"/>
  <c r="BV16" i="7" s="1"/>
  <c r="BU16" i="5"/>
  <c r="BU16" i="7" s="1"/>
  <c r="BT16" i="5"/>
  <c r="BT16" i="7" s="1"/>
  <c r="BS16" i="5"/>
  <c r="BS16" i="7" s="1"/>
  <c r="BR16" i="5"/>
  <c r="BR16" i="7" s="1"/>
  <c r="BQ16" i="5"/>
  <c r="BQ16" i="7" s="1"/>
  <c r="BP16" i="5"/>
  <c r="BP16" i="7" s="1"/>
  <c r="BO16" i="5"/>
  <c r="BO16" i="7" s="1"/>
  <c r="BN16" i="5"/>
  <c r="BN16" i="7" s="1"/>
  <c r="BM16" i="5"/>
  <c r="BM16" i="7" s="1"/>
  <c r="BL16" i="5"/>
  <c r="BL16" i="7" s="1"/>
  <c r="BK16" i="5"/>
  <c r="BK16" i="7" s="1"/>
  <c r="BJ16" i="5"/>
  <c r="BJ16" i="7" s="1"/>
  <c r="BI16" i="5"/>
  <c r="BI16" i="7" s="1"/>
  <c r="BH16" i="5"/>
  <c r="BH16" i="7" s="1"/>
  <c r="BG16" i="5"/>
  <c r="BG16" i="7" s="1"/>
  <c r="BF16" i="5"/>
  <c r="BF16" i="7" s="1"/>
  <c r="BE16" i="5"/>
  <c r="BE16" i="7" s="1"/>
  <c r="BD16" i="5"/>
  <c r="BD16" i="7" s="1"/>
  <c r="BC16" i="5"/>
  <c r="BC16" i="7" s="1"/>
  <c r="BB16" i="5"/>
  <c r="BB16" i="7" s="1"/>
  <c r="BA16" i="5"/>
  <c r="BA16" i="7" s="1"/>
  <c r="AZ16" i="5"/>
  <c r="AZ16" i="7" s="1"/>
  <c r="AY16" i="5"/>
  <c r="AY16" i="7" s="1"/>
  <c r="AX16" i="5"/>
  <c r="AX16" i="7" s="1"/>
  <c r="AW16" i="5"/>
  <c r="AW16" i="7" s="1"/>
  <c r="AV16" i="5"/>
  <c r="AV16" i="7" s="1"/>
  <c r="AU16" i="5"/>
  <c r="AU16" i="7" s="1"/>
  <c r="AT16" i="5"/>
  <c r="AT16" i="7" s="1"/>
  <c r="AS16" i="5"/>
  <c r="AS16" i="7" s="1"/>
  <c r="AR16" i="5"/>
  <c r="AR16" i="7" s="1"/>
  <c r="AQ16" i="5"/>
  <c r="AQ16" i="7" s="1"/>
  <c r="AP16" i="5"/>
  <c r="AP16" i="7" s="1"/>
  <c r="AO16" i="5"/>
  <c r="AO16" i="7" s="1"/>
  <c r="AN16" i="5"/>
  <c r="AN16" i="7" s="1"/>
  <c r="AM16" i="5"/>
  <c r="AM16" i="7" s="1"/>
  <c r="AL16" i="5"/>
  <c r="AL16" i="7" s="1"/>
  <c r="AK16" i="5"/>
  <c r="AK16" i="7" s="1"/>
  <c r="AJ16" i="5"/>
  <c r="AJ16" i="7" s="1"/>
  <c r="AI16" i="5"/>
  <c r="AI16" i="7" s="1"/>
  <c r="AH16" i="5"/>
  <c r="AH16" i="7" s="1"/>
  <c r="AG16" i="5"/>
  <c r="AG16" i="7" s="1"/>
  <c r="AF16" i="5"/>
  <c r="AF16" i="7" s="1"/>
  <c r="AE16" i="5"/>
  <c r="AE16" i="7" s="1"/>
  <c r="AD16" i="5"/>
  <c r="AD16" i="7" s="1"/>
  <c r="AC16" i="5"/>
  <c r="AC16" i="7" s="1"/>
  <c r="AB16" i="5"/>
  <c r="AB16" i="7" s="1"/>
  <c r="AA16" i="5"/>
  <c r="AA16" i="7" s="1"/>
  <c r="Z16" i="5"/>
  <c r="Z16" i="7" s="1"/>
  <c r="Y16" i="5"/>
  <c r="Y16" i="7" s="1"/>
  <c r="X16" i="5"/>
  <c r="X16" i="7" s="1"/>
  <c r="W16" i="5"/>
  <c r="W16" i="7" s="1"/>
  <c r="V16" i="5"/>
  <c r="V16" i="7" s="1"/>
  <c r="U16" i="5"/>
  <c r="U16" i="7" s="1"/>
  <c r="T16" i="5"/>
  <c r="T16" i="7" s="1"/>
  <c r="S16" i="5"/>
  <c r="S16" i="7" s="1"/>
  <c r="R16" i="5"/>
  <c r="R16" i="7" s="1"/>
  <c r="Q16" i="5"/>
  <c r="Q16" i="7" s="1"/>
  <c r="P16" i="5"/>
  <c r="P16" i="7" s="1"/>
  <c r="O16" i="5"/>
  <c r="O16" i="7" s="1"/>
  <c r="N16" i="5"/>
  <c r="N16" i="7" s="1"/>
  <c r="M16" i="5"/>
  <c r="M16" i="7" s="1"/>
  <c r="L16" i="5"/>
  <c r="L16" i="7" s="1"/>
  <c r="K16" i="5"/>
  <c r="K16" i="7" s="1"/>
  <c r="J16" i="5"/>
  <c r="J16" i="7" s="1"/>
  <c r="I16" i="5"/>
  <c r="I16" i="7" s="1"/>
  <c r="H16" i="5"/>
  <c r="H16" i="7" s="1"/>
  <c r="G16" i="5"/>
  <c r="G16" i="7" s="1"/>
  <c r="F16" i="5"/>
  <c r="F16" i="7" s="1"/>
  <c r="E16" i="5"/>
  <c r="E16" i="7" s="1"/>
  <c r="D16" i="5"/>
  <c r="D16" i="7" s="1"/>
  <c r="C16" i="5"/>
  <c r="C16" i="7" s="1"/>
  <c r="B16" i="5"/>
  <c r="B16" i="7" s="1"/>
  <c r="DB15" i="5"/>
  <c r="DB15" i="7" s="1"/>
  <c r="DA15" i="5"/>
  <c r="DA15" i="7" s="1"/>
  <c r="CZ15" i="5"/>
  <c r="CZ15" i="7" s="1"/>
  <c r="CY15" i="5"/>
  <c r="CY15" i="7" s="1"/>
  <c r="CX15" i="5"/>
  <c r="CX15" i="7" s="1"/>
  <c r="CW15" i="5"/>
  <c r="CW15" i="7" s="1"/>
  <c r="CV15" i="5"/>
  <c r="CV15" i="7" s="1"/>
  <c r="CU15" i="5"/>
  <c r="CU15" i="7" s="1"/>
  <c r="CT15" i="5"/>
  <c r="CT15" i="7" s="1"/>
  <c r="CS15" i="5"/>
  <c r="CS15" i="7" s="1"/>
  <c r="CR15" i="5"/>
  <c r="CR15" i="7" s="1"/>
  <c r="CQ15" i="5"/>
  <c r="CQ15" i="7" s="1"/>
  <c r="CP15" i="5"/>
  <c r="CP15" i="7" s="1"/>
  <c r="CO15" i="5"/>
  <c r="CO15" i="7" s="1"/>
  <c r="CN15" i="5"/>
  <c r="CN15" i="7" s="1"/>
  <c r="CM15" i="5"/>
  <c r="CM15" i="7" s="1"/>
  <c r="CL15" i="5"/>
  <c r="CL15" i="7" s="1"/>
  <c r="CK15" i="5"/>
  <c r="CK15" i="7" s="1"/>
  <c r="CJ15" i="5"/>
  <c r="CJ15" i="7" s="1"/>
  <c r="CI15" i="5"/>
  <c r="CI15" i="7" s="1"/>
  <c r="CH15" i="5"/>
  <c r="CH15" i="7" s="1"/>
  <c r="CG15" i="5"/>
  <c r="CG15" i="7" s="1"/>
  <c r="CF15" i="5"/>
  <c r="CF15" i="7" s="1"/>
  <c r="CE15" i="5"/>
  <c r="CE15" i="7" s="1"/>
  <c r="CD15" i="5"/>
  <c r="CD15" i="7" s="1"/>
  <c r="CC15" i="5"/>
  <c r="CC15" i="7" s="1"/>
  <c r="CB15" i="5"/>
  <c r="CB15" i="7" s="1"/>
  <c r="CA15" i="5"/>
  <c r="CA15" i="7" s="1"/>
  <c r="BZ15" i="5"/>
  <c r="BZ15" i="7" s="1"/>
  <c r="BY15" i="5"/>
  <c r="BY15" i="7" s="1"/>
  <c r="BX15" i="5"/>
  <c r="BX15" i="7" s="1"/>
  <c r="BW15" i="5"/>
  <c r="BW15" i="7" s="1"/>
  <c r="BV15" i="5"/>
  <c r="BV15" i="7" s="1"/>
  <c r="BU15" i="5"/>
  <c r="BU15" i="7" s="1"/>
  <c r="BT15" i="5"/>
  <c r="BT15" i="7" s="1"/>
  <c r="BS15" i="5"/>
  <c r="BS15" i="7" s="1"/>
  <c r="BR15" i="5"/>
  <c r="BR15" i="7" s="1"/>
  <c r="BQ15" i="5"/>
  <c r="BQ15" i="7" s="1"/>
  <c r="BP15" i="5"/>
  <c r="BP15" i="7" s="1"/>
  <c r="BO15" i="5"/>
  <c r="BO15" i="7" s="1"/>
  <c r="BN15" i="5"/>
  <c r="BN15" i="7" s="1"/>
  <c r="BM15" i="5"/>
  <c r="BM15" i="7" s="1"/>
  <c r="BL15" i="5"/>
  <c r="BL15" i="7" s="1"/>
  <c r="BK15" i="5"/>
  <c r="BK15" i="7" s="1"/>
  <c r="BJ15" i="5"/>
  <c r="BJ15" i="7" s="1"/>
  <c r="BI15" i="5"/>
  <c r="BI15" i="7" s="1"/>
  <c r="BH15" i="5"/>
  <c r="BH15" i="7" s="1"/>
  <c r="BG15" i="5"/>
  <c r="BG15" i="7" s="1"/>
  <c r="BF15" i="5"/>
  <c r="BF15" i="7" s="1"/>
  <c r="BE15" i="5"/>
  <c r="BE15" i="7" s="1"/>
  <c r="BD15" i="5"/>
  <c r="BD15" i="7" s="1"/>
  <c r="BC15" i="5"/>
  <c r="BC15" i="7" s="1"/>
  <c r="BB15" i="5"/>
  <c r="BB15" i="7" s="1"/>
  <c r="BA15" i="5"/>
  <c r="BA15" i="7" s="1"/>
  <c r="AZ15" i="5"/>
  <c r="AZ15" i="7" s="1"/>
  <c r="AY15" i="5"/>
  <c r="AY15" i="7" s="1"/>
  <c r="AX15" i="5"/>
  <c r="AX15" i="7" s="1"/>
  <c r="AW15" i="5"/>
  <c r="AW15" i="7" s="1"/>
  <c r="AV15" i="5"/>
  <c r="AV15" i="7" s="1"/>
  <c r="AU15" i="5"/>
  <c r="AU15" i="7" s="1"/>
  <c r="AT15" i="5"/>
  <c r="AT15" i="7" s="1"/>
  <c r="AS15" i="5"/>
  <c r="AS15" i="7" s="1"/>
  <c r="AR15" i="5"/>
  <c r="AR15" i="7" s="1"/>
  <c r="AQ15" i="5"/>
  <c r="AQ15" i="7" s="1"/>
  <c r="AP15" i="5"/>
  <c r="AP15" i="7" s="1"/>
  <c r="AO15" i="5"/>
  <c r="AO15" i="7" s="1"/>
  <c r="AN15" i="5"/>
  <c r="AN15" i="7" s="1"/>
  <c r="AM15" i="5"/>
  <c r="AM15" i="7" s="1"/>
  <c r="AL15" i="5"/>
  <c r="AL15" i="7" s="1"/>
  <c r="AK15" i="5"/>
  <c r="AK15" i="7" s="1"/>
  <c r="AJ15" i="5"/>
  <c r="AJ15" i="7" s="1"/>
  <c r="AI15" i="5"/>
  <c r="AI15" i="7" s="1"/>
  <c r="AH15" i="5"/>
  <c r="AH15" i="7" s="1"/>
  <c r="AG15" i="5"/>
  <c r="AG15" i="7" s="1"/>
  <c r="AF15" i="5"/>
  <c r="AF15" i="7" s="1"/>
  <c r="AE15" i="5"/>
  <c r="AE15" i="7" s="1"/>
  <c r="AD15" i="5"/>
  <c r="AD15" i="7" s="1"/>
  <c r="AC15" i="5"/>
  <c r="AC15" i="7" s="1"/>
  <c r="AB15" i="5"/>
  <c r="AB15" i="7" s="1"/>
  <c r="AA15" i="5"/>
  <c r="AA15" i="7" s="1"/>
  <c r="Z15" i="5"/>
  <c r="Z15" i="7" s="1"/>
  <c r="Y15" i="5"/>
  <c r="Y15" i="7" s="1"/>
  <c r="X15" i="5"/>
  <c r="X15" i="7" s="1"/>
  <c r="W15" i="5"/>
  <c r="W15" i="7" s="1"/>
  <c r="V15" i="5"/>
  <c r="V15" i="7" s="1"/>
  <c r="U15" i="5"/>
  <c r="U15" i="7" s="1"/>
  <c r="T15" i="5"/>
  <c r="T15" i="7" s="1"/>
  <c r="S15" i="5"/>
  <c r="S15" i="7" s="1"/>
  <c r="R15" i="5"/>
  <c r="R15" i="7" s="1"/>
  <c r="Q15" i="5"/>
  <c r="Q15" i="7" s="1"/>
  <c r="P15" i="5"/>
  <c r="P15" i="7" s="1"/>
  <c r="O15" i="5"/>
  <c r="O15" i="7" s="1"/>
  <c r="N15" i="5"/>
  <c r="N15" i="7" s="1"/>
  <c r="M15" i="5"/>
  <c r="M15" i="7" s="1"/>
  <c r="L15" i="5"/>
  <c r="L15" i="7" s="1"/>
  <c r="K15" i="5"/>
  <c r="K15" i="7" s="1"/>
  <c r="J15" i="5"/>
  <c r="J15" i="7" s="1"/>
  <c r="I15" i="5"/>
  <c r="I15" i="7" s="1"/>
  <c r="H15" i="5"/>
  <c r="H15" i="7" s="1"/>
  <c r="G15" i="5"/>
  <c r="G15" i="7" s="1"/>
  <c r="F15" i="5"/>
  <c r="F15" i="7" s="1"/>
  <c r="E15" i="5"/>
  <c r="E15" i="7" s="1"/>
  <c r="D15" i="5"/>
  <c r="D15" i="7" s="1"/>
  <c r="C15" i="5"/>
  <c r="C15" i="7" s="1"/>
  <c r="B15" i="5"/>
  <c r="B15" i="7" s="1"/>
  <c r="DB14" i="5"/>
  <c r="DB14" i="7" s="1"/>
  <c r="DA14" i="5"/>
  <c r="DA14" i="7" s="1"/>
  <c r="CZ14" i="5"/>
  <c r="CZ14" i="7" s="1"/>
  <c r="CY14" i="5"/>
  <c r="CY14" i="7" s="1"/>
  <c r="CX14" i="5"/>
  <c r="CX14" i="7" s="1"/>
  <c r="CW14" i="5"/>
  <c r="CW14" i="7" s="1"/>
  <c r="CV14" i="5"/>
  <c r="CV14" i="7" s="1"/>
  <c r="CU14" i="5"/>
  <c r="CU14" i="7" s="1"/>
  <c r="CT14" i="5"/>
  <c r="CT14" i="7" s="1"/>
  <c r="CS14" i="5"/>
  <c r="CS14" i="7" s="1"/>
  <c r="CR14" i="5"/>
  <c r="CR14" i="7" s="1"/>
  <c r="CQ14" i="5"/>
  <c r="CQ14" i="7" s="1"/>
  <c r="CP14" i="5"/>
  <c r="CP14" i="7" s="1"/>
  <c r="CO14" i="5"/>
  <c r="CO14" i="7" s="1"/>
  <c r="CN14" i="5"/>
  <c r="CN14" i="7" s="1"/>
  <c r="CM14" i="5"/>
  <c r="CM14" i="7" s="1"/>
  <c r="CL14" i="5"/>
  <c r="CL14" i="7" s="1"/>
  <c r="CK14" i="5"/>
  <c r="CK14" i="7" s="1"/>
  <c r="CJ14" i="5"/>
  <c r="CJ14" i="7" s="1"/>
  <c r="CI14" i="5"/>
  <c r="CI14" i="7" s="1"/>
  <c r="CH14" i="5"/>
  <c r="CH14" i="7" s="1"/>
  <c r="CG14" i="5"/>
  <c r="CG14" i="7" s="1"/>
  <c r="CF14" i="5"/>
  <c r="CF14" i="7" s="1"/>
  <c r="CE14" i="5"/>
  <c r="CE14" i="7" s="1"/>
  <c r="CD14" i="5"/>
  <c r="CD14" i="7" s="1"/>
  <c r="CC14" i="5"/>
  <c r="CC14" i="7" s="1"/>
  <c r="CB14" i="5"/>
  <c r="CB14" i="7" s="1"/>
  <c r="CA14" i="5"/>
  <c r="CA14" i="7" s="1"/>
  <c r="BZ14" i="5"/>
  <c r="BZ14" i="7" s="1"/>
  <c r="BY14" i="5"/>
  <c r="BY14" i="7" s="1"/>
  <c r="BX14" i="5"/>
  <c r="BX14" i="7" s="1"/>
  <c r="BW14" i="5"/>
  <c r="BW14" i="7" s="1"/>
  <c r="BV14" i="5"/>
  <c r="BV14" i="7" s="1"/>
  <c r="BU14" i="5"/>
  <c r="BU14" i="7" s="1"/>
  <c r="BT14" i="5"/>
  <c r="BT14" i="7" s="1"/>
  <c r="BS14" i="5"/>
  <c r="BS14" i="7" s="1"/>
  <c r="BR14" i="5"/>
  <c r="BR14" i="7" s="1"/>
  <c r="BQ14" i="5"/>
  <c r="BQ14" i="7" s="1"/>
  <c r="BP14" i="5"/>
  <c r="BP14" i="7" s="1"/>
  <c r="BO14" i="5"/>
  <c r="BO14" i="7" s="1"/>
  <c r="BN14" i="5"/>
  <c r="BN14" i="7" s="1"/>
  <c r="BM14" i="5"/>
  <c r="BM14" i="7" s="1"/>
  <c r="BL14" i="5"/>
  <c r="BL14" i="7" s="1"/>
  <c r="BK14" i="5"/>
  <c r="BK14" i="7" s="1"/>
  <c r="BJ14" i="5"/>
  <c r="BJ14" i="7" s="1"/>
  <c r="BI14" i="5"/>
  <c r="BI14" i="7" s="1"/>
  <c r="BH14" i="5"/>
  <c r="BH14" i="7" s="1"/>
  <c r="BG14" i="5"/>
  <c r="BG14" i="7" s="1"/>
  <c r="BF14" i="5"/>
  <c r="BF14" i="7" s="1"/>
  <c r="BE14" i="5"/>
  <c r="BE14" i="7" s="1"/>
  <c r="BD14" i="5"/>
  <c r="BD14" i="7" s="1"/>
  <c r="BC14" i="5"/>
  <c r="BC14" i="7" s="1"/>
  <c r="BB14" i="5"/>
  <c r="BB14" i="7" s="1"/>
  <c r="BA14" i="5"/>
  <c r="BA14" i="7" s="1"/>
  <c r="AZ14" i="5"/>
  <c r="AZ14" i="7" s="1"/>
  <c r="AY14" i="5"/>
  <c r="AY14" i="7" s="1"/>
  <c r="AX14" i="5"/>
  <c r="AX14" i="7" s="1"/>
  <c r="AW14" i="5"/>
  <c r="AW14" i="7" s="1"/>
  <c r="AV14" i="5"/>
  <c r="AV14" i="7" s="1"/>
  <c r="AU14" i="5"/>
  <c r="AU14" i="7" s="1"/>
  <c r="AT14" i="5"/>
  <c r="AT14" i="7" s="1"/>
  <c r="AS14" i="5"/>
  <c r="AS14" i="7" s="1"/>
  <c r="AR14" i="5"/>
  <c r="AR14" i="7" s="1"/>
  <c r="AQ14" i="5"/>
  <c r="AQ14" i="7" s="1"/>
  <c r="AP14" i="5"/>
  <c r="AP14" i="7" s="1"/>
  <c r="AO14" i="5"/>
  <c r="AO14" i="7" s="1"/>
  <c r="AN14" i="5"/>
  <c r="AN14" i="7" s="1"/>
  <c r="AM14" i="5"/>
  <c r="AM14" i="7" s="1"/>
  <c r="AL14" i="5"/>
  <c r="AL14" i="7" s="1"/>
  <c r="AK14" i="5"/>
  <c r="AK14" i="7" s="1"/>
  <c r="AJ14" i="5"/>
  <c r="AJ14" i="7" s="1"/>
  <c r="AI14" i="5"/>
  <c r="AI14" i="7" s="1"/>
  <c r="AH14" i="5"/>
  <c r="AH14" i="7" s="1"/>
  <c r="AG14" i="5"/>
  <c r="AG14" i="7" s="1"/>
  <c r="AF14" i="5"/>
  <c r="AF14" i="7" s="1"/>
  <c r="AE14" i="5"/>
  <c r="AE14" i="7" s="1"/>
  <c r="AD14" i="5"/>
  <c r="AD14" i="7" s="1"/>
  <c r="AC14" i="5"/>
  <c r="AC14" i="7" s="1"/>
  <c r="AB14" i="5"/>
  <c r="AB14" i="7" s="1"/>
  <c r="AA14" i="5"/>
  <c r="AA14" i="7" s="1"/>
  <c r="Z14" i="5"/>
  <c r="Z14" i="7" s="1"/>
  <c r="Y14" i="5"/>
  <c r="Y14" i="7" s="1"/>
  <c r="X14" i="5"/>
  <c r="X14" i="7" s="1"/>
  <c r="W14" i="5"/>
  <c r="W14" i="7" s="1"/>
  <c r="V14" i="5"/>
  <c r="V14" i="7" s="1"/>
  <c r="U14" i="5"/>
  <c r="U14" i="7" s="1"/>
  <c r="T14" i="5"/>
  <c r="T14" i="7" s="1"/>
  <c r="S14" i="5"/>
  <c r="S14" i="7" s="1"/>
  <c r="R14" i="5"/>
  <c r="R14" i="7" s="1"/>
  <c r="Q14" i="5"/>
  <c r="Q14" i="7" s="1"/>
  <c r="P14" i="5"/>
  <c r="P14" i="7" s="1"/>
  <c r="O14" i="5"/>
  <c r="O14" i="7" s="1"/>
  <c r="N14" i="5"/>
  <c r="N14" i="7" s="1"/>
  <c r="M14" i="5"/>
  <c r="M14" i="7" s="1"/>
  <c r="L14" i="5"/>
  <c r="L14" i="7" s="1"/>
  <c r="K14" i="5"/>
  <c r="K14" i="7" s="1"/>
  <c r="J14" i="5"/>
  <c r="J14" i="7" s="1"/>
  <c r="I14" i="5"/>
  <c r="I14" i="7" s="1"/>
  <c r="H14" i="5"/>
  <c r="H14" i="7" s="1"/>
  <c r="G14" i="5"/>
  <c r="G14" i="7" s="1"/>
  <c r="F14" i="5"/>
  <c r="F14" i="7" s="1"/>
  <c r="E14" i="5"/>
  <c r="E14" i="7" s="1"/>
  <c r="D14" i="5"/>
  <c r="D14" i="7" s="1"/>
  <c r="C14" i="5"/>
  <c r="C14" i="7" s="1"/>
  <c r="B14" i="5"/>
  <c r="B14" i="7" s="1"/>
  <c r="DB13" i="5"/>
  <c r="DB13" i="7" s="1"/>
  <c r="DA13" i="5"/>
  <c r="DA13" i="7" s="1"/>
  <c r="CZ13" i="5"/>
  <c r="CZ13" i="7" s="1"/>
  <c r="CY13" i="5"/>
  <c r="CY13" i="7" s="1"/>
  <c r="CX13" i="5"/>
  <c r="CX13" i="7" s="1"/>
  <c r="CW13" i="5"/>
  <c r="CW13" i="7" s="1"/>
  <c r="CV13" i="5"/>
  <c r="CV13" i="7" s="1"/>
  <c r="CU13" i="5"/>
  <c r="CU13" i="7" s="1"/>
  <c r="CT13" i="5"/>
  <c r="CT13" i="7" s="1"/>
  <c r="CS13" i="5"/>
  <c r="CS13" i="7" s="1"/>
  <c r="CR13" i="5"/>
  <c r="CR13" i="7" s="1"/>
  <c r="CQ13" i="5"/>
  <c r="CQ13" i="7" s="1"/>
  <c r="CP13" i="5"/>
  <c r="CP13" i="7" s="1"/>
  <c r="CO13" i="5"/>
  <c r="CO13" i="7" s="1"/>
  <c r="CN13" i="5"/>
  <c r="CN13" i="7" s="1"/>
  <c r="CM13" i="5"/>
  <c r="CM13" i="7" s="1"/>
  <c r="CL13" i="5"/>
  <c r="CL13" i="7" s="1"/>
  <c r="CK13" i="5"/>
  <c r="CK13" i="7" s="1"/>
  <c r="CJ13" i="5"/>
  <c r="CJ13" i="7" s="1"/>
  <c r="CI13" i="5"/>
  <c r="CI13" i="7" s="1"/>
  <c r="CH13" i="5"/>
  <c r="CH13" i="7" s="1"/>
  <c r="CG13" i="5"/>
  <c r="CG13" i="7" s="1"/>
  <c r="CF13" i="5"/>
  <c r="CF13" i="7" s="1"/>
  <c r="CE13" i="5"/>
  <c r="CE13" i="7" s="1"/>
  <c r="CD13" i="5"/>
  <c r="CD13" i="7" s="1"/>
  <c r="CC13" i="5"/>
  <c r="CC13" i="7" s="1"/>
  <c r="CB13" i="5"/>
  <c r="CB13" i="7" s="1"/>
  <c r="CA13" i="5"/>
  <c r="CA13" i="7" s="1"/>
  <c r="BZ13" i="5"/>
  <c r="BZ13" i="7" s="1"/>
  <c r="BY13" i="5"/>
  <c r="BY13" i="7" s="1"/>
  <c r="BX13" i="5"/>
  <c r="BX13" i="7" s="1"/>
  <c r="BW13" i="5"/>
  <c r="BW13" i="7" s="1"/>
  <c r="BV13" i="5"/>
  <c r="BV13" i="7" s="1"/>
  <c r="BU13" i="5"/>
  <c r="BU13" i="7" s="1"/>
  <c r="BT13" i="5"/>
  <c r="BT13" i="7" s="1"/>
  <c r="BS13" i="5"/>
  <c r="BS13" i="7" s="1"/>
  <c r="BR13" i="5"/>
  <c r="BR13" i="7" s="1"/>
  <c r="BQ13" i="5"/>
  <c r="BQ13" i="7" s="1"/>
  <c r="BP13" i="5"/>
  <c r="BP13" i="7" s="1"/>
  <c r="BO13" i="5"/>
  <c r="BO13" i="7" s="1"/>
  <c r="BN13" i="5"/>
  <c r="BN13" i="7" s="1"/>
  <c r="BM13" i="5"/>
  <c r="BM13" i="7" s="1"/>
  <c r="BL13" i="5"/>
  <c r="BL13" i="7" s="1"/>
  <c r="BK13" i="5"/>
  <c r="BK13" i="7" s="1"/>
  <c r="BJ13" i="5"/>
  <c r="BJ13" i="7" s="1"/>
  <c r="BI13" i="5"/>
  <c r="BI13" i="7" s="1"/>
  <c r="BH13" i="5"/>
  <c r="BH13" i="7" s="1"/>
  <c r="BG13" i="5"/>
  <c r="BG13" i="7" s="1"/>
  <c r="BF13" i="5"/>
  <c r="BF13" i="7" s="1"/>
  <c r="BE13" i="5"/>
  <c r="BE13" i="7" s="1"/>
  <c r="BD13" i="5"/>
  <c r="BD13" i="7" s="1"/>
  <c r="BC13" i="5"/>
  <c r="BC13" i="7" s="1"/>
  <c r="BB13" i="5"/>
  <c r="BB13" i="7" s="1"/>
  <c r="BA13" i="5"/>
  <c r="BA13" i="7" s="1"/>
  <c r="AZ13" i="5"/>
  <c r="AZ13" i="7" s="1"/>
  <c r="AY13" i="5"/>
  <c r="AY13" i="7" s="1"/>
  <c r="AX13" i="5"/>
  <c r="AX13" i="7" s="1"/>
  <c r="AW13" i="5"/>
  <c r="AW13" i="7" s="1"/>
  <c r="AV13" i="5"/>
  <c r="AV13" i="7" s="1"/>
  <c r="AU13" i="5"/>
  <c r="AU13" i="7" s="1"/>
  <c r="AT13" i="5"/>
  <c r="AT13" i="7" s="1"/>
  <c r="AS13" i="5"/>
  <c r="AS13" i="7" s="1"/>
  <c r="AR13" i="5"/>
  <c r="AR13" i="7" s="1"/>
  <c r="AQ13" i="5"/>
  <c r="AQ13" i="7" s="1"/>
  <c r="AP13" i="5"/>
  <c r="AP13" i="7" s="1"/>
  <c r="AO13" i="5"/>
  <c r="AO13" i="7" s="1"/>
  <c r="AN13" i="5"/>
  <c r="AN13" i="7" s="1"/>
  <c r="AM13" i="5"/>
  <c r="AM13" i="7" s="1"/>
  <c r="AL13" i="5"/>
  <c r="AL13" i="7" s="1"/>
  <c r="AK13" i="5"/>
  <c r="AK13" i="7" s="1"/>
  <c r="AJ13" i="5"/>
  <c r="AJ13" i="7" s="1"/>
  <c r="AI13" i="5"/>
  <c r="AI13" i="7" s="1"/>
  <c r="AH13" i="5"/>
  <c r="AH13" i="7" s="1"/>
  <c r="AG13" i="5"/>
  <c r="AG13" i="7" s="1"/>
  <c r="AF13" i="5"/>
  <c r="AF13" i="7" s="1"/>
  <c r="AE13" i="5"/>
  <c r="AE13" i="7" s="1"/>
  <c r="AD13" i="5"/>
  <c r="AD13" i="7" s="1"/>
  <c r="AC13" i="5"/>
  <c r="AC13" i="7" s="1"/>
  <c r="AB13" i="5"/>
  <c r="AB13" i="7" s="1"/>
  <c r="AA13" i="5"/>
  <c r="AA13" i="7" s="1"/>
  <c r="Z13" i="5"/>
  <c r="Z13" i="7" s="1"/>
  <c r="Y13" i="5"/>
  <c r="Y13" i="7" s="1"/>
  <c r="X13" i="5"/>
  <c r="X13" i="7" s="1"/>
  <c r="W13" i="5"/>
  <c r="W13" i="7" s="1"/>
  <c r="V13" i="5"/>
  <c r="V13" i="7" s="1"/>
  <c r="U13" i="5"/>
  <c r="U13" i="7" s="1"/>
  <c r="T13" i="5"/>
  <c r="T13" i="7" s="1"/>
  <c r="S13" i="5"/>
  <c r="S13" i="7" s="1"/>
  <c r="R13" i="5"/>
  <c r="R13" i="7" s="1"/>
  <c r="Q13" i="5"/>
  <c r="Q13" i="7" s="1"/>
  <c r="P13" i="5"/>
  <c r="P13" i="7" s="1"/>
  <c r="O13" i="5"/>
  <c r="O13" i="7" s="1"/>
  <c r="N13" i="5"/>
  <c r="N13" i="7" s="1"/>
  <c r="M13" i="5"/>
  <c r="M13" i="7" s="1"/>
  <c r="L13" i="5"/>
  <c r="L13" i="7" s="1"/>
  <c r="K13" i="5"/>
  <c r="K13" i="7" s="1"/>
  <c r="J13" i="5"/>
  <c r="J13" i="7" s="1"/>
  <c r="I13" i="5"/>
  <c r="I13" i="7" s="1"/>
  <c r="H13" i="5"/>
  <c r="H13" i="7" s="1"/>
  <c r="G13" i="5"/>
  <c r="G13" i="7" s="1"/>
  <c r="F13" i="5"/>
  <c r="F13" i="7" s="1"/>
  <c r="E13" i="5"/>
  <c r="E13" i="7" s="1"/>
  <c r="D13" i="5"/>
  <c r="D13" i="7" s="1"/>
  <c r="C13" i="5"/>
  <c r="C13" i="7" s="1"/>
  <c r="B13" i="5"/>
  <c r="B13" i="7" s="1"/>
  <c r="DB12" i="5"/>
  <c r="DB12" i="7" s="1"/>
  <c r="DA12" i="5"/>
  <c r="DA12" i="7" s="1"/>
  <c r="CZ12" i="5"/>
  <c r="CZ12" i="7" s="1"/>
  <c r="CY12" i="5"/>
  <c r="CY12" i="7" s="1"/>
  <c r="CX12" i="5"/>
  <c r="CX12" i="7" s="1"/>
  <c r="CW12" i="5"/>
  <c r="CW12" i="7" s="1"/>
  <c r="CV12" i="5"/>
  <c r="CV12" i="7" s="1"/>
  <c r="CU12" i="5"/>
  <c r="CU12" i="7" s="1"/>
  <c r="CT12" i="5"/>
  <c r="CT12" i="7" s="1"/>
  <c r="CS12" i="5"/>
  <c r="CS12" i="7" s="1"/>
  <c r="CR12" i="5"/>
  <c r="CR12" i="7" s="1"/>
  <c r="CQ12" i="5"/>
  <c r="CQ12" i="7" s="1"/>
  <c r="CP12" i="5"/>
  <c r="CP12" i="7" s="1"/>
  <c r="CO12" i="5"/>
  <c r="CO12" i="7" s="1"/>
  <c r="CN12" i="5"/>
  <c r="CN12" i="7" s="1"/>
  <c r="CM12" i="5"/>
  <c r="CM12" i="7" s="1"/>
  <c r="CL12" i="5"/>
  <c r="CL12" i="7" s="1"/>
  <c r="CK12" i="5"/>
  <c r="CK12" i="7" s="1"/>
  <c r="CJ12" i="5"/>
  <c r="CJ12" i="7" s="1"/>
  <c r="CI12" i="5"/>
  <c r="CI12" i="7" s="1"/>
  <c r="CH12" i="5"/>
  <c r="CH12" i="7" s="1"/>
  <c r="CG12" i="5"/>
  <c r="CG12" i="7" s="1"/>
  <c r="CF12" i="5"/>
  <c r="CF12" i="7" s="1"/>
  <c r="CE12" i="5"/>
  <c r="CE12" i="7" s="1"/>
  <c r="CD12" i="5"/>
  <c r="CD12" i="7" s="1"/>
  <c r="CC12" i="5"/>
  <c r="CC12" i="7" s="1"/>
  <c r="CB12" i="5"/>
  <c r="CB12" i="7" s="1"/>
  <c r="CA12" i="5"/>
  <c r="CA12" i="7" s="1"/>
  <c r="BZ12" i="5"/>
  <c r="BZ12" i="7" s="1"/>
  <c r="BY12" i="5"/>
  <c r="BY12" i="7" s="1"/>
  <c r="BX12" i="5"/>
  <c r="BX12" i="7" s="1"/>
  <c r="BW12" i="5"/>
  <c r="BW12" i="7" s="1"/>
  <c r="BV12" i="5"/>
  <c r="BV12" i="7" s="1"/>
  <c r="BU12" i="5"/>
  <c r="BU12" i="7" s="1"/>
  <c r="BT12" i="5"/>
  <c r="BT12" i="7" s="1"/>
  <c r="BS12" i="5"/>
  <c r="BS12" i="7" s="1"/>
  <c r="BR12" i="5"/>
  <c r="BR12" i="7" s="1"/>
  <c r="BQ12" i="5"/>
  <c r="BQ12" i="7" s="1"/>
  <c r="BP12" i="5"/>
  <c r="BP12" i="7" s="1"/>
  <c r="BO12" i="5"/>
  <c r="BO12" i="7" s="1"/>
  <c r="BN12" i="5"/>
  <c r="BN12" i="7" s="1"/>
  <c r="BM12" i="5"/>
  <c r="BM12" i="7" s="1"/>
  <c r="BL12" i="5"/>
  <c r="BL12" i="7" s="1"/>
  <c r="BK12" i="5"/>
  <c r="BK12" i="7" s="1"/>
  <c r="BJ12" i="5"/>
  <c r="BJ12" i="7" s="1"/>
  <c r="BI12" i="5"/>
  <c r="BI12" i="7" s="1"/>
  <c r="BH12" i="5"/>
  <c r="BH12" i="7" s="1"/>
  <c r="BG12" i="5"/>
  <c r="BG12" i="7" s="1"/>
  <c r="BF12" i="5"/>
  <c r="BF12" i="7" s="1"/>
  <c r="BE12" i="5"/>
  <c r="BE12" i="7" s="1"/>
  <c r="BD12" i="5"/>
  <c r="BD12" i="7" s="1"/>
  <c r="BC12" i="5"/>
  <c r="BC12" i="7" s="1"/>
  <c r="BB12" i="5"/>
  <c r="BB12" i="7" s="1"/>
  <c r="BA12" i="5"/>
  <c r="BA12" i="7" s="1"/>
  <c r="AZ12" i="5"/>
  <c r="AZ12" i="7" s="1"/>
  <c r="AY12" i="5"/>
  <c r="AY12" i="7" s="1"/>
  <c r="AX12" i="5"/>
  <c r="AX12" i="7" s="1"/>
  <c r="AW12" i="5"/>
  <c r="AW12" i="7" s="1"/>
  <c r="AV12" i="5"/>
  <c r="AV12" i="7" s="1"/>
  <c r="AU12" i="5"/>
  <c r="AU12" i="7" s="1"/>
  <c r="AT12" i="5"/>
  <c r="AT12" i="7" s="1"/>
  <c r="AS12" i="5"/>
  <c r="AS12" i="7" s="1"/>
  <c r="AR12" i="5"/>
  <c r="AR12" i="7" s="1"/>
  <c r="AQ12" i="5"/>
  <c r="AQ12" i="7" s="1"/>
  <c r="AP12" i="5"/>
  <c r="AP12" i="7" s="1"/>
  <c r="AO12" i="5"/>
  <c r="AO12" i="7" s="1"/>
  <c r="AN12" i="5"/>
  <c r="AN12" i="7" s="1"/>
  <c r="AM12" i="5"/>
  <c r="AM12" i="7" s="1"/>
  <c r="AL12" i="5"/>
  <c r="AL12" i="7" s="1"/>
  <c r="AK12" i="5"/>
  <c r="AK12" i="7" s="1"/>
  <c r="AJ12" i="5"/>
  <c r="AJ12" i="7" s="1"/>
  <c r="AI12" i="5"/>
  <c r="AI12" i="7" s="1"/>
  <c r="AH12" i="5"/>
  <c r="AH12" i="7" s="1"/>
  <c r="AG12" i="5"/>
  <c r="AG12" i="7" s="1"/>
  <c r="AF12" i="5"/>
  <c r="AF12" i="7" s="1"/>
  <c r="AE12" i="5"/>
  <c r="AE12" i="7" s="1"/>
  <c r="AD12" i="5"/>
  <c r="AD12" i="7" s="1"/>
  <c r="AC12" i="5"/>
  <c r="AC12" i="7" s="1"/>
  <c r="AB12" i="5"/>
  <c r="AB12" i="7" s="1"/>
  <c r="AA12" i="5"/>
  <c r="AA12" i="7" s="1"/>
  <c r="Z12" i="5"/>
  <c r="Z12" i="7" s="1"/>
  <c r="Y12" i="5"/>
  <c r="Y12" i="7" s="1"/>
  <c r="X12" i="5"/>
  <c r="X12" i="7" s="1"/>
  <c r="W12" i="5"/>
  <c r="W12" i="7" s="1"/>
  <c r="V12" i="5"/>
  <c r="V12" i="7" s="1"/>
  <c r="U12" i="5"/>
  <c r="U12" i="7" s="1"/>
  <c r="T12" i="5"/>
  <c r="T12" i="7" s="1"/>
  <c r="S12" i="5"/>
  <c r="S12" i="7" s="1"/>
  <c r="R12" i="5"/>
  <c r="R12" i="7" s="1"/>
  <c r="Q12" i="5"/>
  <c r="Q12" i="7" s="1"/>
  <c r="P12" i="5"/>
  <c r="P12" i="7" s="1"/>
  <c r="O12" i="5"/>
  <c r="O12" i="7" s="1"/>
  <c r="N12" i="5"/>
  <c r="N12" i="7" s="1"/>
  <c r="M12" i="5"/>
  <c r="M12" i="7" s="1"/>
  <c r="L12" i="5"/>
  <c r="L12" i="7" s="1"/>
  <c r="K12" i="5"/>
  <c r="K12" i="7" s="1"/>
  <c r="J12" i="5"/>
  <c r="J12" i="7" s="1"/>
  <c r="I12" i="5"/>
  <c r="I12" i="7" s="1"/>
  <c r="H12" i="5"/>
  <c r="H12" i="7" s="1"/>
  <c r="G12" i="5"/>
  <c r="G12" i="7" s="1"/>
  <c r="F12" i="5"/>
  <c r="F12" i="7" s="1"/>
  <c r="E12" i="5"/>
  <c r="E12" i="7" s="1"/>
  <c r="D12" i="5"/>
  <c r="D12" i="7" s="1"/>
  <c r="C12" i="5"/>
  <c r="C12" i="7" s="1"/>
  <c r="B12" i="5"/>
  <c r="B12" i="7" s="1"/>
  <c r="DB11" i="5"/>
  <c r="DB11" i="7" s="1"/>
  <c r="DA11" i="5"/>
  <c r="DA11" i="7" s="1"/>
  <c r="CZ11" i="5"/>
  <c r="CZ11" i="7" s="1"/>
  <c r="CY11" i="5"/>
  <c r="CY11" i="7" s="1"/>
  <c r="CX11" i="5"/>
  <c r="CX11" i="7" s="1"/>
  <c r="CW11" i="5"/>
  <c r="CW11" i="7" s="1"/>
  <c r="CV11" i="5"/>
  <c r="CV11" i="7" s="1"/>
  <c r="CU11" i="5"/>
  <c r="CU11" i="7" s="1"/>
  <c r="CT11" i="5"/>
  <c r="CT11" i="7" s="1"/>
  <c r="CS11" i="5"/>
  <c r="CS11" i="7" s="1"/>
  <c r="CR11" i="5"/>
  <c r="CR11" i="7" s="1"/>
  <c r="CQ11" i="5"/>
  <c r="CQ11" i="7" s="1"/>
  <c r="CP11" i="5"/>
  <c r="CP11" i="7" s="1"/>
  <c r="CO11" i="5"/>
  <c r="CO11" i="7" s="1"/>
  <c r="CN11" i="5"/>
  <c r="CN11" i="7" s="1"/>
  <c r="CM11" i="5"/>
  <c r="CM11" i="7" s="1"/>
  <c r="CL11" i="5"/>
  <c r="CL11" i="7" s="1"/>
  <c r="CK11" i="5"/>
  <c r="CK11" i="7" s="1"/>
  <c r="CJ11" i="5"/>
  <c r="CJ11" i="7" s="1"/>
  <c r="CI11" i="5"/>
  <c r="CI11" i="7" s="1"/>
  <c r="CH11" i="5"/>
  <c r="CH11" i="7" s="1"/>
  <c r="CG11" i="5"/>
  <c r="CG11" i="7" s="1"/>
  <c r="CF11" i="5"/>
  <c r="CF11" i="7" s="1"/>
  <c r="CE11" i="5"/>
  <c r="CE11" i="7" s="1"/>
  <c r="CD11" i="5"/>
  <c r="CD11" i="7" s="1"/>
  <c r="CC11" i="5"/>
  <c r="CC11" i="7" s="1"/>
  <c r="CB11" i="5"/>
  <c r="CB11" i="7" s="1"/>
  <c r="CA11" i="5"/>
  <c r="CA11" i="7" s="1"/>
  <c r="BZ11" i="5"/>
  <c r="BZ11" i="7" s="1"/>
  <c r="BY11" i="5"/>
  <c r="BY11" i="7" s="1"/>
  <c r="BX11" i="5"/>
  <c r="BX11" i="7" s="1"/>
  <c r="BW11" i="5"/>
  <c r="BW11" i="7" s="1"/>
  <c r="BV11" i="5"/>
  <c r="BV11" i="7" s="1"/>
  <c r="BU11" i="5"/>
  <c r="BU11" i="7" s="1"/>
  <c r="BT11" i="5"/>
  <c r="BT11" i="7" s="1"/>
  <c r="BS11" i="5"/>
  <c r="BS11" i="7" s="1"/>
  <c r="BR11" i="5"/>
  <c r="BR11" i="7" s="1"/>
  <c r="BQ11" i="5"/>
  <c r="BQ11" i="7" s="1"/>
  <c r="BP11" i="5"/>
  <c r="BP11" i="7" s="1"/>
  <c r="BO11" i="5"/>
  <c r="BO11" i="7" s="1"/>
  <c r="BN11" i="5"/>
  <c r="BN11" i="7" s="1"/>
  <c r="BM11" i="5"/>
  <c r="BM11" i="7" s="1"/>
  <c r="BL11" i="5"/>
  <c r="BL11" i="7" s="1"/>
  <c r="BK11" i="5"/>
  <c r="BK11" i="7" s="1"/>
  <c r="BJ11" i="5"/>
  <c r="BJ11" i="7" s="1"/>
  <c r="BI11" i="5"/>
  <c r="BI11" i="7" s="1"/>
  <c r="BH11" i="5"/>
  <c r="BH11" i="7" s="1"/>
  <c r="BG11" i="5"/>
  <c r="BG11" i="7" s="1"/>
  <c r="BF11" i="5"/>
  <c r="BF11" i="7" s="1"/>
  <c r="BE11" i="5"/>
  <c r="BE11" i="7" s="1"/>
  <c r="BD11" i="5"/>
  <c r="BD11" i="7" s="1"/>
  <c r="BC11" i="5"/>
  <c r="BC11" i="7" s="1"/>
  <c r="BB11" i="5"/>
  <c r="BB11" i="7" s="1"/>
  <c r="BA11" i="5"/>
  <c r="BA11" i="7" s="1"/>
  <c r="AZ11" i="5"/>
  <c r="AZ11" i="7" s="1"/>
  <c r="AY11" i="5"/>
  <c r="AY11" i="7" s="1"/>
  <c r="AX11" i="5"/>
  <c r="AX11" i="7" s="1"/>
  <c r="AW11" i="5"/>
  <c r="AW11" i="7" s="1"/>
  <c r="AV11" i="5"/>
  <c r="AV11" i="7" s="1"/>
  <c r="AU11" i="5"/>
  <c r="AU11" i="7" s="1"/>
  <c r="AT11" i="5"/>
  <c r="AT11" i="7" s="1"/>
  <c r="AS11" i="5"/>
  <c r="AS11" i="7" s="1"/>
  <c r="AR11" i="5"/>
  <c r="AR11" i="7" s="1"/>
  <c r="AQ11" i="5"/>
  <c r="AQ11" i="7" s="1"/>
  <c r="AP11" i="5"/>
  <c r="AP11" i="7" s="1"/>
  <c r="AO11" i="5"/>
  <c r="AO11" i="7" s="1"/>
  <c r="AN11" i="5"/>
  <c r="AN11" i="7" s="1"/>
  <c r="AM11" i="5"/>
  <c r="AM11" i="7" s="1"/>
  <c r="AL11" i="5"/>
  <c r="AL11" i="7" s="1"/>
  <c r="AK11" i="5"/>
  <c r="AK11" i="7" s="1"/>
  <c r="AJ11" i="5"/>
  <c r="AJ11" i="7" s="1"/>
  <c r="AI11" i="5"/>
  <c r="AI11" i="7" s="1"/>
  <c r="AH11" i="5"/>
  <c r="AH11" i="7" s="1"/>
  <c r="AG11" i="5"/>
  <c r="AG11" i="7" s="1"/>
  <c r="AF11" i="5"/>
  <c r="AF11" i="7" s="1"/>
  <c r="AE11" i="5"/>
  <c r="AE11" i="7" s="1"/>
  <c r="AD11" i="5"/>
  <c r="AD11" i="7" s="1"/>
  <c r="AC11" i="5"/>
  <c r="AC11" i="7" s="1"/>
  <c r="AB11" i="5"/>
  <c r="AB11" i="7" s="1"/>
  <c r="AA11" i="5"/>
  <c r="AA11" i="7" s="1"/>
  <c r="Z11" i="5"/>
  <c r="Z11" i="7" s="1"/>
  <c r="Y11" i="5"/>
  <c r="Y11" i="7" s="1"/>
  <c r="X11" i="5"/>
  <c r="X11" i="7" s="1"/>
  <c r="W11" i="5"/>
  <c r="W11" i="7" s="1"/>
  <c r="V11" i="5"/>
  <c r="V11" i="7" s="1"/>
  <c r="U11" i="5"/>
  <c r="U11" i="7" s="1"/>
  <c r="T11" i="5"/>
  <c r="T11" i="7" s="1"/>
  <c r="S11" i="5"/>
  <c r="S11" i="7" s="1"/>
  <c r="R11" i="5"/>
  <c r="R11" i="7" s="1"/>
  <c r="Q11" i="5"/>
  <c r="Q11" i="7" s="1"/>
  <c r="P11" i="5"/>
  <c r="P11" i="7" s="1"/>
  <c r="O11" i="5"/>
  <c r="O11" i="7" s="1"/>
  <c r="N11" i="5"/>
  <c r="N11" i="7" s="1"/>
  <c r="M11" i="5"/>
  <c r="M11" i="7" s="1"/>
  <c r="L11" i="5"/>
  <c r="L11" i="7" s="1"/>
  <c r="K11" i="5"/>
  <c r="K11" i="7" s="1"/>
  <c r="J11" i="5"/>
  <c r="J11" i="7" s="1"/>
  <c r="I11" i="5"/>
  <c r="I11" i="7" s="1"/>
  <c r="H11" i="5"/>
  <c r="H11" i="7" s="1"/>
  <c r="G11" i="5"/>
  <c r="G11" i="7" s="1"/>
  <c r="F11" i="5"/>
  <c r="F11" i="7" s="1"/>
  <c r="E11" i="5"/>
  <c r="E11" i="7" s="1"/>
  <c r="D11" i="5"/>
  <c r="D11" i="7" s="1"/>
  <c r="C11" i="5"/>
  <c r="C11" i="7" s="1"/>
  <c r="B11" i="5"/>
  <c r="B11" i="7" s="1"/>
  <c r="DB10" i="5"/>
  <c r="DB10" i="7" s="1"/>
  <c r="DA10" i="5"/>
  <c r="DA10" i="7" s="1"/>
  <c r="CZ10" i="5"/>
  <c r="CZ10" i="7" s="1"/>
  <c r="CY10" i="5"/>
  <c r="CY10" i="7" s="1"/>
  <c r="CX10" i="5"/>
  <c r="CX10" i="7" s="1"/>
  <c r="CW10" i="5"/>
  <c r="CW10" i="7" s="1"/>
  <c r="CV10" i="5"/>
  <c r="CV10" i="7" s="1"/>
  <c r="CU10" i="5"/>
  <c r="CU10" i="7" s="1"/>
  <c r="CT10" i="5"/>
  <c r="CT10" i="7" s="1"/>
  <c r="CS10" i="5"/>
  <c r="CS10" i="7" s="1"/>
  <c r="CR10" i="5"/>
  <c r="CR10" i="7" s="1"/>
  <c r="CQ10" i="5"/>
  <c r="CQ10" i="7" s="1"/>
  <c r="CP10" i="5"/>
  <c r="CP10" i="7" s="1"/>
  <c r="CO10" i="5"/>
  <c r="CO10" i="7" s="1"/>
  <c r="CN10" i="5"/>
  <c r="CN10" i="7" s="1"/>
  <c r="CM10" i="5"/>
  <c r="CM10" i="7" s="1"/>
  <c r="CL10" i="5"/>
  <c r="CL10" i="7" s="1"/>
  <c r="CK10" i="5"/>
  <c r="CK10" i="7" s="1"/>
  <c r="CJ10" i="5"/>
  <c r="CJ10" i="7" s="1"/>
  <c r="CI10" i="5"/>
  <c r="CI10" i="7" s="1"/>
  <c r="CH10" i="5"/>
  <c r="CH10" i="7" s="1"/>
  <c r="CG10" i="5"/>
  <c r="CG10" i="7" s="1"/>
  <c r="CF10" i="5"/>
  <c r="CF10" i="7" s="1"/>
  <c r="CE10" i="5"/>
  <c r="CE10" i="7" s="1"/>
  <c r="CD10" i="5"/>
  <c r="CD10" i="7" s="1"/>
  <c r="CC10" i="5"/>
  <c r="CC10" i="7" s="1"/>
  <c r="CB10" i="5"/>
  <c r="CB10" i="7" s="1"/>
  <c r="CA10" i="5"/>
  <c r="CA10" i="7" s="1"/>
  <c r="BZ10" i="5"/>
  <c r="BZ10" i="7" s="1"/>
  <c r="BY10" i="5"/>
  <c r="BY10" i="7" s="1"/>
  <c r="BX10" i="5"/>
  <c r="BX10" i="7" s="1"/>
  <c r="BW10" i="5"/>
  <c r="BW10" i="7" s="1"/>
  <c r="BV10" i="5"/>
  <c r="BV10" i="7" s="1"/>
  <c r="BU10" i="5"/>
  <c r="BU10" i="7" s="1"/>
  <c r="BT10" i="5"/>
  <c r="BT10" i="7" s="1"/>
  <c r="BS10" i="5"/>
  <c r="BS10" i="7" s="1"/>
  <c r="BR10" i="5"/>
  <c r="BR10" i="7" s="1"/>
  <c r="BQ10" i="5"/>
  <c r="BQ10" i="7" s="1"/>
  <c r="BP10" i="5"/>
  <c r="BP10" i="7" s="1"/>
  <c r="BO10" i="5"/>
  <c r="BO10" i="7" s="1"/>
  <c r="BN10" i="5"/>
  <c r="BN10" i="7" s="1"/>
  <c r="BM10" i="5"/>
  <c r="BM10" i="7" s="1"/>
  <c r="BL10" i="5"/>
  <c r="BL10" i="7" s="1"/>
  <c r="BK10" i="5"/>
  <c r="BK10" i="7" s="1"/>
  <c r="BJ10" i="5"/>
  <c r="BJ10" i="7" s="1"/>
  <c r="BI10" i="5"/>
  <c r="BI10" i="7" s="1"/>
  <c r="BH10" i="5"/>
  <c r="BH10" i="7" s="1"/>
  <c r="BG10" i="5"/>
  <c r="BG10" i="7" s="1"/>
  <c r="BF10" i="5"/>
  <c r="BF10" i="7" s="1"/>
  <c r="BE10" i="5"/>
  <c r="BE10" i="7" s="1"/>
  <c r="BD10" i="5"/>
  <c r="BD10" i="7" s="1"/>
  <c r="BC10" i="5"/>
  <c r="BC10" i="7" s="1"/>
  <c r="BB10" i="5"/>
  <c r="BB10" i="7" s="1"/>
  <c r="BA10" i="5"/>
  <c r="BA10" i="7" s="1"/>
  <c r="AZ10" i="5"/>
  <c r="AZ10" i="7" s="1"/>
  <c r="AY10" i="5"/>
  <c r="AY10" i="7" s="1"/>
  <c r="AX10" i="5"/>
  <c r="AX10" i="7" s="1"/>
  <c r="AW10" i="5"/>
  <c r="AW10" i="7" s="1"/>
  <c r="AV10" i="5"/>
  <c r="AV10" i="7" s="1"/>
  <c r="AU10" i="5"/>
  <c r="AU10" i="7" s="1"/>
  <c r="AT10" i="5"/>
  <c r="AT10" i="7" s="1"/>
  <c r="AS10" i="5"/>
  <c r="AS10" i="7" s="1"/>
  <c r="AR10" i="5"/>
  <c r="AR10" i="7" s="1"/>
  <c r="AQ10" i="5"/>
  <c r="AQ10" i="7" s="1"/>
  <c r="AP10" i="5"/>
  <c r="AP10" i="7" s="1"/>
  <c r="AO10" i="5"/>
  <c r="AO10" i="7" s="1"/>
  <c r="AN10" i="5"/>
  <c r="AN10" i="7" s="1"/>
  <c r="AM10" i="5"/>
  <c r="AM10" i="7" s="1"/>
  <c r="AL10" i="5"/>
  <c r="AL10" i="7" s="1"/>
  <c r="AK10" i="5"/>
  <c r="AK10" i="7" s="1"/>
  <c r="AJ10" i="5"/>
  <c r="AJ10" i="7" s="1"/>
  <c r="AI10" i="5"/>
  <c r="AI10" i="7" s="1"/>
  <c r="AH10" i="5"/>
  <c r="AH10" i="7" s="1"/>
  <c r="AG10" i="5"/>
  <c r="AG10" i="7" s="1"/>
  <c r="AF10" i="5"/>
  <c r="AF10" i="7" s="1"/>
  <c r="AE10" i="5"/>
  <c r="AE10" i="7" s="1"/>
  <c r="AD10" i="5"/>
  <c r="AD10" i="7" s="1"/>
  <c r="AC10" i="5"/>
  <c r="AC10" i="7" s="1"/>
  <c r="AB10" i="5"/>
  <c r="AB10" i="7" s="1"/>
  <c r="AA10" i="5"/>
  <c r="AA10" i="7" s="1"/>
  <c r="Z10" i="5"/>
  <c r="Z10" i="7" s="1"/>
  <c r="Y10" i="5"/>
  <c r="Y10" i="7" s="1"/>
  <c r="X10" i="5"/>
  <c r="X10" i="7" s="1"/>
  <c r="W10" i="5"/>
  <c r="W10" i="7" s="1"/>
  <c r="V10" i="5"/>
  <c r="V10" i="7" s="1"/>
  <c r="U10" i="5"/>
  <c r="U10" i="7" s="1"/>
  <c r="T10" i="5"/>
  <c r="T10" i="7" s="1"/>
  <c r="S10" i="5"/>
  <c r="S10" i="7" s="1"/>
  <c r="R10" i="5"/>
  <c r="R10" i="7" s="1"/>
  <c r="Q10" i="5"/>
  <c r="Q10" i="7" s="1"/>
  <c r="P10" i="5"/>
  <c r="P10" i="7" s="1"/>
  <c r="O10" i="5"/>
  <c r="O10" i="7" s="1"/>
  <c r="N10" i="5"/>
  <c r="N10" i="7" s="1"/>
  <c r="M10" i="5"/>
  <c r="M10" i="7" s="1"/>
  <c r="L10" i="5"/>
  <c r="L10" i="7" s="1"/>
  <c r="K10" i="5"/>
  <c r="K10" i="7" s="1"/>
  <c r="J10" i="5"/>
  <c r="J10" i="7" s="1"/>
  <c r="I10" i="5"/>
  <c r="I10" i="7" s="1"/>
  <c r="H10" i="5"/>
  <c r="H10" i="7" s="1"/>
  <c r="G10" i="5"/>
  <c r="G10" i="7" s="1"/>
  <c r="F10" i="5"/>
  <c r="F10" i="7" s="1"/>
  <c r="E10" i="5"/>
  <c r="E10" i="7" s="1"/>
  <c r="D10" i="5"/>
  <c r="D10" i="7" s="1"/>
  <c r="C10" i="5"/>
  <c r="C10" i="7" s="1"/>
  <c r="B10" i="5"/>
  <c r="B10" i="7" s="1"/>
  <c r="DB9" i="5"/>
  <c r="DB9" i="7" s="1"/>
  <c r="DA9" i="5"/>
  <c r="DA9" i="7" s="1"/>
  <c r="CZ9" i="5"/>
  <c r="CZ9" i="7" s="1"/>
  <c r="CY9" i="5"/>
  <c r="CY9" i="7" s="1"/>
  <c r="CX9" i="5"/>
  <c r="CX9" i="7" s="1"/>
  <c r="CW9" i="5"/>
  <c r="CW9" i="7" s="1"/>
  <c r="CV9" i="5"/>
  <c r="CV9" i="7" s="1"/>
  <c r="CU9" i="5"/>
  <c r="CU9" i="7" s="1"/>
  <c r="CT9" i="5"/>
  <c r="CT9" i="7" s="1"/>
  <c r="CS9" i="5"/>
  <c r="CS9" i="7" s="1"/>
  <c r="CR9" i="5"/>
  <c r="CR9" i="7" s="1"/>
  <c r="CQ9" i="5"/>
  <c r="CQ9" i="7" s="1"/>
  <c r="CP9" i="5"/>
  <c r="CP9" i="7" s="1"/>
  <c r="CO9" i="5"/>
  <c r="CO9" i="7" s="1"/>
  <c r="CN9" i="5"/>
  <c r="CN9" i="7" s="1"/>
  <c r="CM9" i="5"/>
  <c r="CM9" i="7" s="1"/>
  <c r="CL9" i="5"/>
  <c r="CL9" i="7" s="1"/>
  <c r="CK9" i="5"/>
  <c r="CK9" i="7" s="1"/>
  <c r="CJ9" i="5"/>
  <c r="CJ9" i="7" s="1"/>
  <c r="CI9" i="5"/>
  <c r="CI9" i="7" s="1"/>
  <c r="CH9" i="5"/>
  <c r="CH9" i="7" s="1"/>
  <c r="CG9" i="5"/>
  <c r="CG9" i="7" s="1"/>
  <c r="CF9" i="5"/>
  <c r="CF9" i="7" s="1"/>
  <c r="CE9" i="5"/>
  <c r="CE9" i="7" s="1"/>
  <c r="CD9" i="5"/>
  <c r="CD9" i="7" s="1"/>
  <c r="CC9" i="5"/>
  <c r="CC9" i="7" s="1"/>
  <c r="CB9" i="5"/>
  <c r="CB9" i="7" s="1"/>
  <c r="CA9" i="5"/>
  <c r="CA9" i="7" s="1"/>
  <c r="BZ9" i="5"/>
  <c r="BZ9" i="7" s="1"/>
  <c r="BY9" i="5"/>
  <c r="BY9" i="7" s="1"/>
  <c r="BX9" i="5"/>
  <c r="BX9" i="7" s="1"/>
  <c r="BW9" i="5"/>
  <c r="BW9" i="7" s="1"/>
  <c r="BV9" i="5"/>
  <c r="BV9" i="7" s="1"/>
  <c r="BU9" i="5"/>
  <c r="BU9" i="7" s="1"/>
  <c r="BT9" i="5"/>
  <c r="BT9" i="7" s="1"/>
  <c r="BS9" i="5"/>
  <c r="BS9" i="7" s="1"/>
  <c r="BR9" i="5"/>
  <c r="BR9" i="7" s="1"/>
  <c r="BQ9" i="5"/>
  <c r="BQ9" i="7" s="1"/>
  <c r="BP9" i="5"/>
  <c r="BP9" i="7" s="1"/>
  <c r="BO9" i="5"/>
  <c r="BO9" i="7" s="1"/>
  <c r="BN9" i="5"/>
  <c r="BN9" i="7" s="1"/>
  <c r="BM9" i="5"/>
  <c r="BM9" i="7" s="1"/>
  <c r="BL9" i="5"/>
  <c r="BL9" i="7" s="1"/>
  <c r="BK9" i="5"/>
  <c r="BK9" i="7" s="1"/>
  <c r="BJ9" i="5"/>
  <c r="BJ9" i="7" s="1"/>
  <c r="BI9" i="5"/>
  <c r="BI9" i="7" s="1"/>
  <c r="BH9" i="5"/>
  <c r="BH9" i="7" s="1"/>
  <c r="BG9" i="5"/>
  <c r="BG9" i="7" s="1"/>
  <c r="BF9" i="5"/>
  <c r="BF9" i="7" s="1"/>
  <c r="BE9" i="5"/>
  <c r="BE9" i="7" s="1"/>
  <c r="BD9" i="5"/>
  <c r="BD9" i="7" s="1"/>
  <c r="BC9" i="5"/>
  <c r="BC9" i="7" s="1"/>
  <c r="BB9" i="5"/>
  <c r="BB9" i="7" s="1"/>
  <c r="BA9" i="5"/>
  <c r="BA9" i="7" s="1"/>
  <c r="AZ9" i="5"/>
  <c r="AZ9" i="7" s="1"/>
  <c r="AY9" i="5"/>
  <c r="AY9" i="7" s="1"/>
  <c r="AX9" i="5"/>
  <c r="AX9" i="7" s="1"/>
  <c r="AW9" i="5"/>
  <c r="AW9" i="7" s="1"/>
  <c r="AV9" i="5"/>
  <c r="AV9" i="7" s="1"/>
  <c r="AU9" i="5"/>
  <c r="AU9" i="7" s="1"/>
  <c r="AT9" i="5"/>
  <c r="AT9" i="7" s="1"/>
  <c r="AS9" i="5"/>
  <c r="AS9" i="7" s="1"/>
  <c r="AR9" i="5"/>
  <c r="AR9" i="7" s="1"/>
  <c r="AQ9" i="5"/>
  <c r="AQ9" i="7" s="1"/>
  <c r="AP9" i="5"/>
  <c r="AP9" i="7" s="1"/>
  <c r="AO9" i="5"/>
  <c r="AO9" i="7" s="1"/>
  <c r="AN9" i="5"/>
  <c r="AN9" i="7" s="1"/>
  <c r="AM9" i="5"/>
  <c r="AM9" i="7" s="1"/>
  <c r="AL9" i="5"/>
  <c r="AL9" i="7" s="1"/>
  <c r="AK9" i="5"/>
  <c r="AK9" i="7" s="1"/>
  <c r="AJ9" i="5"/>
  <c r="AJ9" i="7" s="1"/>
  <c r="AI9" i="5"/>
  <c r="AI9" i="7" s="1"/>
  <c r="AH9" i="5"/>
  <c r="AH9" i="7" s="1"/>
  <c r="AG9" i="5"/>
  <c r="AG9" i="7" s="1"/>
  <c r="AF9" i="5"/>
  <c r="AF9" i="7" s="1"/>
  <c r="AE9" i="5"/>
  <c r="AE9" i="7" s="1"/>
  <c r="AD9" i="5"/>
  <c r="AD9" i="7" s="1"/>
  <c r="AC9" i="5"/>
  <c r="AC9" i="7" s="1"/>
  <c r="AB9" i="5"/>
  <c r="AB9" i="7" s="1"/>
  <c r="AA9" i="5"/>
  <c r="AA9" i="7" s="1"/>
  <c r="Z9" i="5"/>
  <c r="Z9" i="7" s="1"/>
  <c r="Y9" i="5"/>
  <c r="Y9" i="7" s="1"/>
  <c r="X9" i="5"/>
  <c r="X9" i="7" s="1"/>
  <c r="W9" i="5"/>
  <c r="W9" i="7" s="1"/>
  <c r="V9" i="5"/>
  <c r="V9" i="7" s="1"/>
  <c r="U9" i="5"/>
  <c r="U9" i="7" s="1"/>
  <c r="T9" i="5"/>
  <c r="T9" i="7" s="1"/>
  <c r="S9" i="5"/>
  <c r="S9" i="7" s="1"/>
  <c r="R9" i="5"/>
  <c r="R9" i="7" s="1"/>
  <c r="Q9" i="5"/>
  <c r="Q9" i="7" s="1"/>
  <c r="P9" i="5"/>
  <c r="P9" i="7" s="1"/>
  <c r="O9" i="5"/>
  <c r="O9" i="7" s="1"/>
  <c r="N9" i="5"/>
  <c r="N9" i="7" s="1"/>
  <c r="M9" i="5"/>
  <c r="M9" i="7" s="1"/>
  <c r="L9" i="5"/>
  <c r="L9" i="7" s="1"/>
  <c r="K9" i="5"/>
  <c r="K9" i="7" s="1"/>
  <c r="J9" i="5"/>
  <c r="J9" i="7" s="1"/>
  <c r="I9" i="5"/>
  <c r="I9" i="7" s="1"/>
  <c r="H9" i="5"/>
  <c r="H9" i="7" s="1"/>
  <c r="G9" i="5"/>
  <c r="G9" i="7" s="1"/>
  <c r="F9" i="5"/>
  <c r="F9" i="7" s="1"/>
  <c r="E9" i="5"/>
  <c r="E9" i="7" s="1"/>
  <c r="D9" i="5"/>
  <c r="D9" i="7" s="1"/>
  <c r="C9" i="5"/>
  <c r="C9" i="7" s="1"/>
  <c r="B9" i="5"/>
  <c r="B9" i="7" s="1"/>
  <c r="DB8" i="5"/>
  <c r="DB8" i="7" s="1"/>
  <c r="DA8" i="5"/>
  <c r="DA8" i="7" s="1"/>
  <c r="CZ8" i="5"/>
  <c r="CZ8" i="7" s="1"/>
  <c r="CY8" i="5"/>
  <c r="CY8" i="7" s="1"/>
  <c r="CX8" i="5"/>
  <c r="CX8" i="7" s="1"/>
  <c r="CW8" i="5"/>
  <c r="CW8" i="7" s="1"/>
  <c r="CV8" i="5"/>
  <c r="CV8" i="7" s="1"/>
  <c r="CU8" i="5"/>
  <c r="CU8" i="7" s="1"/>
  <c r="CT8" i="5"/>
  <c r="CT8" i="7" s="1"/>
  <c r="CS8" i="5"/>
  <c r="CS8" i="7" s="1"/>
  <c r="CR8" i="5"/>
  <c r="CR8" i="7" s="1"/>
  <c r="CQ8" i="5"/>
  <c r="CQ8" i="7" s="1"/>
  <c r="CP8" i="5"/>
  <c r="CP8" i="7" s="1"/>
  <c r="CO8" i="5"/>
  <c r="CO8" i="7" s="1"/>
  <c r="CN8" i="5"/>
  <c r="CN8" i="7" s="1"/>
  <c r="CM8" i="5"/>
  <c r="CM8" i="7" s="1"/>
  <c r="CL8" i="5"/>
  <c r="CL8" i="7" s="1"/>
  <c r="CK8" i="5"/>
  <c r="CK8" i="7" s="1"/>
  <c r="CJ8" i="5"/>
  <c r="CJ8" i="7" s="1"/>
  <c r="CI8" i="5"/>
  <c r="CI8" i="7" s="1"/>
  <c r="CH8" i="5"/>
  <c r="CH8" i="7" s="1"/>
  <c r="CG8" i="5"/>
  <c r="CG8" i="7" s="1"/>
  <c r="CF8" i="5"/>
  <c r="CF8" i="7" s="1"/>
  <c r="CE8" i="5"/>
  <c r="CE8" i="7" s="1"/>
  <c r="CD8" i="5"/>
  <c r="CD8" i="7" s="1"/>
  <c r="CC8" i="5"/>
  <c r="CC8" i="7" s="1"/>
  <c r="CB8" i="5"/>
  <c r="CB8" i="7" s="1"/>
  <c r="CA8" i="5"/>
  <c r="CA8" i="7" s="1"/>
  <c r="BZ8" i="5"/>
  <c r="BZ8" i="7" s="1"/>
  <c r="BY8" i="5"/>
  <c r="BY8" i="7" s="1"/>
  <c r="BX8" i="5"/>
  <c r="BX8" i="7" s="1"/>
  <c r="BW8" i="5"/>
  <c r="BW8" i="7" s="1"/>
  <c r="BV8" i="5"/>
  <c r="BV8" i="7" s="1"/>
  <c r="BU8" i="5"/>
  <c r="BU8" i="7" s="1"/>
  <c r="BT8" i="5"/>
  <c r="BT8" i="7" s="1"/>
  <c r="BS8" i="5"/>
  <c r="BS8" i="7" s="1"/>
  <c r="BR8" i="5"/>
  <c r="BR8" i="7" s="1"/>
  <c r="BQ8" i="5"/>
  <c r="BQ8" i="7" s="1"/>
  <c r="BP8" i="5"/>
  <c r="BP8" i="7" s="1"/>
  <c r="BO8" i="5"/>
  <c r="BO8" i="7" s="1"/>
  <c r="BN8" i="5"/>
  <c r="BN8" i="7" s="1"/>
  <c r="BM8" i="5"/>
  <c r="BM8" i="7" s="1"/>
  <c r="BL8" i="5"/>
  <c r="BL8" i="7" s="1"/>
  <c r="BK8" i="5"/>
  <c r="BK8" i="7" s="1"/>
  <c r="BJ8" i="5"/>
  <c r="BJ8" i="7" s="1"/>
  <c r="BI8" i="5"/>
  <c r="BI8" i="7" s="1"/>
  <c r="BH8" i="5"/>
  <c r="BH8" i="7" s="1"/>
  <c r="BG8" i="5"/>
  <c r="BG8" i="7" s="1"/>
  <c r="BF8" i="5"/>
  <c r="BF8" i="7" s="1"/>
  <c r="BE8" i="5"/>
  <c r="BE8" i="7" s="1"/>
  <c r="BD8" i="5"/>
  <c r="BD8" i="7" s="1"/>
  <c r="BC8" i="5"/>
  <c r="BC8" i="7" s="1"/>
  <c r="BB8" i="5"/>
  <c r="BB8" i="7" s="1"/>
  <c r="BA8" i="5"/>
  <c r="BA8" i="7" s="1"/>
  <c r="AZ8" i="5"/>
  <c r="AZ8" i="7" s="1"/>
  <c r="AY8" i="5"/>
  <c r="AY8" i="7" s="1"/>
  <c r="AX8" i="5"/>
  <c r="AX8" i="7" s="1"/>
  <c r="AW8" i="5"/>
  <c r="AW8" i="7" s="1"/>
  <c r="AV8" i="5"/>
  <c r="AV8" i="7" s="1"/>
  <c r="AU8" i="5"/>
  <c r="AU8" i="7" s="1"/>
  <c r="AT8" i="5"/>
  <c r="AT8" i="7" s="1"/>
  <c r="AS8" i="5"/>
  <c r="AS8" i="7" s="1"/>
  <c r="AR8" i="5"/>
  <c r="AR8" i="7" s="1"/>
  <c r="AQ8" i="5"/>
  <c r="AQ8" i="7" s="1"/>
  <c r="AP8" i="5"/>
  <c r="AP8" i="7" s="1"/>
  <c r="AO8" i="5"/>
  <c r="AO8" i="7" s="1"/>
  <c r="AN8" i="5"/>
  <c r="AN8" i="7" s="1"/>
  <c r="AM8" i="5"/>
  <c r="AM8" i="7" s="1"/>
  <c r="AL8" i="5"/>
  <c r="AL8" i="7" s="1"/>
  <c r="AK8" i="5"/>
  <c r="AK8" i="7" s="1"/>
  <c r="AJ8" i="5"/>
  <c r="AJ8" i="7" s="1"/>
  <c r="AI8" i="5"/>
  <c r="AI8" i="7" s="1"/>
  <c r="AH8" i="5"/>
  <c r="AH8" i="7" s="1"/>
  <c r="AG8" i="5"/>
  <c r="AG8" i="7" s="1"/>
  <c r="AF8" i="5"/>
  <c r="AF8" i="7" s="1"/>
  <c r="AE8" i="5"/>
  <c r="AE8" i="7" s="1"/>
  <c r="AD8" i="5"/>
  <c r="AD8" i="7" s="1"/>
  <c r="AC8" i="5"/>
  <c r="AC8" i="7" s="1"/>
  <c r="AB8" i="5"/>
  <c r="AB8" i="7" s="1"/>
  <c r="AA8" i="5"/>
  <c r="AA8" i="7" s="1"/>
  <c r="Z8" i="5"/>
  <c r="Z8" i="7" s="1"/>
  <c r="Y8" i="5"/>
  <c r="Y8" i="7" s="1"/>
  <c r="X8" i="5"/>
  <c r="X8" i="7" s="1"/>
  <c r="W8" i="5"/>
  <c r="W8" i="7" s="1"/>
  <c r="V8" i="5"/>
  <c r="V8" i="7" s="1"/>
  <c r="U8" i="5"/>
  <c r="U8" i="7" s="1"/>
  <c r="T8" i="5"/>
  <c r="T8" i="7" s="1"/>
  <c r="S8" i="5"/>
  <c r="S8" i="7" s="1"/>
  <c r="R8" i="5"/>
  <c r="R8" i="7" s="1"/>
  <c r="Q8" i="5"/>
  <c r="Q8" i="7" s="1"/>
  <c r="P8" i="5"/>
  <c r="P8" i="7" s="1"/>
  <c r="O8" i="5"/>
  <c r="O8" i="7" s="1"/>
  <c r="N8" i="5"/>
  <c r="N8" i="7" s="1"/>
  <c r="M8" i="5"/>
  <c r="M8" i="7" s="1"/>
  <c r="L8" i="5"/>
  <c r="L8" i="7" s="1"/>
  <c r="K8" i="5"/>
  <c r="K8" i="7" s="1"/>
  <c r="J8" i="5"/>
  <c r="J8" i="7" s="1"/>
  <c r="I8" i="5"/>
  <c r="I8" i="7" s="1"/>
  <c r="H8" i="5"/>
  <c r="H8" i="7" s="1"/>
  <c r="G8" i="5"/>
  <c r="G8" i="7" s="1"/>
  <c r="F8" i="5"/>
  <c r="F8" i="7" s="1"/>
  <c r="E8" i="5"/>
  <c r="E8" i="7" s="1"/>
  <c r="D8" i="5"/>
  <c r="D8" i="7" s="1"/>
  <c r="C8" i="5"/>
  <c r="C8" i="7" s="1"/>
  <c r="B8" i="5"/>
  <c r="B8" i="7" s="1"/>
  <c r="DB7" i="5"/>
  <c r="DB7" i="7" s="1"/>
  <c r="DA7" i="5"/>
  <c r="DA7" i="7" s="1"/>
  <c r="CZ7" i="5"/>
  <c r="CZ7" i="7" s="1"/>
  <c r="CY7" i="5"/>
  <c r="CY7" i="7" s="1"/>
  <c r="CX7" i="5"/>
  <c r="CX7" i="7" s="1"/>
  <c r="CW7" i="5"/>
  <c r="CW7" i="7" s="1"/>
  <c r="CV7" i="5"/>
  <c r="CV7" i="7" s="1"/>
  <c r="CU7" i="5"/>
  <c r="CU7" i="7" s="1"/>
  <c r="CT7" i="5"/>
  <c r="CT7" i="7" s="1"/>
  <c r="CS7" i="5"/>
  <c r="CS7" i="7" s="1"/>
  <c r="CR7" i="5"/>
  <c r="CR7" i="7" s="1"/>
  <c r="CQ7" i="5"/>
  <c r="CQ7" i="7" s="1"/>
  <c r="CP7" i="5"/>
  <c r="CP7" i="7" s="1"/>
  <c r="CO7" i="5"/>
  <c r="CO7" i="7" s="1"/>
  <c r="CN7" i="5"/>
  <c r="CN7" i="7" s="1"/>
  <c r="CM7" i="5"/>
  <c r="CM7" i="7" s="1"/>
  <c r="CL7" i="5"/>
  <c r="CL7" i="7" s="1"/>
  <c r="CK7" i="5"/>
  <c r="CK7" i="7" s="1"/>
  <c r="CJ7" i="5"/>
  <c r="CJ7" i="7" s="1"/>
  <c r="CI7" i="5"/>
  <c r="CI7" i="7" s="1"/>
  <c r="CH7" i="5"/>
  <c r="CH7" i="7" s="1"/>
  <c r="CG7" i="5"/>
  <c r="CG7" i="7" s="1"/>
  <c r="CF7" i="5"/>
  <c r="CF7" i="7" s="1"/>
  <c r="CE7" i="5"/>
  <c r="CE7" i="7" s="1"/>
  <c r="CD7" i="5"/>
  <c r="CD7" i="7" s="1"/>
  <c r="CC7" i="5"/>
  <c r="CC7" i="7" s="1"/>
  <c r="CB7" i="5"/>
  <c r="CB7" i="7" s="1"/>
  <c r="CA7" i="5"/>
  <c r="CA7" i="7" s="1"/>
  <c r="BZ7" i="5"/>
  <c r="BZ7" i="7" s="1"/>
  <c r="BY7" i="5"/>
  <c r="BY7" i="7" s="1"/>
  <c r="BX7" i="5"/>
  <c r="BX7" i="7" s="1"/>
  <c r="BW7" i="5"/>
  <c r="BW7" i="7" s="1"/>
  <c r="BV7" i="5"/>
  <c r="BV7" i="7" s="1"/>
  <c r="BU7" i="5"/>
  <c r="BU7" i="7" s="1"/>
  <c r="BT7" i="5"/>
  <c r="BT7" i="7" s="1"/>
  <c r="BS7" i="5"/>
  <c r="BS7" i="7" s="1"/>
  <c r="BR7" i="5"/>
  <c r="BR7" i="7" s="1"/>
  <c r="BQ7" i="5"/>
  <c r="BQ7" i="7" s="1"/>
  <c r="BP7" i="5"/>
  <c r="BP7" i="7" s="1"/>
  <c r="BO7" i="5"/>
  <c r="BO7" i="7" s="1"/>
  <c r="BN7" i="5"/>
  <c r="BN7" i="7" s="1"/>
  <c r="BM7" i="5"/>
  <c r="BM7" i="7" s="1"/>
  <c r="BL7" i="5"/>
  <c r="BL7" i="7" s="1"/>
  <c r="BK7" i="5"/>
  <c r="BK7" i="7" s="1"/>
  <c r="BJ7" i="5"/>
  <c r="BJ7" i="7" s="1"/>
  <c r="BI7" i="5"/>
  <c r="BI7" i="7" s="1"/>
  <c r="BH7" i="5"/>
  <c r="BH7" i="7" s="1"/>
  <c r="BG7" i="5"/>
  <c r="BG7" i="7" s="1"/>
  <c r="BF7" i="5"/>
  <c r="BF7" i="7" s="1"/>
  <c r="BE7" i="5"/>
  <c r="BE7" i="7" s="1"/>
  <c r="BD7" i="5"/>
  <c r="BD7" i="7" s="1"/>
  <c r="BC7" i="5"/>
  <c r="BC7" i="7" s="1"/>
  <c r="BB7" i="5"/>
  <c r="BB7" i="7" s="1"/>
  <c r="BA7" i="5"/>
  <c r="BA7" i="7" s="1"/>
  <c r="AZ7" i="5"/>
  <c r="AZ7" i="7" s="1"/>
  <c r="AY7" i="5"/>
  <c r="AY7" i="7" s="1"/>
  <c r="AX7" i="5"/>
  <c r="AX7" i="7" s="1"/>
  <c r="AW7" i="5"/>
  <c r="AW7" i="7" s="1"/>
  <c r="AV7" i="5"/>
  <c r="AV7" i="7" s="1"/>
  <c r="AU7" i="5"/>
  <c r="AU7" i="7" s="1"/>
  <c r="AT7" i="5"/>
  <c r="AT7" i="7" s="1"/>
  <c r="AS7" i="5"/>
  <c r="AS7" i="7" s="1"/>
  <c r="AR7" i="5"/>
  <c r="AR7" i="7" s="1"/>
  <c r="AQ7" i="5"/>
  <c r="AQ7" i="7" s="1"/>
  <c r="AP7" i="5"/>
  <c r="AP7" i="7" s="1"/>
  <c r="AO7" i="5"/>
  <c r="AO7" i="7" s="1"/>
  <c r="AN7" i="5"/>
  <c r="AN7" i="7" s="1"/>
  <c r="AM7" i="5"/>
  <c r="AM7" i="7" s="1"/>
  <c r="AL7" i="5"/>
  <c r="AL7" i="7" s="1"/>
  <c r="AK7" i="5"/>
  <c r="AK7" i="7" s="1"/>
  <c r="AJ7" i="5"/>
  <c r="AJ7" i="7" s="1"/>
  <c r="AI7" i="5"/>
  <c r="AI7" i="7" s="1"/>
  <c r="AH7" i="5"/>
  <c r="AH7" i="7" s="1"/>
  <c r="AG7" i="5"/>
  <c r="AG7" i="7" s="1"/>
  <c r="AF7" i="5"/>
  <c r="AF7" i="7" s="1"/>
  <c r="AE7" i="5"/>
  <c r="AE7" i="7" s="1"/>
  <c r="AD7" i="5"/>
  <c r="AD7" i="7" s="1"/>
  <c r="AC7" i="5"/>
  <c r="AC7" i="7" s="1"/>
  <c r="AB7" i="5"/>
  <c r="AB7" i="7" s="1"/>
  <c r="AA7" i="5"/>
  <c r="AA7" i="7" s="1"/>
  <c r="Z7" i="5"/>
  <c r="Z7" i="7" s="1"/>
  <c r="Y7" i="5"/>
  <c r="Y7" i="7" s="1"/>
  <c r="X7" i="5"/>
  <c r="X7" i="7" s="1"/>
  <c r="W7" i="5"/>
  <c r="W7" i="7" s="1"/>
  <c r="V7" i="5"/>
  <c r="V7" i="7" s="1"/>
  <c r="U7" i="5"/>
  <c r="U7" i="7" s="1"/>
  <c r="T7" i="5"/>
  <c r="T7" i="7" s="1"/>
  <c r="S7" i="5"/>
  <c r="S7" i="7" s="1"/>
  <c r="R7" i="5"/>
  <c r="R7" i="7" s="1"/>
  <c r="Q7" i="5"/>
  <c r="Q7" i="7" s="1"/>
  <c r="P7" i="5"/>
  <c r="P7" i="7" s="1"/>
  <c r="O7" i="5"/>
  <c r="O7" i="7" s="1"/>
  <c r="N7" i="5"/>
  <c r="N7" i="7" s="1"/>
  <c r="M7" i="5"/>
  <c r="M7" i="7" s="1"/>
  <c r="L7" i="5"/>
  <c r="L7" i="7" s="1"/>
  <c r="K7" i="5"/>
  <c r="K7" i="7" s="1"/>
  <c r="J7" i="5"/>
  <c r="J7" i="7" s="1"/>
  <c r="I7" i="5"/>
  <c r="I7" i="7" s="1"/>
  <c r="H7" i="5"/>
  <c r="H7" i="7" s="1"/>
  <c r="G7" i="5"/>
  <c r="G7" i="7" s="1"/>
  <c r="F7" i="5"/>
  <c r="F7" i="7" s="1"/>
  <c r="E7" i="5"/>
  <c r="E7" i="7" s="1"/>
  <c r="D7" i="5"/>
  <c r="D7" i="7" s="1"/>
  <c r="C7" i="5"/>
  <c r="C7" i="7" s="1"/>
  <c r="B7" i="5"/>
  <c r="B7" i="7" s="1"/>
  <c r="DB6" i="5"/>
  <c r="DB6" i="7" s="1"/>
  <c r="DA6" i="5"/>
  <c r="DA6" i="7" s="1"/>
  <c r="CZ6" i="5"/>
  <c r="CZ6" i="7" s="1"/>
  <c r="CY6" i="5"/>
  <c r="CY6" i="7" s="1"/>
  <c r="CX6" i="5"/>
  <c r="CX6" i="7" s="1"/>
  <c r="CW6" i="5"/>
  <c r="CW6" i="7" s="1"/>
  <c r="CV6" i="5"/>
  <c r="CV6" i="7" s="1"/>
  <c r="CU6" i="5"/>
  <c r="CU6" i="7" s="1"/>
  <c r="CT6" i="5"/>
  <c r="CT6" i="7" s="1"/>
  <c r="CS6" i="5"/>
  <c r="CS6" i="7" s="1"/>
  <c r="CR6" i="5"/>
  <c r="CR6" i="7" s="1"/>
  <c r="CQ6" i="5"/>
  <c r="CQ6" i="7" s="1"/>
  <c r="CP6" i="5"/>
  <c r="CP6" i="7" s="1"/>
  <c r="CO6" i="5"/>
  <c r="CO6" i="7" s="1"/>
  <c r="CN6" i="5"/>
  <c r="CN6" i="7" s="1"/>
  <c r="CM6" i="5"/>
  <c r="CM6" i="7" s="1"/>
  <c r="CL6" i="5"/>
  <c r="CL6" i="7" s="1"/>
  <c r="CK6" i="5"/>
  <c r="CK6" i="7" s="1"/>
  <c r="CJ6" i="5"/>
  <c r="CJ6" i="7" s="1"/>
  <c r="CI6" i="5"/>
  <c r="CI6" i="7" s="1"/>
  <c r="CH6" i="5"/>
  <c r="CH6" i="7" s="1"/>
  <c r="CG6" i="5"/>
  <c r="CG6" i="7" s="1"/>
  <c r="CF6" i="5"/>
  <c r="CF6" i="7" s="1"/>
  <c r="CE6" i="5"/>
  <c r="CE6" i="7" s="1"/>
  <c r="CD6" i="5"/>
  <c r="CD6" i="7" s="1"/>
  <c r="CC6" i="5"/>
  <c r="CC6" i="7" s="1"/>
  <c r="CB6" i="5"/>
  <c r="CB6" i="7" s="1"/>
  <c r="CA6" i="5"/>
  <c r="CA6" i="7" s="1"/>
  <c r="BZ6" i="5"/>
  <c r="BZ6" i="7" s="1"/>
  <c r="BY6" i="5"/>
  <c r="BY6" i="7" s="1"/>
  <c r="BX6" i="5"/>
  <c r="BX6" i="7" s="1"/>
  <c r="BW6" i="5"/>
  <c r="BW6" i="7" s="1"/>
  <c r="BV6" i="5"/>
  <c r="BV6" i="7" s="1"/>
  <c r="BU6" i="5"/>
  <c r="BU6" i="7" s="1"/>
  <c r="BT6" i="5"/>
  <c r="BT6" i="7" s="1"/>
  <c r="BS6" i="5"/>
  <c r="BS6" i="7" s="1"/>
  <c r="BR6" i="5"/>
  <c r="BR6" i="7" s="1"/>
  <c r="BQ6" i="5"/>
  <c r="BQ6" i="7" s="1"/>
  <c r="BP6" i="5"/>
  <c r="BP6" i="7" s="1"/>
  <c r="BO6" i="5"/>
  <c r="BO6" i="7" s="1"/>
  <c r="BN6" i="5"/>
  <c r="BN6" i="7" s="1"/>
  <c r="BM6" i="5"/>
  <c r="BM6" i="7" s="1"/>
  <c r="BL6" i="5"/>
  <c r="BL6" i="7" s="1"/>
  <c r="BK6" i="5"/>
  <c r="BK6" i="7" s="1"/>
  <c r="BJ6" i="5"/>
  <c r="BJ6" i="7" s="1"/>
  <c r="BI6" i="5"/>
  <c r="BI6" i="7" s="1"/>
  <c r="BH6" i="5"/>
  <c r="BH6" i="7" s="1"/>
  <c r="BG6" i="5"/>
  <c r="BG6" i="7" s="1"/>
  <c r="BF6" i="5"/>
  <c r="BF6" i="7" s="1"/>
  <c r="BE6" i="5"/>
  <c r="BE6" i="7" s="1"/>
  <c r="BD6" i="5"/>
  <c r="BD6" i="7" s="1"/>
  <c r="BC6" i="5"/>
  <c r="BC6" i="7" s="1"/>
  <c r="BB6" i="5"/>
  <c r="BB6" i="7" s="1"/>
  <c r="BA6" i="5"/>
  <c r="BA6" i="7" s="1"/>
  <c r="AZ6" i="5"/>
  <c r="AZ6" i="7" s="1"/>
  <c r="AY6" i="5"/>
  <c r="AY6" i="7" s="1"/>
  <c r="AX6" i="5"/>
  <c r="AX6" i="7" s="1"/>
  <c r="AW6" i="5"/>
  <c r="AW6" i="7" s="1"/>
  <c r="AV6" i="5"/>
  <c r="AV6" i="7" s="1"/>
  <c r="AU6" i="5"/>
  <c r="AU6" i="7" s="1"/>
  <c r="AT6" i="5"/>
  <c r="AT6" i="7" s="1"/>
  <c r="AS6" i="5"/>
  <c r="AS6" i="7" s="1"/>
  <c r="AR6" i="5"/>
  <c r="AR6" i="7" s="1"/>
  <c r="AQ6" i="5"/>
  <c r="AQ6" i="7" s="1"/>
  <c r="AP6" i="5"/>
  <c r="AP6" i="7" s="1"/>
  <c r="AO6" i="5"/>
  <c r="AO6" i="7" s="1"/>
  <c r="AN6" i="5"/>
  <c r="AN6" i="7" s="1"/>
  <c r="AM6" i="5"/>
  <c r="AM6" i="7" s="1"/>
  <c r="AL6" i="5"/>
  <c r="AL6" i="7" s="1"/>
  <c r="AK6" i="5"/>
  <c r="AK6" i="7" s="1"/>
  <c r="AJ6" i="5"/>
  <c r="AJ6" i="7" s="1"/>
  <c r="AI6" i="5"/>
  <c r="AI6" i="7" s="1"/>
  <c r="AH6" i="5"/>
  <c r="AH6" i="7" s="1"/>
  <c r="AG6" i="5"/>
  <c r="AG6" i="7" s="1"/>
  <c r="AF6" i="5"/>
  <c r="AF6" i="7" s="1"/>
  <c r="AE6" i="5"/>
  <c r="AE6" i="7" s="1"/>
  <c r="AD6" i="5"/>
  <c r="AD6" i="7" s="1"/>
  <c r="AC6" i="5"/>
  <c r="AC6" i="7" s="1"/>
  <c r="AB6" i="5"/>
  <c r="AB6" i="7" s="1"/>
  <c r="AA6" i="5"/>
  <c r="AA6" i="7" s="1"/>
  <c r="Z6" i="5"/>
  <c r="Z6" i="7" s="1"/>
  <c r="Y6" i="5"/>
  <c r="Y6" i="7" s="1"/>
  <c r="X6" i="5"/>
  <c r="X6" i="7" s="1"/>
  <c r="W6" i="5"/>
  <c r="W6" i="7" s="1"/>
  <c r="V6" i="5"/>
  <c r="V6" i="7" s="1"/>
  <c r="U6" i="5"/>
  <c r="U6" i="7" s="1"/>
  <c r="T6" i="5"/>
  <c r="T6" i="7" s="1"/>
  <c r="S6" i="5"/>
  <c r="S6" i="7" s="1"/>
  <c r="R6" i="5"/>
  <c r="R6" i="7" s="1"/>
  <c r="Q6" i="5"/>
  <c r="Q6" i="7" s="1"/>
  <c r="P6" i="5"/>
  <c r="P6" i="7" s="1"/>
  <c r="O6" i="5"/>
  <c r="O6" i="7" s="1"/>
  <c r="N6" i="5"/>
  <c r="N6" i="7" s="1"/>
  <c r="M6" i="5"/>
  <c r="M6" i="7" s="1"/>
  <c r="L6" i="5"/>
  <c r="L6" i="7" s="1"/>
  <c r="K6" i="5"/>
  <c r="K6" i="7" s="1"/>
  <c r="J6" i="5"/>
  <c r="J6" i="7" s="1"/>
  <c r="I6" i="5"/>
  <c r="I6" i="7" s="1"/>
  <c r="H6" i="5"/>
  <c r="H6" i="7" s="1"/>
  <c r="G6" i="5"/>
  <c r="G6" i="7" s="1"/>
  <c r="F6" i="5"/>
  <c r="F6" i="7" s="1"/>
  <c r="E6" i="5"/>
  <c r="E6" i="7" s="1"/>
  <c r="D6" i="5"/>
  <c r="D6" i="7" s="1"/>
  <c r="C6" i="5"/>
  <c r="C6" i="7" s="1"/>
  <c r="B6" i="5"/>
  <c r="B6" i="7" s="1"/>
  <c r="DB5" i="5"/>
  <c r="DB5" i="7" s="1"/>
  <c r="DA5" i="5"/>
  <c r="DA5" i="7" s="1"/>
  <c r="CZ5" i="5"/>
  <c r="CZ5" i="7" s="1"/>
  <c r="CY5" i="5"/>
  <c r="CY5" i="7" s="1"/>
  <c r="CX5" i="5"/>
  <c r="CX5" i="7" s="1"/>
  <c r="CW5" i="5"/>
  <c r="CW5" i="7" s="1"/>
  <c r="CV5" i="5"/>
  <c r="CV5" i="7" s="1"/>
  <c r="CU5" i="5"/>
  <c r="CU5" i="7" s="1"/>
  <c r="CT5" i="5"/>
  <c r="CT5" i="7" s="1"/>
  <c r="CS5" i="5"/>
  <c r="CS5" i="7" s="1"/>
  <c r="CR5" i="5"/>
  <c r="CR5" i="7" s="1"/>
  <c r="CQ5" i="5"/>
  <c r="CQ5" i="7" s="1"/>
  <c r="CP5" i="5"/>
  <c r="CP5" i="7" s="1"/>
  <c r="CO5" i="5"/>
  <c r="CO5" i="7" s="1"/>
  <c r="CN5" i="5"/>
  <c r="CN5" i="7" s="1"/>
  <c r="CM5" i="5"/>
  <c r="CM5" i="7" s="1"/>
  <c r="CL5" i="5"/>
  <c r="CL5" i="7" s="1"/>
  <c r="CK5" i="5"/>
  <c r="CK5" i="7" s="1"/>
  <c r="CJ5" i="5"/>
  <c r="CJ5" i="7" s="1"/>
  <c r="CI5" i="5"/>
  <c r="CI5" i="7" s="1"/>
  <c r="CH5" i="5"/>
  <c r="CH5" i="7" s="1"/>
  <c r="CG5" i="5"/>
  <c r="CG5" i="7" s="1"/>
  <c r="CF5" i="5"/>
  <c r="CF5" i="7" s="1"/>
  <c r="CE5" i="5"/>
  <c r="CE5" i="7" s="1"/>
  <c r="CD5" i="5"/>
  <c r="CD5" i="7" s="1"/>
  <c r="CC5" i="5"/>
  <c r="CC5" i="7" s="1"/>
  <c r="CB5" i="5"/>
  <c r="CB5" i="7" s="1"/>
  <c r="CA5" i="5"/>
  <c r="CA5" i="7" s="1"/>
  <c r="BZ5" i="5"/>
  <c r="BZ5" i="7" s="1"/>
  <c r="BY5" i="5"/>
  <c r="BY5" i="7" s="1"/>
  <c r="BX5" i="5"/>
  <c r="BX5" i="7" s="1"/>
  <c r="BW5" i="5"/>
  <c r="BW5" i="7" s="1"/>
  <c r="BV5" i="5"/>
  <c r="BV5" i="7" s="1"/>
  <c r="BU5" i="5"/>
  <c r="BU5" i="7" s="1"/>
  <c r="BT5" i="5"/>
  <c r="BT5" i="7" s="1"/>
  <c r="BS5" i="5"/>
  <c r="BS5" i="7" s="1"/>
  <c r="BR5" i="5"/>
  <c r="BR5" i="7" s="1"/>
  <c r="BQ5" i="5"/>
  <c r="BQ5" i="7" s="1"/>
  <c r="BP5" i="5"/>
  <c r="BP5" i="7" s="1"/>
  <c r="BO5" i="5"/>
  <c r="BO5" i="7" s="1"/>
  <c r="BN5" i="5"/>
  <c r="BN5" i="7" s="1"/>
  <c r="BM5" i="5"/>
  <c r="BM5" i="7" s="1"/>
  <c r="BL5" i="5"/>
  <c r="BL5" i="7" s="1"/>
  <c r="BK5" i="5"/>
  <c r="BK5" i="7" s="1"/>
  <c r="BJ5" i="5"/>
  <c r="BJ5" i="7" s="1"/>
  <c r="BI5" i="5"/>
  <c r="BI5" i="7" s="1"/>
  <c r="BH5" i="5"/>
  <c r="BH5" i="7" s="1"/>
  <c r="BG5" i="5"/>
  <c r="BG5" i="7" s="1"/>
  <c r="BF5" i="5"/>
  <c r="BF5" i="7" s="1"/>
  <c r="BE5" i="5"/>
  <c r="BE5" i="7" s="1"/>
  <c r="BD5" i="5"/>
  <c r="BD5" i="7" s="1"/>
  <c r="BC5" i="5"/>
  <c r="BC5" i="7" s="1"/>
  <c r="BB5" i="5"/>
  <c r="BB5" i="7" s="1"/>
  <c r="BA5" i="5"/>
  <c r="BA5" i="7" s="1"/>
  <c r="AZ5" i="5"/>
  <c r="AZ5" i="7" s="1"/>
  <c r="AY5" i="5"/>
  <c r="AY5" i="7" s="1"/>
  <c r="AX5" i="5"/>
  <c r="AX5" i="7" s="1"/>
  <c r="AW5" i="5"/>
  <c r="AW5" i="7" s="1"/>
  <c r="AV5" i="5"/>
  <c r="AV5" i="7" s="1"/>
  <c r="AU5" i="5"/>
  <c r="AU5" i="7" s="1"/>
  <c r="AT5" i="5"/>
  <c r="AT5" i="7" s="1"/>
  <c r="AS5" i="5"/>
  <c r="AS5" i="7" s="1"/>
  <c r="AR5" i="5"/>
  <c r="AR5" i="7" s="1"/>
  <c r="AQ5" i="5"/>
  <c r="AQ5" i="7" s="1"/>
  <c r="AP5" i="5"/>
  <c r="AP5" i="7" s="1"/>
  <c r="AO5" i="5"/>
  <c r="AO5" i="7" s="1"/>
  <c r="AN5" i="5"/>
  <c r="AN5" i="7" s="1"/>
  <c r="AM5" i="5"/>
  <c r="AM5" i="7" s="1"/>
  <c r="AL5" i="5"/>
  <c r="AL5" i="7" s="1"/>
  <c r="AK5" i="5"/>
  <c r="AK5" i="7" s="1"/>
  <c r="AJ5" i="5"/>
  <c r="AJ5" i="7" s="1"/>
  <c r="AI5" i="5"/>
  <c r="AI5" i="7" s="1"/>
  <c r="AH5" i="5"/>
  <c r="AH5" i="7" s="1"/>
  <c r="AG5" i="5"/>
  <c r="AG5" i="7" s="1"/>
  <c r="AF5" i="5"/>
  <c r="AF5" i="7" s="1"/>
  <c r="AE5" i="5"/>
  <c r="AE5" i="7" s="1"/>
  <c r="AD5" i="5"/>
  <c r="AD5" i="7" s="1"/>
  <c r="AC5" i="5"/>
  <c r="AC5" i="7" s="1"/>
  <c r="AB5" i="5"/>
  <c r="AB5" i="7" s="1"/>
  <c r="AA5" i="5"/>
  <c r="AA5" i="7" s="1"/>
  <c r="Z5" i="5"/>
  <c r="Z5" i="7" s="1"/>
  <c r="Y5" i="5"/>
  <c r="Y5" i="7" s="1"/>
  <c r="X5" i="5"/>
  <c r="X5" i="7" s="1"/>
  <c r="W5" i="5"/>
  <c r="W5" i="7" s="1"/>
  <c r="V5" i="5"/>
  <c r="V5" i="7" s="1"/>
  <c r="U5" i="5"/>
  <c r="U5" i="7" s="1"/>
  <c r="T5" i="5"/>
  <c r="T5" i="7" s="1"/>
  <c r="S5" i="5"/>
  <c r="S5" i="7" s="1"/>
  <c r="R5" i="5"/>
  <c r="R5" i="7" s="1"/>
  <c r="Q5" i="5"/>
  <c r="Q5" i="7" s="1"/>
  <c r="P5" i="5"/>
  <c r="P5" i="7" s="1"/>
  <c r="O5" i="5"/>
  <c r="O5" i="7" s="1"/>
  <c r="N5" i="5"/>
  <c r="N5" i="7" s="1"/>
  <c r="M5" i="5"/>
  <c r="M5" i="7" s="1"/>
  <c r="L5" i="5"/>
  <c r="L5" i="7" s="1"/>
  <c r="K5" i="5"/>
  <c r="K5" i="7" s="1"/>
  <c r="J5" i="5"/>
  <c r="J5" i="7" s="1"/>
  <c r="I5" i="5"/>
  <c r="I5" i="7" s="1"/>
  <c r="H5" i="5"/>
  <c r="H5" i="7" s="1"/>
  <c r="G5" i="5"/>
  <c r="G5" i="7" s="1"/>
  <c r="F5" i="5"/>
  <c r="F5" i="7" s="1"/>
  <c r="E5" i="5"/>
  <c r="E5" i="7" s="1"/>
  <c r="D5" i="5"/>
  <c r="D5" i="7" s="1"/>
  <c r="C5" i="5"/>
  <c r="C5" i="7" s="1"/>
  <c r="B5" i="5"/>
  <c r="B5" i="7" s="1"/>
  <c r="DB4" i="5"/>
  <c r="DB4" i="7" s="1"/>
  <c r="DA4" i="5"/>
  <c r="DA4" i="7" s="1"/>
  <c r="CZ4" i="5"/>
  <c r="CZ4" i="7" s="1"/>
  <c r="CY4" i="5"/>
  <c r="CY4" i="7" s="1"/>
  <c r="CX4" i="5"/>
  <c r="CX4" i="7" s="1"/>
  <c r="CW4" i="5"/>
  <c r="CW4" i="7" s="1"/>
  <c r="CV4" i="5"/>
  <c r="CV4" i="7" s="1"/>
  <c r="CU4" i="5"/>
  <c r="CU4" i="7" s="1"/>
  <c r="CT4" i="5"/>
  <c r="CT4" i="7" s="1"/>
  <c r="CS4" i="5"/>
  <c r="CS4" i="7" s="1"/>
  <c r="CR4" i="5"/>
  <c r="CR4" i="7" s="1"/>
  <c r="CQ4" i="5"/>
  <c r="CQ4" i="7" s="1"/>
  <c r="CP4" i="5"/>
  <c r="CP4" i="7" s="1"/>
  <c r="CO4" i="5"/>
  <c r="CO4" i="7" s="1"/>
  <c r="CN4" i="5"/>
  <c r="CN4" i="7" s="1"/>
  <c r="CM4" i="5"/>
  <c r="CM4" i="7" s="1"/>
  <c r="CL4" i="5"/>
  <c r="CL4" i="7" s="1"/>
  <c r="CK4" i="5"/>
  <c r="CK4" i="7" s="1"/>
  <c r="CJ4" i="5"/>
  <c r="CJ4" i="7" s="1"/>
  <c r="CI4" i="5"/>
  <c r="CI4" i="7" s="1"/>
  <c r="CH4" i="5"/>
  <c r="CH4" i="7" s="1"/>
  <c r="CG4" i="5"/>
  <c r="CG4" i="7" s="1"/>
  <c r="CF4" i="5"/>
  <c r="CF4" i="7" s="1"/>
  <c r="CE4" i="5"/>
  <c r="CE4" i="7" s="1"/>
  <c r="CD4" i="5"/>
  <c r="CD4" i="7" s="1"/>
  <c r="CC4" i="5"/>
  <c r="CC4" i="7" s="1"/>
  <c r="CB4" i="5"/>
  <c r="CB4" i="7" s="1"/>
  <c r="CA4" i="5"/>
  <c r="CA4" i="7" s="1"/>
  <c r="BZ4" i="5"/>
  <c r="BZ4" i="7" s="1"/>
  <c r="BY4" i="5"/>
  <c r="BY4" i="7" s="1"/>
  <c r="BX4" i="5"/>
  <c r="BX4" i="7" s="1"/>
  <c r="BW4" i="5"/>
  <c r="BW4" i="7" s="1"/>
  <c r="BV4" i="5"/>
  <c r="BV4" i="7" s="1"/>
  <c r="BU4" i="5"/>
  <c r="BU4" i="7" s="1"/>
  <c r="BT4" i="5"/>
  <c r="BT4" i="7" s="1"/>
  <c r="BS4" i="5"/>
  <c r="BS4" i="7" s="1"/>
  <c r="BR4" i="5"/>
  <c r="BR4" i="7" s="1"/>
  <c r="BQ4" i="5"/>
  <c r="BQ4" i="7" s="1"/>
  <c r="BP4" i="5"/>
  <c r="BP4" i="7" s="1"/>
  <c r="BO4" i="5"/>
  <c r="BO4" i="7" s="1"/>
  <c r="BN4" i="5"/>
  <c r="BN4" i="7" s="1"/>
  <c r="BM4" i="5"/>
  <c r="BM4" i="7" s="1"/>
  <c r="BL4" i="5"/>
  <c r="BL4" i="7" s="1"/>
  <c r="BK4" i="5"/>
  <c r="BK4" i="7" s="1"/>
  <c r="BJ4" i="5"/>
  <c r="BJ4" i="7" s="1"/>
  <c r="BI4" i="5"/>
  <c r="BI4" i="7" s="1"/>
  <c r="BH4" i="5"/>
  <c r="BH4" i="7" s="1"/>
  <c r="BG4" i="5"/>
  <c r="BG4" i="7" s="1"/>
  <c r="BF4" i="5"/>
  <c r="BF4" i="7" s="1"/>
  <c r="BE4" i="5"/>
  <c r="BE4" i="7" s="1"/>
  <c r="BD4" i="5"/>
  <c r="BD4" i="7" s="1"/>
  <c r="BC4" i="5"/>
  <c r="BC4" i="7" s="1"/>
  <c r="BB4" i="5"/>
  <c r="BB4" i="7" s="1"/>
  <c r="BA4" i="5"/>
  <c r="BA4" i="7" s="1"/>
  <c r="AZ4" i="5"/>
  <c r="AZ4" i="7" s="1"/>
  <c r="AY4" i="5"/>
  <c r="AY4" i="7" s="1"/>
  <c r="AX4" i="5"/>
  <c r="AX4" i="7" s="1"/>
  <c r="AW4" i="5"/>
  <c r="AW4" i="7" s="1"/>
  <c r="AV4" i="5"/>
  <c r="AV4" i="7" s="1"/>
  <c r="AU4" i="5"/>
  <c r="AU4" i="7" s="1"/>
  <c r="AT4" i="5"/>
  <c r="AT4" i="7" s="1"/>
  <c r="AS4" i="5"/>
  <c r="AS4" i="7" s="1"/>
  <c r="AR4" i="5"/>
  <c r="AR4" i="7" s="1"/>
  <c r="AQ4" i="5"/>
  <c r="AQ4" i="7" s="1"/>
  <c r="AP4" i="5"/>
  <c r="AP4" i="7" s="1"/>
  <c r="AO4" i="5"/>
  <c r="AO4" i="7" s="1"/>
  <c r="AN4" i="5"/>
  <c r="AN4" i="7" s="1"/>
  <c r="AM4" i="5"/>
  <c r="AM4" i="7" s="1"/>
  <c r="AL4" i="5"/>
  <c r="AL4" i="7" s="1"/>
  <c r="AK4" i="5"/>
  <c r="AK4" i="7" s="1"/>
  <c r="AJ4" i="5"/>
  <c r="AJ4" i="7" s="1"/>
  <c r="AI4" i="5"/>
  <c r="AI4" i="7" s="1"/>
  <c r="AH4" i="5"/>
  <c r="AH4" i="7" s="1"/>
  <c r="AG4" i="5"/>
  <c r="AG4" i="7" s="1"/>
  <c r="AF4" i="5"/>
  <c r="AF4" i="7" s="1"/>
  <c r="AE4" i="5"/>
  <c r="AE4" i="7" s="1"/>
  <c r="AD4" i="5"/>
  <c r="AD4" i="7" s="1"/>
  <c r="AC4" i="5"/>
  <c r="AC4" i="7" s="1"/>
  <c r="AB4" i="5"/>
  <c r="AB4" i="7" s="1"/>
  <c r="AA4" i="5"/>
  <c r="AA4" i="7" s="1"/>
  <c r="Z4" i="5"/>
  <c r="Z4" i="7" s="1"/>
  <c r="Y4" i="5"/>
  <c r="Y4" i="7" s="1"/>
  <c r="X4" i="5"/>
  <c r="X4" i="7" s="1"/>
  <c r="W4" i="5"/>
  <c r="W4" i="7" s="1"/>
  <c r="V4" i="5"/>
  <c r="V4" i="7" s="1"/>
  <c r="U4" i="5"/>
  <c r="U4" i="7" s="1"/>
  <c r="T4" i="5"/>
  <c r="T4" i="7" s="1"/>
  <c r="S4" i="5"/>
  <c r="S4" i="7" s="1"/>
  <c r="R4" i="5"/>
  <c r="R4" i="7" s="1"/>
  <c r="Q4" i="5"/>
  <c r="Q4" i="7" s="1"/>
  <c r="P4" i="5"/>
  <c r="P4" i="7" s="1"/>
  <c r="O4" i="5"/>
  <c r="O4" i="7" s="1"/>
  <c r="N4" i="5"/>
  <c r="N4" i="7" s="1"/>
  <c r="M4" i="5"/>
  <c r="M4" i="7" s="1"/>
  <c r="L4" i="5"/>
  <c r="L4" i="7" s="1"/>
  <c r="K4" i="5"/>
  <c r="K4" i="7" s="1"/>
  <c r="J4" i="5"/>
  <c r="J4" i="7" s="1"/>
  <c r="I4" i="5"/>
  <c r="I4" i="7" s="1"/>
  <c r="H4" i="5"/>
  <c r="H4" i="7" s="1"/>
  <c r="G4" i="5"/>
  <c r="G4" i="7" s="1"/>
  <c r="F4" i="5"/>
  <c r="F4" i="7" s="1"/>
  <c r="E4" i="5"/>
  <c r="E4" i="7" s="1"/>
  <c r="D4" i="5"/>
  <c r="D4" i="7" s="1"/>
  <c r="C4" i="5"/>
  <c r="C4" i="7" s="1"/>
  <c r="B4" i="5"/>
  <c r="B4" i="7" s="1"/>
  <c r="DB3" i="5"/>
  <c r="DB3" i="7" s="1"/>
  <c r="DA3" i="5"/>
  <c r="DA3" i="7" s="1"/>
  <c r="CZ3" i="5"/>
  <c r="CZ3" i="7" s="1"/>
  <c r="CY3" i="5"/>
  <c r="CY3" i="7" s="1"/>
  <c r="CX3" i="5"/>
  <c r="CX3" i="7" s="1"/>
  <c r="CW3" i="5"/>
  <c r="CW3" i="7" s="1"/>
  <c r="CV3" i="5"/>
  <c r="CV3" i="7" s="1"/>
  <c r="CU3" i="5"/>
  <c r="CU3" i="7" s="1"/>
  <c r="CT3" i="5"/>
  <c r="CT3" i="7" s="1"/>
  <c r="CS3" i="5"/>
  <c r="CS3" i="7" s="1"/>
  <c r="CR3" i="5"/>
  <c r="CR3" i="7" s="1"/>
  <c r="CQ3" i="5"/>
  <c r="CQ3" i="7" s="1"/>
  <c r="CP3" i="5"/>
  <c r="CP3" i="7" s="1"/>
  <c r="CO3" i="5"/>
  <c r="CO3" i="7" s="1"/>
  <c r="CN3" i="5"/>
  <c r="CN3" i="7" s="1"/>
  <c r="CM3" i="5"/>
  <c r="CM3" i="7" s="1"/>
  <c r="CL3" i="5"/>
  <c r="CL3" i="7" s="1"/>
  <c r="CK3" i="5"/>
  <c r="CK3" i="7" s="1"/>
  <c r="CJ3" i="5"/>
  <c r="CJ3" i="7" s="1"/>
  <c r="CI3" i="5"/>
  <c r="CI3" i="7" s="1"/>
  <c r="CH3" i="5"/>
  <c r="CH3" i="7" s="1"/>
  <c r="CG3" i="5"/>
  <c r="CG3" i="7" s="1"/>
  <c r="CF3" i="5"/>
  <c r="CF3" i="7" s="1"/>
  <c r="CE3" i="5"/>
  <c r="CE3" i="7" s="1"/>
  <c r="CD3" i="5"/>
  <c r="CD3" i="7" s="1"/>
  <c r="CC3" i="5"/>
  <c r="CC3" i="7" s="1"/>
  <c r="CB3" i="5"/>
  <c r="CB3" i="7" s="1"/>
  <c r="CA3" i="5"/>
  <c r="CA3" i="7" s="1"/>
  <c r="BZ3" i="5"/>
  <c r="BZ3" i="7" s="1"/>
  <c r="BY3" i="5"/>
  <c r="BY3" i="7" s="1"/>
  <c r="BX3" i="5"/>
  <c r="BX3" i="7" s="1"/>
  <c r="BW3" i="5"/>
  <c r="BW3" i="7" s="1"/>
  <c r="BV3" i="5"/>
  <c r="BV3" i="7" s="1"/>
  <c r="BU3" i="5"/>
  <c r="BU3" i="7" s="1"/>
  <c r="BT3" i="5"/>
  <c r="BT3" i="7" s="1"/>
  <c r="BS3" i="5"/>
  <c r="BS3" i="7" s="1"/>
  <c r="BR3" i="5"/>
  <c r="BR3" i="7" s="1"/>
  <c r="BQ3" i="5"/>
  <c r="BQ3" i="7" s="1"/>
  <c r="BP3" i="5"/>
  <c r="BP3" i="7" s="1"/>
  <c r="BO3" i="5"/>
  <c r="BO3" i="7" s="1"/>
  <c r="BN3" i="5"/>
  <c r="BN3" i="7" s="1"/>
  <c r="BM3" i="5"/>
  <c r="BM3" i="7" s="1"/>
  <c r="BL3" i="5"/>
  <c r="BL3" i="7" s="1"/>
  <c r="BK3" i="5"/>
  <c r="BK3" i="7" s="1"/>
  <c r="BJ3" i="5"/>
  <c r="BJ3" i="7" s="1"/>
  <c r="BI3" i="5"/>
  <c r="BI3" i="7" s="1"/>
  <c r="BH3" i="5"/>
  <c r="BH3" i="7" s="1"/>
  <c r="BG3" i="5"/>
  <c r="BG3" i="7" s="1"/>
  <c r="BF3" i="5"/>
  <c r="BF3" i="7" s="1"/>
  <c r="BE3" i="5"/>
  <c r="BE3" i="7" s="1"/>
  <c r="BD3" i="5"/>
  <c r="BD3" i="7" s="1"/>
  <c r="BC3" i="5"/>
  <c r="BC3" i="7" s="1"/>
  <c r="BB3" i="5"/>
  <c r="BB3" i="7" s="1"/>
  <c r="BA3" i="5"/>
  <c r="BA3" i="7" s="1"/>
  <c r="AZ3" i="5"/>
  <c r="AZ3" i="7" s="1"/>
  <c r="AY3" i="5"/>
  <c r="AY3" i="7" s="1"/>
  <c r="AX3" i="5"/>
  <c r="AX3" i="7" s="1"/>
  <c r="AW3" i="5"/>
  <c r="AW3" i="7" s="1"/>
  <c r="AV3" i="5"/>
  <c r="AV3" i="7" s="1"/>
  <c r="AU3" i="5"/>
  <c r="AU3" i="7" s="1"/>
  <c r="AT3" i="5"/>
  <c r="AT3" i="7" s="1"/>
  <c r="AS3" i="5"/>
  <c r="AS3" i="7" s="1"/>
  <c r="AR3" i="5"/>
  <c r="AR3" i="7" s="1"/>
  <c r="AQ3" i="5"/>
  <c r="AQ3" i="7" s="1"/>
  <c r="AP3" i="5"/>
  <c r="AP3" i="7" s="1"/>
  <c r="AO3" i="5"/>
  <c r="AO3" i="7" s="1"/>
  <c r="AN3" i="5"/>
  <c r="AN3" i="7" s="1"/>
  <c r="AM3" i="5"/>
  <c r="AM3" i="7" s="1"/>
  <c r="AL3" i="5"/>
  <c r="AL3" i="7" s="1"/>
  <c r="AK3" i="5"/>
  <c r="AK3" i="7" s="1"/>
  <c r="AJ3" i="5"/>
  <c r="AJ3" i="7" s="1"/>
  <c r="AI3" i="5"/>
  <c r="AI3" i="7" s="1"/>
  <c r="AH3" i="5"/>
  <c r="AH3" i="7" s="1"/>
  <c r="AG3" i="5"/>
  <c r="AG3" i="7" s="1"/>
  <c r="AF3" i="5"/>
  <c r="AF3" i="7" s="1"/>
  <c r="AE3" i="5"/>
  <c r="AE3" i="7" s="1"/>
  <c r="AD3" i="5"/>
  <c r="AD3" i="7" s="1"/>
  <c r="AC3" i="5"/>
  <c r="AC3" i="7" s="1"/>
  <c r="AB3" i="5"/>
  <c r="AB3" i="7" s="1"/>
  <c r="AA3" i="5"/>
  <c r="AA3" i="7" s="1"/>
  <c r="Z3" i="5"/>
  <c r="Z3" i="7" s="1"/>
  <c r="Y3" i="5"/>
  <c r="Y3" i="7" s="1"/>
  <c r="X3" i="5"/>
  <c r="X3" i="7" s="1"/>
  <c r="W3" i="5"/>
  <c r="W3" i="7" s="1"/>
  <c r="V3" i="5"/>
  <c r="V3" i="7" s="1"/>
  <c r="U3" i="5"/>
  <c r="U3" i="7" s="1"/>
  <c r="T3" i="5"/>
  <c r="T3" i="7" s="1"/>
  <c r="S3" i="5"/>
  <c r="S3" i="7" s="1"/>
  <c r="R3" i="5"/>
  <c r="R3" i="7" s="1"/>
  <c r="Q3" i="5"/>
  <c r="Q3" i="7" s="1"/>
  <c r="P3" i="5"/>
  <c r="P3" i="7" s="1"/>
  <c r="O3" i="5"/>
  <c r="O3" i="7" s="1"/>
  <c r="N3" i="5"/>
  <c r="N3" i="7" s="1"/>
  <c r="M3" i="5"/>
  <c r="M3" i="7" s="1"/>
  <c r="L3" i="5"/>
  <c r="L3" i="7" s="1"/>
  <c r="K3" i="5"/>
  <c r="K3" i="7" s="1"/>
  <c r="J3" i="5"/>
  <c r="J3" i="7" s="1"/>
  <c r="I3" i="5"/>
  <c r="I3" i="7" s="1"/>
  <c r="H3" i="5"/>
  <c r="H3" i="7" s="1"/>
  <c r="G3" i="5"/>
  <c r="G3" i="7" s="1"/>
  <c r="F3" i="5"/>
  <c r="F3" i="7" s="1"/>
  <c r="E3" i="5"/>
  <c r="E3" i="7" s="1"/>
  <c r="D3" i="5"/>
  <c r="D3" i="7" s="1"/>
  <c r="C3" i="5"/>
  <c r="C3" i="7" s="1"/>
  <c r="B3" i="5"/>
  <c r="B3" i="7" s="1"/>
  <c r="E22" i="4"/>
  <c r="C22" i="4"/>
  <c r="B22" i="4"/>
  <c r="D22" i="4" s="1"/>
  <c r="C21" i="4"/>
  <c r="E21" i="4" s="1"/>
  <c r="B21" i="4"/>
  <c r="D21" i="4" s="1"/>
  <c r="E20" i="4"/>
  <c r="C20" i="4"/>
  <c r="B20" i="4"/>
  <c r="D20" i="4" s="1"/>
  <c r="C19" i="4"/>
  <c r="E19" i="4" s="1"/>
  <c r="B19" i="4"/>
  <c r="D19" i="4" s="1"/>
  <c r="E18" i="4"/>
  <c r="C18" i="4"/>
  <c r="B18" i="4"/>
  <c r="D18" i="4" s="1"/>
  <c r="C17" i="4"/>
  <c r="E17" i="4" s="1"/>
  <c r="B17" i="4"/>
  <c r="D17" i="4" s="1"/>
  <c r="E16" i="4"/>
  <c r="C16" i="4"/>
  <c r="B16" i="4"/>
  <c r="D16" i="4" s="1"/>
  <c r="C15" i="4"/>
  <c r="E15" i="4" s="1"/>
  <c r="B15" i="4"/>
  <c r="D15" i="4" s="1"/>
  <c r="E14" i="4"/>
  <c r="C14" i="4"/>
  <c r="B14" i="4"/>
  <c r="D14" i="4" s="1"/>
  <c r="C13" i="4"/>
  <c r="E13" i="4" s="1"/>
  <c r="B13" i="4"/>
  <c r="D13" i="4" s="1"/>
  <c r="E12" i="4"/>
  <c r="C12" i="4"/>
  <c r="B12" i="4"/>
  <c r="D12" i="4" s="1"/>
  <c r="F5" i="6" l="1"/>
  <c r="M7" i="6"/>
  <c r="N7" i="6" s="1"/>
  <c r="K7" i="6"/>
  <c r="L7" i="6" s="1"/>
  <c r="Q7" i="6"/>
  <c r="R7" i="6" s="1"/>
  <c r="I7" i="6"/>
  <c r="J7" i="6" s="1"/>
  <c r="O7" i="6"/>
  <c r="P7" i="6" s="1"/>
  <c r="G7" i="6"/>
  <c r="H7" i="6" s="1"/>
  <c r="K26" i="6"/>
  <c r="L26" i="6" s="1"/>
  <c r="Q26" i="6"/>
  <c r="R26" i="6" s="1"/>
  <c r="I26" i="6"/>
  <c r="J26" i="6" s="1"/>
  <c r="O26" i="6"/>
  <c r="P26" i="6" s="1"/>
  <c r="G26" i="6"/>
  <c r="H26" i="6" s="1"/>
  <c r="M26" i="6"/>
  <c r="N26" i="6" s="1"/>
  <c r="K36" i="6"/>
  <c r="L36" i="6" s="1"/>
  <c r="I36" i="6"/>
  <c r="J36" i="6" s="1"/>
  <c r="Q36" i="6"/>
  <c r="R36" i="6" s="1"/>
  <c r="G36" i="6"/>
  <c r="H36" i="6" s="1"/>
  <c r="O36" i="6"/>
  <c r="P36" i="6" s="1"/>
  <c r="M36" i="6"/>
  <c r="N36" i="6" s="1"/>
  <c r="M38" i="6"/>
  <c r="N38" i="6" s="1"/>
  <c r="K38" i="6"/>
  <c r="L38" i="6" s="1"/>
  <c r="I38" i="6"/>
  <c r="J38" i="6" s="1"/>
  <c r="Q38" i="6"/>
  <c r="R38" i="6" s="1"/>
  <c r="G38" i="6"/>
  <c r="H38" i="6" s="1"/>
  <c r="O38" i="6"/>
  <c r="P38" i="6" s="1"/>
  <c r="O40" i="6"/>
  <c r="P40" i="6" s="1"/>
  <c r="M40" i="6"/>
  <c r="N40" i="6" s="1"/>
  <c r="K40" i="6"/>
  <c r="L40" i="6" s="1"/>
  <c r="I40" i="6"/>
  <c r="J40" i="6" s="1"/>
  <c r="Q40" i="6"/>
  <c r="R40" i="6" s="1"/>
  <c r="G40" i="6"/>
  <c r="H40" i="6" s="1"/>
  <c r="K69" i="6"/>
  <c r="L69" i="6" s="1"/>
  <c r="M69" i="6"/>
  <c r="N69" i="6" s="1"/>
  <c r="I69" i="6"/>
  <c r="J69" i="6" s="1"/>
  <c r="Q69" i="6"/>
  <c r="R69" i="6" s="1"/>
  <c r="G69" i="6"/>
  <c r="H69" i="6" s="1"/>
  <c r="O69" i="6"/>
  <c r="P69" i="6" s="1"/>
  <c r="K92" i="6"/>
  <c r="L92" i="6" s="1"/>
  <c r="I92" i="6"/>
  <c r="J92" i="6" s="1"/>
  <c r="Q92" i="6"/>
  <c r="R92" i="6" s="1"/>
  <c r="G92" i="6"/>
  <c r="H92" i="6" s="1"/>
  <c r="O92" i="6"/>
  <c r="P92" i="6" s="1"/>
  <c r="M92" i="6"/>
  <c r="N92" i="6" s="1"/>
  <c r="M94" i="6"/>
  <c r="N94" i="6" s="1"/>
  <c r="K94" i="6"/>
  <c r="L94" i="6" s="1"/>
  <c r="I94" i="6"/>
  <c r="J94" i="6" s="1"/>
  <c r="Q94" i="6"/>
  <c r="R94" i="6" s="1"/>
  <c r="G94" i="6"/>
  <c r="H94" i="6" s="1"/>
  <c r="O94" i="6"/>
  <c r="P94" i="6" s="1"/>
  <c r="K104" i="6"/>
  <c r="L104" i="6" s="1"/>
  <c r="I104" i="6"/>
  <c r="J104" i="6" s="1"/>
  <c r="G104" i="6"/>
  <c r="H104" i="6" s="1"/>
  <c r="Q104" i="6"/>
  <c r="R104" i="6" s="1"/>
  <c r="O104" i="6"/>
  <c r="P104" i="6" s="1"/>
  <c r="M104" i="6"/>
  <c r="N104" i="6" s="1"/>
  <c r="K106" i="6"/>
  <c r="L106" i="6" s="1"/>
  <c r="Q106" i="6"/>
  <c r="R106" i="6" s="1"/>
  <c r="I106" i="6"/>
  <c r="J106" i="6" s="1"/>
  <c r="O106" i="6"/>
  <c r="P106" i="6" s="1"/>
  <c r="M106" i="6"/>
  <c r="N106" i="6" s="1"/>
  <c r="G106" i="6"/>
  <c r="H106" i="6" s="1"/>
  <c r="K17" i="6"/>
  <c r="L17" i="6" s="1"/>
  <c r="Q17" i="6"/>
  <c r="R17" i="6" s="1"/>
  <c r="I17" i="6"/>
  <c r="J17" i="6" s="1"/>
  <c r="O17" i="6"/>
  <c r="P17" i="6" s="1"/>
  <c r="G17" i="6"/>
  <c r="H17" i="6" s="1"/>
  <c r="M17" i="6"/>
  <c r="N17" i="6" s="1"/>
  <c r="O21" i="6"/>
  <c r="P21" i="6" s="1"/>
  <c r="G21" i="6"/>
  <c r="H21" i="6" s="1"/>
  <c r="M21" i="6"/>
  <c r="N21" i="6" s="1"/>
  <c r="K21" i="6"/>
  <c r="L21" i="6" s="1"/>
  <c r="Q21" i="6"/>
  <c r="R21" i="6" s="1"/>
  <c r="I21" i="6"/>
  <c r="J21" i="6" s="1"/>
  <c r="M27" i="6"/>
  <c r="N27" i="6" s="1"/>
  <c r="I27" i="6"/>
  <c r="J27" i="6" s="1"/>
  <c r="Q27" i="6"/>
  <c r="R27" i="6" s="1"/>
  <c r="G27" i="6"/>
  <c r="H27" i="6" s="1"/>
  <c r="O27" i="6"/>
  <c r="P27" i="6" s="1"/>
  <c r="K27" i="6"/>
  <c r="L27" i="6" s="1"/>
  <c r="K45" i="6"/>
  <c r="L45" i="6" s="1"/>
  <c r="M45" i="6"/>
  <c r="N45" i="6" s="1"/>
  <c r="I45" i="6"/>
  <c r="J45" i="6" s="1"/>
  <c r="Q45" i="6"/>
  <c r="R45" i="6" s="1"/>
  <c r="G45" i="6"/>
  <c r="H45" i="6" s="1"/>
  <c r="O45" i="6"/>
  <c r="P45" i="6" s="1"/>
  <c r="I66" i="6"/>
  <c r="J66" i="6" s="1"/>
  <c r="Q66" i="6"/>
  <c r="R66" i="6" s="1"/>
  <c r="G66" i="6"/>
  <c r="H66" i="6" s="1"/>
  <c r="O66" i="6"/>
  <c r="P66" i="6" s="1"/>
  <c r="M66" i="6"/>
  <c r="N66" i="6" s="1"/>
  <c r="K66" i="6"/>
  <c r="L66" i="6" s="1"/>
  <c r="K76" i="6"/>
  <c r="L76" i="6" s="1"/>
  <c r="I76" i="6"/>
  <c r="J76" i="6" s="1"/>
  <c r="Q76" i="6"/>
  <c r="R76" i="6" s="1"/>
  <c r="G76" i="6"/>
  <c r="H76" i="6" s="1"/>
  <c r="O76" i="6"/>
  <c r="P76" i="6" s="1"/>
  <c r="M76" i="6"/>
  <c r="N76" i="6" s="1"/>
  <c r="M78" i="6"/>
  <c r="N78" i="6" s="1"/>
  <c r="K78" i="6"/>
  <c r="L78" i="6" s="1"/>
  <c r="I78" i="6"/>
  <c r="J78" i="6" s="1"/>
  <c r="Q78" i="6"/>
  <c r="R78" i="6" s="1"/>
  <c r="G78" i="6"/>
  <c r="H78" i="6" s="1"/>
  <c r="O78" i="6"/>
  <c r="P78" i="6" s="1"/>
  <c r="O80" i="6"/>
  <c r="P80" i="6" s="1"/>
  <c r="M80" i="6"/>
  <c r="N80" i="6" s="1"/>
  <c r="K80" i="6"/>
  <c r="L80" i="6" s="1"/>
  <c r="I80" i="6"/>
  <c r="J80" i="6" s="1"/>
  <c r="Q80" i="6"/>
  <c r="R80" i="6" s="1"/>
  <c r="G80" i="6"/>
  <c r="H80" i="6" s="1"/>
  <c r="Q95" i="6"/>
  <c r="R95" i="6" s="1"/>
  <c r="I95" i="6"/>
  <c r="J95" i="6" s="1"/>
  <c r="M95" i="6"/>
  <c r="N95" i="6" s="1"/>
  <c r="K95" i="6"/>
  <c r="L95" i="6" s="1"/>
  <c r="G95" i="6"/>
  <c r="H95" i="6" s="1"/>
  <c r="O95" i="6"/>
  <c r="P95" i="6" s="1"/>
  <c r="K10" i="6"/>
  <c r="L10" i="6" s="1"/>
  <c r="Q10" i="6"/>
  <c r="R10" i="6" s="1"/>
  <c r="I10" i="6"/>
  <c r="J10" i="6" s="1"/>
  <c r="O10" i="6"/>
  <c r="P10" i="6" s="1"/>
  <c r="G10" i="6"/>
  <c r="H10" i="6" s="1"/>
  <c r="M10" i="6"/>
  <c r="N10" i="6" s="1"/>
  <c r="I42" i="6"/>
  <c r="J42" i="6" s="1"/>
  <c r="Q42" i="6"/>
  <c r="R42" i="6" s="1"/>
  <c r="G42" i="6"/>
  <c r="H42" i="6" s="1"/>
  <c r="O42" i="6"/>
  <c r="P42" i="6" s="1"/>
  <c r="M42" i="6"/>
  <c r="N42" i="6" s="1"/>
  <c r="K42" i="6"/>
  <c r="L42" i="6" s="1"/>
  <c r="K52" i="6"/>
  <c r="L52" i="6" s="1"/>
  <c r="I52" i="6"/>
  <c r="J52" i="6" s="1"/>
  <c r="Q52" i="6"/>
  <c r="R52" i="6" s="1"/>
  <c r="G52" i="6"/>
  <c r="H52" i="6" s="1"/>
  <c r="O52" i="6"/>
  <c r="P52" i="6" s="1"/>
  <c r="M52" i="6"/>
  <c r="N52" i="6" s="1"/>
  <c r="M54" i="6"/>
  <c r="N54" i="6" s="1"/>
  <c r="K54" i="6"/>
  <c r="L54" i="6" s="1"/>
  <c r="I54" i="6"/>
  <c r="J54" i="6" s="1"/>
  <c r="Q54" i="6"/>
  <c r="R54" i="6" s="1"/>
  <c r="G54" i="6"/>
  <c r="H54" i="6" s="1"/>
  <c r="O54" i="6"/>
  <c r="P54" i="6" s="1"/>
  <c r="O56" i="6"/>
  <c r="P56" i="6" s="1"/>
  <c r="M56" i="6"/>
  <c r="N56" i="6" s="1"/>
  <c r="K56" i="6"/>
  <c r="L56" i="6" s="1"/>
  <c r="I56" i="6"/>
  <c r="J56" i="6" s="1"/>
  <c r="Q56" i="6"/>
  <c r="R56" i="6" s="1"/>
  <c r="G56" i="6"/>
  <c r="H56" i="6" s="1"/>
  <c r="K85" i="6"/>
  <c r="L85" i="6" s="1"/>
  <c r="M85" i="6"/>
  <c r="N85" i="6" s="1"/>
  <c r="I85" i="6"/>
  <c r="J85" i="6" s="1"/>
  <c r="Q85" i="6"/>
  <c r="R85" i="6" s="1"/>
  <c r="G85" i="6"/>
  <c r="H85" i="6" s="1"/>
  <c r="O85" i="6"/>
  <c r="P85" i="6" s="1"/>
  <c r="K100" i="6"/>
  <c r="L100" i="6" s="1"/>
  <c r="I100" i="6"/>
  <c r="J100" i="6" s="1"/>
  <c r="Q100" i="6"/>
  <c r="R100" i="6" s="1"/>
  <c r="G100" i="6"/>
  <c r="H100" i="6" s="1"/>
  <c r="O100" i="6"/>
  <c r="P100" i="6" s="1"/>
  <c r="M100" i="6"/>
  <c r="N100" i="6" s="1"/>
  <c r="M102" i="6"/>
  <c r="N102" i="6" s="1"/>
  <c r="K102" i="6"/>
  <c r="L102" i="6" s="1"/>
  <c r="I102" i="6"/>
  <c r="J102" i="6" s="1"/>
  <c r="Q102" i="6"/>
  <c r="R102" i="6" s="1"/>
  <c r="G102" i="6"/>
  <c r="H102" i="6" s="1"/>
  <c r="O102" i="6"/>
  <c r="P102" i="6" s="1"/>
  <c r="Q11" i="6"/>
  <c r="R11" i="6" s="1"/>
  <c r="I11" i="6"/>
  <c r="J11" i="6" s="1"/>
  <c r="O11" i="6"/>
  <c r="P11" i="6" s="1"/>
  <c r="G11" i="6"/>
  <c r="H11" i="6" s="1"/>
  <c r="M11" i="6"/>
  <c r="N11" i="6" s="1"/>
  <c r="K11" i="6"/>
  <c r="L11" i="6" s="1"/>
  <c r="M15" i="6"/>
  <c r="N15" i="6" s="1"/>
  <c r="K15" i="6"/>
  <c r="L15" i="6" s="1"/>
  <c r="Q15" i="6"/>
  <c r="R15" i="6" s="1"/>
  <c r="I15" i="6"/>
  <c r="J15" i="6" s="1"/>
  <c r="O15" i="6"/>
  <c r="P15" i="6" s="1"/>
  <c r="G15" i="6"/>
  <c r="H15" i="6" s="1"/>
  <c r="K28" i="6"/>
  <c r="L28" i="6" s="1"/>
  <c r="I28" i="6"/>
  <c r="J28" i="6" s="1"/>
  <c r="Q28" i="6"/>
  <c r="R28" i="6" s="1"/>
  <c r="G28" i="6"/>
  <c r="H28" i="6" s="1"/>
  <c r="O28" i="6"/>
  <c r="P28" i="6" s="1"/>
  <c r="M28" i="6"/>
  <c r="N28" i="6" s="1"/>
  <c r="M30" i="6"/>
  <c r="N30" i="6" s="1"/>
  <c r="K30" i="6"/>
  <c r="L30" i="6" s="1"/>
  <c r="I30" i="6"/>
  <c r="J30" i="6" s="1"/>
  <c r="Q30" i="6"/>
  <c r="R30" i="6" s="1"/>
  <c r="G30" i="6"/>
  <c r="H30" i="6" s="1"/>
  <c r="O30" i="6"/>
  <c r="P30" i="6" s="1"/>
  <c r="O32" i="6"/>
  <c r="P32" i="6" s="1"/>
  <c r="M32" i="6"/>
  <c r="N32" i="6" s="1"/>
  <c r="K32" i="6"/>
  <c r="L32" i="6" s="1"/>
  <c r="I32" i="6"/>
  <c r="J32" i="6" s="1"/>
  <c r="Q32" i="6"/>
  <c r="R32" i="6" s="1"/>
  <c r="G32" i="6"/>
  <c r="H32" i="6" s="1"/>
  <c r="K61" i="6"/>
  <c r="L61" i="6" s="1"/>
  <c r="M61" i="6"/>
  <c r="N61" i="6" s="1"/>
  <c r="I61" i="6"/>
  <c r="J61" i="6" s="1"/>
  <c r="Q61" i="6"/>
  <c r="R61" i="6" s="1"/>
  <c r="G61" i="6"/>
  <c r="H61" i="6" s="1"/>
  <c r="O61" i="6"/>
  <c r="P61" i="6" s="1"/>
  <c r="I82" i="6"/>
  <c r="J82" i="6" s="1"/>
  <c r="Q82" i="6"/>
  <c r="R82" i="6" s="1"/>
  <c r="G82" i="6"/>
  <c r="H82" i="6" s="1"/>
  <c r="O82" i="6"/>
  <c r="P82" i="6" s="1"/>
  <c r="M82" i="6"/>
  <c r="N82" i="6" s="1"/>
  <c r="K82" i="6"/>
  <c r="L82" i="6" s="1"/>
  <c r="O88" i="6"/>
  <c r="P88" i="6" s="1"/>
  <c r="M88" i="6"/>
  <c r="N88" i="6" s="1"/>
  <c r="K88" i="6"/>
  <c r="L88" i="6" s="1"/>
  <c r="I88" i="6"/>
  <c r="J88" i="6" s="1"/>
  <c r="Q88" i="6"/>
  <c r="R88" i="6" s="1"/>
  <c r="G88" i="6"/>
  <c r="H88" i="6" s="1"/>
  <c r="K107" i="6"/>
  <c r="L107" i="6" s="1"/>
  <c r="Q107" i="6"/>
  <c r="R107" i="6" s="1"/>
  <c r="I107" i="6"/>
  <c r="J107" i="6" s="1"/>
  <c r="O107" i="6"/>
  <c r="P107" i="6" s="1"/>
  <c r="G107" i="6"/>
  <c r="H107" i="6" s="1"/>
  <c r="M107" i="6"/>
  <c r="N107" i="6" s="1"/>
  <c r="K25" i="6"/>
  <c r="L25" i="6" s="1"/>
  <c r="Q25" i="6"/>
  <c r="R25" i="6" s="1"/>
  <c r="I25" i="6"/>
  <c r="J25" i="6" s="1"/>
  <c r="O25" i="6"/>
  <c r="P25" i="6" s="1"/>
  <c r="G25" i="6"/>
  <c r="H25" i="6" s="1"/>
  <c r="M25" i="6"/>
  <c r="N25" i="6" s="1"/>
  <c r="K37" i="6"/>
  <c r="L37" i="6" s="1"/>
  <c r="M37" i="6"/>
  <c r="N37" i="6" s="1"/>
  <c r="I37" i="6"/>
  <c r="J37" i="6" s="1"/>
  <c r="Q37" i="6"/>
  <c r="R37" i="6" s="1"/>
  <c r="G37" i="6"/>
  <c r="H37" i="6" s="1"/>
  <c r="O37" i="6"/>
  <c r="P37" i="6" s="1"/>
  <c r="I58" i="6"/>
  <c r="J58" i="6" s="1"/>
  <c r="Q58" i="6"/>
  <c r="R58" i="6" s="1"/>
  <c r="G58" i="6"/>
  <c r="H58" i="6" s="1"/>
  <c r="O58" i="6"/>
  <c r="P58" i="6" s="1"/>
  <c r="M58" i="6"/>
  <c r="N58" i="6" s="1"/>
  <c r="K58" i="6"/>
  <c r="L58" i="6" s="1"/>
  <c r="K68" i="6"/>
  <c r="L68" i="6" s="1"/>
  <c r="I68" i="6"/>
  <c r="J68" i="6" s="1"/>
  <c r="Q68" i="6"/>
  <c r="R68" i="6" s="1"/>
  <c r="G68" i="6"/>
  <c r="H68" i="6" s="1"/>
  <c r="O68" i="6"/>
  <c r="P68" i="6" s="1"/>
  <c r="M68" i="6"/>
  <c r="N68" i="6" s="1"/>
  <c r="M70" i="6"/>
  <c r="N70" i="6" s="1"/>
  <c r="K70" i="6"/>
  <c r="L70" i="6" s="1"/>
  <c r="I70" i="6"/>
  <c r="J70" i="6" s="1"/>
  <c r="Q70" i="6"/>
  <c r="R70" i="6" s="1"/>
  <c r="G70" i="6"/>
  <c r="H70" i="6" s="1"/>
  <c r="O70" i="6"/>
  <c r="P70" i="6" s="1"/>
  <c r="O72" i="6"/>
  <c r="P72" i="6" s="1"/>
  <c r="M72" i="6"/>
  <c r="N72" i="6" s="1"/>
  <c r="K72" i="6"/>
  <c r="L72" i="6" s="1"/>
  <c r="I72" i="6"/>
  <c r="J72" i="6" s="1"/>
  <c r="Q72" i="6"/>
  <c r="R72" i="6" s="1"/>
  <c r="G72" i="6"/>
  <c r="H72" i="6" s="1"/>
  <c r="K93" i="6"/>
  <c r="L93" i="6" s="1"/>
  <c r="M93" i="6"/>
  <c r="N93" i="6" s="1"/>
  <c r="I93" i="6"/>
  <c r="J93" i="6" s="1"/>
  <c r="Q93" i="6"/>
  <c r="R93" i="6" s="1"/>
  <c r="G93" i="6"/>
  <c r="H93" i="6" s="1"/>
  <c r="O93" i="6"/>
  <c r="P93" i="6" s="1"/>
  <c r="Q108" i="6"/>
  <c r="R108" i="6" s="1"/>
  <c r="I108" i="6"/>
  <c r="J108" i="6" s="1"/>
  <c r="O108" i="6"/>
  <c r="P108" i="6" s="1"/>
  <c r="G108" i="6"/>
  <c r="H108" i="6" s="1"/>
  <c r="K108" i="6"/>
  <c r="L108" i="6" s="1"/>
  <c r="M108" i="6"/>
  <c r="N108" i="6" s="1"/>
  <c r="K18" i="6"/>
  <c r="L18" i="6" s="1"/>
  <c r="Q18" i="6"/>
  <c r="R18" i="6" s="1"/>
  <c r="I18" i="6"/>
  <c r="J18" i="6" s="1"/>
  <c r="O18" i="6"/>
  <c r="P18" i="6" s="1"/>
  <c r="G18" i="6"/>
  <c r="H18" i="6" s="1"/>
  <c r="M18" i="6"/>
  <c r="N18" i="6" s="1"/>
  <c r="I34" i="6"/>
  <c r="J34" i="6" s="1"/>
  <c r="Q34" i="6"/>
  <c r="R34" i="6" s="1"/>
  <c r="G34" i="6"/>
  <c r="H34" i="6" s="1"/>
  <c r="O34" i="6"/>
  <c r="P34" i="6" s="1"/>
  <c r="M34" i="6"/>
  <c r="N34" i="6" s="1"/>
  <c r="K34" i="6"/>
  <c r="L34" i="6" s="1"/>
  <c r="K44" i="6"/>
  <c r="L44" i="6" s="1"/>
  <c r="I44" i="6"/>
  <c r="J44" i="6" s="1"/>
  <c r="Q44" i="6"/>
  <c r="R44" i="6" s="1"/>
  <c r="G44" i="6"/>
  <c r="H44" i="6" s="1"/>
  <c r="O44" i="6"/>
  <c r="P44" i="6" s="1"/>
  <c r="M44" i="6"/>
  <c r="N44" i="6" s="1"/>
  <c r="M46" i="6"/>
  <c r="N46" i="6" s="1"/>
  <c r="K46" i="6"/>
  <c r="L46" i="6" s="1"/>
  <c r="I46" i="6"/>
  <c r="J46" i="6" s="1"/>
  <c r="Q46" i="6"/>
  <c r="R46" i="6" s="1"/>
  <c r="G46" i="6"/>
  <c r="H46" i="6" s="1"/>
  <c r="O46" i="6"/>
  <c r="P46" i="6" s="1"/>
  <c r="O48" i="6"/>
  <c r="P48" i="6" s="1"/>
  <c r="M48" i="6"/>
  <c r="N48" i="6" s="1"/>
  <c r="K48" i="6"/>
  <c r="L48" i="6" s="1"/>
  <c r="I48" i="6"/>
  <c r="J48" i="6" s="1"/>
  <c r="Q48" i="6"/>
  <c r="R48" i="6" s="1"/>
  <c r="G48" i="6"/>
  <c r="H48" i="6" s="1"/>
  <c r="K77" i="6"/>
  <c r="L77" i="6" s="1"/>
  <c r="M77" i="6"/>
  <c r="N77" i="6" s="1"/>
  <c r="I77" i="6"/>
  <c r="J77" i="6" s="1"/>
  <c r="Q77" i="6"/>
  <c r="R77" i="6" s="1"/>
  <c r="G77" i="6"/>
  <c r="H77" i="6" s="1"/>
  <c r="O77" i="6"/>
  <c r="P77" i="6" s="1"/>
  <c r="E83" i="6"/>
  <c r="F83" i="6" s="1"/>
  <c r="I90" i="6"/>
  <c r="J90" i="6" s="1"/>
  <c r="Q90" i="6"/>
  <c r="R90" i="6" s="1"/>
  <c r="G90" i="6"/>
  <c r="H90" i="6" s="1"/>
  <c r="O90" i="6"/>
  <c r="P90" i="6" s="1"/>
  <c r="M90" i="6"/>
  <c r="N90" i="6" s="1"/>
  <c r="K90" i="6"/>
  <c r="L90" i="6" s="1"/>
  <c r="O96" i="6"/>
  <c r="P96" i="6" s="1"/>
  <c r="M96" i="6"/>
  <c r="N96" i="6" s="1"/>
  <c r="K96" i="6"/>
  <c r="L96" i="6" s="1"/>
  <c r="I96" i="6"/>
  <c r="J96" i="6" s="1"/>
  <c r="Q96" i="6"/>
  <c r="R96" i="6" s="1"/>
  <c r="G96" i="6"/>
  <c r="H96" i="6" s="1"/>
  <c r="K103" i="6"/>
  <c r="L103" i="6" s="1"/>
  <c r="Q103" i="6"/>
  <c r="R103" i="6" s="1"/>
  <c r="I103" i="6"/>
  <c r="J103" i="6" s="1"/>
  <c r="G103" i="6"/>
  <c r="H103" i="6" s="1"/>
  <c r="O103" i="6"/>
  <c r="P103" i="6" s="1"/>
  <c r="M103" i="6"/>
  <c r="N103" i="6" s="1"/>
  <c r="K9" i="6"/>
  <c r="L9" i="6" s="1"/>
  <c r="Q9" i="6"/>
  <c r="R9" i="6" s="1"/>
  <c r="I9" i="6"/>
  <c r="J9" i="6" s="1"/>
  <c r="O9" i="6"/>
  <c r="P9" i="6" s="1"/>
  <c r="G9" i="6"/>
  <c r="H9" i="6" s="1"/>
  <c r="M9" i="6"/>
  <c r="N9" i="6" s="1"/>
  <c r="O13" i="6"/>
  <c r="P13" i="6" s="1"/>
  <c r="G13" i="6"/>
  <c r="H13" i="6" s="1"/>
  <c r="M13" i="6"/>
  <c r="N13" i="6" s="1"/>
  <c r="K13" i="6"/>
  <c r="L13" i="6" s="1"/>
  <c r="Q13" i="6"/>
  <c r="R13" i="6" s="1"/>
  <c r="I13" i="6"/>
  <c r="J13" i="6" s="1"/>
  <c r="Q19" i="6"/>
  <c r="R19" i="6" s="1"/>
  <c r="I19" i="6"/>
  <c r="J19" i="6" s="1"/>
  <c r="O19" i="6"/>
  <c r="P19" i="6" s="1"/>
  <c r="G19" i="6"/>
  <c r="H19" i="6" s="1"/>
  <c r="M19" i="6"/>
  <c r="N19" i="6" s="1"/>
  <c r="K19" i="6"/>
  <c r="L19" i="6" s="1"/>
  <c r="M23" i="6"/>
  <c r="N23" i="6" s="1"/>
  <c r="K23" i="6"/>
  <c r="L23" i="6" s="1"/>
  <c r="Q23" i="6"/>
  <c r="R23" i="6" s="1"/>
  <c r="I23" i="6"/>
  <c r="J23" i="6" s="1"/>
  <c r="O23" i="6"/>
  <c r="P23" i="6" s="1"/>
  <c r="G23" i="6"/>
  <c r="H23" i="6" s="1"/>
  <c r="K53" i="6"/>
  <c r="L53" i="6" s="1"/>
  <c r="M53" i="6"/>
  <c r="N53" i="6" s="1"/>
  <c r="I53" i="6"/>
  <c r="J53" i="6" s="1"/>
  <c r="Q53" i="6"/>
  <c r="R53" i="6" s="1"/>
  <c r="G53" i="6"/>
  <c r="H53" i="6" s="1"/>
  <c r="O53" i="6"/>
  <c r="P53" i="6" s="1"/>
  <c r="I74" i="6"/>
  <c r="J74" i="6" s="1"/>
  <c r="Q74" i="6"/>
  <c r="R74" i="6" s="1"/>
  <c r="G74" i="6"/>
  <c r="H74" i="6" s="1"/>
  <c r="O74" i="6"/>
  <c r="P74" i="6" s="1"/>
  <c r="M74" i="6"/>
  <c r="N74" i="6" s="1"/>
  <c r="K74" i="6"/>
  <c r="L74" i="6" s="1"/>
  <c r="K84" i="6"/>
  <c r="L84" i="6" s="1"/>
  <c r="I84" i="6"/>
  <c r="J84" i="6" s="1"/>
  <c r="Q84" i="6"/>
  <c r="R84" i="6" s="1"/>
  <c r="G84" i="6"/>
  <c r="H84" i="6" s="1"/>
  <c r="O84" i="6"/>
  <c r="P84" i="6" s="1"/>
  <c r="M84" i="6"/>
  <c r="N84" i="6" s="1"/>
  <c r="M86" i="6"/>
  <c r="N86" i="6" s="1"/>
  <c r="K86" i="6"/>
  <c r="L86" i="6" s="1"/>
  <c r="I86" i="6"/>
  <c r="J86" i="6" s="1"/>
  <c r="Q86" i="6"/>
  <c r="R86" i="6" s="1"/>
  <c r="G86" i="6"/>
  <c r="H86" i="6" s="1"/>
  <c r="O86" i="6"/>
  <c r="P86" i="6" s="1"/>
  <c r="K101" i="6"/>
  <c r="L101" i="6" s="1"/>
  <c r="M101" i="6"/>
  <c r="N101" i="6" s="1"/>
  <c r="I101" i="6"/>
  <c r="J101" i="6" s="1"/>
  <c r="Q101" i="6"/>
  <c r="R101" i="6" s="1"/>
  <c r="G101" i="6"/>
  <c r="H101" i="6" s="1"/>
  <c r="O101" i="6"/>
  <c r="P101" i="6" s="1"/>
  <c r="K29" i="6"/>
  <c r="L29" i="6" s="1"/>
  <c r="M29" i="6"/>
  <c r="N29" i="6" s="1"/>
  <c r="I29" i="6"/>
  <c r="J29" i="6" s="1"/>
  <c r="Q29" i="6"/>
  <c r="R29" i="6" s="1"/>
  <c r="G29" i="6"/>
  <c r="H29" i="6" s="1"/>
  <c r="O29" i="6"/>
  <c r="P29" i="6" s="1"/>
  <c r="I50" i="6"/>
  <c r="J50" i="6" s="1"/>
  <c r="Q50" i="6"/>
  <c r="R50" i="6" s="1"/>
  <c r="G50" i="6"/>
  <c r="H50" i="6" s="1"/>
  <c r="O50" i="6"/>
  <c r="P50" i="6" s="1"/>
  <c r="M50" i="6"/>
  <c r="N50" i="6" s="1"/>
  <c r="K50" i="6"/>
  <c r="L50" i="6" s="1"/>
  <c r="K60" i="6"/>
  <c r="L60" i="6" s="1"/>
  <c r="I60" i="6"/>
  <c r="J60" i="6" s="1"/>
  <c r="Q60" i="6"/>
  <c r="R60" i="6" s="1"/>
  <c r="G60" i="6"/>
  <c r="H60" i="6" s="1"/>
  <c r="O60" i="6"/>
  <c r="P60" i="6" s="1"/>
  <c r="M60" i="6"/>
  <c r="N60" i="6" s="1"/>
  <c r="M62" i="6"/>
  <c r="N62" i="6" s="1"/>
  <c r="K62" i="6"/>
  <c r="L62" i="6" s="1"/>
  <c r="I62" i="6"/>
  <c r="J62" i="6" s="1"/>
  <c r="Q62" i="6"/>
  <c r="R62" i="6" s="1"/>
  <c r="G62" i="6"/>
  <c r="H62" i="6" s="1"/>
  <c r="O62" i="6"/>
  <c r="P62" i="6" s="1"/>
  <c r="O64" i="6"/>
  <c r="P64" i="6" s="1"/>
  <c r="M64" i="6"/>
  <c r="N64" i="6" s="1"/>
  <c r="K64" i="6"/>
  <c r="L64" i="6" s="1"/>
  <c r="I64" i="6"/>
  <c r="J64" i="6" s="1"/>
  <c r="Q64" i="6"/>
  <c r="R64" i="6" s="1"/>
  <c r="G64" i="6"/>
  <c r="H64" i="6" s="1"/>
  <c r="Q87" i="6"/>
  <c r="R87" i="6" s="1"/>
  <c r="I87" i="6"/>
  <c r="J87" i="6" s="1"/>
  <c r="M87" i="6"/>
  <c r="N87" i="6" s="1"/>
  <c r="K87" i="6"/>
  <c r="L87" i="6" s="1"/>
  <c r="G87" i="6"/>
  <c r="H87" i="6" s="1"/>
  <c r="O87" i="6"/>
  <c r="P87" i="6" s="1"/>
  <c r="I98" i="6"/>
  <c r="J98" i="6" s="1"/>
  <c r="Q98" i="6"/>
  <c r="R98" i="6" s="1"/>
  <c r="G98" i="6"/>
  <c r="H98" i="6" s="1"/>
  <c r="O98" i="6"/>
  <c r="P98" i="6" s="1"/>
  <c r="M98" i="6"/>
  <c r="N98" i="6" s="1"/>
  <c r="K98" i="6"/>
  <c r="L98" i="6" s="1"/>
  <c r="Q31" i="6"/>
  <c r="R31" i="6" s="1"/>
  <c r="I31" i="6"/>
  <c r="J31" i="6" s="1"/>
  <c r="O31" i="6"/>
  <c r="P31" i="6" s="1"/>
  <c r="Q39" i="6"/>
  <c r="R39" i="6" s="1"/>
  <c r="I39" i="6"/>
  <c r="J39" i="6" s="1"/>
  <c r="O39" i="6"/>
  <c r="P39" i="6" s="1"/>
  <c r="Q47" i="6"/>
  <c r="R47" i="6" s="1"/>
  <c r="I47" i="6"/>
  <c r="J47" i="6" s="1"/>
  <c r="O47" i="6"/>
  <c r="P47" i="6" s="1"/>
  <c r="Q55" i="6"/>
  <c r="R55" i="6" s="1"/>
  <c r="I55" i="6"/>
  <c r="J55" i="6" s="1"/>
  <c r="O55" i="6"/>
  <c r="P55" i="6" s="1"/>
  <c r="Q63" i="6"/>
  <c r="R63" i="6" s="1"/>
  <c r="I63" i="6"/>
  <c r="J63" i="6" s="1"/>
  <c r="O63" i="6"/>
  <c r="P63" i="6" s="1"/>
  <c r="Q71" i="6"/>
  <c r="R71" i="6" s="1"/>
  <c r="I71" i="6"/>
  <c r="J71" i="6" s="1"/>
  <c r="O71" i="6"/>
  <c r="P71" i="6" s="1"/>
  <c r="Q79" i="6"/>
  <c r="R79" i="6" s="1"/>
  <c r="I79" i="6"/>
  <c r="J79" i="6" s="1"/>
  <c r="O79" i="6"/>
  <c r="P79" i="6" s="1"/>
  <c r="K105" i="6"/>
  <c r="L105" i="6" s="1"/>
  <c r="Q105" i="6"/>
  <c r="R105" i="6" s="1"/>
  <c r="I105" i="6"/>
  <c r="J105" i="6" s="1"/>
  <c r="O105" i="6"/>
  <c r="P105" i="6" s="1"/>
  <c r="G105" i="6"/>
  <c r="H105" i="6" s="1"/>
  <c r="G8" i="6"/>
  <c r="H8" i="6" s="1"/>
  <c r="O8" i="6"/>
  <c r="P8" i="6" s="1"/>
  <c r="C12" i="6"/>
  <c r="E12" i="6" s="1"/>
  <c r="F12" i="6" s="1"/>
  <c r="G16" i="6"/>
  <c r="H16" i="6" s="1"/>
  <c r="O16" i="6"/>
  <c r="P16" i="6" s="1"/>
  <c r="C20" i="6"/>
  <c r="E20" i="6" s="1"/>
  <c r="F20" i="6" s="1"/>
  <c r="G24" i="6"/>
  <c r="H24" i="6" s="1"/>
  <c r="O24" i="6"/>
  <c r="P24" i="6" s="1"/>
  <c r="G31" i="6"/>
  <c r="H31" i="6" s="1"/>
  <c r="C35" i="6"/>
  <c r="E35" i="6" s="1"/>
  <c r="F35" i="6" s="1"/>
  <c r="G39" i="6"/>
  <c r="H39" i="6" s="1"/>
  <c r="C43" i="6"/>
  <c r="E43" i="6" s="1"/>
  <c r="F43" i="6" s="1"/>
  <c r="G47" i="6"/>
  <c r="H47" i="6" s="1"/>
  <c r="C51" i="6"/>
  <c r="E51" i="6" s="1"/>
  <c r="F51" i="6" s="1"/>
  <c r="G55" i="6"/>
  <c r="H55" i="6" s="1"/>
  <c r="C59" i="6"/>
  <c r="E59" i="6" s="1"/>
  <c r="F59" i="6" s="1"/>
  <c r="G63" i="6"/>
  <c r="H63" i="6" s="1"/>
  <c r="C67" i="6"/>
  <c r="E67" i="6" s="1"/>
  <c r="F67" i="6" s="1"/>
  <c r="G71" i="6"/>
  <c r="H71" i="6" s="1"/>
  <c r="C75" i="6"/>
  <c r="E75" i="6" s="1"/>
  <c r="F75" i="6" s="1"/>
  <c r="G79" i="6"/>
  <c r="H79" i="6" s="1"/>
  <c r="C83" i="6"/>
  <c r="C91" i="6"/>
  <c r="E91" i="6" s="1"/>
  <c r="F91" i="6" s="1"/>
  <c r="C99" i="6"/>
  <c r="E99" i="6" s="1"/>
  <c r="F99" i="6" s="1"/>
  <c r="Q109" i="6"/>
  <c r="R109" i="6" s="1"/>
  <c r="I109" i="6"/>
  <c r="J109" i="6" s="1"/>
  <c r="O109" i="6"/>
  <c r="P109" i="6" s="1"/>
  <c r="G109" i="6"/>
  <c r="H109" i="6" s="1"/>
  <c r="M109" i="6"/>
  <c r="N109" i="6" s="1"/>
  <c r="K109" i="6"/>
  <c r="L109" i="6" s="1"/>
  <c r="C6" i="6"/>
  <c r="E6" i="6" s="1"/>
  <c r="I8" i="6"/>
  <c r="J8" i="6" s="1"/>
  <c r="Q8" i="6"/>
  <c r="R8" i="6" s="1"/>
  <c r="C14" i="6"/>
  <c r="E14" i="6" s="1"/>
  <c r="F14" i="6" s="1"/>
  <c r="I16" i="6"/>
  <c r="J16" i="6" s="1"/>
  <c r="Q16" i="6"/>
  <c r="R16" i="6" s="1"/>
  <c r="C22" i="6"/>
  <c r="E22" i="6" s="1"/>
  <c r="F22" i="6" s="1"/>
  <c r="I24" i="6"/>
  <c r="J24" i="6" s="1"/>
  <c r="Q24" i="6"/>
  <c r="R24" i="6" s="1"/>
  <c r="C33" i="6"/>
  <c r="E33" i="6" s="1"/>
  <c r="F33" i="6" s="1"/>
  <c r="C41" i="6"/>
  <c r="E41" i="6" s="1"/>
  <c r="F41" i="6" s="1"/>
  <c r="C49" i="6"/>
  <c r="E49" i="6" s="1"/>
  <c r="F49" i="6" s="1"/>
  <c r="C57" i="6"/>
  <c r="E57" i="6" s="1"/>
  <c r="F57" i="6" s="1"/>
  <c r="C65" i="6"/>
  <c r="E65" i="6" s="1"/>
  <c r="F65" i="6" s="1"/>
  <c r="C73" i="6"/>
  <c r="E73" i="6" s="1"/>
  <c r="F73" i="6" s="1"/>
  <c r="C81" i="6"/>
  <c r="E81" i="6" s="1"/>
  <c r="F81" i="6" s="1"/>
  <c r="C89" i="6"/>
  <c r="E89" i="6" s="1"/>
  <c r="F89" i="6" s="1"/>
  <c r="C97" i="6"/>
  <c r="E97" i="6" s="1"/>
  <c r="F97" i="6" s="1"/>
  <c r="M105" i="6"/>
  <c r="N105" i="6" s="1"/>
  <c r="K31" i="6"/>
  <c r="L31" i="6" s="1"/>
  <c r="K39" i="6"/>
  <c r="L39" i="6" s="1"/>
  <c r="K47" i="6"/>
  <c r="L47" i="6" s="1"/>
  <c r="K55" i="6"/>
  <c r="L55" i="6" s="1"/>
  <c r="K63" i="6"/>
  <c r="L63" i="6" s="1"/>
  <c r="K71" i="6"/>
  <c r="L71" i="6" s="1"/>
  <c r="K79" i="6"/>
  <c r="L79" i="6" s="1"/>
  <c r="K8" i="6"/>
  <c r="L8" i="6" s="1"/>
  <c r="K16" i="6"/>
  <c r="L16" i="6" s="1"/>
  <c r="K24" i="6"/>
  <c r="L24" i="6" s="1"/>
  <c r="M31" i="6"/>
  <c r="N31" i="6" s="1"/>
  <c r="M39" i="6"/>
  <c r="N39" i="6" s="1"/>
  <c r="M47" i="6"/>
  <c r="N47" i="6" s="1"/>
  <c r="M55" i="6"/>
  <c r="N55" i="6" s="1"/>
  <c r="M63" i="6"/>
  <c r="N63" i="6" s="1"/>
  <c r="M71" i="6"/>
  <c r="N71" i="6" s="1"/>
  <c r="M79" i="6"/>
  <c r="N79" i="6" s="1"/>
  <c r="M99" i="6" l="1"/>
  <c r="N99" i="6" s="1"/>
  <c r="I99" i="6"/>
  <c r="J99" i="6" s="1"/>
  <c r="Q99" i="6"/>
  <c r="R99" i="6" s="1"/>
  <c r="G99" i="6"/>
  <c r="H99" i="6" s="1"/>
  <c r="O99" i="6"/>
  <c r="P99" i="6" s="1"/>
  <c r="K99" i="6"/>
  <c r="L99" i="6" s="1"/>
  <c r="M91" i="6"/>
  <c r="N91" i="6" s="1"/>
  <c r="I91" i="6"/>
  <c r="J91" i="6" s="1"/>
  <c r="Q91" i="6"/>
  <c r="R91" i="6" s="1"/>
  <c r="G91" i="6"/>
  <c r="H91" i="6" s="1"/>
  <c r="O91" i="6"/>
  <c r="P91" i="6" s="1"/>
  <c r="K91" i="6"/>
  <c r="L91" i="6" s="1"/>
  <c r="Q20" i="6"/>
  <c r="R20" i="6" s="1"/>
  <c r="I20" i="6"/>
  <c r="J20" i="6" s="1"/>
  <c r="O20" i="6"/>
  <c r="P20" i="6" s="1"/>
  <c r="G20" i="6"/>
  <c r="H20" i="6" s="1"/>
  <c r="M20" i="6"/>
  <c r="N20" i="6" s="1"/>
  <c r="K20" i="6"/>
  <c r="L20" i="6" s="1"/>
  <c r="O57" i="6"/>
  <c r="P57" i="6" s="1"/>
  <c r="G57" i="6"/>
  <c r="H57" i="6" s="1"/>
  <c r="Q57" i="6"/>
  <c r="R57" i="6" s="1"/>
  <c r="M57" i="6"/>
  <c r="N57" i="6" s="1"/>
  <c r="K57" i="6"/>
  <c r="L57" i="6" s="1"/>
  <c r="I57" i="6"/>
  <c r="J57" i="6" s="1"/>
  <c r="Q12" i="6"/>
  <c r="R12" i="6" s="1"/>
  <c r="I12" i="6"/>
  <c r="J12" i="6" s="1"/>
  <c r="O12" i="6"/>
  <c r="P12" i="6" s="1"/>
  <c r="G12" i="6"/>
  <c r="H12" i="6" s="1"/>
  <c r="M12" i="6"/>
  <c r="N12" i="6" s="1"/>
  <c r="K12" i="6"/>
  <c r="L12" i="6" s="1"/>
  <c r="O97" i="6"/>
  <c r="P97" i="6" s="1"/>
  <c r="G97" i="6"/>
  <c r="H97" i="6" s="1"/>
  <c r="Q97" i="6"/>
  <c r="R97" i="6" s="1"/>
  <c r="M97" i="6"/>
  <c r="N97" i="6" s="1"/>
  <c r="K97" i="6"/>
  <c r="L97" i="6" s="1"/>
  <c r="I97" i="6"/>
  <c r="J97" i="6" s="1"/>
  <c r="M59" i="6"/>
  <c r="N59" i="6" s="1"/>
  <c r="I59" i="6"/>
  <c r="J59" i="6" s="1"/>
  <c r="Q59" i="6"/>
  <c r="R59" i="6" s="1"/>
  <c r="G59" i="6"/>
  <c r="H59" i="6" s="1"/>
  <c r="O59" i="6"/>
  <c r="P59" i="6" s="1"/>
  <c r="K59" i="6"/>
  <c r="L59" i="6" s="1"/>
  <c r="F6" i="6"/>
  <c r="F113" i="6"/>
  <c r="M51" i="6"/>
  <c r="N51" i="6" s="1"/>
  <c r="I51" i="6"/>
  <c r="J51" i="6" s="1"/>
  <c r="Q51" i="6"/>
  <c r="R51" i="6" s="1"/>
  <c r="G51" i="6"/>
  <c r="H51" i="6" s="1"/>
  <c r="O51" i="6"/>
  <c r="P51" i="6" s="1"/>
  <c r="K51" i="6"/>
  <c r="L51" i="6" s="1"/>
  <c r="O73" i="6"/>
  <c r="P73" i="6" s="1"/>
  <c r="G73" i="6"/>
  <c r="H73" i="6" s="1"/>
  <c r="Q73" i="6"/>
  <c r="R73" i="6" s="1"/>
  <c r="M73" i="6"/>
  <c r="N73" i="6" s="1"/>
  <c r="K73" i="6"/>
  <c r="L73" i="6" s="1"/>
  <c r="I73" i="6"/>
  <c r="J73" i="6" s="1"/>
  <c r="O65" i="6"/>
  <c r="P65" i="6" s="1"/>
  <c r="G65" i="6"/>
  <c r="H65" i="6" s="1"/>
  <c r="Q65" i="6"/>
  <c r="R65" i="6" s="1"/>
  <c r="M65" i="6"/>
  <c r="N65" i="6" s="1"/>
  <c r="K65" i="6"/>
  <c r="L65" i="6" s="1"/>
  <c r="I65" i="6"/>
  <c r="J65" i="6" s="1"/>
  <c r="M43" i="6"/>
  <c r="N43" i="6" s="1"/>
  <c r="I43" i="6"/>
  <c r="J43" i="6" s="1"/>
  <c r="Q43" i="6"/>
  <c r="R43" i="6" s="1"/>
  <c r="G43" i="6"/>
  <c r="H43" i="6" s="1"/>
  <c r="O43" i="6"/>
  <c r="P43" i="6" s="1"/>
  <c r="K43" i="6"/>
  <c r="L43" i="6" s="1"/>
  <c r="M35" i="6"/>
  <c r="N35" i="6" s="1"/>
  <c r="I35" i="6"/>
  <c r="J35" i="6" s="1"/>
  <c r="Q35" i="6"/>
  <c r="R35" i="6" s="1"/>
  <c r="G35" i="6"/>
  <c r="H35" i="6" s="1"/>
  <c r="O35" i="6"/>
  <c r="P35" i="6" s="1"/>
  <c r="K35" i="6"/>
  <c r="L35" i="6" s="1"/>
  <c r="O33" i="6"/>
  <c r="P33" i="6" s="1"/>
  <c r="G33" i="6"/>
  <c r="H33" i="6" s="1"/>
  <c r="Q33" i="6"/>
  <c r="R33" i="6" s="1"/>
  <c r="M33" i="6"/>
  <c r="N33" i="6" s="1"/>
  <c r="K33" i="6"/>
  <c r="L33" i="6" s="1"/>
  <c r="I33" i="6"/>
  <c r="J33" i="6" s="1"/>
  <c r="O89" i="6"/>
  <c r="P89" i="6" s="1"/>
  <c r="G89" i="6"/>
  <c r="H89" i="6" s="1"/>
  <c r="Q89" i="6"/>
  <c r="R89" i="6" s="1"/>
  <c r="M89" i="6"/>
  <c r="N89" i="6" s="1"/>
  <c r="K89" i="6"/>
  <c r="L89" i="6" s="1"/>
  <c r="I89" i="6"/>
  <c r="J89" i="6" s="1"/>
  <c r="O81" i="6"/>
  <c r="P81" i="6" s="1"/>
  <c r="G81" i="6"/>
  <c r="H81" i="6" s="1"/>
  <c r="Q81" i="6"/>
  <c r="R81" i="6" s="1"/>
  <c r="M81" i="6"/>
  <c r="N81" i="6" s="1"/>
  <c r="K81" i="6"/>
  <c r="L81" i="6" s="1"/>
  <c r="I81" i="6"/>
  <c r="J81" i="6" s="1"/>
  <c r="O22" i="6"/>
  <c r="P22" i="6" s="1"/>
  <c r="G22" i="6"/>
  <c r="H22" i="6" s="1"/>
  <c r="M22" i="6"/>
  <c r="N22" i="6" s="1"/>
  <c r="K22" i="6"/>
  <c r="L22" i="6" s="1"/>
  <c r="Q22" i="6"/>
  <c r="R22" i="6" s="1"/>
  <c r="I22" i="6"/>
  <c r="J22" i="6" s="1"/>
  <c r="M75" i="6"/>
  <c r="N75" i="6" s="1"/>
  <c r="I75" i="6"/>
  <c r="J75" i="6" s="1"/>
  <c r="Q75" i="6"/>
  <c r="R75" i="6" s="1"/>
  <c r="G75" i="6"/>
  <c r="H75" i="6" s="1"/>
  <c r="O75" i="6"/>
  <c r="P75" i="6" s="1"/>
  <c r="K75" i="6"/>
  <c r="L75" i="6" s="1"/>
  <c r="O49" i="6"/>
  <c r="P49" i="6" s="1"/>
  <c r="G49" i="6"/>
  <c r="H49" i="6" s="1"/>
  <c r="Q49" i="6"/>
  <c r="R49" i="6" s="1"/>
  <c r="M49" i="6"/>
  <c r="N49" i="6" s="1"/>
  <c r="K49" i="6"/>
  <c r="L49" i="6" s="1"/>
  <c r="I49" i="6"/>
  <c r="J49" i="6" s="1"/>
  <c r="O14" i="6"/>
  <c r="P14" i="6" s="1"/>
  <c r="G14" i="6"/>
  <c r="H14" i="6" s="1"/>
  <c r="M14" i="6"/>
  <c r="N14" i="6" s="1"/>
  <c r="K14" i="6"/>
  <c r="L14" i="6" s="1"/>
  <c r="Q14" i="6"/>
  <c r="R14" i="6" s="1"/>
  <c r="I14" i="6"/>
  <c r="J14" i="6" s="1"/>
  <c r="M67" i="6"/>
  <c r="N67" i="6" s="1"/>
  <c r="I67" i="6"/>
  <c r="J67" i="6" s="1"/>
  <c r="Q67" i="6"/>
  <c r="R67" i="6" s="1"/>
  <c r="G67" i="6"/>
  <c r="H67" i="6" s="1"/>
  <c r="O67" i="6"/>
  <c r="P67" i="6" s="1"/>
  <c r="K67" i="6"/>
  <c r="L67" i="6" s="1"/>
  <c r="O41" i="6"/>
  <c r="P41" i="6" s="1"/>
  <c r="G41" i="6"/>
  <c r="H41" i="6" s="1"/>
  <c r="Q41" i="6"/>
  <c r="R41" i="6" s="1"/>
  <c r="M41" i="6"/>
  <c r="N41" i="6" s="1"/>
  <c r="K41" i="6"/>
  <c r="L41" i="6" s="1"/>
  <c r="I41" i="6"/>
  <c r="J41" i="6" s="1"/>
  <c r="F111" i="6"/>
  <c r="F112" i="6"/>
  <c r="O5" i="6"/>
  <c r="P5" i="6" s="1"/>
  <c r="G5" i="6"/>
  <c r="H5" i="6" s="1"/>
  <c r="M5" i="6"/>
  <c r="N5" i="6" s="1"/>
  <c r="K5" i="6"/>
  <c r="L5" i="6" s="1"/>
  <c r="Q5" i="6"/>
  <c r="R5" i="6" s="1"/>
  <c r="I5" i="6"/>
  <c r="J5" i="6" s="1"/>
  <c r="M83" i="6"/>
  <c r="N83" i="6" s="1"/>
  <c r="I83" i="6"/>
  <c r="J83" i="6" s="1"/>
  <c r="Q83" i="6"/>
  <c r="R83" i="6" s="1"/>
  <c r="G83" i="6"/>
  <c r="H83" i="6" s="1"/>
  <c r="O83" i="6"/>
  <c r="P83" i="6" s="1"/>
  <c r="K83" i="6"/>
  <c r="L83" i="6" s="1"/>
  <c r="O6" i="6" l="1"/>
  <c r="P6" i="6" s="1"/>
  <c r="G6" i="6"/>
  <c r="H6" i="6" s="1"/>
  <c r="M6" i="6"/>
  <c r="N6" i="6" s="1"/>
  <c r="K6" i="6"/>
  <c r="L6" i="6" s="1"/>
  <c r="Q6" i="6"/>
  <c r="R6" i="6" s="1"/>
  <c r="I6" i="6"/>
  <c r="J6" i="6" s="1"/>
</calcChain>
</file>

<file path=xl/sharedStrings.xml><?xml version="1.0" encoding="utf-8"?>
<sst xmlns="http://schemas.openxmlformats.org/spreadsheetml/2006/main" count="104" uniqueCount="103">
  <si>
    <t>Wafer Map &amp; Probe Planning Workbook</t>
  </si>
  <si>
    <t>Assumptions (edit the yellow cells and everything recalculates):</t>
  </si>
  <si>
    <t>- Shots across the wafer: 21 (both X and Y)</t>
  </si>
  <si>
    <t>- Each shot is 5 x 5 dies -&gt; 105 x 105 dies total</t>
  </si>
  <si>
    <t>- Wafer edge is decided SHOT BY SHOT, not die by die: a whole 5x5 shot is either fully exposed on the wafer or not exposed at all (a stepper prints a full reticle or skips it). That's why the boundary in Die Map is a staircase, not a smooth circle - this matches how a real wafer is actually patterned.</t>
  </si>
  <si>
    <t>- The shot-by-shot shape itself (which of the 441 shot positions are actually on the wafer) is the ACTUAL supplied wafer map, not a computed circle - see 'Shot Map'. It was reconstructed from one corner using confirmed mirror symmetry (top-bottom about row 11, left-right about column 11). Edit any cell in 'Shot Map' directly to correct the shape.</t>
  </si>
  <si>
    <t>- Probe head: 20 dies tall x 1 die wide per touchdown (set in 'Probe Plan'!B2). Touchdowns are tiled in fixed 20-die steps starting from the top of each column's on-wafer range, so consecutive touchdowns are always exactly touching or overlapping - this guarantees every on-wafer die gets covered. The last touchdown in a column is allowed to run past that column's bottom edge, off the wafer - that's fine, there's simply no die there to contact.</t>
  </si>
  <si>
    <t>Die serial numbers:</t>
  </si>
  <si>
    <t>- Format is LL### - two letters then three digits, e.g. AA001 (see 'Serial Reference' sheet).</t>
  </si>
  <si>
    <t>- Letters encode the row (top to bottom), using the 23-letter alphabet A-Z with I, O, Q removed, counted like an odometer: AA, AB, AC ... then BA, BB, ... Row 1 is AA, row 105 is EN.</t>
  </si>
  <si>
    <t>- Numbers encode the column (left to right): 001, 002, ... skipping any number ending in 0 (...008, 009, 011, 012...). Column 1 is 001, column 105 is 116.</t>
  </si>
  <si>
    <t>- Everything (Die Map, Probe Overlay) derives the serial live via formula from the die's row/column, so if the scheme changes again only the 'Serial Reference' logic needs updating.</t>
  </si>
  <si>
    <t>Sheets:</t>
  </si>
  <si>
    <t>1. Shot Map - the 21x21 grid of shots. 1 = shot is on the wafer and gets exposed, 0 = shot is entirely off the wafer and doesn't exist.</t>
  </si>
  <si>
    <t>2. Serial Reference - the letter/number lookup the die serials are built from.</t>
  </si>
  <si>
    <t>3. Die Map - the full 105x105 die grid, colored by whether the die is on-wafer, showing each die's serial. Heavier borders mark the 5x5 shot boundaries. The boundary follows the Shot Map, so it steps in increments of 5 dies (a real wafer edge, not a mathematical circle).</t>
  </si>
  <si>
    <t>4. Probe Plan - for each of the 105 die-columns: the valid (on-wafer) row range and how many 20-die touchdowns are needed to cover it, with each touchdown's start/end row. Touchdowns tile in fixed 20-die steps from the top, so the whole column is covered with no gaps (the last touchdown may run past the wafer edge, which is fine).</t>
  </si>
  <si>
    <t>5. Probe Overlay - the same wafer map, with each touchdown's 20-die footprint shaded (alternating blue/purple per touchdown so overlaps are visible) and the TOP die of every touchdown - i.e. the first die the probe lands on for that pass - highlighted in orange.</t>
  </si>
  <si>
    <t>6. Reference Dies - the 11 special shots containing reference/monitor dies to skip for testing, decoded from their top-left die serial. These 143 dies are highlighted dark red on both Die Map and Probe Overlay (this takes priority over every other color on those sheets).</t>
  </si>
  <si>
    <t>Shots across:</t>
  </si>
  <si>
    <t>Shape source:</t>
  </si>
  <si>
    <t>actual wafer map (supplied), not a mathematical circle</t>
  </si>
  <si>
    <t>shot row\col</t>
  </si>
  <si>
    <t>Die serial format: LL### (two letters + three digits), e.g. AA001</t>
  </si>
  <si>
    <t>Letters (row, top to bottom): two letters from A-Z excluding I, O, Q (23 valid letters),</t>
  </si>
  <si>
    <t>counted like an odometer - AA, AB, AC ... (23rd) AZ-equivalent, then BA, BB, ... 105 rows -&gt; AA through EN.</t>
  </si>
  <si>
    <t>Numbers (column, left to right): 001, 002, ... skipping any number ending in 0</t>
  </si>
  <si>
    <t>(...008, 009, 011, 012...). 105 columns -&gt; 001 through 116.</t>
  </si>
  <si>
    <t>Valid letters (in order):</t>
  </si>
  <si>
    <t>A</t>
  </si>
  <si>
    <t>B</t>
  </si>
  <si>
    <t>C</t>
  </si>
  <si>
    <t>D</t>
  </si>
  <si>
    <t>E</t>
  </si>
  <si>
    <t>F</t>
  </si>
  <si>
    <t>G</t>
  </si>
  <si>
    <t>H</t>
  </si>
  <si>
    <t>J</t>
  </si>
  <si>
    <t>K</t>
  </si>
  <si>
    <t>L</t>
  </si>
  <si>
    <t>M</t>
  </si>
  <si>
    <t>N</t>
  </si>
  <si>
    <t>P</t>
  </si>
  <si>
    <t>R</t>
  </si>
  <si>
    <t>S</t>
  </si>
  <si>
    <t>T</t>
  </si>
  <si>
    <t>U</t>
  </si>
  <si>
    <t>V</t>
  </si>
  <si>
    <t>W</t>
  </si>
  <si>
    <t>X</t>
  </si>
  <si>
    <t>Y</t>
  </si>
  <si>
    <t>Z</t>
  </si>
  <si>
    <t>Reference shots - these 5x5 shots contain reference/monitor dies that should be skipped for testing</t>
  </si>
  <si>
    <t>Each row below is a reference shot, identified by the serial of its top-left die (local position 1-1).</t>
  </si>
  <si>
    <t>Within every one of these shots, the same 13 local positions (of the 25 dies) are reference dies:</t>
  </si>
  <si>
    <t xml:space="preserve">  (1,1) (1,2) (1,3) (1,4) (1,5) - entire top row</t>
  </si>
  <si>
    <t xml:space="preserve">  (2,1) (2,2) (2,3) (2,4) (2,5) - entire second row</t>
  </si>
  <si>
    <t xml:space="preserve">  (3,1) - first die of third row</t>
  </si>
  <si>
    <t xml:space="preserve">  (4,1) (4,2) - first two dies of fourth row</t>
  </si>
  <si>
    <t>The remaining 12 dies in each of these shots are normal product dies.</t>
  </si>
  <si>
    <t>NOTE: "CD056" (as given) doesn't land on a valid shot corner (decodes to die row 50, not a multiple-of-5-plus-1 row). The pattern formed by the other 10 shots is a symmetric cross missing exactly one entry - shot row 11, shot column 11 (the center) - which "CE056" decodes to exactly. CE056 is used below pending confirmation.</t>
  </si>
  <si>
    <t>Serial (top-left die)</t>
  </si>
  <si>
    <t>Die Row</t>
  </si>
  <si>
    <t>Die Col</t>
  </si>
  <si>
    <t>Shot Row</t>
  </si>
  <si>
    <t>Shot Col</t>
  </si>
  <si>
    <t>AL056</t>
  </si>
  <si>
    <t>BH028</t>
  </si>
  <si>
    <t>BH056</t>
  </si>
  <si>
    <t>BH084</t>
  </si>
  <si>
    <t>CE012</t>
  </si>
  <si>
    <t>CE056</t>
  </si>
  <si>
    <t>CE101</t>
  </si>
  <si>
    <t>DB028</t>
  </si>
  <si>
    <t>DB056</t>
  </si>
  <si>
    <t>DB084</t>
  </si>
  <si>
    <t>DY056</t>
  </si>
  <si>
    <t>Die Map - serial shown as LL### (letters=row, numbers=column); color = on/off wafer</t>
  </si>
  <si>
    <t>row\col</t>
  </si>
  <si>
    <t>Probe Plan - probe head covers 20 dies tall x 1 die wide per touchdown, overlap allowed</t>
  </si>
  <si>
    <t>Probe height (dies):</t>
  </si>
  <si>
    <t>Die
Column</t>
  </si>
  <si>
    <t>Shot
Column</t>
  </si>
  <si>
    <t>Top
Valid Row</t>
  </si>
  <si>
    <t>Bottom
Valid Row</t>
  </si>
  <si>
    <t>Height
(dies)</t>
  </si>
  <si>
    <t>#
Touchdowns</t>
  </si>
  <si>
    <t>TD1
Start</t>
  </si>
  <si>
    <t>TD1
End</t>
  </si>
  <si>
    <t>TD2
Start</t>
  </si>
  <si>
    <t>TD2
End</t>
  </si>
  <si>
    <t>TD3
Start</t>
  </si>
  <si>
    <t>TD3
End</t>
  </si>
  <si>
    <t>TD4
Start</t>
  </si>
  <si>
    <t>TD4
End</t>
  </si>
  <si>
    <t>TD5
Start</t>
  </si>
  <si>
    <t>TD5
End</t>
  </si>
  <si>
    <t>TD6
Start</t>
  </si>
  <si>
    <t>TD6
End</t>
  </si>
  <si>
    <t>Total touchdowns needed to scan every column once:</t>
  </si>
  <si>
    <t>Max touchdowns needed for any single column:</t>
  </si>
  <si>
    <t>Total on-wafer dies:</t>
  </si>
  <si>
    <t>Probe Overlay - blue/purple = alternating touchdown footprints, orange = TOP die of each touchdown (first contact)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</si>
</sst>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sz val="11"/>
      <name val="Arial"/>
      <charset val="1"/>
    </font>
    <font>
      <b/>
      <sz val="11"/>
      <name val="Arial"/>
      <charset val="1"/>
    </font>
    <font>
      <b/>
      <sz val="9"/>
      <name val="Arial"/>
      <charset val="1"/>
    </font>
    <font>
      <i/>
      <sz val="9"/>
      <name val="Arial"/>
      <charset val="1"/>
    </font>
    <font>
      <sz val="9"/>
      <name val="Arial"/>
      <charset val="1"/>
    </font>
    <font>
      <b/>
      <sz val="12"/>
      <name val="Arial"/>
      <charset val="1"/>
    </font>
    <font>
      <i/>
      <sz val="10"/>
      <color rgb="FF555555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sz val="6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F00"/>
        <bgColor rgb="FFFFFF00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404040"/>
      </left>
      <right style="thin">
        <color rgb="FFBFBFBF"/>
      </right>
      <top style="medium">
        <color rgb="FF404040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404040"/>
      </top>
      <bottom style="thin">
        <color rgb="FFBFBFBF"/>
      </bottom>
      <diagonal/>
    </border>
    <border>
      <left style="thin">
        <color rgb="FFBFBFBF"/>
      </left>
      <right style="medium">
        <color rgb="FF404040"/>
      </right>
      <top style="medium">
        <color rgb="FF404040"/>
      </top>
      <bottom style="thin">
        <color rgb="FFBFBFBF"/>
      </bottom>
      <diagonal/>
    </border>
    <border>
      <left style="medium">
        <color rgb="FF404040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404040"/>
      </right>
      <top style="thin">
        <color rgb="FFBFBFBF"/>
      </top>
      <bottom style="thin">
        <color rgb="FFBFBFBF"/>
      </bottom>
      <diagonal/>
    </border>
    <border>
      <left style="medium">
        <color rgb="FF404040"/>
      </left>
      <right style="thin">
        <color rgb="FFBFBFBF"/>
      </right>
      <top style="thin">
        <color rgb="FFBFBFBF"/>
      </top>
      <bottom style="medium">
        <color rgb="FF40404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404040"/>
      </bottom>
      <diagonal/>
    </border>
    <border>
      <left style="thin">
        <color rgb="FFBFBFBF"/>
      </left>
      <right style="medium">
        <color rgb="FF404040"/>
      </right>
      <top style="thin">
        <color rgb="FFBFBFBF"/>
      </top>
      <bottom style="medium">
        <color rgb="FF40404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/>
    <xf numFmtId="0" fontId="3" fillId="0" borderId="0" xfId="0" applyFont="1"/>
    <xf numFmtId="0" fontId="5" fillId="0" borderId="0" xfId="0" applyFont="1"/>
    <xf numFmtId="0" fontId="4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0" xfId="0" applyFont="1"/>
    <xf numFmtId="0" fontId="8" fillId="0" borderId="0" xfId="0" applyFont="1"/>
    <xf numFmtId="0" fontId="3" fillId="0" borderId="0" xfId="0" applyFont="1" applyAlignment="1">
      <alignment horizontal="center"/>
    </xf>
    <xf numFmtId="0" fontId="8" fillId="0" borderId="0" xfId="0" applyFont="1" applyAlignment="1">
      <alignment wrapText="1"/>
    </xf>
    <xf numFmtId="0" fontId="9" fillId="2" borderId="0" xfId="0" applyFont="1" applyFill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0" xfId="0" applyFont="1"/>
    <xf numFmtId="0" fontId="11" fillId="0" borderId="2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3" fillId="3" borderId="0" xfId="0" applyFont="1" applyFill="1"/>
    <xf numFmtId="0" fontId="9" fillId="2" borderId="0" xfId="0" applyFont="1" applyFill="1" applyAlignment="1">
      <alignment horizontal="center" vertical="center" wrapText="1"/>
    </xf>
    <xf numFmtId="0" fontId="4" fillId="0" borderId="1" xfId="0" applyFont="1" applyBorder="1"/>
    <xf numFmtId="0" fontId="6" fillId="0" borderId="1" xfId="0" applyFont="1" applyBorder="1"/>
  </cellXfs>
  <cellStyles count="1">
    <cellStyle name="Normal" xfId="0" builtinId="0"/>
  </cellStyles>
  <dxfs count="11">
    <dxf>
      <fill>
        <patternFill>
          <bgColor rgb="FFD9D9D9"/>
        </patternFill>
      </fill>
    </dxf>
    <dxf>
      <fill>
        <patternFill>
          <bgColor rgb="FFA9D18E"/>
        </patternFill>
      </fill>
    </dxf>
    <dxf>
      <fill>
        <patternFill>
          <bgColor rgb="FFB4A7D6"/>
        </patternFill>
      </fill>
    </dxf>
    <dxf>
      <fill>
        <patternFill>
          <bgColor rgb="FF9DC3E6"/>
        </patternFill>
      </fill>
    </dxf>
    <dxf>
      <font>
        <b/>
        <sz val="6"/>
        <color rgb="FFFFFFFF"/>
        <name val="Arial"/>
        <charset val="1"/>
      </font>
      <fill>
        <patternFill>
          <bgColor rgb="FFFF7A00"/>
        </patternFill>
      </fill>
    </dxf>
    <dxf>
      <font>
        <b/>
        <sz val="6"/>
        <color rgb="FFFFFFFF"/>
        <name val="Arial"/>
        <charset val="1"/>
      </font>
      <fill>
        <patternFill>
          <bgColor rgb="FFC00000"/>
        </patternFill>
      </fill>
    </dxf>
    <dxf>
      <fill>
        <patternFill>
          <bgColor rgb="FFD9D9D9"/>
        </patternFill>
      </fill>
    </dxf>
    <dxf>
      <fill>
        <patternFill>
          <bgColor rgb="FFA9D18E"/>
        </patternFill>
      </fill>
    </dxf>
    <dxf>
      <font>
        <b/>
        <sz val="6"/>
        <color rgb="FFFFFFFF"/>
        <name val="Arial"/>
        <charset val="1"/>
      </font>
      <fill>
        <patternFill>
          <bgColor rgb="FFC00000"/>
        </patternFill>
      </fill>
    </dxf>
    <dxf>
      <fill>
        <patternFill>
          <bgColor rgb="FFD9D9D9"/>
        </patternFill>
      </fill>
    </dxf>
    <dxf>
      <fill>
        <patternFill>
          <bgColor rgb="FFA9D18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A9D18E"/>
      <rgbColor rgb="FFFFFF99"/>
      <rgbColor rgb="FF9DC3E6"/>
      <rgbColor rgb="FFFF99CC"/>
      <rgbColor rgb="FFB4A7D6"/>
      <rgbColor rgb="FFFFCC99"/>
      <rgbColor rgb="FF3366FF"/>
      <rgbColor rgb="FF33CCCC"/>
      <rgbColor rgb="FF99CC00"/>
      <rgbColor rgb="FFFFCC00"/>
      <rgbColor rgb="FFFF9900"/>
      <rgbColor rgb="FFFF7A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22"/>
  <sheetViews>
    <sheetView showGridLines="0" zoomScaleNormal="100" workbookViewId="0">
      <selection activeCell="AA33" sqref="AA33"/>
    </sheetView>
  </sheetViews>
  <sheetFormatPr defaultColWidth="8.7109375" defaultRowHeight="15" x14ac:dyDescent="0.25"/>
  <cols>
    <col min="1" max="1" width="100" customWidth="1"/>
  </cols>
  <sheetData>
    <row r="1" spans="1:1" ht="18" x14ac:dyDescent="0.25">
      <c r="A1" s="1" t="s">
        <v>0</v>
      </c>
    </row>
    <row r="2" spans="1:1" x14ac:dyDescent="0.25">
      <c r="A2" s="2"/>
    </row>
    <row r="3" spans="1:1" x14ac:dyDescent="0.25">
      <c r="A3" s="3" t="s">
        <v>1</v>
      </c>
    </row>
    <row r="4" spans="1:1" x14ac:dyDescent="0.25">
      <c r="A4" s="2" t="s">
        <v>2</v>
      </c>
    </row>
    <row r="5" spans="1:1" x14ac:dyDescent="0.25">
      <c r="A5" s="2" t="s">
        <v>3</v>
      </c>
    </row>
    <row r="6" spans="1:1" ht="42.75" x14ac:dyDescent="0.25">
      <c r="A6" s="2" t="s">
        <v>4</v>
      </c>
    </row>
    <row r="7" spans="1:1" ht="57" x14ac:dyDescent="0.25">
      <c r="A7" s="2" t="s">
        <v>5</v>
      </c>
    </row>
    <row r="8" spans="1:1" ht="71.25" x14ac:dyDescent="0.25">
      <c r="A8" s="2" t="s">
        <v>6</v>
      </c>
    </row>
    <row r="9" spans="1:1" x14ac:dyDescent="0.25">
      <c r="A9" s="2"/>
    </row>
    <row r="10" spans="1:1" x14ac:dyDescent="0.25">
      <c r="A10" s="3" t="s">
        <v>7</v>
      </c>
    </row>
    <row r="11" spans="1:1" x14ac:dyDescent="0.25">
      <c r="A11" s="2" t="s">
        <v>8</v>
      </c>
    </row>
    <row r="12" spans="1:1" ht="28.5" x14ac:dyDescent="0.25">
      <c r="A12" s="2" t="s">
        <v>9</v>
      </c>
    </row>
    <row r="13" spans="1:1" ht="28.5" x14ac:dyDescent="0.25">
      <c r="A13" s="2" t="s">
        <v>10</v>
      </c>
    </row>
    <row r="14" spans="1:1" ht="28.5" x14ac:dyDescent="0.25">
      <c r="A14" s="2" t="s">
        <v>11</v>
      </c>
    </row>
    <row r="15" spans="1:1" x14ac:dyDescent="0.25">
      <c r="A15" s="2"/>
    </row>
    <row r="16" spans="1:1" x14ac:dyDescent="0.25">
      <c r="A16" s="3" t="s">
        <v>12</v>
      </c>
    </row>
    <row r="17" spans="1:1" ht="28.5" x14ac:dyDescent="0.25">
      <c r="A17" s="2" t="s">
        <v>13</v>
      </c>
    </row>
    <row r="18" spans="1:1" x14ac:dyDescent="0.25">
      <c r="A18" s="2" t="s">
        <v>14</v>
      </c>
    </row>
    <row r="19" spans="1:1" ht="42.75" x14ac:dyDescent="0.25">
      <c r="A19" s="2" t="s">
        <v>15</v>
      </c>
    </row>
    <row r="20" spans="1:1" ht="57" x14ac:dyDescent="0.25">
      <c r="A20" s="2" t="s">
        <v>16</v>
      </c>
    </row>
    <row r="21" spans="1:1" ht="42.75" x14ac:dyDescent="0.25">
      <c r="A21" s="2" t="s">
        <v>17</v>
      </c>
    </row>
    <row r="22" spans="1:1" ht="42.75" x14ac:dyDescent="0.25">
      <c r="A22" s="2" t="s">
        <v>18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V26"/>
  <sheetViews>
    <sheetView showGridLines="0" zoomScaleNormal="100" workbookViewId="0">
      <pane xSplit="1" ySplit="5" topLeftCell="B6" activePane="bottomRight" state="frozen"/>
      <selection activeCell="AA33" sqref="AA33"/>
      <selection pane="topRight" activeCell="AA33" sqref="AA33"/>
      <selection pane="bottomLeft" activeCell="AA33" sqref="AA33"/>
      <selection pane="bottomRight" activeCell="AA33" sqref="AA33"/>
    </sheetView>
  </sheetViews>
  <sheetFormatPr defaultColWidth="8.7109375" defaultRowHeight="15" x14ac:dyDescent="0.25"/>
  <cols>
    <col min="2" max="22" width="5.5703125" customWidth="1"/>
  </cols>
  <sheetData>
    <row r="1" spans="1:22" x14ac:dyDescent="0.25">
      <c r="A1" s="4" t="s">
        <v>19</v>
      </c>
      <c r="B1" s="5">
        <v>21</v>
      </c>
    </row>
    <row r="2" spans="1:22" x14ac:dyDescent="0.25">
      <c r="A2" s="4" t="s">
        <v>20</v>
      </c>
      <c r="B2" s="6" t="s">
        <v>21</v>
      </c>
    </row>
    <row r="5" spans="1:22" x14ac:dyDescent="0.25">
      <c r="A5" s="4" t="s">
        <v>22</v>
      </c>
      <c r="B5" s="7">
        <v>1</v>
      </c>
      <c r="C5" s="7">
        <v>2</v>
      </c>
      <c r="D5" s="7">
        <v>3</v>
      </c>
      <c r="E5" s="7">
        <v>4</v>
      </c>
      <c r="F5" s="7">
        <v>5</v>
      </c>
      <c r="G5" s="7">
        <v>6</v>
      </c>
      <c r="H5" s="7">
        <v>7</v>
      </c>
      <c r="I5" s="7">
        <v>8</v>
      </c>
      <c r="J5" s="7">
        <v>9</v>
      </c>
      <c r="K5" s="7">
        <v>10</v>
      </c>
      <c r="L5" s="7">
        <v>11</v>
      </c>
      <c r="M5" s="7">
        <v>12</v>
      </c>
      <c r="N5" s="7">
        <v>13</v>
      </c>
      <c r="O5" s="7">
        <v>14</v>
      </c>
      <c r="P5" s="7">
        <v>15</v>
      </c>
      <c r="Q5" s="7">
        <v>16</v>
      </c>
      <c r="R5" s="7">
        <v>17</v>
      </c>
      <c r="S5" s="7">
        <v>18</v>
      </c>
      <c r="T5" s="7">
        <v>19</v>
      </c>
      <c r="U5" s="7">
        <v>20</v>
      </c>
      <c r="V5" s="7">
        <v>21</v>
      </c>
    </row>
    <row r="6" spans="1:22" ht="15.75" customHeight="1" x14ac:dyDescent="0.25">
      <c r="A6" s="4">
        <v>1</v>
      </c>
      <c r="B6" s="8">
        <v>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1</v>
      </c>
      <c r="L6" s="8">
        <v>1</v>
      </c>
      <c r="M6" s="8">
        <v>1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</row>
    <row r="7" spans="1:22" ht="15.75" customHeight="1" x14ac:dyDescent="0.25">
      <c r="A7" s="4">
        <v>2</v>
      </c>
      <c r="B7" s="8">
        <v>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</row>
    <row r="8" spans="1:22" ht="15.75" customHeight="1" x14ac:dyDescent="0.25">
      <c r="A8" s="4">
        <v>3</v>
      </c>
      <c r="B8" s="8">
        <v>0</v>
      </c>
      <c r="C8" s="8">
        <v>0</v>
      </c>
      <c r="D8" s="8">
        <v>0</v>
      </c>
      <c r="E8" s="8">
        <v>0</v>
      </c>
      <c r="F8" s="8">
        <v>1</v>
      </c>
      <c r="G8" s="8">
        <v>1</v>
      </c>
      <c r="H8" s="8">
        <v>1</v>
      </c>
      <c r="I8" s="8">
        <v>1</v>
      </c>
      <c r="J8" s="8">
        <v>1</v>
      </c>
      <c r="K8" s="8">
        <v>1</v>
      </c>
      <c r="L8" s="8">
        <v>1</v>
      </c>
      <c r="M8" s="8">
        <v>1</v>
      </c>
      <c r="N8" s="8">
        <v>1</v>
      </c>
      <c r="O8" s="8">
        <v>1</v>
      </c>
      <c r="P8" s="8">
        <v>1</v>
      </c>
      <c r="Q8" s="8">
        <v>1</v>
      </c>
      <c r="R8" s="8">
        <v>1</v>
      </c>
      <c r="S8" s="8">
        <v>0</v>
      </c>
      <c r="T8" s="8">
        <v>0</v>
      </c>
      <c r="U8" s="8">
        <v>0</v>
      </c>
      <c r="V8" s="8">
        <v>0</v>
      </c>
    </row>
    <row r="9" spans="1:22" ht="15.75" customHeight="1" x14ac:dyDescent="0.25">
      <c r="A9" s="4">
        <v>4</v>
      </c>
      <c r="B9" s="8">
        <v>0</v>
      </c>
      <c r="C9" s="8">
        <v>0</v>
      </c>
      <c r="D9" s="8">
        <v>0</v>
      </c>
      <c r="E9" s="8">
        <v>1</v>
      </c>
      <c r="F9" s="8">
        <v>1</v>
      </c>
      <c r="G9" s="8">
        <v>1</v>
      </c>
      <c r="H9" s="8">
        <v>1</v>
      </c>
      <c r="I9" s="8">
        <v>1</v>
      </c>
      <c r="J9" s="8">
        <v>1</v>
      </c>
      <c r="K9" s="8">
        <v>1</v>
      </c>
      <c r="L9" s="8">
        <v>1</v>
      </c>
      <c r="M9" s="8">
        <v>1</v>
      </c>
      <c r="N9" s="8">
        <v>1</v>
      </c>
      <c r="O9" s="8">
        <v>1</v>
      </c>
      <c r="P9" s="8">
        <v>1</v>
      </c>
      <c r="Q9" s="8">
        <v>1</v>
      </c>
      <c r="R9" s="8">
        <v>1</v>
      </c>
      <c r="S9" s="8">
        <v>1</v>
      </c>
      <c r="T9" s="8">
        <v>0</v>
      </c>
      <c r="U9" s="8">
        <v>0</v>
      </c>
      <c r="V9" s="8">
        <v>0</v>
      </c>
    </row>
    <row r="10" spans="1:22" ht="15.75" customHeight="1" x14ac:dyDescent="0.25">
      <c r="A10" s="4">
        <v>5</v>
      </c>
      <c r="B10" s="8">
        <v>0</v>
      </c>
      <c r="C10" s="8">
        <v>0</v>
      </c>
      <c r="D10" s="8">
        <v>1</v>
      </c>
      <c r="E10" s="8">
        <v>1</v>
      </c>
      <c r="F10" s="8">
        <v>1</v>
      </c>
      <c r="G10" s="8">
        <v>1</v>
      </c>
      <c r="H10" s="8">
        <v>1</v>
      </c>
      <c r="I10" s="8">
        <v>1</v>
      </c>
      <c r="J10" s="8">
        <v>1</v>
      </c>
      <c r="K10" s="8">
        <v>1</v>
      </c>
      <c r="L10" s="8">
        <v>1</v>
      </c>
      <c r="M10" s="8">
        <v>1</v>
      </c>
      <c r="N10" s="8">
        <v>1</v>
      </c>
      <c r="O10" s="8">
        <v>1</v>
      </c>
      <c r="P10" s="8">
        <v>1</v>
      </c>
      <c r="Q10" s="8">
        <v>1</v>
      </c>
      <c r="R10" s="8">
        <v>1</v>
      </c>
      <c r="S10" s="8">
        <v>1</v>
      </c>
      <c r="T10" s="8">
        <v>1</v>
      </c>
      <c r="U10" s="8">
        <v>0</v>
      </c>
      <c r="V10" s="8">
        <v>0</v>
      </c>
    </row>
    <row r="11" spans="1:22" ht="15.75" customHeight="1" x14ac:dyDescent="0.25">
      <c r="A11" s="4">
        <v>6</v>
      </c>
      <c r="B11" s="8">
        <v>0</v>
      </c>
      <c r="C11" s="8">
        <v>0</v>
      </c>
      <c r="D11" s="8">
        <v>1</v>
      </c>
      <c r="E11" s="8">
        <v>1</v>
      </c>
      <c r="F11" s="8">
        <v>1</v>
      </c>
      <c r="G11" s="8">
        <v>1</v>
      </c>
      <c r="H11" s="8">
        <v>1</v>
      </c>
      <c r="I11" s="8">
        <v>1</v>
      </c>
      <c r="J11" s="8">
        <v>1</v>
      </c>
      <c r="K11" s="8">
        <v>1</v>
      </c>
      <c r="L11" s="8">
        <v>1</v>
      </c>
      <c r="M11" s="8">
        <v>1</v>
      </c>
      <c r="N11" s="8">
        <v>1</v>
      </c>
      <c r="O11" s="8">
        <v>1</v>
      </c>
      <c r="P11" s="8">
        <v>1</v>
      </c>
      <c r="Q11" s="8">
        <v>1</v>
      </c>
      <c r="R11" s="8">
        <v>1</v>
      </c>
      <c r="S11" s="8">
        <v>1</v>
      </c>
      <c r="T11" s="8">
        <v>1</v>
      </c>
      <c r="U11" s="8">
        <v>0</v>
      </c>
      <c r="V11" s="8">
        <v>0</v>
      </c>
    </row>
    <row r="12" spans="1:22" ht="15.75" customHeight="1" x14ac:dyDescent="0.25">
      <c r="A12" s="4">
        <v>7</v>
      </c>
      <c r="B12" s="8">
        <v>0</v>
      </c>
      <c r="C12" s="8">
        <v>1</v>
      </c>
      <c r="D12" s="8">
        <v>1</v>
      </c>
      <c r="E12" s="8">
        <v>1</v>
      </c>
      <c r="F12" s="8">
        <v>1</v>
      </c>
      <c r="G12" s="8">
        <v>1</v>
      </c>
      <c r="H12" s="8">
        <v>1</v>
      </c>
      <c r="I12" s="8">
        <v>1</v>
      </c>
      <c r="J12" s="8">
        <v>1</v>
      </c>
      <c r="K12" s="8">
        <v>1</v>
      </c>
      <c r="L12" s="8">
        <v>1</v>
      </c>
      <c r="M12" s="8">
        <v>1</v>
      </c>
      <c r="N12" s="8">
        <v>1</v>
      </c>
      <c r="O12" s="8">
        <v>1</v>
      </c>
      <c r="P12" s="8">
        <v>1</v>
      </c>
      <c r="Q12" s="8">
        <v>1</v>
      </c>
      <c r="R12" s="8">
        <v>1</v>
      </c>
      <c r="S12" s="8">
        <v>1</v>
      </c>
      <c r="T12" s="8">
        <v>1</v>
      </c>
      <c r="U12" s="8">
        <v>1</v>
      </c>
      <c r="V12" s="8">
        <v>0</v>
      </c>
    </row>
    <row r="13" spans="1:22" ht="15.75" customHeight="1" x14ac:dyDescent="0.25">
      <c r="A13" s="4">
        <v>8</v>
      </c>
      <c r="B13" s="8">
        <v>0</v>
      </c>
      <c r="C13" s="8">
        <v>1</v>
      </c>
      <c r="D13" s="8">
        <v>1</v>
      </c>
      <c r="E13" s="8">
        <v>1</v>
      </c>
      <c r="F13" s="8">
        <v>1</v>
      </c>
      <c r="G13" s="8">
        <v>1</v>
      </c>
      <c r="H13" s="8">
        <v>1</v>
      </c>
      <c r="I13" s="8">
        <v>1</v>
      </c>
      <c r="J13" s="8">
        <v>1</v>
      </c>
      <c r="K13" s="8">
        <v>1</v>
      </c>
      <c r="L13" s="8">
        <v>1</v>
      </c>
      <c r="M13" s="8">
        <v>1</v>
      </c>
      <c r="N13" s="8">
        <v>1</v>
      </c>
      <c r="O13" s="8">
        <v>1</v>
      </c>
      <c r="P13" s="8">
        <v>1</v>
      </c>
      <c r="Q13" s="8">
        <v>1</v>
      </c>
      <c r="R13" s="8">
        <v>1</v>
      </c>
      <c r="S13" s="8">
        <v>1</v>
      </c>
      <c r="T13" s="8">
        <v>1</v>
      </c>
      <c r="U13" s="8">
        <v>1</v>
      </c>
      <c r="V13" s="8">
        <v>0</v>
      </c>
    </row>
    <row r="14" spans="1:22" ht="15.75" customHeight="1" x14ac:dyDescent="0.25">
      <c r="A14" s="4">
        <v>9</v>
      </c>
      <c r="B14" s="8">
        <v>0</v>
      </c>
      <c r="C14" s="8">
        <v>1</v>
      </c>
      <c r="D14" s="8">
        <v>1</v>
      </c>
      <c r="E14" s="8">
        <v>1</v>
      </c>
      <c r="F14" s="8">
        <v>1</v>
      </c>
      <c r="G14" s="8">
        <v>1</v>
      </c>
      <c r="H14" s="8">
        <v>1</v>
      </c>
      <c r="I14" s="8">
        <v>1</v>
      </c>
      <c r="J14" s="8">
        <v>1</v>
      </c>
      <c r="K14" s="8">
        <v>1</v>
      </c>
      <c r="L14" s="8">
        <v>1</v>
      </c>
      <c r="M14" s="8">
        <v>1</v>
      </c>
      <c r="N14" s="8">
        <v>1</v>
      </c>
      <c r="O14" s="8">
        <v>1</v>
      </c>
      <c r="P14" s="8">
        <v>1</v>
      </c>
      <c r="Q14" s="8">
        <v>1</v>
      </c>
      <c r="R14" s="8">
        <v>1</v>
      </c>
      <c r="S14" s="8">
        <v>1</v>
      </c>
      <c r="T14" s="8">
        <v>1</v>
      </c>
      <c r="U14" s="8">
        <v>1</v>
      </c>
      <c r="V14" s="8">
        <v>0</v>
      </c>
    </row>
    <row r="15" spans="1:22" ht="15.75" customHeight="1" x14ac:dyDescent="0.25">
      <c r="A15" s="4">
        <v>10</v>
      </c>
      <c r="B15" s="8">
        <v>1</v>
      </c>
      <c r="C15" s="8">
        <v>1</v>
      </c>
      <c r="D15" s="8">
        <v>1</v>
      </c>
      <c r="E15" s="8">
        <v>1</v>
      </c>
      <c r="F15" s="8">
        <v>1</v>
      </c>
      <c r="G15" s="8">
        <v>1</v>
      </c>
      <c r="H15" s="8">
        <v>1</v>
      </c>
      <c r="I15" s="8">
        <v>1</v>
      </c>
      <c r="J15" s="8">
        <v>1</v>
      </c>
      <c r="K15" s="8">
        <v>1</v>
      </c>
      <c r="L15" s="8">
        <v>1</v>
      </c>
      <c r="M15" s="8">
        <v>1</v>
      </c>
      <c r="N15" s="8">
        <v>1</v>
      </c>
      <c r="O15" s="8">
        <v>1</v>
      </c>
      <c r="P15" s="8">
        <v>1</v>
      </c>
      <c r="Q15" s="8">
        <v>1</v>
      </c>
      <c r="R15" s="8">
        <v>1</v>
      </c>
      <c r="S15" s="8">
        <v>1</v>
      </c>
      <c r="T15" s="8">
        <v>1</v>
      </c>
      <c r="U15" s="8">
        <v>1</v>
      </c>
      <c r="V15" s="8">
        <v>1</v>
      </c>
    </row>
    <row r="16" spans="1:22" ht="15.75" customHeight="1" x14ac:dyDescent="0.25">
      <c r="A16" s="4">
        <v>11</v>
      </c>
      <c r="B16" s="8">
        <v>1</v>
      </c>
      <c r="C16" s="8">
        <v>1</v>
      </c>
      <c r="D16" s="8">
        <v>1</v>
      </c>
      <c r="E16" s="8">
        <v>1</v>
      </c>
      <c r="F16" s="8">
        <v>1</v>
      </c>
      <c r="G16" s="8">
        <v>1</v>
      </c>
      <c r="H16" s="8">
        <v>1</v>
      </c>
      <c r="I16" s="8">
        <v>1</v>
      </c>
      <c r="J16" s="8">
        <v>1</v>
      </c>
      <c r="K16" s="8">
        <v>1</v>
      </c>
      <c r="L16" s="8">
        <v>1</v>
      </c>
      <c r="M16" s="8">
        <v>1</v>
      </c>
      <c r="N16" s="8">
        <v>1</v>
      </c>
      <c r="O16" s="8">
        <v>1</v>
      </c>
      <c r="P16" s="8">
        <v>1</v>
      </c>
      <c r="Q16" s="8">
        <v>1</v>
      </c>
      <c r="R16" s="8">
        <v>1</v>
      </c>
      <c r="S16" s="8">
        <v>1</v>
      </c>
      <c r="T16" s="8">
        <v>1</v>
      </c>
      <c r="U16" s="8">
        <v>1</v>
      </c>
      <c r="V16" s="8">
        <v>1</v>
      </c>
    </row>
    <row r="17" spans="1:22" ht="15.75" customHeight="1" x14ac:dyDescent="0.25">
      <c r="A17" s="4">
        <v>12</v>
      </c>
      <c r="B17" s="8">
        <v>1</v>
      </c>
      <c r="C17" s="8">
        <v>1</v>
      </c>
      <c r="D17" s="8">
        <v>1</v>
      </c>
      <c r="E17" s="8">
        <v>1</v>
      </c>
      <c r="F17" s="8">
        <v>1</v>
      </c>
      <c r="G17" s="8">
        <v>1</v>
      </c>
      <c r="H17" s="8">
        <v>1</v>
      </c>
      <c r="I17" s="8">
        <v>1</v>
      </c>
      <c r="J17" s="8">
        <v>1</v>
      </c>
      <c r="K17" s="8">
        <v>1</v>
      </c>
      <c r="L17" s="8">
        <v>1</v>
      </c>
      <c r="M17" s="8">
        <v>1</v>
      </c>
      <c r="N17" s="8">
        <v>1</v>
      </c>
      <c r="O17" s="8">
        <v>1</v>
      </c>
      <c r="P17" s="8">
        <v>1</v>
      </c>
      <c r="Q17" s="8">
        <v>1</v>
      </c>
      <c r="R17" s="8">
        <v>1</v>
      </c>
      <c r="S17" s="8">
        <v>1</v>
      </c>
      <c r="T17" s="8">
        <v>1</v>
      </c>
      <c r="U17" s="8">
        <v>1</v>
      </c>
      <c r="V17" s="8">
        <v>1</v>
      </c>
    </row>
    <row r="18" spans="1:22" ht="15.75" customHeight="1" x14ac:dyDescent="0.25">
      <c r="A18" s="4">
        <v>13</v>
      </c>
      <c r="B18" s="8">
        <v>0</v>
      </c>
      <c r="C18" s="8">
        <v>1</v>
      </c>
      <c r="D18" s="8">
        <v>1</v>
      </c>
      <c r="E18" s="8">
        <v>1</v>
      </c>
      <c r="F18" s="8">
        <v>1</v>
      </c>
      <c r="G18" s="8">
        <v>1</v>
      </c>
      <c r="H18" s="8">
        <v>1</v>
      </c>
      <c r="I18" s="8">
        <v>1</v>
      </c>
      <c r="J18" s="8">
        <v>1</v>
      </c>
      <c r="K18" s="8">
        <v>1</v>
      </c>
      <c r="L18" s="8">
        <v>1</v>
      </c>
      <c r="M18" s="8">
        <v>1</v>
      </c>
      <c r="N18" s="8">
        <v>1</v>
      </c>
      <c r="O18" s="8">
        <v>1</v>
      </c>
      <c r="P18" s="8">
        <v>1</v>
      </c>
      <c r="Q18" s="8">
        <v>1</v>
      </c>
      <c r="R18" s="8">
        <v>1</v>
      </c>
      <c r="S18" s="8">
        <v>1</v>
      </c>
      <c r="T18" s="8">
        <v>1</v>
      </c>
      <c r="U18" s="8">
        <v>1</v>
      </c>
      <c r="V18" s="8">
        <v>0</v>
      </c>
    </row>
    <row r="19" spans="1:22" ht="15.75" customHeight="1" x14ac:dyDescent="0.25">
      <c r="A19" s="4">
        <v>14</v>
      </c>
      <c r="B19" s="8">
        <v>0</v>
      </c>
      <c r="C19" s="8">
        <v>1</v>
      </c>
      <c r="D19" s="8">
        <v>1</v>
      </c>
      <c r="E19" s="8">
        <v>1</v>
      </c>
      <c r="F19" s="8">
        <v>1</v>
      </c>
      <c r="G19" s="8">
        <v>1</v>
      </c>
      <c r="H19" s="8">
        <v>1</v>
      </c>
      <c r="I19" s="8">
        <v>1</v>
      </c>
      <c r="J19" s="8">
        <v>1</v>
      </c>
      <c r="K19" s="8">
        <v>1</v>
      </c>
      <c r="L19" s="8">
        <v>1</v>
      </c>
      <c r="M19" s="8">
        <v>1</v>
      </c>
      <c r="N19" s="8">
        <v>1</v>
      </c>
      <c r="O19" s="8">
        <v>1</v>
      </c>
      <c r="P19" s="8">
        <v>1</v>
      </c>
      <c r="Q19" s="8">
        <v>1</v>
      </c>
      <c r="R19" s="8">
        <v>1</v>
      </c>
      <c r="S19" s="8">
        <v>1</v>
      </c>
      <c r="T19" s="8">
        <v>1</v>
      </c>
      <c r="U19" s="8">
        <v>1</v>
      </c>
      <c r="V19" s="8">
        <v>0</v>
      </c>
    </row>
    <row r="20" spans="1:22" ht="15.75" customHeight="1" x14ac:dyDescent="0.25">
      <c r="A20" s="4">
        <v>15</v>
      </c>
      <c r="B20" s="8">
        <v>0</v>
      </c>
      <c r="C20" s="8">
        <v>1</v>
      </c>
      <c r="D20" s="8">
        <v>1</v>
      </c>
      <c r="E20" s="8">
        <v>1</v>
      </c>
      <c r="F20" s="8">
        <v>1</v>
      </c>
      <c r="G20" s="8">
        <v>1</v>
      </c>
      <c r="H20" s="8">
        <v>1</v>
      </c>
      <c r="I20" s="8">
        <v>1</v>
      </c>
      <c r="J20" s="8">
        <v>1</v>
      </c>
      <c r="K20" s="8">
        <v>1</v>
      </c>
      <c r="L20" s="8">
        <v>1</v>
      </c>
      <c r="M20" s="8">
        <v>1</v>
      </c>
      <c r="N20" s="8">
        <v>1</v>
      </c>
      <c r="O20" s="8">
        <v>1</v>
      </c>
      <c r="P20" s="8">
        <v>1</v>
      </c>
      <c r="Q20" s="8">
        <v>1</v>
      </c>
      <c r="R20" s="8">
        <v>1</v>
      </c>
      <c r="S20" s="8">
        <v>1</v>
      </c>
      <c r="T20" s="8">
        <v>1</v>
      </c>
      <c r="U20" s="8">
        <v>1</v>
      </c>
      <c r="V20" s="8">
        <v>0</v>
      </c>
    </row>
    <row r="21" spans="1:22" ht="15.75" customHeight="1" x14ac:dyDescent="0.25">
      <c r="A21" s="4">
        <v>16</v>
      </c>
      <c r="B21" s="8">
        <v>0</v>
      </c>
      <c r="C21" s="8">
        <v>0</v>
      </c>
      <c r="D21" s="8">
        <v>1</v>
      </c>
      <c r="E21" s="8">
        <v>1</v>
      </c>
      <c r="F21" s="8">
        <v>1</v>
      </c>
      <c r="G21" s="8">
        <v>1</v>
      </c>
      <c r="H21" s="8">
        <v>1</v>
      </c>
      <c r="I21" s="8">
        <v>1</v>
      </c>
      <c r="J21" s="8">
        <v>1</v>
      </c>
      <c r="K21" s="8">
        <v>1</v>
      </c>
      <c r="L21" s="8">
        <v>1</v>
      </c>
      <c r="M21" s="8">
        <v>1</v>
      </c>
      <c r="N21" s="8">
        <v>1</v>
      </c>
      <c r="O21" s="8">
        <v>1</v>
      </c>
      <c r="P21" s="8">
        <v>1</v>
      </c>
      <c r="Q21" s="8">
        <v>1</v>
      </c>
      <c r="R21" s="8">
        <v>1</v>
      </c>
      <c r="S21" s="8">
        <v>1</v>
      </c>
      <c r="T21" s="8">
        <v>1</v>
      </c>
      <c r="U21" s="8">
        <v>0</v>
      </c>
      <c r="V21" s="8">
        <v>0</v>
      </c>
    </row>
    <row r="22" spans="1:22" ht="15.75" customHeight="1" x14ac:dyDescent="0.25">
      <c r="A22" s="4">
        <v>17</v>
      </c>
      <c r="B22" s="8">
        <v>0</v>
      </c>
      <c r="C22" s="8">
        <v>0</v>
      </c>
      <c r="D22" s="8">
        <v>1</v>
      </c>
      <c r="E22" s="8">
        <v>1</v>
      </c>
      <c r="F22" s="8">
        <v>1</v>
      </c>
      <c r="G22" s="8">
        <v>1</v>
      </c>
      <c r="H22" s="8">
        <v>1</v>
      </c>
      <c r="I22" s="8">
        <v>1</v>
      </c>
      <c r="J22" s="8">
        <v>1</v>
      </c>
      <c r="K22" s="8">
        <v>1</v>
      </c>
      <c r="L22" s="8">
        <v>1</v>
      </c>
      <c r="M22" s="8">
        <v>1</v>
      </c>
      <c r="N22" s="8">
        <v>1</v>
      </c>
      <c r="O22" s="8">
        <v>1</v>
      </c>
      <c r="P22" s="8">
        <v>1</v>
      </c>
      <c r="Q22" s="8">
        <v>1</v>
      </c>
      <c r="R22" s="8">
        <v>1</v>
      </c>
      <c r="S22" s="8">
        <v>1</v>
      </c>
      <c r="T22" s="8">
        <v>1</v>
      </c>
      <c r="U22" s="8">
        <v>0</v>
      </c>
      <c r="V22" s="8">
        <v>0</v>
      </c>
    </row>
    <row r="23" spans="1:22" ht="15.75" customHeight="1" x14ac:dyDescent="0.25">
      <c r="A23" s="4">
        <v>18</v>
      </c>
      <c r="B23" s="8">
        <v>0</v>
      </c>
      <c r="C23" s="8">
        <v>0</v>
      </c>
      <c r="D23" s="8">
        <v>0</v>
      </c>
      <c r="E23" s="8">
        <v>1</v>
      </c>
      <c r="F23" s="8">
        <v>1</v>
      </c>
      <c r="G23" s="8">
        <v>1</v>
      </c>
      <c r="H23" s="8">
        <v>1</v>
      </c>
      <c r="I23" s="8">
        <v>1</v>
      </c>
      <c r="J23" s="8">
        <v>1</v>
      </c>
      <c r="K23" s="8">
        <v>1</v>
      </c>
      <c r="L23" s="8">
        <v>1</v>
      </c>
      <c r="M23" s="8">
        <v>1</v>
      </c>
      <c r="N23" s="8">
        <v>1</v>
      </c>
      <c r="O23" s="8">
        <v>1</v>
      </c>
      <c r="P23" s="8">
        <v>1</v>
      </c>
      <c r="Q23" s="8">
        <v>1</v>
      </c>
      <c r="R23" s="8">
        <v>1</v>
      </c>
      <c r="S23" s="8">
        <v>1</v>
      </c>
      <c r="T23" s="8">
        <v>0</v>
      </c>
      <c r="U23" s="8">
        <v>0</v>
      </c>
      <c r="V23" s="8">
        <v>0</v>
      </c>
    </row>
    <row r="24" spans="1:22" ht="15.75" customHeight="1" x14ac:dyDescent="0.25">
      <c r="A24" s="4">
        <v>19</v>
      </c>
      <c r="B24" s="8">
        <v>0</v>
      </c>
      <c r="C24" s="8">
        <v>0</v>
      </c>
      <c r="D24" s="8">
        <v>0</v>
      </c>
      <c r="E24" s="8">
        <v>0</v>
      </c>
      <c r="F24" s="8">
        <v>1</v>
      </c>
      <c r="G24" s="8">
        <v>1</v>
      </c>
      <c r="H24" s="8">
        <v>1</v>
      </c>
      <c r="I24" s="8">
        <v>1</v>
      </c>
      <c r="J24" s="8">
        <v>1</v>
      </c>
      <c r="K24" s="8">
        <v>1</v>
      </c>
      <c r="L24" s="8">
        <v>1</v>
      </c>
      <c r="M24" s="8">
        <v>1</v>
      </c>
      <c r="N24" s="8">
        <v>1</v>
      </c>
      <c r="O24" s="8">
        <v>1</v>
      </c>
      <c r="P24" s="8">
        <v>1</v>
      </c>
      <c r="Q24" s="8">
        <v>1</v>
      </c>
      <c r="R24" s="8">
        <v>1</v>
      </c>
      <c r="S24" s="8">
        <v>0</v>
      </c>
      <c r="T24" s="8">
        <v>0</v>
      </c>
      <c r="U24" s="8">
        <v>0</v>
      </c>
      <c r="V24" s="8">
        <v>0</v>
      </c>
    </row>
    <row r="25" spans="1:22" ht="15.75" customHeight="1" x14ac:dyDescent="0.25">
      <c r="A25" s="4">
        <v>20</v>
      </c>
      <c r="B25" s="8">
        <v>0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1</v>
      </c>
      <c r="I25" s="8">
        <v>1</v>
      </c>
      <c r="J25" s="8">
        <v>1</v>
      </c>
      <c r="K25" s="8">
        <v>1</v>
      </c>
      <c r="L25" s="8">
        <v>1</v>
      </c>
      <c r="M25" s="8">
        <v>1</v>
      </c>
      <c r="N25" s="8">
        <v>1</v>
      </c>
      <c r="O25" s="8">
        <v>1</v>
      </c>
      <c r="P25" s="8">
        <v>1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</row>
    <row r="26" spans="1:22" ht="15.75" customHeight="1" x14ac:dyDescent="0.25">
      <c r="A26" s="4">
        <v>21</v>
      </c>
      <c r="B26" s="8">
        <v>0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1</v>
      </c>
      <c r="L26" s="8">
        <v>1</v>
      </c>
      <c r="M26" s="8">
        <v>1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</row>
  </sheetData>
  <conditionalFormatting sqref="B6:V26">
    <cfRule type="expression" dxfId="10" priority="2">
      <formula>B6=1</formula>
    </cfRule>
    <cfRule type="expression" dxfId="9" priority="3">
      <formula>B6=0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W8"/>
  <sheetViews>
    <sheetView showGridLines="0" zoomScaleNormal="100" workbookViewId="0">
      <selection activeCell="AA33" sqref="AA33"/>
    </sheetView>
  </sheetViews>
  <sheetFormatPr defaultColWidth="8.7109375" defaultRowHeight="15" x14ac:dyDescent="0.25"/>
  <cols>
    <col min="1" max="23" width="4" customWidth="1"/>
  </cols>
  <sheetData>
    <row r="1" spans="1:23" ht="15.75" x14ac:dyDescent="0.25">
      <c r="A1" s="9" t="s">
        <v>23</v>
      </c>
    </row>
    <row r="2" spans="1:23" x14ac:dyDescent="0.25">
      <c r="A2" s="10" t="s">
        <v>24</v>
      </c>
    </row>
    <row r="3" spans="1:23" x14ac:dyDescent="0.25">
      <c r="A3" s="10" t="s">
        <v>25</v>
      </c>
    </row>
    <row r="4" spans="1:23" x14ac:dyDescent="0.25">
      <c r="A4" s="10" t="s">
        <v>26</v>
      </c>
    </row>
    <row r="5" spans="1:23" x14ac:dyDescent="0.25">
      <c r="A5" s="10" t="s">
        <v>27</v>
      </c>
    </row>
    <row r="7" spans="1:23" x14ac:dyDescent="0.25">
      <c r="A7" s="4" t="s">
        <v>28</v>
      </c>
    </row>
    <row r="8" spans="1:23" x14ac:dyDescent="0.25">
      <c r="A8" s="11" t="s">
        <v>29</v>
      </c>
      <c r="B8" s="11" t="s">
        <v>30</v>
      </c>
      <c r="C8" s="11" t="s">
        <v>31</v>
      </c>
      <c r="D8" s="11" t="s">
        <v>32</v>
      </c>
      <c r="E8" s="11" t="s">
        <v>33</v>
      </c>
      <c r="F8" s="11" t="s">
        <v>34</v>
      </c>
      <c r="G8" s="11" t="s">
        <v>35</v>
      </c>
      <c r="H8" s="11" t="s">
        <v>36</v>
      </c>
      <c r="I8" s="11" t="s">
        <v>37</v>
      </c>
      <c r="J8" s="11" t="s">
        <v>38</v>
      </c>
      <c r="K8" s="11" t="s">
        <v>39</v>
      </c>
      <c r="L8" s="11" t="s">
        <v>40</v>
      </c>
      <c r="M8" s="11" t="s">
        <v>41</v>
      </c>
      <c r="N8" s="11" t="s">
        <v>42</v>
      </c>
      <c r="O8" s="11" t="s">
        <v>43</v>
      </c>
      <c r="P8" s="11" t="s">
        <v>44</v>
      </c>
      <c r="Q8" s="11" t="s">
        <v>45</v>
      </c>
      <c r="R8" s="11" t="s">
        <v>46</v>
      </c>
      <c r="S8" s="11" t="s">
        <v>47</v>
      </c>
      <c r="T8" s="11" t="s">
        <v>48</v>
      </c>
      <c r="U8" s="11" t="s">
        <v>49</v>
      </c>
      <c r="V8" s="11" t="s">
        <v>50</v>
      </c>
      <c r="W8" s="11" t="s">
        <v>51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E22"/>
  <sheetViews>
    <sheetView showGridLines="0" zoomScaleNormal="100" workbookViewId="0">
      <selection activeCell="AA33" sqref="AA33"/>
    </sheetView>
  </sheetViews>
  <sheetFormatPr defaultColWidth="8.7109375" defaultRowHeight="15" x14ac:dyDescent="0.25"/>
  <cols>
    <col min="1" max="5" width="16" customWidth="1"/>
  </cols>
  <sheetData>
    <row r="1" spans="1:5" ht="15.75" x14ac:dyDescent="0.25">
      <c r="A1" s="9" t="s">
        <v>52</v>
      </c>
    </row>
    <row r="2" spans="1:5" ht="90" x14ac:dyDescent="0.25">
      <c r="A2" s="12" t="s">
        <v>53</v>
      </c>
    </row>
    <row r="3" spans="1:5" ht="77.25" x14ac:dyDescent="0.25">
      <c r="A3" s="12" t="s">
        <v>54</v>
      </c>
    </row>
    <row r="4" spans="1:5" ht="39" x14ac:dyDescent="0.25">
      <c r="A4" s="12" t="s">
        <v>55</v>
      </c>
    </row>
    <row r="5" spans="1:5" ht="39" x14ac:dyDescent="0.25">
      <c r="A5" s="12" t="s">
        <v>56</v>
      </c>
    </row>
    <row r="6" spans="1:5" ht="26.25" x14ac:dyDescent="0.25">
      <c r="A6" s="12" t="s">
        <v>57</v>
      </c>
    </row>
    <row r="7" spans="1:5" ht="39" x14ac:dyDescent="0.25">
      <c r="A7" s="12" t="s">
        <v>58</v>
      </c>
    </row>
    <row r="8" spans="1:5" ht="64.5" x14ac:dyDescent="0.25">
      <c r="A8" s="12" t="s">
        <v>59</v>
      </c>
    </row>
    <row r="9" spans="1:5" ht="281.25" x14ac:dyDescent="0.25">
      <c r="A9" s="12" t="s">
        <v>60</v>
      </c>
    </row>
    <row r="11" spans="1:5" x14ac:dyDescent="0.25">
      <c r="A11" s="13" t="s">
        <v>61</v>
      </c>
      <c r="B11" s="13" t="s">
        <v>62</v>
      </c>
      <c r="C11" s="13" t="s">
        <v>63</v>
      </c>
      <c r="D11" s="13" t="s">
        <v>64</v>
      </c>
      <c r="E11" s="13" t="s">
        <v>65</v>
      </c>
    </row>
    <row r="12" spans="1:5" x14ac:dyDescent="0.25">
      <c r="A12" s="14" t="s">
        <v>66</v>
      </c>
      <c r="B12" s="15">
        <f>(MATCH(LEFT(A12,1),'Serial Reference'!$A$8:$W$8,0)-1)*23+(MATCH(MID(A12,2,1),'Serial Reference'!$A$8:$W$8,0)-1)+1</f>
        <v>11</v>
      </c>
      <c r="C12" s="15">
        <f t="shared" ref="C12:C22" si="0">VALUE(MID(A12,3,3))-INT(VALUE(MID(A12,3,3))/10)</f>
        <v>51</v>
      </c>
      <c r="D12" s="15">
        <f t="shared" ref="D12:D22" si="1">CEILING(B12/5,1)</f>
        <v>3</v>
      </c>
      <c r="E12" s="15">
        <f t="shared" ref="E12:E22" si="2">CEILING(C12/5,1)</f>
        <v>11</v>
      </c>
    </row>
    <row r="13" spans="1:5" x14ac:dyDescent="0.25">
      <c r="A13" s="14" t="s">
        <v>67</v>
      </c>
      <c r="B13" s="15">
        <f>(MATCH(LEFT(A13,1),'Serial Reference'!$A$8:$W$8,0)-1)*23+(MATCH(MID(A13,2,1),'Serial Reference'!$A$8:$W$8,0)-1)+1</f>
        <v>31</v>
      </c>
      <c r="C13" s="15">
        <f t="shared" si="0"/>
        <v>26</v>
      </c>
      <c r="D13" s="15">
        <f t="shared" si="1"/>
        <v>7</v>
      </c>
      <c r="E13" s="15">
        <f t="shared" si="2"/>
        <v>6</v>
      </c>
    </row>
    <row r="14" spans="1:5" x14ac:dyDescent="0.25">
      <c r="A14" s="14" t="s">
        <v>68</v>
      </c>
      <c r="B14" s="15">
        <f>(MATCH(LEFT(A14,1),'Serial Reference'!$A$8:$W$8,0)-1)*23+(MATCH(MID(A14,2,1),'Serial Reference'!$A$8:$W$8,0)-1)+1</f>
        <v>31</v>
      </c>
      <c r="C14" s="15">
        <f t="shared" si="0"/>
        <v>51</v>
      </c>
      <c r="D14" s="15">
        <f t="shared" si="1"/>
        <v>7</v>
      </c>
      <c r="E14" s="15">
        <f t="shared" si="2"/>
        <v>11</v>
      </c>
    </row>
    <row r="15" spans="1:5" x14ac:dyDescent="0.25">
      <c r="A15" s="14" t="s">
        <v>69</v>
      </c>
      <c r="B15" s="15">
        <f>(MATCH(LEFT(A15,1),'Serial Reference'!$A$8:$W$8,0)-1)*23+(MATCH(MID(A15,2,1),'Serial Reference'!$A$8:$W$8,0)-1)+1</f>
        <v>31</v>
      </c>
      <c r="C15" s="15">
        <f t="shared" si="0"/>
        <v>76</v>
      </c>
      <c r="D15" s="15">
        <f t="shared" si="1"/>
        <v>7</v>
      </c>
      <c r="E15" s="15">
        <f t="shared" si="2"/>
        <v>16</v>
      </c>
    </row>
    <row r="16" spans="1:5" x14ac:dyDescent="0.25">
      <c r="A16" s="14" t="s">
        <v>70</v>
      </c>
      <c r="B16" s="15">
        <f>(MATCH(LEFT(A16,1),'Serial Reference'!$A$8:$W$8,0)-1)*23+(MATCH(MID(A16,2,1),'Serial Reference'!$A$8:$W$8,0)-1)+1</f>
        <v>51</v>
      </c>
      <c r="C16" s="15">
        <f t="shared" si="0"/>
        <v>11</v>
      </c>
      <c r="D16" s="15">
        <f t="shared" si="1"/>
        <v>11</v>
      </c>
      <c r="E16" s="15">
        <f t="shared" si="2"/>
        <v>3</v>
      </c>
    </row>
    <row r="17" spans="1:5" x14ac:dyDescent="0.25">
      <c r="A17" s="14" t="s">
        <v>71</v>
      </c>
      <c r="B17" s="15">
        <f>(MATCH(LEFT(A17,1),'Serial Reference'!$A$8:$W$8,0)-1)*23+(MATCH(MID(A17,2,1),'Serial Reference'!$A$8:$W$8,0)-1)+1</f>
        <v>51</v>
      </c>
      <c r="C17" s="15">
        <f t="shared" si="0"/>
        <v>51</v>
      </c>
      <c r="D17" s="15">
        <f t="shared" si="1"/>
        <v>11</v>
      </c>
      <c r="E17" s="15">
        <f t="shared" si="2"/>
        <v>11</v>
      </c>
    </row>
    <row r="18" spans="1:5" x14ac:dyDescent="0.25">
      <c r="A18" s="14" t="s">
        <v>72</v>
      </c>
      <c r="B18" s="15">
        <f>(MATCH(LEFT(A18,1),'Serial Reference'!$A$8:$W$8,0)-1)*23+(MATCH(MID(A18,2,1),'Serial Reference'!$A$8:$W$8,0)-1)+1</f>
        <v>51</v>
      </c>
      <c r="C18" s="15">
        <f t="shared" si="0"/>
        <v>91</v>
      </c>
      <c r="D18" s="15">
        <f t="shared" si="1"/>
        <v>11</v>
      </c>
      <c r="E18" s="15">
        <f t="shared" si="2"/>
        <v>19</v>
      </c>
    </row>
    <row r="19" spans="1:5" x14ac:dyDescent="0.25">
      <c r="A19" s="14" t="s">
        <v>73</v>
      </c>
      <c r="B19" s="15">
        <f>(MATCH(LEFT(A19,1),'Serial Reference'!$A$8:$W$8,0)-1)*23+(MATCH(MID(A19,2,1),'Serial Reference'!$A$8:$W$8,0)-1)+1</f>
        <v>71</v>
      </c>
      <c r="C19" s="15">
        <f t="shared" si="0"/>
        <v>26</v>
      </c>
      <c r="D19" s="15">
        <f t="shared" si="1"/>
        <v>15</v>
      </c>
      <c r="E19" s="15">
        <f t="shared" si="2"/>
        <v>6</v>
      </c>
    </row>
    <row r="20" spans="1:5" x14ac:dyDescent="0.25">
      <c r="A20" s="14" t="s">
        <v>74</v>
      </c>
      <c r="B20" s="15">
        <f>(MATCH(LEFT(A20,1),'Serial Reference'!$A$8:$W$8,0)-1)*23+(MATCH(MID(A20,2,1),'Serial Reference'!$A$8:$W$8,0)-1)+1</f>
        <v>71</v>
      </c>
      <c r="C20" s="15">
        <f t="shared" si="0"/>
        <v>51</v>
      </c>
      <c r="D20" s="15">
        <f t="shared" si="1"/>
        <v>15</v>
      </c>
      <c r="E20" s="15">
        <f t="shared" si="2"/>
        <v>11</v>
      </c>
    </row>
    <row r="21" spans="1:5" x14ac:dyDescent="0.25">
      <c r="A21" s="14" t="s">
        <v>75</v>
      </c>
      <c r="B21" s="15">
        <f>(MATCH(LEFT(A21,1),'Serial Reference'!$A$8:$W$8,0)-1)*23+(MATCH(MID(A21,2,1),'Serial Reference'!$A$8:$W$8,0)-1)+1</f>
        <v>71</v>
      </c>
      <c r="C21" s="15">
        <f t="shared" si="0"/>
        <v>76</v>
      </c>
      <c r="D21" s="15">
        <f t="shared" si="1"/>
        <v>15</v>
      </c>
      <c r="E21" s="15">
        <f t="shared" si="2"/>
        <v>16</v>
      </c>
    </row>
    <row r="22" spans="1:5" x14ac:dyDescent="0.25">
      <c r="A22" s="14" t="s">
        <v>76</v>
      </c>
      <c r="B22" s="15">
        <f>(MATCH(LEFT(A22,1),'Serial Reference'!$A$8:$W$8,0)-1)*23+(MATCH(MID(A22,2,1),'Serial Reference'!$A$8:$W$8,0)-1)+1</f>
        <v>91</v>
      </c>
      <c r="C22" s="15">
        <f t="shared" si="0"/>
        <v>51</v>
      </c>
      <c r="D22" s="15">
        <f t="shared" si="1"/>
        <v>19</v>
      </c>
      <c r="E22" s="15">
        <f t="shared" si="2"/>
        <v>11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1:R113"/>
  <sheetViews>
    <sheetView showGridLines="0" zoomScaleNormal="100" workbookViewId="0">
      <pane xSplit="1" ySplit="4" topLeftCell="B89" activePane="bottomRight" state="frozen"/>
      <selection activeCell="AA33" sqref="AA33"/>
      <selection pane="topRight" activeCell="AA33" sqref="AA33"/>
      <selection pane="bottomLeft" activeCell="AA33" sqref="AA33"/>
      <selection pane="bottomRight" activeCell="AA33" sqref="AA33"/>
    </sheetView>
  </sheetViews>
  <sheetFormatPr defaultColWidth="8.7109375" defaultRowHeight="15" x14ac:dyDescent="0.25"/>
  <cols>
    <col min="1" max="18" width="9" customWidth="1"/>
  </cols>
  <sheetData>
    <row r="1" spans="1:18" ht="15.75" x14ac:dyDescent="0.25">
      <c r="A1" s="9" t="s">
        <v>79</v>
      </c>
    </row>
    <row r="2" spans="1:18" x14ac:dyDescent="0.25">
      <c r="A2" s="4" t="s">
        <v>80</v>
      </c>
      <c r="B2" s="27">
        <v>20</v>
      </c>
    </row>
    <row r="4" spans="1:18" ht="27.75" customHeight="1" x14ac:dyDescent="0.25">
      <c r="A4" s="28" t="s">
        <v>81</v>
      </c>
      <c r="B4" s="28" t="s">
        <v>82</v>
      </c>
      <c r="C4" s="28" t="s">
        <v>83</v>
      </c>
      <c r="D4" s="28" t="s">
        <v>84</v>
      </c>
      <c r="E4" s="28" t="s">
        <v>85</v>
      </c>
      <c r="F4" s="28" t="s">
        <v>86</v>
      </c>
      <c r="G4" s="28" t="s">
        <v>87</v>
      </c>
      <c r="H4" s="28" t="s">
        <v>88</v>
      </c>
      <c r="I4" s="28" t="s">
        <v>89</v>
      </c>
      <c r="J4" s="28" t="s">
        <v>90</v>
      </c>
      <c r="K4" s="28" t="s">
        <v>91</v>
      </c>
      <c r="L4" s="28" t="s">
        <v>92</v>
      </c>
      <c r="M4" s="28" t="s">
        <v>93</v>
      </c>
      <c r="N4" s="28" t="s">
        <v>94</v>
      </c>
      <c r="O4" s="28" t="s">
        <v>95</v>
      </c>
      <c r="P4" s="28" t="s">
        <v>96</v>
      </c>
      <c r="Q4" s="28" t="s">
        <v>97</v>
      </c>
      <c r="R4" s="28" t="s">
        <v>98</v>
      </c>
    </row>
    <row r="5" spans="1:18" x14ac:dyDescent="0.25">
      <c r="A5" s="29">
        <v>1</v>
      </c>
      <c r="B5" s="30">
        <f t="shared" ref="B5:B36" si="0">CEILING(A5/5,1)</f>
        <v>1</v>
      </c>
      <c r="C5" s="30">
        <f>(MATCH(1,INDEX('Shot Map'!$B$6:$V$26,0,B5),0)-1)*5+1</f>
        <v>46</v>
      </c>
      <c r="D5" s="30">
        <f>(MATCH(1,INDEX('Shot Map'!$B$6:$V$26,0,B5),0)+SUM(INDEX('Shot Map'!$B$6:$V$26,0,B5))-2)*5+5</f>
        <v>60</v>
      </c>
      <c r="E5" s="30">
        <f t="shared" ref="E5:E36" si="1">D5-C5+1</f>
        <v>15</v>
      </c>
      <c r="F5" s="30">
        <f t="shared" ref="F5:F36" si="2">ROUNDUP(E5/$B$2,0)</f>
        <v>1</v>
      </c>
      <c r="G5" s="8">
        <f t="shared" ref="G5:G36" si="3">IF($F5&gt;=1,$C5+(1-1)*$B$2,"")</f>
        <v>46</v>
      </c>
      <c r="H5" s="8">
        <f t="shared" ref="H5:H36" si="4">IF(G5="","",MIN(G5+$B$2-1,105))</f>
        <v>65</v>
      </c>
      <c r="I5" s="8" t="str">
        <f t="shared" ref="I5:I36" si="5">IF($F5&gt;=2,$C5+(2-1)*$B$2,"")</f>
        <v/>
      </c>
      <c r="J5" s="8" t="str">
        <f t="shared" ref="J5:J36" si="6">IF(I5="","",MIN(I5+$B$2-1,105))</f>
        <v/>
      </c>
      <c r="K5" s="8" t="str">
        <f t="shared" ref="K5:K36" si="7">IF($F5&gt;=3,$C5+(3-1)*$B$2,"")</f>
        <v/>
      </c>
      <c r="L5" s="8" t="str">
        <f t="shared" ref="L5:L36" si="8">IF(K5="","",MIN(K5+$B$2-1,105))</f>
        <v/>
      </c>
      <c r="M5" s="8" t="str">
        <f t="shared" ref="M5:M36" si="9">IF($F5&gt;=4,$C5+(4-1)*$B$2,"")</f>
        <v/>
      </c>
      <c r="N5" s="8" t="str">
        <f t="shared" ref="N5:N36" si="10">IF(M5="","",MIN(M5+$B$2-1,105))</f>
        <v/>
      </c>
      <c r="O5" s="8" t="str">
        <f t="shared" ref="O5:O36" si="11">IF($F5&gt;=5,$C5+(5-1)*$B$2,"")</f>
        <v/>
      </c>
      <c r="P5" s="8" t="str">
        <f t="shared" ref="P5:P36" si="12">IF(O5="","",MIN(O5+$B$2-1,105))</f>
        <v/>
      </c>
      <c r="Q5" s="8" t="str">
        <f t="shared" ref="Q5:Q36" si="13">IF($F5&gt;=6,$C5+(6-1)*$B$2,"")</f>
        <v/>
      </c>
      <c r="R5" s="8" t="str">
        <f t="shared" ref="R5:R36" si="14">IF(Q5="","",MIN(Q5+$B$2-1,105))</f>
        <v/>
      </c>
    </row>
    <row r="6" spans="1:18" x14ac:dyDescent="0.25">
      <c r="A6" s="29">
        <v>2</v>
      </c>
      <c r="B6" s="30">
        <f t="shared" si="0"/>
        <v>1</v>
      </c>
      <c r="C6" s="30">
        <f>(MATCH(1,INDEX('Shot Map'!$B$6:$V$26,0,B6),0)-1)*5+1</f>
        <v>46</v>
      </c>
      <c r="D6" s="30">
        <f>(MATCH(1,INDEX('Shot Map'!$B$6:$V$26,0,B6),0)+SUM(INDEX('Shot Map'!$B$6:$V$26,0,B6))-2)*5+5</f>
        <v>60</v>
      </c>
      <c r="E6" s="30">
        <f t="shared" si="1"/>
        <v>15</v>
      </c>
      <c r="F6" s="30">
        <f t="shared" si="2"/>
        <v>1</v>
      </c>
      <c r="G6" s="8">
        <f t="shared" si="3"/>
        <v>46</v>
      </c>
      <c r="H6" s="8">
        <f t="shared" si="4"/>
        <v>65</v>
      </c>
      <c r="I6" s="8" t="str">
        <f t="shared" si="5"/>
        <v/>
      </c>
      <c r="J6" s="8" t="str">
        <f t="shared" si="6"/>
        <v/>
      </c>
      <c r="K6" s="8" t="str">
        <f t="shared" si="7"/>
        <v/>
      </c>
      <c r="L6" s="8" t="str">
        <f t="shared" si="8"/>
        <v/>
      </c>
      <c r="M6" s="8" t="str">
        <f t="shared" si="9"/>
        <v/>
      </c>
      <c r="N6" s="8" t="str">
        <f t="shared" si="10"/>
        <v/>
      </c>
      <c r="O6" s="8" t="str">
        <f t="shared" si="11"/>
        <v/>
      </c>
      <c r="P6" s="8" t="str">
        <f t="shared" si="12"/>
        <v/>
      </c>
      <c r="Q6" s="8" t="str">
        <f t="shared" si="13"/>
        <v/>
      </c>
      <c r="R6" s="8" t="str">
        <f t="shared" si="14"/>
        <v/>
      </c>
    </row>
    <row r="7" spans="1:18" x14ac:dyDescent="0.25">
      <c r="A7" s="29">
        <v>3</v>
      </c>
      <c r="B7" s="30">
        <f t="shared" si="0"/>
        <v>1</v>
      </c>
      <c r="C7" s="30">
        <f>(MATCH(1,INDEX('Shot Map'!$B$6:$V$26,0,B7),0)-1)*5+1</f>
        <v>46</v>
      </c>
      <c r="D7" s="30">
        <f>(MATCH(1,INDEX('Shot Map'!$B$6:$V$26,0,B7),0)+SUM(INDEX('Shot Map'!$B$6:$V$26,0,B7))-2)*5+5</f>
        <v>60</v>
      </c>
      <c r="E7" s="30">
        <f t="shared" si="1"/>
        <v>15</v>
      </c>
      <c r="F7" s="30">
        <f t="shared" si="2"/>
        <v>1</v>
      </c>
      <c r="G7" s="8">
        <f t="shared" si="3"/>
        <v>46</v>
      </c>
      <c r="H7" s="8">
        <f t="shared" si="4"/>
        <v>65</v>
      </c>
      <c r="I7" s="8" t="str">
        <f t="shared" si="5"/>
        <v/>
      </c>
      <c r="J7" s="8" t="str">
        <f t="shared" si="6"/>
        <v/>
      </c>
      <c r="K7" s="8" t="str">
        <f t="shared" si="7"/>
        <v/>
      </c>
      <c r="L7" s="8" t="str">
        <f t="shared" si="8"/>
        <v/>
      </c>
      <c r="M7" s="8" t="str">
        <f t="shared" si="9"/>
        <v/>
      </c>
      <c r="N7" s="8" t="str">
        <f t="shared" si="10"/>
        <v/>
      </c>
      <c r="O7" s="8" t="str">
        <f t="shared" si="11"/>
        <v/>
      </c>
      <c r="P7" s="8" t="str">
        <f t="shared" si="12"/>
        <v/>
      </c>
      <c r="Q7" s="8" t="str">
        <f t="shared" si="13"/>
        <v/>
      </c>
      <c r="R7" s="8" t="str">
        <f t="shared" si="14"/>
        <v/>
      </c>
    </row>
    <row r="8" spans="1:18" x14ac:dyDescent="0.25">
      <c r="A8" s="29">
        <v>4</v>
      </c>
      <c r="B8" s="30">
        <f t="shared" si="0"/>
        <v>1</v>
      </c>
      <c r="C8" s="30">
        <f>(MATCH(1,INDEX('Shot Map'!$B$6:$V$26,0,B8),0)-1)*5+1</f>
        <v>46</v>
      </c>
      <c r="D8" s="30">
        <f>(MATCH(1,INDEX('Shot Map'!$B$6:$V$26,0,B8),0)+SUM(INDEX('Shot Map'!$B$6:$V$26,0,B8))-2)*5+5</f>
        <v>60</v>
      </c>
      <c r="E8" s="30">
        <f t="shared" si="1"/>
        <v>15</v>
      </c>
      <c r="F8" s="30">
        <f t="shared" si="2"/>
        <v>1</v>
      </c>
      <c r="G8" s="8">
        <f t="shared" si="3"/>
        <v>46</v>
      </c>
      <c r="H8" s="8">
        <f t="shared" si="4"/>
        <v>65</v>
      </c>
      <c r="I8" s="8" t="str">
        <f t="shared" si="5"/>
        <v/>
      </c>
      <c r="J8" s="8" t="str">
        <f t="shared" si="6"/>
        <v/>
      </c>
      <c r="K8" s="8" t="str">
        <f t="shared" si="7"/>
        <v/>
      </c>
      <c r="L8" s="8" t="str">
        <f t="shared" si="8"/>
        <v/>
      </c>
      <c r="M8" s="8" t="str">
        <f t="shared" si="9"/>
        <v/>
      </c>
      <c r="N8" s="8" t="str">
        <f t="shared" si="10"/>
        <v/>
      </c>
      <c r="O8" s="8" t="str">
        <f t="shared" si="11"/>
        <v/>
      </c>
      <c r="P8" s="8" t="str">
        <f t="shared" si="12"/>
        <v/>
      </c>
      <c r="Q8" s="8" t="str">
        <f t="shared" si="13"/>
        <v/>
      </c>
      <c r="R8" s="8" t="str">
        <f t="shared" si="14"/>
        <v/>
      </c>
    </row>
    <row r="9" spans="1:18" x14ac:dyDescent="0.25">
      <c r="A9" s="29">
        <v>5</v>
      </c>
      <c r="B9" s="30">
        <f t="shared" si="0"/>
        <v>1</v>
      </c>
      <c r="C9" s="30">
        <f>(MATCH(1,INDEX('Shot Map'!$B$6:$V$26,0,B9),0)-1)*5+1</f>
        <v>46</v>
      </c>
      <c r="D9" s="30">
        <f>(MATCH(1,INDEX('Shot Map'!$B$6:$V$26,0,B9),0)+SUM(INDEX('Shot Map'!$B$6:$V$26,0,B9))-2)*5+5</f>
        <v>60</v>
      </c>
      <c r="E9" s="30">
        <f t="shared" si="1"/>
        <v>15</v>
      </c>
      <c r="F9" s="30">
        <f t="shared" si="2"/>
        <v>1</v>
      </c>
      <c r="G9" s="8">
        <f t="shared" si="3"/>
        <v>46</v>
      </c>
      <c r="H9" s="8">
        <f t="shared" si="4"/>
        <v>65</v>
      </c>
      <c r="I9" s="8" t="str">
        <f t="shared" si="5"/>
        <v/>
      </c>
      <c r="J9" s="8" t="str">
        <f t="shared" si="6"/>
        <v/>
      </c>
      <c r="K9" s="8" t="str">
        <f t="shared" si="7"/>
        <v/>
      </c>
      <c r="L9" s="8" t="str">
        <f t="shared" si="8"/>
        <v/>
      </c>
      <c r="M9" s="8" t="str">
        <f t="shared" si="9"/>
        <v/>
      </c>
      <c r="N9" s="8" t="str">
        <f t="shared" si="10"/>
        <v/>
      </c>
      <c r="O9" s="8" t="str">
        <f t="shared" si="11"/>
        <v/>
      </c>
      <c r="P9" s="8" t="str">
        <f t="shared" si="12"/>
        <v/>
      </c>
      <c r="Q9" s="8" t="str">
        <f t="shared" si="13"/>
        <v/>
      </c>
      <c r="R9" s="8" t="str">
        <f t="shared" si="14"/>
        <v/>
      </c>
    </row>
    <row r="10" spans="1:18" x14ac:dyDescent="0.25">
      <c r="A10" s="29">
        <v>6</v>
      </c>
      <c r="B10" s="30">
        <f t="shared" si="0"/>
        <v>2</v>
      </c>
      <c r="C10" s="30">
        <f>(MATCH(1,INDEX('Shot Map'!$B$6:$V$26,0,B10),0)-1)*5+1</f>
        <v>31</v>
      </c>
      <c r="D10" s="30">
        <f>(MATCH(1,INDEX('Shot Map'!$B$6:$V$26,0,B10),0)+SUM(INDEX('Shot Map'!$B$6:$V$26,0,B10))-2)*5+5</f>
        <v>75</v>
      </c>
      <c r="E10" s="30">
        <f t="shared" si="1"/>
        <v>45</v>
      </c>
      <c r="F10" s="30">
        <f t="shared" si="2"/>
        <v>3</v>
      </c>
      <c r="G10" s="8">
        <f t="shared" si="3"/>
        <v>31</v>
      </c>
      <c r="H10" s="8">
        <f t="shared" si="4"/>
        <v>50</v>
      </c>
      <c r="I10" s="8">
        <f t="shared" si="5"/>
        <v>51</v>
      </c>
      <c r="J10" s="8">
        <f t="shared" si="6"/>
        <v>70</v>
      </c>
      <c r="K10" s="8">
        <f t="shared" si="7"/>
        <v>71</v>
      </c>
      <c r="L10" s="8">
        <f t="shared" si="8"/>
        <v>90</v>
      </c>
      <c r="M10" s="8" t="str">
        <f t="shared" si="9"/>
        <v/>
      </c>
      <c r="N10" s="8" t="str">
        <f t="shared" si="10"/>
        <v/>
      </c>
      <c r="O10" s="8" t="str">
        <f t="shared" si="11"/>
        <v/>
      </c>
      <c r="P10" s="8" t="str">
        <f t="shared" si="12"/>
        <v/>
      </c>
      <c r="Q10" s="8" t="str">
        <f t="shared" si="13"/>
        <v/>
      </c>
      <c r="R10" s="8" t="str">
        <f t="shared" si="14"/>
        <v/>
      </c>
    </row>
    <row r="11" spans="1:18" x14ac:dyDescent="0.25">
      <c r="A11" s="29">
        <v>7</v>
      </c>
      <c r="B11" s="30">
        <f t="shared" si="0"/>
        <v>2</v>
      </c>
      <c r="C11" s="30">
        <f>(MATCH(1,INDEX('Shot Map'!$B$6:$V$26,0,B11),0)-1)*5+1</f>
        <v>31</v>
      </c>
      <c r="D11" s="30">
        <f>(MATCH(1,INDEX('Shot Map'!$B$6:$V$26,0,B11),0)+SUM(INDEX('Shot Map'!$B$6:$V$26,0,B11))-2)*5+5</f>
        <v>75</v>
      </c>
      <c r="E11" s="30">
        <f t="shared" si="1"/>
        <v>45</v>
      </c>
      <c r="F11" s="30">
        <f t="shared" si="2"/>
        <v>3</v>
      </c>
      <c r="G11" s="8">
        <f t="shared" si="3"/>
        <v>31</v>
      </c>
      <c r="H11" s="8">
        <f t="shared" si="4"/>
        <v>50</v>
      </c>
      <c r="I11" s="8">
        <f t="shared" si="5"/>
        <v>51</v>
      </c>
      <c r="J11" s="8">
        <f t="shared" si="6"/>
        <v>70</v>
      </c>
      <c r="K11" s="8">
        <f t="shared" si="7"/>
        <v>71</v>
      </c>
      <c r="L11" s="8">
        <f t="shared" si="8"/>
        <v>90</v>
      </c>
      <c r="M11" s="8" t="str">
        <f t="shared" si="9"/>
        <v/>
      </c>
      <c r="N11" s="8" t="str">
        <f t="shared" si="10"/>
        <v/>
      </c>
      <c r="O11" s="8" t="str">
        <f t="shared" si="11"/>
        <v/>
      </c>
      <c r="P11" s="8" t="str">
        <f t="shared" si="12"/>
        <v/>
      </c>
      <c r="Q11" s="8" t="str">
        <f t="shared" si="13"/>
        <v/>
      </c>
      <c r="R11" s="8" t="str">
        <f t="shared" si="14"/>
        <v/>
      </c>
    </row>
    <row r="12" spans="1:18" x14ac:dyDescent="0.25">
      <c r="A12" s="29">
        <v>8</v>
      </c>
      <c r="B12" s="30">
        <f t="shared" si="0"/>
        <v>2</v>
      </c>
      <c r="C12" s="30">
        <f>(MATCH(1,INDEX('Shot Map'!$B$6:$V$26,0,B12),0)-1)*5+1</f>
        <v>31</v>
      </c>
      <c r="D12" s="30">
        <f>(MATCH(1,INDEX('Shot Map'!$B$6:$V$26,0,B12),0)+SUM(INDEX('Shot Map'!$B$6:$V$26,0,B12))-2)*5+5</f>
        <v>75</v>
      </c>
      <c r="E12" s="30">
        <f t="shared" si="1"/>
        <v>45</v>
      </c>
      <c r="F12" s="30">
        <f t="shared" si="2"/>
        <v>3</v>
      </c>
      <c r="G12" s="8">
        <f t="shared" si="3"/>
        <v>31</v>
      </c>
      <c r="H12" s="8">
        <f t="shared" si="4"/>
        <v>50</v>
      </c>
      <c r="I12" s="8">
        <f t="shared" si="5"/>
        <v>51</v>
      </c>
      <c r="J12" s="8">
        <f t="shared" si="6"/>
        <v>70</v>
      </c>
      <c r="K12" s="8">
        <f t="shared" si="7"/>
        <v>71</v>
      </c>
      <c r="L12" s="8">
        <f t="shared" si="8"/>
        <v>90</v>
      </c>
      <c r="M12" s="8" t="str">
        <f t="shared" si="9"/>
        <v/>
      </c>
      <c r="N12" s="8" t="str">
        <f t="shared" si="10"/>
        <v/>
      </c>
      <c r="O12" s="8" t="str">
        <f t="shared" si="11"/>
        <v/>
      </c>
      <c r="P12" s="8" t="str">
        <f t="shared" si="12"/>
        <v/>
      </c>
      <c r="Q12" s="8" t="str">
        <f t="shared" si="13"/>
        <v/>
      </c>
      <c r="R12" s="8" t="str">
        <f t="shared" si="14"/>
        <v/>
      </c>
    </row>
    <row r="13" spans="1:18" x14ac:dyDescent="0.25">
      <c r="A13" s="29">
        <v>9</v>
      </c>
      <c r="B13" s="30">
        <f t="shared" si="0"/>
        <v>2</v>
      </c>
      <c r="C13" s="30">
        <f>(MATCH(1,INDEX('Shot Map'!$B$6:$V$26,0,B13),0)-1)*5+1</f>
        <v>31</v>
      </c>
      <c r="D13" s="30">
        <f>(MATCH(1,INDEX('Shot Map'!$B$6:$V$26,0,B13),0)+SUM(INDEX('Shot Map'!$B$6:$V$26,0,B13))-2)*5+5</f>
        <v>75</v>
      </c>
      <c r="E13" s="30">
        <f t="shared" si="1"/>
        <v>45</v>
      </c>
      <c r="F13" s="30">
        <f t="shared" si="2"/>
        <v>3</v>
      </c>
      <c r="G13" s="8">
        <f t="shared" si="3"/>
        <v>31</v>
      </c>
      <c r="H13" s="8">
        <f t="shared" si="4"/>
        <v>50</v>
      </c>
      <c r="I13" s="8">
        <f t="shared" si="5"/>
        <v>51</v>
      </c>
      <c r="J13" s="8">
        <f t="shared" si="6"/>
        <v>70</v>
      </c>
      <c r="K13" s="8">
        <f t="shared" si="7"/>
        <v>71</v>
      </c>
      <c r="L13" s="8">
        <f t="shared" si="8"/>
        <v>90</v>
      </c>
      <c r="M13" s="8" t="str">
        <f t="shared" si="9"/>
        <v/>
      </c>
      <c r="N13" s="8" t="str">
        <f t="shared" si="10"/>
        <v/>
      </c>
      <c r="O13" s="8" t="str">
        <f t="shared" si="11"/>
        <v/>
      </c>
      <c r="P13" s="8" t="str">
        <f t="shared" si="12"/>
        <v/>
      </c>
      <c r="Q13" s="8" t="str">
        <f t="shared" si="13"/>
        <v/>
      </c>
      <c r="R13" s="8" t="str">
        <f t="shared" si="14"/>
        <v/>
      </c>
    </row>
    <row r="14" spans="1:18" x14ac:dyDescent="0.25">
      <c r="A14" s="29">
        <v>10</v>
      </c>
      <c r="B14" s="30">
        <f t="shared" si="0"/>
        <v>2</v>
      </c>
      <c r="C14" s="30">
        <f>(MATCH(1,INDEX('Shot Map'!$B$6:$V$26,0,B14),0)-1)*5+1</f>
        <v>31</v>
      </c>
      <c r="D14" s="30">
        <f>(MATCH(1,INDEX('Shot Map'!$B$6:$V$26,0,B14),0)+SUM(INDEX('Shot Map'!$B$6:$V$26,0,B14))-2)*5+5</f>
        <v>75</v>
      </c>
      <c r="E14" s="30">
        <f t="shared" si="1"/>
        <v>45</v>
      </c>
      <c r="F14" s="30">
        <f t="shared" si="2"/>
        <v>3</v>
      </c>
      <c r="G14" s="8">
        <f t="shared" si="3"/>
        <v>31</v>
      </c>
      <c r="H14" s="8">
        <f t="shared" si="4"/>
        <v>50</v>
      </c>
      <c r="I14" s="8">
        <f t="shared" si="5"/>
        <v>51</v>
      </c>
      <c r="J14" s="8">
        <f t="shared" si="6"/>
        <v>70</v>
      </c>
      <c r="K14" s="8">
        <f t="shared" si="7"/>
        <v>71</v>
      </c>
      <c r="L14" s="8">
        <f t="shared" si="8"/>
        <v>90</v>
      </c>
      <c r="M14" s="8" t="str">
        <f t="shared" si="9"/>
        <v/>
      </c>
      <c r="N14" s="8" t="str">
        <f t="shared" si="10"/>
        <v/>
      </c>
      <c r="O14" s="8" t="str">
        <f t="shared" si="11"/>
        <v/>
      </c>
      <c r="P14" s="8" t="str">
        <f t="shared" si="12"/>
        <v/>
      </c>
      <c r="Q14" s="8" t="str">
        <f t="shared" si="13"/>
        <v/>
      </c>
      <c r="R14" s="8" t="str">
        <f t="shared" si="14"/>
        <v/>
      </c>
    </row>
    <row r="15" spans="1:18" x14ac:dyDescent="0.25">
      <c r="A15" s="29">
        <v>11</v>
      </c>
      <c r="B15" s="30">
        <f t="shared" si="0"/>
        <v>3</v>
      </c>
      <c r="C15" s="30">
        <f>(MATCH(1,INDEX('Shot Map'!$B$6:$V$26,0,B15),0)-1)*5+1</f>
        <v>21</v>
      </c>
      <c r="D15" s="30">
        <f>(MATCH(1,INDEX('Shot Map'!$B$6:$V$26,0,B15),0)+SUM(INDEX('Shot Map'!$B$6:$V$26,0,B15))-2)*5+5</f>
        <v>85</v>
      </c>
      <c r="E15" s="30">
        <f t="shared" si="1"/>
        <v>65</v>
      </c>
      <c r="F15" s="30">
        <f t="shared" si="2"/>
        <v>4</v>
      </c>
      <c r="G15" s="8">
        <f t="shared" si="3"/>
        <v>21</v>
      </c>
      <c r="H15" s="8">
        <f t="shared" si="4"/>
        <v>40</v>
      </c>
      <c r="I15" s="8">
        <f t="shared" si="5"/>
        <v>41</v>
      </c>
      <c r="J15" s="8">
        <f t="shared" si="6"/>
        <v>60</v>
      </c>
      <c r="K15" s="8">
        <f t="shared" si="7"/>
        <v>61</v>
      </c>
      <c r="L15" s="8">
        <f t="shared" si="8"/>
        <v>80</v>
      </c>
      <c r="M15" s="8">
        <f t="shared" si="9"/>
        <v>81</v>
      </c>
      <c r="N15" s="8">
        <f t="shared" si="10"/>
        <v>100</v>
      </c>
      <c r="O15" s="8" t="str">
        <f t="shared" si="11"/>
        <v/>
      </c>
      <c r="P15" s="8" t="str">
        <f t="shared" si="12"/>
        <v/>
      </c>
      <c r="Q15" s="8" t="str">
        <f t="shared" si="13"/>
        <v/>
      </c>
      <c r="R15" s="8" t="str">
        <f t="shared" si="14"/>
        <v/>
      </c>
    </row>
    <row r="16" spans="1:18" x14ac:dyDescent="0.25">
      <c r="A16" s="29">
        <v>12</v>
      </c>
      <c r="B16" s="30">
        <f t="shared" si="0"/>
        <v>3</v>
      </c>
      <c r="C16" s="30">
        <f>(MATCH(1,INDEX('Shot Map'!$B$6:$V$26,0,B16),0)-1)*5+1</f>
        <v>21</v>
      </c>
      <c r="D16" s="30">
        <f>(MATCH(1,INDEX('Shot Map'!$B$6:$V$26,0,B16),0)+SUM(INDEX('Shot Map'!$B$6:$V$26,0,B16))-2)*5+5</f>
        <v>85</v>
      </c>
      <c r="E16" s="30">
        <f t="shared" si="1"/>
        <v>65</v>
      </c>
      <c r="F16" s="30">
        <f t="shared" si="2"/>
        <v>4</v>
      </c>
      <c r="G16" s="8">
        <f t="shared" si="3"/>
        <v>21</v>
      </c>
      <c r="H16" s="8">
        <f t="shared" si="4"/>
        <v>40</v>
      </c>
      <c r="I16" s="8">
        <f t="shared" si="5"/>
        <v>41</v>
      </c>
      <c r="J16" s="8">
        <f t="shared" si="6"/>
        <v>60</v>
      </c>
      <c r="K16" s="8">
        <f t="shared" si="7"/>
        <v>61</v>
      </c>
      <c r="L16" s="8">
        <f t="shared" si="8"/>
        <v>80</v>
      </c>
      <c r="M16" s="8">
        <f t="shared" si="9"/>
        <v>81</v>
      </c>
      <c r="N16" s="8">
        <f t="shared" si="10"/>
        <v>100</v>
      </c>
      <c r="O16" s="8" t="str">
        <f t="shared" si="11"/>
        <v/>
      </c>
      <c r="P16" s="8" t="str">
        <f t="shared" si="12"/>
        <v/>
      </c>
      <c r="Q16" s="8" t="str">
        <f t="shared" si="13"/>
        <v/>
      </c>
      <c r="R16" s="8" t="str">
        <f t="shared" si="14"/>
        <v/>
      </c>
    </row>
    <row r="17" spans="1:18" x14ac:dyDescent="0.25">
      <c r="A17" s="29">
        <v>13</v>
      </c>
      <c r="B17" s="30">
        <f t="shared" si="0"/>
        <v>3</v>
      </c>
      <c r="C17" s="30">
        <f>(MATCH(1,INDEX('Shot Map'!$B$6:$V$26,0,B17),0)-1)*5+1</f>
        <v>21</v>
      </c>
      <c r="D17" s="30">
        <f>(MATCH(1,INDEX('Shot Map'!$B$6:$V$26,0,B17),0)+SUM(INDEX('Shot Map'!$B$6:$V$26,0,B17))-2)*5+5</f>
        <v>85</v>
      </c>
      <c r="E17" s="30">
        <f t="shared" si="1"/>
        <v>65</v>
      </c>
      <c r="F17" s="30">
        <f t="shared" si="2"/>
        <v>4</v>
      </c>
      <c r="G17" s="8">
        <f t="shared" si="3"/>
        <v>21</v>
      </c>
      <c r="H17" s="8">
        <f t="shared" si="4"/>
        <v>40</v>
      </c>
      <c r="I17" s="8">
        <f t="shared" si="5"/>
        <v>41</v>
      </c>
      <c r="J17" s="8">
        <f t="shared" si="6"/>
        <v>60</v>
      </c>
      <c r="K17" s="8">
        <f t="shared" si="7"/>
        <v>61</v>
      </c>
      <c r="L17" s="8">
        <f t="shared" si="8"/>
        <v>80</v>
      </c>
      <c r="M17" s="8">
        <f t="shared" si="9"/>
        <v>81</v>
      </c>
      <c r="N17" s="8">
        <f t="shared" si="10"/>
        <v>100</v>
      </c>
      <c r="O17" s="8" t="str">
        <f t="shared" si="11"/>
        <v/>
      </c>
      <c r="P17" s="8" t="str">
        <f t="shared" si="12"/>
        <v/>
      </c>
      <c r="Q17" s="8" t="str">
        <f t="shared" si="13"/>
        <v/>
      </c>
      <c r="R17" s="8" t="str">
        <f t="shared" si="14"/>
        <v/>
      </c>
    </row>
    <row r="18" spans="1:18" x14ac:dyDescent="0.25">
      <c r="A18" s="29">
        <v>14</v>
      </c>
      <c r="B18" s="30">
        <f t="shared" si="0"/>
        <v>3</v>
      </c>
      <c r="C18" s="30">
        <f>(MATCH(1,INDEX('Shot Map'!$B$6:$V$26,0,B18),0)-1)*5+1</f>
        <v>21</v>
      </c>
      <c r="D18" s="30">
        <f>(MATCH(1,INDEX('Shot Map'!$B$6:$V$26,0,B18),0)+SUM(INDEX('Shot Map'!$B$6:$V$26,0,B18))-2)*5+5</f>
        <v>85</v>
      </c>
      <c r="E18" s="30">
        <f t="shared" si="1"/>
        <v>65</v>
      </c>
      <c r="F18" s="30">
        <f t="shared" si="2"/>
        <v>4</v>
      </c>
      <c r="G18" s="8">
        <f t="shared" si="3"/>
        <v>21</v>
      </c>
      <c r="H18" s="8">
        <f t="shared" si="4"/>
        <v>40</v>
      </c>
      <c r="I18" s="8">
        <f t="shared" si="5"/>
        <v>41</v>
      </c>
      <c r="J18" s="8">
        <f t="shared" si="6"/>
        <v>60</v>
      </c>
      <c r="K18" s="8">
        <f t="shared" si="7"/>
        <v>61</v>
      </c>
      <c r="L18" s="8">
        <f t="shared" si="8"/>
        <v>80</v>
      </c>
      <c r="M18" s="8">
        <f t="shared" si="9"/>
        <v>81</v>
      </c>
      <c r="N18" s="8">
        <f t="shared" si="10"/>
        <v>100</v>
      </c>
      <c r="O18" s="8" t="str">
        <f t="shared" si="11"/>
        <v/>
      </c>
      <c r="P18" s="8" t="str">
        <f t="shared" si="12"/>
        <v/>
      </c>
      <c r="Q18" s="8" t="str">
        <f t="shared" si="13"/>
        <v/>
      </c>
      <c r="R18" s="8" t="str">
        <f t="shared" si="14"/>
        <v/>
      </c>
    </row>
    <row r="19" spans="1:18" x14ac:dyDescent="0.25">
      <c r="A19" s="29">
        <v>15</v>
      </c>
      <c r="B19" s="30">
        <f t="shared" si="0"/>
        <v>3</v>
      </c>
      <c r="C19" s="30">
        <f>(MATCH(1,INDEX('Shot Map'!$B$6:$V$26,0,B19),0)-1)*5+1</f>
        <v>21</v>
      </c>
      <c r="D19" s="30">
        <f>(MATCH(1,INDEX('Shot Map'!$B$6:$V$26,0,B19),0)+SUM(INDEX('Shot Map'!$B$6:$V$26,0,B19))-2)*5+5</f>
        <v>85</v>
      </c>
      <c r="E19" s="30">
        <f t="shared" si="1"/>
        <v>65</v>
      </c>
      <c r="F19" s="30">
        <f t="shared" si="2"/>
        <v>4</v>
      </c>
      <c r="G19" s="8">
        <f t="shared" si="3"/>
        <v>21</v>
      </c>
      <c r="H19" s="8">
        <f t="shared" si="4"/>
        <v>40</v>
      </c>
      <c r="I19" s="8">
        <f t="shared" si="5"/>
        <v>41</v>
      </c>
      <c r="J19" s="8">
        <f t="shared" si="6"/>
        <v>60</v>
      </c>
      <c r="K19" s="8">
        <f t="shared" si="7"/>
        <v>61</v>
      </c>
      <c r="L19" s="8">
        <f t="shared" si="8"/>
        <v>80</v>
      </c>
      <c r="M19" s="8">
        <f t="shared" si="9"/>
        <v>81</v>
      </c>
      <c r="N19" s="8">
        <f t="shared" si="10"/>
        <v>100</v>
      </c>
      <c r="O19" s="8" t="str">
        <f t="shared" si="11"/>
        <v/>
      </c>
      <c r="P19" s="8" t="str">
        <f t="shared" si="12"/>
        <v/>
      </c>
      <c r="Q19" s="8" t="str">
        <f t="shared" si="13"/>
        <v/>
      </c>
      <c r="R19" s="8" t="str">
        <f t="shared" si="14"/>
        <v/>
      </c>
    </row>
    <row r="20" spans="1:18" x14ac:dyDescent="0.25">
      <c r="A20" s="29">
        <v>16</v>
      </c>
      <c r="B20" s="30">
        <f t="shared" si="0"/>
        <v>4</v>
      </c>
      <c r="C20" s="30">
        <f>(MATCH(1,INDEX('Shot Map'!$B$6:$V$26,0,B20),0)-1)*5+1</f>
        <v>16</v>
      </c>
      <c r="D20" s="30">
        <f>(MATCH(1,INDEX('Shot Map'!$B$6:$V$26,0,B20),0)+SUM(INDEX('Shot Map'!$B$6:$V$26,0,B20))-2)*5+5</f>
        <v>90</v>
      </c>
      <c r="E20" s="30">
        <f t="shared" si="1"/>
        <v>75</v>
      </c>
      <c r="F20" s="30">
        <f t="shared" si="2"/>
        <v>4</v>
      </c>
      <c r="G20" s="8">
        <f t="shared" si="3"/>
        <v>16</v>
      </c>
      <c r="H20" s="8">
        <f t="shared" si="4"/>
        <v>35</v>
      </c>
      <c r="I20" s="8">
        <f t="shared" si="5"/>
        <v>36</v>
      </c>
      <c r="J20" s="8">
        <f t="shared" si="6"/>
        <v>55</v>
      </c>
      <c r="K20" s="8">
        <f t="shared" si="7"/>
        <v>56</v>
      </c>
      <c r="L20" s="8">
        <f t="shared" si="8"/>
        <v>75</v>
      </c>
      <c r="M20" s="8">
        <f t="shared" si="9"/>
        <v>76</v>
      </c>
      <c r="N20" s="8">
        <f t="shared" si="10"/>
        <v>95</v>
      </c>
      <c r="O20" s="8" t="str">
        <f t="shared" si="11"/>
        <v/>
      </c>
      <c r="P20" s="8" t="str">
        <f t="shared" si="12"/>
        <v/>
      </c>
      <c r="Q20" s="8" t="str">
        <f t="shared" si="13"/>
        <v/>
      </c>
      <c r="R20" s="8" t="str">
        <f t="shared" si="14"/>
        <v/>
      </c>
    </row>
    <row r="21" spans="1:18" x14ac:dyDescent="0.25">
      <c r="A21" s="29">
        <v>17</v>
      </c>
      <c r="B21" s="30">
        <f t="shared" si="0"/>
        <v>4</v>
      </c>
      <c r="C21" s="30">
        <f>(MATCH(1,INDEX('Shot Map'!$B$6:$V$26,0,B21),0)-1)*5+1</f>
        <v>16</v>
      </c>
      <c r="D21" s="30">
        <f>(MATCH(1,INDEX('Shot Map'!$B$6:$V$26,0,B21),0)+SUM(INDEX('Shot Map'!$B$6:$V$26,0,B21))-2)*5+5</f>
        <v>90</v>
      </c>
      <c r="E21" s="30">
        <f t="shared" si="1"/>
        <v>75</v>
      </c>
      <c r="F21" s="30">
        <f t="shared" si="2"/>
        <v>4</v>
      </c>
      <c r="G21" s="8">
        <f t="shared" si="3"/>
        <v>16</v>
      </c>
      <c r="H21" s="8">
        <f t="shared" si="4"/>
        <v>35</v>
      </c>
      <c r="I21" s="8">
        <f t="shared" si="5"/>
        <v>36</v>
      </c>
      <c r="J21" s="8">
        <f t="shared" si="6"/>
        <v>55</v>
      </c>
      <c r="K21" s="8">
        <f t="shared" si="7"/>
        <v>56</v>
      </c>
      <c r="L21" s="8">
        <f t="shared" si="8"/>
        <v>75</v>
      </c>
      <c r="M21" s="8">
        <f t="shared" si="9"/>
        <v>76</v>
      </c>
      <c r="N21" s="8">
        <f t="shared" si="10"/>
        <v>95</v>
      </c>
      <c r="O21" s="8" t="str">
        <f t="shared" si="11"/>
        <v/>
      </c>
      <c r="P21" s="8" t="str">
        <f t="shared" si="12"/>
        <v/>
      </c>
      <c r="Q21" s="8" t="str">
        <f t="shared" si="13"/>
        <v/>
      </c>
      <c r="R21" s="8" t="str">
        <f t="shared" si="14"/>
        <v/>
      </c>
    </row>
    <row r="22" spans="1:18" x14ac:dyDescent="0.25">
      <c r="A22" s="29">
        <v>18</v>
      </c>
      <c r="B22" s="30">
        <f t="shared" si="0"/>
        <v>4</v>
      </c>
      <c r="C22" s="30">
        <f>(MATCH(1,INDEX('Shot Map'!$B$6:$V$26,0,B22),0)-1)*5+1</f>
        <v>16</v>
      </c>
      <c r="D22" s="30">
        <f>(MATCH(1,INDEX('Shot Map'!$B$6:$V$26,0,B22),0)+SUM(INDEX('Shot Map'!$B$6:$V$26,0,B22))-2)*5+5</f>
        <v>90</v>
      </c>
      <c r="E22" s="30">
        <f t="shared" si="1"/>
        <v>75</v>
      </c>
      <c r="F22" s="30">
        <f t="shared" si="2"/>
        <v>4</v>
      </c>
      <c r="G22" s="8">
        <f t="shared" si="3"/>
        <v>16</v>
      </c>
      <c r="H22" s="8">
        <f t="shared" si="4"/>
        <v>35</v>
      </c>
      <c r="I22" s="8">
        <f t="shared" si="5"/>
        <v>36</v>
      </c>
      <c r="J22" s="8">
        <f t="shared" si="6"/>
        <v>55</v>
      </c>
      <c r="K22" s="8">
        <f t="shared" si="7"/>
        <v>56</v>
      </c>
      <c r="L22" s="8">
        <f t="shared" si="8"/>
        <v>75</v>
      </c>
      <c r="M22" s="8">
        <f t="shared" si="9"/>
        <v>76</v>
      </c>
      <c r="N22" s="8">
        <f t="shared" si="10"/>
        <v>95</v>
      </c>
      <c r="O22" s="8" t="str">
        <f t="shared" si="11"/>
        <v/>
      </c>
      <c r="P22" s="8" t="str">
        <f t="shared" si="12"/>
        <v/>
      </c>
      <c r="Q22" s="8" t="str">
        <f t="shared" si="13"/>
        <v/>
      </c>
      <c r="R22" s="8" t="str">
        <f t="shared" si="14"/>
        <v/>
      </c>
    </row>
    <row r="23" spans="1:18" x14ac:dyDescent="0.25">
      <c r="A23" s="29">
        <v>19</v>
      </c>
      <c r="B23" s="30">
        <f t="shared" si="0"/>
        <v>4</v>
      </c>
      <c r="C23" s="30">
        <f>(MATCH(1,INDEX('Shot Map'!$B$6:$V$26,0,B23),0)-1)*5+1</f>
        <v>16</v>
      </c>
      <c r="D23" s="30">
        <f>(MATCH(1,INDEX('Shot Map'!$B$6:$V$26,0,B23),0)+SUM(INDEX('Shot Map'!$B$6:$V$26,0,B23))-2)*5+5</f>
        <v>90</v>
      </c>
      <c r="E23" s="30">
        <f t="shared" si="1"/>
        <v>75</v>
      </c>
      <c r="F23" s="30">
        <f t="shared" si="2"/>
        <v>4</v>
      </c>
      <c r="G23" s="8">
        <f t="shared" si="3"/>
        <v>16</v>
      </c>
      <c r="H23" s="8">
        <f t="shared" si="4"/>
        <v>35</v>
      </c>
      <c r="I23" s="8">
        <f t="shared" si="5"/>
        <v>36</v>
      </c>
      <c r="J23" s="8">
        <f t="shared" si="6"/>
        <v>55</v>
      </c>
      <c r="K23" s="8">
        <f t="shared" si="7"/>
        <v>56</v>
      </c>
      <c r="L23" s="8">
        <f t="shared" si="8"/>
        <v>75</v>
      </c>
      <c r="M23" s="8">
        <f t="shared" si="9"/>
        <v>76</v>
      </c>
      <c r="N23" s="8">
        <f t="shared" si="10"/>
        <v>95</v>
      </c>
      <c r="O23" s="8" t="str">
        <f t="shared" si="11"/>
        <v/>
      </c>
      <c r="P23" s="8" t="str">
        <f t="shared" si="12"/>
        <v/>
      </c>
      <c r="Q23" s="8" t="str">
        <f t="shared" si="13"/>
        <v/>
      </c>
      <c r="R23" s="8" t="str">
        <f t="shared" si="14"/>
        <v/>
      </c>
    </row>
    <row r="24" spans="1:18" x14ac:dyDescent="0.25">
      <c r="A24" s="29">
        <v>20</v>
      </c>
      <c r="B24" s="30">
        <f t="shared" si="0"/>
        <v>4</v>
      </c>
      <c r="C24" s="30">
        <f>(MATCH(1,INDEX('Shot Map'!$B$6:$V$26,0,B24),0)-1)*5+1</f>
        <v>16</v>
      </c>
      <c r="D24" s="30">
        <f>(MATCH(1,INDEX('Shot Map'!$B$6:$V$26,0,B24),0)+SUM(INDEX('Shot Map'!$B$6:$V$26,0,B24))-2)*5+5</f>
        <v>90</v>
      </c>
      <c r="E24" s="30">
        <f t="shared" si="1"/>
        <v>75</v>
      </c>
      <c r="F24" s="30">
        <f t="shared" si="2"/>
        <v>4</v>
      </c>
      <c r="G24" s="8">
        <f t="shared" si="3"/>
        <v>16</v>
      </c>
      <c r="H24" s="8">
        <f t="shared" si="4"/>
        <v>35</v>
      </c>
      <c r="I24" s="8">
        <f t="shared" si="5"/>
        <v>36</v>
      </c>
      <c r="J24" s="8">
        <f t="shared" si="6"/>
        <v>55</v>
      </c>
      <c r="K24" s="8">
        <f t="shared" si="7"/>
        <v>56</v>
      </c>
      <c r="L24" s="8">
        <f t="shared" si="8"/>
        <v>75</v>
      </c>
      <c r="M24" s="8">
        <f t="shared" si="9"/>
        <v>76</v>
      </c>
      <c r="N24" s="8">
        <f t="shared" si="10"/>
        <v>95</v>
      </c>
      <c r="O24" s="8" t="str">
        <f t="shared" si="11"/>
        <v/>
      </c>
      <c r="P24" s="8" t="str">
        <f t="shared" si="12"/>
        <v/>
      </c>
      <c r="Q24" s="8" t="str">
        <f t="shared" si="13"/>
        <v/>
      </c>
      <c r="R24" s="8" t="str">
        <f t="shared" si="14"/>
        <v/>
      </c>
    </row>
    <row r="25" spans="1:18" x14ac:dyDescent="0.25">
      <c r="A25" s="29">
        <v>21</v>
      </c>
      <c r="B25" s="30">
        <f t="shared" si="0"/>
        <v>5</v>
      </c>
      <c r="C25" s="30">
        <f>(MATCH(1,INDEX('Shot Map'!$B$6:$V$26,0,B25),0)-1)*5+1</f>
        <v>11</v>
      </c>
      <c r="D25" s="30">
        <f>(MATCH(1,INDEX('Shot Map'!$B$6:$V$26,0,B25),0)+SUM(INDEX('Shot Map'!$B$6:$V$26,0,B25))-2)*5+5</f>
        <v>95</v>
      </c>
      <c r="E25" s="30">
        <f t="shared" si="1"/>
        <v>85</v>
      </c>
      <c r="F25" s="30">
        <f t="shared" si="2"/>
        <v>5</v>
      </c>
      <c r="G25" s="8">
        <f t="shared" si="3"/>
        <v>11</v>
      </c>
      <c r="H25" s="8">
        <f t="shared" si="4"/>
        <v>30</v>
      </c>
      <c r="I25" s="8">
        <f t="shared" si="5"/>
        <v>31</v>
      </c>
      <c r="J25" s="8">
        <f t="shared" si="6"/>
        <v>50</v>
      </c>
      <c r="K25" s="8">
        <f t="shared" si="7"/>
        <v>51</v>
      </c>
      <c r="L25" s="8">
        <f t="shared" si="8"/>
        <v>70</v>
      </c>
      <c r="M25" s="8">
        <f t="shared" si="9"/>
        <v>71</v>
      </c>
      <c r="N25" s="8">
        <f t="shared" si="10"/>
        <v>90</v>
      </c>
      <c r="O25" s="8">
        <f t="shared" si="11"/>
        <v>91</v>
      </c>
      <c r="P25" s="8">
        <f t="shared" si="12"/>
        <v>105</v>
      </c>
      <c r="Q25" s="8" t="str">
        <f t="shared" si="13"/>
        <v/>
      </c>
      <c r="R25" s="8" t="str">
        <f t="shared" si="14"/>
        <v/>
      </c>
    </row>
    <row r="26" spans="1:18" x14ac:dyDescent="0.25">
      <c r="A26" s="29">
        <v>22</v>
      </c>
      <c r="B26" s="30">
        <f t="shared" si="0"/>
        <v>5</v>
      </c>
      <c r="C26" s="30">
        <f>(MATCH(1,INDEX('Shot Map'!$B$6:$V$26,0,B26),0)-1)*5+1</f>
        <v>11</v>
      </c>
      <c r="D26" s="30">
        <f>(MATCH(1,INDEX('Shot Map'!$B$6:$V$26,0,B26),0)+SUM(INDEX('Shot Map'!$B$6:$V$26,0,B26))-2)*5+5</f>
        <v>95</v>
      </c>
      <c r="E26" s="30">
        <f t="shared" si="1"/>
        <v>85</v>
      </c>
      <c r="F26" s="30">
        <f t="shared" si="2"/>
        <v>5</v>
      </c>
      <c r="G26" s="8">
        <f t="shared" si="3"/>
        <v>11</v>
      </c>
      <c r="H26" s="8">
        <f t="shared" si="4"/>
        <v>30</v>
      </c>
      <c r="I26" s="8">
        <f t="shared" si="5"/>
        <v>31</v>
      </c>
      <c r="J26" s="8">
        <f t="shared" si="6"/>
        <v>50</v>
      </c>
      <c r="K26" s="8">
        <f t="shared" si="7"/>
        <v>51</v>
      </c>
      <c r="L26" s="8">
        <f t="shared" si="8"/>
        <v>70</v>
      </c>
      <c r="M26" s="8">
        <f t="shared" si="9"/>
        <v>71</v>
      </c>
      <c r="N26" s="8">
        <f t="shared" si="10"/>
        <v>90</v>
      </c>
      <c r="O26" s="8">
        <f t="shared" si="11"/>
        <v>91</v>
      </c>
      <c r="P26" s="8">
        <f t="shared" si="12"/>
        <v>105</v>
      </c>
      <c r="Q26" s="8" t="str">
        <f t="shared" si="13"/>
        <v/>
      </c>
      <c r="R26" s="8" t="str">
        <f t="shared" si="14"/>
        <v/>
      </c>
    </row>
    <row r="27" spans="1:18" x14ac:dyDescent="0.25">
      <c r="A27" s="29">
        <v>23</v>
      </c>
      <c r="B27" s="30">
        <f t="shared" si="0"/>
        <v>5</v>
      </c>
      <c r="C27" s="30">
        <f>(MATCH(1,INDEX('Shot Map'!$B$6:$V$26,0,B27),0)-1)*5+1</f>
        <v>11</v>
      </c>
      <c r="D27" s="30">
        <f>(MATCH(1,INDEX('Shot Map'!$B$6:$V$26,0,B27),0)+SUM(INDEX('Shot Map'!$B$6:$V$26,0,B27))-2)*5+5</f>
        <v>95</v>
      </c>
      <c r="E27" s="30">
        <f t="shared" si="1"/>
        <v>85</v>
      </c>
      <c r="F27" s="30">
        <f t="shared" si="2"/>
        <v>5</v>
      </c>
      <c r="G27" s="8">
        <f t="shared" si="3"/>
        <v>11</v>
      </c>
      <c r="H27" s="8">
        <f t="shared" si="4"/>
        <v>30</v>
      </c>
      <c r="I27" s="8">
        <f t="shared" si="5"/>
        <v>31</v>
      </c>
      <c r="J27" s="8">
        <f t="shared" si="6"/>
        <v>50</v>
      </c>
      <c r="K27" s="8">
        <f t="shared" si="7"/>
        <v>51</v>
      </c>
      <c r="L27" s="8">
        <f t="shared" si="8"/>
        <v>70</v>
      </c>
      <c r="M27" s="8">
        <f t="shared" si="9"/>
        <v>71</v>
      </c>
      <c r="N27" s="8">
        <f t="shared" si="10"/>
        <v>90</v>
      </c>
      <c r="O27" s="8">
        <f t="shared" si="11"/>
        <v>91</v>
      </c>
      <c r="P27" s="8">
        <f t="shared" si="12"/>
        <v>105</v>
      </c>
      <c r="Q27" s="8" t="str">
        <f t="shared" si="13"/>
        <v/>
      </c>
      <c r="R27" s="8" t="str">
        <f t="shared" si="14"/>
        <v/>
      </c>
    </row>
    <row r="28" spans="1:18" x14ac:dyDescent="0.25">
      <c r="A28" s="29">
        <v>24</v>
      </c>
      <c r="B28" s="30">
        <f t="shared" si="0"/>
        <v>5</v>
      </c>
      <c r="C28" s="30">
        <f>(MATCH(1,INDEX('Shot Map'!$B$6:$V$26,0,B28),0)-1)*5+1</f>
        <v>11</v>
      </c>
      <c r="D28" s="30">
        <f>(MATCH(1,INDEX('Shot Map'!$B$6:$V$26,0,B28),0)+SUM(INDEX('Shot Map'!$B$6:$V$26,0,B28))-2)*5+5</f>
        <v>95</v>
      </c>
      <c r="E28" s="30">
        <f t="shared" si="1"/>
        <v>85</v>
      </c>
      <c r="F28" s="30">
        <f t="shared" si="2"/>
        <v>5</v>
      </c>
      <c r="G28" s="8">
        <f t="shared" si="3"/>
        <v>11</v>
      </c>
      <c r="H28" s="8">
        <f t="shared" si="4"/>
        <v>30</v>
      </c>
      <c r="I28" s="8">
        <f t="shared" si="5"/>
        <v>31</v>
      </c>
      <c r="J28" s="8">
        <f t="shared" si="6"/>
        <v>50</v>
      </c>
      <c r="K28" s="8">
        <f t="shared" si="7"/>
        <v>51</v>
      </c>
      <c r="L28" s="8">
        <f t="shared" si="8"/>
        <v>70</v>
      </c>
      <c r="M28" s="8">
        <f t="shared" si="9"/>
        <v>71</v>
      </c>
      <c r="N28" s="8">
        <f t="shared" si="10"/>
        <v>90</v>
      </c>
      <c r="O28" s="8">
        <f t="shared" si="11"/>
        <v>91</v>
      </c>
      <c r="P28" s="8">
        <f t="shared" si="12"/>
        <v>105</v>
      </c>
      <c r="Q28" s="8" t="str">
        <f t="shared" si="13"/>
        <v/>
      </c>
      <c r="R28" s="8" t="str">
        <f t="shared" si="14"/>
        <v/>
      </c>
    </row>
    <row r="29" spans="1:18" x14ac:dyDescent="0.25">
      <c r="A29" s="29">
        <v>25</v>
      </c>
      <c r="B29" s="30">
        <f t="shared" si="0"/>
        <v>5</v>
      </c>
      <c r="C29" s="30">
        <f>(MATCH(1,INDEX('Shot Map'!$B$6:$V$26,0,B29),0)-1)*5+1</f>
        <v>11</v>
      </c>
      <c r="D29" s="30">
        <f>(MATCH(1,INDEX('Shot Map'!$B$6:$V$26,0,B29),0)+SUM(INDEX('Shot Map'!$B$6:$V$26,0,B29))-2)*5+5</f>
        <v>95</v>
      </c>
      <c r="E29" s="30">
        <f t="shared" si="1"/>
        <v>85</v>
      </c>
      <c r="F29" s="30">
        <f t="shared" si="2"/>
        <v>5</v>
      </c>
      <c r="G29" s="8">
        <f t="shared" si="3"/>
        <v>11</v>
      </c>
      <c r="H29" s="8">
        <f t="shared" si="4"/>
        <v>30</v>
      </c>
      <c r="I29" s="8">
        <f t="shared" si="5"/>
        <v>31</v>
      </c>
      <c r="J29" s="8">
        <f t="shared" si="6"/>
        <v>50</v>
      </c>
      <c r="K29" s="8">
        <f t="shared" si="7"/>
        <v>51</v>
      </c>
      <c r="L29" s="8">
        <f t="shared" si="8"/>
        <v>70</v>
      </c>
      <c r="M29" s="8">
        <f t="shared" si="9"/>
        <v>71</v>
      </c>
      <c r="N29" s="8">
        <f t="shared" si="10"/>
        <v>90</v>
      </c>
      <c r="O29" s="8">
        <f t="shared" si="11"/>
        <v>91</v>
      </c>
      <c r="P29" s="8">
        <f t="shared" si="12"/>
        <v>105</v>
      </c>
      <c r="Q29" s="8" t="str">
        <f t="shared" si="13"/>
        <v/>
      </c>
      <c r="R29" s="8" t="str">
        <f t="shared" si="14"/>
        <v/>
      </c>
    </row>
    <row r="30" spans="1:18" x14ac:dyDescent="0.25">
      <c r="A30" s="29">
        <v>26</v>
      </c>
      <c r="B30" s="30">
        <f t="shared" si="0"/>
        <v>6</v>
      </c>
      <c r="C30" s="30">
        <f>(MATCH(1,INDEX('Shot Map'!$B$6:$V$26,0,B30),0)-1)*5+1</f>
        <v>11</v>
      </c>
      <c r="D30" s="30">
        <f>(MATCH(1,INDEX('Shot Map'!$B$6:$V$26,0,B30),0)+SUM(INDEX('Shot Map'!$B$6:$V$26,0,B30))-2)*5+5</f>
        <v>95</v>
      </c>
      <c r="E30" s="30">
        <f t="shared" si="1"/>
        <v>85</v>
      </c>
      <c r="F30" s="30">
        <f t="shared" si="2"/>
        <v>5</v>
      </c>
      <c r="G30" s="8">
        <f t="shared" si="3"/>
        <v>11</v>
      </c>
      <c r="H30" s="8">
        <f t="shared" si="4"/>
        <v>30</v>
      </c>
      <c r="I30" s="8">
        <f t="shared" si="5"/>
        <v>31</v>
      </c>
      <c r="J30" s="8">
        <f t="shared" si="6"/>
        <v>50</v>
      </c>
      <c r="K30" s="8">
        <f t="shared" si="7"/>
        <v>51</v>
      </c>
      <c r="L30" s="8">
        <f t="shared" si="8"/>
        <v>70</v>
      </c>
      <c r="M30" s="8">
        <f t="shared" si="9"/>
        <v>71</v>
      </c>
      <c r="N30" s="8">
        <f t="shared" si="10"/>
        <v>90</v>
      </c>
      <c r="O30" s="8">
        <f t="shared" si="11"/>
        <v>91</v>
      </c>
      <c r="P30" s="8">
        <f t="shared" si="12"/>
        <v>105</v>
      </c>
      <c r="Q30" s="8" t="str">
        <f t="shared" si="13"/>
        <v/>
      </c>
      <c r="R30" s="8" t="str">
        <f t="shared" si="14"/>
        <v/>
      </c>
    </row>
    <row r="31" spans="1:18" x14ac:dyDescent="0.25">
      <c r="A31" s="29">
        <v>27</v>
      </c>
      <c r="B31" s="30">
        <f t="shared" si="0"/>
        <v>6</v>
      </c>
      <c r="C31" s="30">
        <f>(MATCH(1,INDEX('Shot Map'!$B$6:$V$26,0,B31),0)-1)*5+1</f>
        <v>11</v>
      </c>
      <c r="D31" s="30">
        <f>(MATCH(1,INDEX('Shot Map'!$B$6:$V$26,0,B31),0)+SUM(INDEX('Shot Map'!$B$6:$V$26,0,B31))-2)*5+5</f>
        <v>95</v>
      </c>
      <c r="E31" s="30">
        <f t="shared" si="1"/>
        <v>85</v>
      </c>
      <c r="F31" s="30">
        <f t="shared" si="2"/>
        <v>5</v>
      </c>
      <c r="G31" s="8">
        <f t="shared" si="3"/>
        <v>11</v>
      </c>
      <c r="H31" s="8">
        <f t="shared" si="4"/>
        <v>30</v>
      </c>
      <c r="I31" s="8">
        <f t="shared" si="5"/>
        <v>31</v>
      </c>
      <c r="J31" s="8">
        <f t="shared" si="6"/>
        <v>50</v>
      </c>
      <c r="K31" s="8">
        <f t="shared" si="7"/>
        <v>51</v>
      </c>
      <c r="L31" s="8">
        <f t="shared" si="8"/>
        <v>70</v>
      </c>
      <c r="M31" s="8">
        <f t="shared" si="9"/>
        <v>71</v>
      </c>
      <c r="N31" s="8">
        <f t="shared" si="10"/>
        <v>90</v>
      </c>
      <c r="O31" s="8">
        <f t="shared" si="11"/>
        <v>91</v>
      </c>
      <c r="P31" s="8">
        <f t="shared" si="12"/>
        <v>105</v>
      </c>
      <c r="Q31" s="8" t="str">
        <f t="shared" si="13"/>
        <v/>
      </c>
      <c r="R31" s="8" t="str">
        <f t="shared" si="14"/>
        <v/>
      </c>
    </row>
    <row r="32" spans="1:18" x14ac:dyDescent="0.25">
      <c r="A32" s="29">
        <v>28</v>
      </c>
      <c r="B32" s="30">
        <f t="shared" si="0"/>
        <v>6</v>
      </c>
      <c r="C32" s="30">
        <f>(MATCH(1,INDEX('Shot Map'!$B$6:$V$26,0,B32),0)-1)*5+1</f>
        <v>11</v>
      </c>
      <c r="D32" s="30">
        <f>(MATCH(1,INDEX('Shot Map'!$B$6:$V$26,0,B32),0)+SUM(INDEX('Shot Map'!$B$6:$V$26,0,B32))-2)*5+5</f>
        <v>95</v>
      </c>
      <c r="E32" s="30">
        <f t="shared" si="1"/>
        <v>85</v>
      </c>
      <c r="F32" s="30">
        <f t="shared" si="2"/>
        <v>5</v>
      </c>
      <c r="G32" s="8">
        <f t="shared" si="3"/>
        <v>11</v>
      </c>
      <c r="H32" s="8">
        <f t="shared" si="4"/>
        <v>30</v>
      </c>
      <c r="I32" s="8">
        <f t="shared" si="5"/>
        <v>31</v>
      </c>
      <c r="J32" s="8">
        <f t="shared" si="6"/>
        <v>50</v>
      </c>
      <c r="K32" s="8">
        <f t="shared" si="7"/>
        <v>51</v>
      </c>
      <c r="L32" s="8">
        <f t="shared" si="8"/>
        <v>70</v>
      </c>
      <c r="M32" s="8">
        <f t="shared" si="9"/>
        <v>71</v>
      </c>
      <c r="N32" s="8">
        <f t="shared" si="10"/>
        <v>90</v>
      </c>
      <c r="O32" s="8">
        <f t="shared" si="11"/>
        <v>91</v>
      </c>
      <c r="P32" s="8">
        <f t="shared" si="12"/>
        <v>105</v>
      </c>
      <c r="Q32" s="8" t="str">
        <f t="shared" si="13"/>
        <v/>
      </c>
      <c r="R32" s="8" t="str">
        <f t="shared" si="14"/>
        <v/>
      </c>
    </row>
    <row r="33" spans="1:18" x14ac:dyDescent="0.25">
      <c r="A33" s="29">
        <v>29</v>
      </c>
      <c r="B33" s="30">
        <f t="shared" si="0"/>
        <v>6</v>
      </c>
      <c r="C33" s="30">
        <f>(MATCH(1,INDEX('Shot Map'!$B$6:$V$26,0,B33),0)-1)*5+1</f>
        <v>11</v>
      </c>
      <c r="D33" s="30">
        <f>(MATCH(1,INDEX('Shot Map'!$B$6:$V$26,0,B33),0)+SUM(INDEX('Shot Map'!$B$6:$V$26,0,B33))-2)*5+5</f>
        <v>95</v>
      </c>
      <c r="E33" s="30">
        <f t="shared" si="1"/>
        <v>85</v>
      </c>
      <c r="F33" s="30">
        <f t="shared" si="2"/>
        <v>5</v>
      </c>
      <c r="G33" s="8">
        <f t="shared" si="3"/>
        <v>11</v>
      </c>
      <c r="H33" s="8">
        <f t="shared" si="4"/>
        <v>30</v>
      </c>
      <c r="I33" s="8">
        <f t="shared" si="5"/>
        <v>31</v>
      </c>
      <c r="J33" s="8">
        <f t="shared" si="6"/>
        <v>50</v>
      </c>
      <c r="K33" s="8">
        <f t="shared" si="7"/>
        <v>51</v>
      </c>
      <c r="L33" s="8">
        <f t="shared" si="8"/>
        <v>70</v>
      </c>
      <c r="M33" s="8">
        <f t="shared" si="9"/>
        <v>71</v>
      </c>
      <c r="N33" s="8">
        <f t="shared" si="10"/>
        <v>90</v>
      </c>
      <c r="O33" s="8">
        <f t="shared" si="11"/>
        <v>91</v>
      </c>
      <c r="P33" s="8">
        <f t="shared" si="12"/>
        <v>105</v>
      </c>
      <c r="Q33" s="8" t="str">
        <f t="shared" si="13"/>
        <v/>
      </c>
      <c r="R33" s="8" t="str">
        <f t="shared" si="14"/>
        <v/>
      </c>
    </row>
    <row r="34" spans="1:18" x14ac:dyDescent="0.25">
      <c r="A34" s="29">
        <v>30</v>
      </c>
      <c r="B34" s="30">
        <f t="shared" si="0"/>
        <v>6</v>
      </c>
      <c r="C34" s="30">
        <f>(MATCH(1,INDEX('Shot Map'!$B$6:$V$26,0,B34),0)-1)*5+1</f>
        <v>11</v>
      </c>
      <c r="D34" s="30">
        <f>(MATCH(1,INDEX('Shot Map'!$B$6:$V$26,0,B34),0)+SUM(INDEX('Shot Map'!$B$6:$V$26,0,B34))-2)*5+5</f>
        <v>95</v>
      </c>
      <c r="E34" s="30">
        <f t="shared" si="1"/>
        <v>85</v>
      </c>
      <c r="F34" s="30">
        <f t="shared" si="2"/>
        <v>5</v>
      </c>
      <c r="G34" s="8">
        <f t="shared" si="3"/>
        <v>11</v>
      </c>
      <c r="H34" s="8">
        <f t="shared" si="4"/>
        <v>30</v>
      </c>
      <c r="I34" s="8">
        <f t="shared" si="5"/>
        <v>31</v>
      </c>
      <c r="J34" s="8">
        <f t="shared" si="6"/>
        <v>50</v>
      </c>
      <c r="K34" s="8">
        <f t="shared" si="7"/>
        <v>51</v>
      </c>
      <c r="L34" s="8">
        <f t="shared" si="8"/>
        <v>70</v>
      </c>
      <c r="M34" s="8">
        <f t="shared" si="9"/>
        <v>71</v>
      </c>
      <c r="N34" s="8">
        <f t="shared" si="10"/>
        <v>90</v>
      </c>
      <c r="O34" s="8">
        <f t="shared" si="11"/>
        <v>91</v>
      </c>
      <c r="P34" s="8">
        <f t="shared" si="12"/>
        <v>105</v>
      </c>
      <c r="Q34" s="8" t="str">
        <f t="shared" si="13"/>
        <v/>
      </c>
      <c r="R34" s="8" t="str">
        <f t="shared" si="14"/>
        <v/>
      </c>
    </row>
    <row r="35" spans="1:18" x14ac:dyDescent="0.25">
      <c r="A35" s="29">
        <v>31</v>
      </c>
      <c r="B35" s="30">
        <f t="shared" si="0"/>
        <v>7</v>
      </c>
      <c r="C35" s="30">
        <f>(MATCH(1,INDEX('Shot Map'!$B$6:$V$26,0,B35),0)-1)*5+1</f>
        <v>6</v>
      </c>
      <c r="D35" s="30">
        <f>(MATCH(1,INDEX('Shot Map'!$B$6:$V$26,0,B35),0)+SUM(INDEX('Shot Map'!$B$6:$V$26,0,B35))-2)*5+5</f>
        <v>100</v>
      </c>
      <c r="E35" s="30">
        <f t="shared" si="1"/>
        <v>95</v>
      </c>
      <c r="F35" s="30">
        <f t="shared" si="2"/>
        <v>5</v>
      </c>
      <c r="G35" s="8">
        <f t="shared" si="3"/>
        <v>6</v>
      </c>
      <c r="H35" s="8">
        <f t="shared" si="4"/>
        <v>25</v>
      </c>
      <c r="I35" s="8">
        <f t="shared" si="5"/>
        <v>26</v>
      </c>
      <c r="J35" s="8">
        <f t="shared" si="6"/>
        <v>45</v>
      </c>
      <c r="K35" s="8">
        <f t="shared" si="7"/>
        <v>46</v>
      </c>
      <c r="L35" s="8">
        <f t="shared" si="8"/>
        <v>65</v>
      </c>
      <c r="M35" s="8">
        <f t="shared" si="9"/>
        <v>66</v>
      </c>
      <c r="N35" s="8">
        <f t="shared" si="10"/>
        <v>85</v>
      </c>
      <c r="O35" s="8">
        <f t="shared" si="11"/>
        <v>86</v>
      </c>
      <c r="P35" s="8">
        <f t="shared" si="12"/>
        <v>105</v>
      </c>
      <c r="Q35" s="8" t="str">
        <f t="shared" si="13"/>
        <v/>
      </c>
      <c r="R35" s="8" t="str">
        <f t="shared" si="14"/>
        <v/>
      </c>
    </row>
    <row r="36" spans="1:18" x14ac:dyDescent="0.25">
      <c r="A36" s="29">
        <v>32</v>
      </c>
      <c r="B36" s="30">
        <f t="shared" si="0"/>
        <v>7</v>
      </c>
      <c r="C36" s="30">
        <f>(MATCH(1,INDEX('Shot Map'!$B$6:$V$26,0,B36),0)-1)*5+1</f>
        <v>6</v>
      </c>
      <c r="D36" s="30">
        <f>(MATCH(1,INDEX('Shot Map'!$B$6:$V$26,0,B36),0)+SUM(INDEX('Shot Map'!$B$6:$V$26,0,B36))-2)*5+5</f>
        <v>100</v>
      </c>
      <c r="E36" s="30">
        <f t="shared" si="1"/>
        <v>95</v>
      </c>
      <c r="F36" s="30">
        <f t="shared" si="2"/>
        <v>5</v>
      </c>
      <c r="G36" s="8">
        <f t="shared" si="3"/>
        <v>6</v>
      </c>
      <c r="H36" s="8">
        <f t="shared" si="4"/>
        <v>25</v>
      </c>
      <c r="I36" s="8">
        <f t="shared" si="5"/>
        <v>26</v>
      </c>
      <c r="J36" s="8">
        <f t="shared" si="6"/>
        <v>45</v>
      </c>
      <c r="K36" s="8">
        <f t="shared" si="7"/>
        <v>46</v>
      </c>
      <c r="L36" s="8">
        <f t="shared" si="8"/>
        <v>65</v>
      </c>
      <c r="M36" s="8">
        <f t="shared" si="9"/>
        <v>66</v>
      </c>
      <c r="N36" s="8">
        <f t="shared" si="10"/>
        <v>85</v>
      </c>
      <c r="O36" s="8">
        <f t="shared" si="11"/>
        <v>86</v>
      </c>
      <c r="P36" s="8">
        <f t="shared" si="12"/>
        <v>105</v>
      </c>
      <c r="Q36" s="8" t="str">
        <f t="shared" si="13"/>
        <v/>
      </c>
      <c r="R36" s="8" t="str">
        <f t="shared" si="14"/>
        <v/>
      </c>
    </row>
    <row r="37" spans="1:18" x14ac:dyDescent="0.25">
      <c r="A37" s="29">
        <v>33</v>
      </c>
      <c r="B37" s="30">
        <f t="shared" ref="B37:B68" si="15">CEILING(A37/5,1)</f>
        <v>7</v>
      </c>
      <c r="C37" s="30">
        <f>(MATCH(1,INDEX('Shot Map'!$B$6:$V$26,0,B37),0)-1)*5+1</f>
        <v>6</v>
      </c>
      <c r="D37" s="30">
        <f>(MATCH(1,INDEX('Shot Map'!$B$6:$V$26,0,B37),0)+SUM(INDEX('Shot Map'!$B$6:$V$26,0,B37))-2)*5+5</f>
        <v>100</v>
      </c>
      <c r="E37" s="30">
        <f t="shared" ref="E37:E68" si="16">D37-C37+1</f>
        <v>95</v>
      </c>
      <c r="F37" s="30">
        <f t="shared" ref="F37:F68" si="17">ROUNDUP(E37/$B$2,0)</f>
        <v>5</v>
      </c>
      <c r="G37" s="8">
        <f t="shared" ref="G37:G68" si="18">IF($F37&gt;=1,$C37+(1-1)*$B$2,"")</f>
        <v>6</v>
      </c>
      <c r="H37" s="8">
        <f t="shared" ref="H37:H68" si="19">IF(G37="","",MIN(G37+$B$2-1,105))</f>
        <v>25</v>
      </c>
      <c r="I37" s="8">
        <f t="shared" ref="I37:I68" si="20">IF($F37&gt;=2,$C37+(2-1)*$B$2,"")</f>
        <v>26</v>
      </c>
      <c r="J37" s="8">
        <f t="shared" ref="J37:J68" si="21">IF(I37="","",MIN(I37+$B$2-1,105))</f>
        <v>45</v>
      </c>
      <c r="K37" s="8">
        <f t="shared" ref="K37:K68" si="22">IF($F37&gt;=3,$C37+(3-1)*$B$2,"")</f>
        <v>46</v>
      </c>
      <c r="L37" s="8">
        <f t="shared" ref="L37:L68" si="23">IF(K37="","",MIN(K37+$B$2-1,105))</f>
        <v>65</v>
      </c>
      <c r="M37" s="8">
        <f t="shared" ref="M37:M68" si="24">IF($F37&gt;=4,$C37+(4-1)*$B$2,"")</f>
        <v>66</v>
      </c>
      <c r="N37" s="8">
        <f t="shared" ref="N37:N68" si="25">IF(M37="","",MIN(M37+$B$2-1,105))</f>
        <v>85</v>
      </c>
      <c r="O37" s="8">
        <f t="shared" ref="O37:O68" si="26">IF($F37&gt;=5,$C37+(5-1)*$B$2,"")</f>
        <v>86</v>
      </c>
      <c r="P37" s="8">
        <f t="shared" ref="P37:P68" si="27">IF(O37="","",MIN(O37+$B$2-1,105))</f>
        <v>105</v>
      </c>
      <c r="Q37" s="8" t="str">
        <f t="shared" ref="Q37:Q68" si="28">IF($F37&gt;=6,$C37+(6-1)*$B$2,"")</f>
        <v/>
      </c>
      <c r="R37" s="8" t="str">
        <f t="shared" ref="R37:R68" si="29">IF(Q37="","",MIN(Q37+$B$2-1,105))</f>
        <v/>
      </c>
    </row>
    <row r="38" spans="1:18" x14ac:dyDescent="0.25">
      <c r="A38" s="29">
        <v>34</v>
      </c>
      <c r="B38" s="30">
        <f t="shared" si="15"/>
        <v>7</v>
      </c>
      <c r="C38" s="30">
        <f>(MATCH(1,INDEX('Shot Map'!$B$6:$V$26,0,B38),0)-1)*5+1</f>
        <v>6</v>
      </c>
      <c r="D38" s="30">
        <f>(MATCH(1,INDEX('Shot Map'!$B$6:$V$26,0,B38),0)+SUM(INDEX('Shot Map'!$B$6:$V$26,0,B38))-2)*5+5</f>
        <v>100</v>
      </c>
      <c r="E38" s="30">
        <f t="shared" si="16"/>
        <v>95</v>
      </c>
      <c r="F38" s="30">
        <f t="shared" si="17"/>
        <v>5</v>
      </c>
      <c r="G38" s="8">
        <f t="shared" si="18"/>
        <v>6</v>
      </c>
      <c r="H38" s="8">
        <f t="shared" si="19"/>
        <v>25</v>
      </c>
      <c r="I38" s="8">
        <f t="shared" si="20"/>
        <v>26</v>
      </c>
      <c r="J38" s="8">
        <f t="shared" si="21"/>
        <v>45</v>
      </c>
      <c r="K38" s="8">
        <f t="shared" si="22"/>
        <v>46</v>
      </c>
      <c r="L38" s="8">
        <f t="shared" si="23"/>
        <v>65</v>
      </c>
      <c r="M38" s="8">
        <f t="shared" si="24"/>
        <v>66</v>
      </c>
      <c r="N38" s="8">
        <f t="shared" si="25"/>
        <v>85</v>
      </c>
      <c r="O38" s="8">
        <f t="shared" si="26"/>
        <v>86</v>
      </c>
      <c r="P38" s="8">
        <f t="shared" si="27"/>
        <v>105</v>
      </c>
      <c r="Q38" s="8" t="str">
        <f t="shared" si="28"/>
        <v/>
      </c>
      <c r="R38" s="8" t="str">
        <f t="shared" si="29"/>
        <v/>
      </c>
    </row>
    <row r="39" spans="1:18" x14ac:dyDescent="0.25">
      <c r="A39" s="29">
        <v>35</v>
      </c>
      <c r="B39" s="30">
        <f t="shared" si="15"/>
        <v>7</v>
      </c>
      <c r="C39" s="30">
        <f>(MATCH(1,INDEX('Shot Map'!$B$6:$V$26,0,B39),0)-1)*5+1</f>
        <v>6</v>
      </c>
      <c r="D39" s="30">
        <f>(MATCH(1,INDEX('Shot Map'!$B$6:$V$26,0,B39),0)+SUM(INDEX('Shot Map'!$B$6:$V$26,0,B39))-2)*5+5</f>
        <v>100</v>
      </c>
      <c r="E39" s="30">
        <f t="shared" si="16"/>
        <v>95</v>
      </c>
      <c r="F39" s="30">
        <f t="shared" si="17"/>
        <v>5</v>
      </c>
      <c r="G39" s="8">
        <f t="shared" si="18"/>
        <v>6</v>
      </c>
      <c r="H39" s="8">
        <f t="shared" si="19"/>
        <v>25</v>
      </c>
      <c r="I39" s="8">
        <f t="shared" si="20"/>
        <v>26</v>
      </c>
      <c r="J39" s="8">
        <f t="shared" si="21"/>
        <v>45</v>
      </c>
      <c r="K39" s="8">
        <f t="shared" si="22"/>
        <v>46</v>
      </c>
      <c r="L39" s="8">
        <f t="shared" si="23"/>
        <v>65</v>
      </c>
      <c r="M39" s="8">
        <f t="shared" si="24"/>
        <v>66</v>
      </c>
      <c r="N39" s="8">
        <f t="shared" si="25"/>
        <v>85</v>
      </c>
      <c r="O39" s="8">
        <f t="shared" si="26"/>
        <v>86</v>
      </c>
      <c r="P39" s="8">
        <f t="shared" si="27"/>
        <v>105</v>
      </c>
      <c r="Q39" s="8" t="str">
        <f t="shared" si="28"/>
        <v/>
      </c>
      <c r="R39" s="8" t="str">
        <f t="shared" si="29"/>
        <v/>
      </c>
    </row>
    <row r="40" spans="1:18" x14ac:dyDescent="0.25">
      <c r="A40" s="29">
        <v>36</v>
      </c>
      <c r="B40" s="30">
        <f t="shared" si="15"/>
        <v>8</v>
      </c>
      <c r="C40" s="30">
        <f>(MATCH(1,INDEX('Shot Map'!$B$6:$V$26,0,B40),0)-1)*5+1</f>
        <v>6</v>
      </c>
      <c r="D40" s="30">
        <f>(MATCH(1,INDEX('Shot Map'!$B$6:$V$26,0,B40),0)+SUM(INDEX('Shot Map'!$B$6:$V$26,0,B40))-2)*5+5</f>
        <v>100</v>
      </c>
      <c r="E40" s="30">
        <f t="shared" si="16"/>
        <v>95</v>
      </c>
      <c r="F40" s="30">
        <f t="shared" si="17"/>
        <v>5</v>
      </c>
      <c r="G40" s="8">
        <f t="shared" si="18"/>
        <v>6</v>
      </c>
      <c r="H40" s="8">
        <f t="shared" si="19"/>
        <v>25</v>
      </c>
      <c r="I40" s="8">
        <f t="shared" si="20"/>
        <v>26</v>
      </c>
      <c r="J40" s="8">
        <f t="shared" si="21"/>
        <v>45</v>
      </c>
      <c r="K40" s="8">
        <f t="shared" si="22"/>
        <v>46</v>
      </c>
      <c r="L40" s="8">
        <f t="shared" si="23"/>
        <v>65</v>
      </c>
      <c r="M40" s="8">
        <f t="shared" si="24"/>
        <v>66</v>
      </c>
      <c r="N40" s="8">
        <f t="shared" si="25"/>
        <v>85</v>
      </c>
      <c r="O40" s="8">
        <f t="shared" si="26"/>
        <v>86</v>
      </c>
      <c r="P40" s="8">
        <f t="shared" si="27"/>
        <v>105</v>
      </c>
      <c r="Q40" s="8" t="str">
        <f t="shared" si="28"/>
        <v/>
      </c>
      <c r="R40" s="8" t="str">
        <f t="shared" si="29"/>
        <v/>
      </c>
    </row>
    <row r="41" spans="1:18" x14ac:dyDescent="0.25">
      <c r="A41" s="29">
        <v>37</v>
      </c>
      <c r="B41" s="30">
        <f t="shared" si="15"/>
        <v>8</v>
      </c>
      <c r="C41" s="30">
        <f>(MATCH(1,INDEX('Shot Map'!$B$6:$V$26,0,B41),0)-1)*5+1</f>
        <v>6</v>
      </c>
      <c r="D41" s="30">
        <f>(MATCH(1,INDEX('Shot Map'!$B$6:$V$26,0,B41),0)+SUM(INDEX('Shot Map'!$B$6:$V$26,0,B41))-2)*5+5</f>
        <v>100</v>
      </c>
      <c r="E41" s="30">
        <f t="shared" si="16"/>
        <v>95</v>
      </c>
      <c r="F41" s="30">
        <f t="shared" si="17"/>
        <v>5</v>
      </c>
      <c r="G41" s="8">
        <f t="shared" si="18"/>
        <v>6</v>
      </c>
      <c r="H41" s="8">
        <f t="shared" si="19"/>
        <v>25</v>
      </c>
      <c r="I41" s="8">
        <f t="shared" si="20"/>
        <v>26</v>
      </c>
      <c r="J41" s="8">
        <f t="shared" si="21"/>
        <v>45</v>
      </c>
      <c r="K41" s="8">
        <f t="shared" si="22"/>
        <v>46</v>
      </c>
      <c r="L41" s="8">
        <f t="shared" si="23"/>
        <v>65</v>
      </c>
      <c r="M41" s="8">
        <f t="shared" si="24"/>
        <v>66</v>
      </c>
      <c r="N41" s="8">
        <f t="shared" si="25"/>
        <v>85</v>
      </c>
      <c r="O41" s="8">
        <f t="shared" si="26"/>
        <v>86</v>
      </c>
      <c r="P41" s="8">
        <f t="shared" si="27"/>
        <v>105</v>
      </c>
      <c r="Q41" s="8" t="str">
        <f t="shared" si="28"/>
        <v/>
      </c>
      <c r="R41" s="8" t="str">
        <f t="shared" si="29"/>
        <v/>
      </c>
    </row>
    <row r="42" spans="1:18" x14ac:dyDescent="0.25">
      <c r="A42" s="29">
        <v>38</v>
      </c>
      <c r="B42" s="30">
        <f t="shared" si="15"/>
        <v>8</v>
      </c>
      <c r="C42" s="30">
        <f>(MATCH(1,INDEX('Shot Map'!$B$6:$V$26,0,B42),0)-1)*5+1</f>
        <v>6</v>
      </c>
      <c r="D42" s="30">
        <f>(MATCH(1,INDEX('Shot Map'!$B$6:$V$26,0,B42),0)+SUM(INDEX('Shot Map'!$B$6:$V$26,0,B42))-2)*5+5</f>
        <v>100</v>
      </c>
      <c r="E42" s="30">
        <f t="shared" si="16"/>
        <v>95</v>
      </c>
      <c r="F42" s="30">
        <f t="shared" si="17"/>
        <v>5</v>
      </c>
      <c r="G42" s="8">
        <f t="shared" si="18"/>
        <v>6</v>
      </c>
      <c r="H42" s="8">
        <f t="shared" si="19"/>
        <v>25</v>
      </c>
      <c r="I42" s="8">
        <f t="shared" si="20"/>
        <v>26</v>
      </c>
      <c r="J42" s="8">
        <f t="shared" si="21"/>
        <v>45</v>
      </c>
      <c r="K42" s="8">
        <f t="shared" si="22"/>
        <v>46</v>
      </c>
      <c r="L42" s="8">
        <f t="shared" si="23"/>
        <v>65</v>
      </c>
      <c r="M42" s="8">
        <f t="shared" si="24"/>
        <v>66</v>
      </c>
      <c r="N42" s="8">
        <f t="shared" si="25"/>
        <v>85</v>
      </c>
      <c r="O42" s="8">
        <f t="shared" si="26"/>
        <v>86</v>
      </c>
      <c r="P42" s="8">
        <f t="shared" si="27"/>
        <v>105</v>
      </c>
      <c r="Q42" s="8" t="str">
        <f t="shared" si="28"/>
        <v/>
      </c>
      <c r="R42" s="8" t="str">
        <f t="shared" si="29"/>
        <v/>
      </c>
    </row>
    <row r="43" spans="1:18" x14ac:dyDescent="0.25">
      <c r="A43" s="29">
        <v>39</v>
      </c>
      <c r="B43" s="30">
        <f t="shared" si="15"/>
        <v>8</v>
      </c>
      <c r="C43" s="30">
        <f>(MATCH(1,INDEX('Shot Map'!$B$6:$V$26,0,B43),0)-1)*5+1</f>
        <v>6</v>
      </c>
      <c r="D43" s="30">
        <f>(MATCH(1,INDEX('Shot Map'!$B$6:$V$26,0,B43),0)+SUM(INDEX('Shot Map'!$B$6:$V$26,0,B43))-2)*5+5</f>
        <v>100</v>
      </c>
      <c r="E43" s="30">
        <f t="shared" si="16"/>
        <v>95</v>
      </c>
      <c r="F43" s="30">
        <f t="shared" si="17"/>
        <v>5</v>
      </c>
      <c r="G43" s="8">
        <f t="shared" si="18"/>
        <v>6</v>
      </c>
      <c r="H43" s="8">
        <f t="shared" si="19"/>
        <v>25</v>
      </c>
      <c r="I43" s="8">
        <f t="shared" si="20"/>
        <v>26</v>
      </c>
      <c r="J43" s="8">
        <f t="shared" si="21"/>
        <v>45</v>
      </c>
      <c r="K43" s="8">
        <f t="shared" si="22"/>
        <v>46</v>
      </c>
      <c r="L43" s="8">
        <f t="shared" si="23"/>
        <v>65</v>
      </c>
      <c r="M43" s="8">
        <f t="shared" si="24"/>
        <v>66</v>
      </c>
      <c r="N43" s="8">
        <f t="shared" si="25"/>
        <v>85</v>
      </c>
      <c r="O43" s="8">
        <f t="shared" si="26"/>
        <v>86</v>
      </c>
      <c r="P43" s="8">
        <f t="shared" si="27"/>
        <v>105</v>
      </c>
      <c r="Q43" s="8" t="str">
        <f t="shared" si="28"/>
        <v/>
      </c>
      <c r="R43" s="8" t="str">
        <f t="shared" si="29"/>
        <v/>
      </c>
    </row>
    <row r="44" spans="1:18" x14ac:dyDescent="0.25">
      <c r="A44" s="29">
        <v>40</v>
      </c>
      <c r="B44" s="30">
        <f t="shared" si="15"/>
        <v>8</v>
      </c>
      <c r="C44" s="30">
        <f>(MATCH(1,INDEX('Shot Map'!$B$6:$V$26,0,B44),0)-1)*5+1</f>
        <v>6</v>
      </c>
      <c r="D44" s="30">
        <f>(MATCH(1,INDEX('Shot Map'!$B$6:$V$26,0,B44),0)+SUM(INDEX('Shot Map'!$B$6:$V$26,0,B44))-2)*5+5</f>
        <v>100</v>
      </c>
      <c r="E44" s="30">
        <f t="shared" si="16"/>
        <v>95</v>
      </c>
      <c r="F44" s="30">
        <f t="shared" si="17"/>
        <v>5</v>
      </c>
      <c r="G44" s="8">
        <f t="shared" si="18"/>
        <v>6</v>
      </c>
      <c r="H44" s="8">
        <f t="shared" si="19"/>
        <v>25</v>
      </c>
      <c r="I44" s="8">
        <f t="shared" si="20"/>
        <v>26</v>
      </c>
      <c r="J44" s="8">
        <f t="shared" si="21"/>
        <v>45</v>
      </c>
      <c r="K44" s="8">
        <f t="shared" si="22"/>
        <v>46</v>
      </c>
      <c r="L44" s="8">
        <f t="shared" si="23"/>
        <v>65</v>
      </c>
      <c r="M44" s="8">
        <f t="shared" si="24"/>
        <v>66</v>
      </c>
      <c r="N44" s="8">
        <f t="shared" si="25"/>
        <v>85</v>
      </c>
      <c r="O44" s="8">
        <f t="shared" si="26"/>
        <v>86</v>
      </c>
      <c r="P44" s="8">
        <f t="shared" si="27"/>
        <v>105</v>
      </c>
      <c r="Q44" s="8" t="str">
        <f t="shared" si="28"/>
        <v/>
      </c>
      <c r="R44" s="8" t="str">
        <f t="shared" si="29"/>
        <v/>
      </c>
    </row>
    <row r="45" spans="1:18" x14ac:dyDescent="0.25">
      <c r="A45" s="29">
        <v>41</v>
      </c>
      <c r="B45" s="30">
        <f t="shared" si="15"/>
        <v>9</v>
      </c>
      <c r="C45" s="30">
        <f>(MATCH(1,INDEX('Shot Map'!$B$6:$V$26,0,B45),0)-1)*5+1</f>
        <v>6</v>
      </c>
      <c r="D45" s="30">
        <f>(MATCH(1,INDEX('Shot Map'!$B$6:$V$26,0,B45),0)+SUM(INDEX('Shot Map'!$B$6:$V$26,0,B45))-2)*5+5</f>
        <v>100</v>
      </c>
      <c r="E45" s="30">
        <f t="shared" si="16"/>
        <v>95</v>
      </c>
      <c r="F45" s="30">
        <f t="shared" si="17"/>
        <v>5</v>
      </c>
      <c r="G45" s="8">
        <f t="shared" si="18"/>
        <v>6</v>
      </c>
      <c r="H45" s="8">
        <f t="shared" si="19"/>
        <v>25</v>
      </c>
      <c r="I45" s="8">
        <f t="shared" si="20"/>
        <v>26</v>
      </c>
      <c r="J45" s="8">
        <f t="shared" si="21"/>
        <v>45</v>
      </c>
      <c r="K45" s="8">
        <f t="shared" si="22"/>
        <v>46</v>
      </c>
      <c r="L45" s="8">
        <f t="shared" si="23"/>
        <v>65</v>
      </c>
      <c r="M45" s="8">
        <f t="shared" si="24"/>
        <v>66</v>
      </c>
      <c r="N45" s="8">
        <f t="shared" si="25"/>
        <v>85</v>
      </c>
      <c r="O45" s="8">
        <f t="shared" si="26"/>
        <v>86</v>
      </c>
      <c r="P45" s="8">
        <f t="shared" si="27"/>
        <v>105</v>
      </c>
      <c r="Q45" s="8" t="str">
        <f t="shared" si="28"/>
        <v/>
      </c>
      <c r="R45" s="8" t="str">
        <f t="shared" si="29"/>
        <v/>
      </c>
    </row>
    <row r="46" spans="1:18" x14ac:dyDescent="0.25">
      <c r="A46" s="29">
        <v>42</v>
      </c>
      <c r="B46" s="30">
        <f t="shared" si="15"/>
        <v>9</v>
      </c>
      <c r="C46" s="30">
        <f>(MATCH(1,INDEX('Shot Map'!$B$6:$V$26,0,B46),0)-1)*5+1</f>
        <v>6</v>
      </c>
      <c r="D46" s="30">
        <f>(MATCH(1,INDEX('Shot Map'!$B$6:$V$26,0,B46),0)+SUM(INDEX('Shot Map'!$B$6:$V$26,0,B46))-2)*5+5</f>
        <v>100</v>
      </c>
      <c r="E46" s="30">
        <f t="shared" si="16"/>
        <v>95</v>
      </c>
      <c r="F46" s="30">
        <f t="shared" si="17"/>
        <v>5</v>
      </c>
      <c r="G46" s="8">
        <f t="shared" si="18"/>
        <v>6</v>
      </c>
      <c r="H46" s="8">
        <f t="shared" si="19"/>
        <v>25</v>
      </c>
      <c r="I46" s="8">
        <f t="shared" si="20"/>
        <v>26</v>
      </c>
      <c r="J46" s="8">
        <f t="shared" si="21"/>
        <v>45</v>
      </c>
      <c r="K46" s="8">
        <f t="shared" si="22"/>
        <v>46</v>
      </c>
      <c r="L46" s="8">
        <f t="shared" si="23"/>
        <v>65</v>
      </c>
      <c r="M46" s="8">
        <f t="shared" si="24"/>
        <v>66</v>
      </c>
      <c r="N46" s="8">
        <f t="shared" si="25"/>
        <v>85</v>
      </c>
      <c r="O46" s="8">
        <f t="shared" si="26"/>
        <v>86</v>
      </c>
      <c r="P46" s="8">
        <f t="shared" si="27"/>
        <v>105</v>
      </c>
      <c r="Q46" s="8" t="str">
        <f t="shared" si="28"/>
        <v/>
      </c>
      <c r="R46" s="8" t="str">
        <f t="shared" si="29"/>
        <v/>
      </c>
    </row>
    <row r="47" spans="1:18" x14ac:dyDescent="0.25">
      <c r="A47" s="29">
        <v>43</v>
      </c>
      <c r="B47" s="30">
        <f t="shared" si="15"/>
        <v>9</v>
      </c>
      <c r="C47" s="30">
        <f>(MATCH(1,INDEX('Shot Map'!$B$6:$V$26,0,B47),0)-1)*5+1</f>
        <v>6</v>
      </c>
      <c r="D47" s="30">
        <f>(MATCH(1,INDEX('Shot Map'!$B$6:$V$26,0,B47),0)+SUM(INDEX('Shot Map'!$B$6:$V$26,0,B47))-2)*5+5</f>
        <v>100</v>
      </c>
      <c r="E47" s="30">
        <f t="shared" si="16"/>
        <v>95</v>
      </c>
      <c r="F47" s="30">
        <f t="shared" si="17"/>
        <v>5</v>
      </c>
      <c r="G47" s="8">
        <f t="shared" si="18"/>
        <v>6</v>
      </c>
      <c r="H47" s="8">
        <f t="shared" si="19"/>
        <v>25</v>
      </c>
      <c r="I47" s="8">
        <f t="shared" si="20"/>
        <v>26</v>
      </c>
      <c r="J47" s="8">
        <f t="shared" si="21"/>
        <v>45</v>
      </c>
      <c r="K47" s="8">
        <f t="shared" si="22"/>
        <v>46</v>
      </c>
      <c r="L47" s="8">
        <f t="shared" si="23"/>
        <v>65</v>
      </c>
      <c r="M47" s="8">
        <f t="shared" si="24"/>
        <v>66</v>
      </c>
      <c r="N47" s="8">
        <f t="shared" si="25"/>
        <v>85</v>
      </c>
      <c r="O47" s="8">
        <f t="shared" si="26"/>
        <v>86</v>
      </c>
      <c r="P47" s="8">
        <f t="shared" si="27"/>
        <v>105</v>
      </c>
      <c r="Q47" s="8" t="str">
        <f t="shared" si="28"/>
        <v/>
      </c>
      <c r="R47" s="8" t="str">
        <f t="shared" si="29"/>
        <v/>
      </c>
    </row>
    <row r="48" spans="1:18" x14ac:dyDescent="0.25">
      <c r="A48" s="29">
        <v>44</v>
      </c>
      <c r="B48" s="30">
        <f t="shared" si="15"/>
        <v>9</v>
      </c>
      <c r="C48" s="30">
        <f>(MATCH(1,INDEX('Shot Map'!$B$6:$V$26,0,B48),0)-1)*5+1</f>
        <v>6</v>
      </c>
      <c r="D48" s="30">
        <f>(MATCH(1,INDEX('Shot Map'!$B$6:$V$26,0,B48),0)+SUM(INDEX('Shot Map'!$B$6:$V$26,0,B48))-2)*5+5</f>
        <v>100</v>
      </c>
      <c r="E48" s="30">
        <f t="shared" si="16"/>
        <v>95</v>
      </c>
      <c r="F48" s="30">
        <f t="shared" si="17"/>
        <v>5</v>
      </c>
      <c r="G48" s="8">
        <f t="shared" si="18"/>
        <v>6</v>
      </c>
      <c r="H48" s="8">
        <f t="shared" si="19"/>
        <v>25</v>
      </c>
      <c r="I48" s="8">
        <f t="shared" si="20"/>
        <v>26</v>
      </c>
      <c r="J48" s="8">
        <f t="shared" si="21"/>
        <v>45</v>
      </c>
      <c r="K48" s="8">
        <f t="shared" si="22"/>
        <v>46</v>
      </c>
      <c r="L48" s="8">
        <f t="shared" si="23"/>
        <v>65</v>
      </c>
      <c r="M48" s="8">
        <f t="shared" si="24"/>
        <v>66</v>
      </c>
      <c r="N48" s="8">
        <f t="shared" si="25"/>
        <v>85</v>
      </c>
      <c r="O48" s="8">
        <f t="shared" si="26"/>
        <v>86</v>
      </c>
      <c r="P48" s="8">
        <f t="shared" si="27"/>
        <v>105</v>
      </c>
      <c r="Q48" s="8" t="str">
        <f t="shared" si="28"/>
        <v/>
      </c>
      <c r="R48" s="8" t="str">
        <f t="shared" si="29"/>
        <v/>
      </c>
    </row>
    <row r="49" spans="1:18" x14ac:dyDescent="0.25">
      <c r="A49" s="29">
        <v>45</v>
      </c>
      <c r="B49" s="30">
        <f t="shared" si="15"/>
        <v>9</v>
      </c>
      <c r="C49" s="30">
        <f>(MATCH(1,INDEX('Shot Map'!$B$6:$V$26,0,B49),0)-1)*5+1</f>
        <v>6</v>
      </c>
      <c r="D49" s="30">
        <f>(MATCH(1,INDEX('Shot Map'!$B$6:$V$26,0,B49),0)+SUM(INDEX('Shot Map'!$B$6:$V$26,0,B49))-2)*5+5</f>
        <v>100</v>
      </c>
      <c r="E49" s="30">
        <f t="shared" si="16"/>
        <v>95</v>
      </c>
      <c r="F49" s="30">
        <f t="shared" si="17"/>
        <v>5</v>
      </c>
      <c r="G49" s="8">
        <f t="shared" si="18"/>
        <v>6</v>
      </c>
      <c r="H49" s="8">
        <f t="shared" si="19"/>
        <v>25</v>
      </c>
      <c r="I49" s="8">
        <f t="shared" si="20"/>
        <v>26</v>
      </c>
      <c r="J49" s="8">
        <f t="shared" si="21"/>
        <v>45</v>
      </c>
      <c r="K49" s="8">
        <f t="shared" si="22"/>
        <v>46</v>
      </c>
      <c r="L49" s="8">
        <f t="shared" si="23"/>
        <v>65</v>
      </c>
      <c r="M49" s="8">
        <f t="shared" si="24"/>
        <v>66</v>
      </c>
      <c r="N49" s="8">
        <f t="shared" si="25"/>
        <v>85</v>
      </c>
      <c r="O49" s="8">
        <f t="shared" si="26"/>
        <v>86</v>
      </c>
      <c r="P49" s="8">
        <f t="shared" si="27"/>
        <v>105</v>
      </c>
      <c r="Q49" s="8" t="str">
        <f t="shared" si="28"/>
        <v/>
      </c>
      <c r="R49" s="8" t="str">
        <f t="shared" si="29"/>
        <v/>
      </c>
    </row>
    <row r="50" spans="1:18" x14ac:dyDescent="0.25">
      <c r="A50" s="29">
        <v>46</v>
      </c>
      <c r="B50" s="30">
        <f t="shared" si="15"/>
        <v>10</v>
      </c>
      <c r="C50" s="30">
        <f>(MATCH(1,INDEX('Shot Map'!$B$6:$V$26,0,B50),0)-1)*5+1</f>
        <v>1</v>
      </c>
      <c r="D50" s="30">
        <f>(MATCH(1,INDEX('Shot Map'!$B$6:$V$26,0,B50),0)+SUM(INDEX('Shot Map'!$B$6:$V$26,0,B50))-2)*5+5</f>
        <v>105</v>
      </c>
      <c r="E50" s="30">
        <f t="shared" si="16"/>
        <v>105</v>
      </c>
      <c r="F50" s="30">
        <f t="shared" si="17"/>
        <v>6</v>
      </c>
      <c r="G50" s="8">
        <f t="shared" si="18"/>
        <v>1</v>
      </c>
      <c r="H50" s="8">
        <f t="shared" si="19"/>
        <v>20</v>
      </c>
      <c r="I50" s="8">
        <f t="shared" si="20"/>
        <v>21</v>
      </c>
      <c r="J50" s="8">
        <f t="shared" si="21"/>
        <v>40</v>
      </c>
      <c r="K50" s="8">
        <f t="shared" si="22"/>
        <v>41</v>
      </c>
      <c r="L50" s="8">
        <f t="shared" si="23"/>
        <v>60</v>
      </c>
      <c r="M50" s="8">
        <f t="shared" si="24"/>
        <v>61</v>
      </c>
      <c r="N50" s="8">
        <f t="shared" si="25"/>
        <v>80</v>
      </c>
      <c r="O50" s="8">
        <f t="shared" si="26"/>
        <v>81</v>
      </c>
      <c r="P50" s="8">
        <f t="shared" si="27"/>
        <v>100</v>
      </c>
      <c r="Q50" s="8">
        <f t="shared" si="28"/>
        <v>101</v>
      </c>
      <c r="R50" s="8">
        <f t="shared" si="29"/>
        <v>105</v>
      </c>
    </row>
    <row r="51" spans="1:18" x14ac:dyDescent="0.25">
      <c r="A51" s="29">
        <v>47</v>
      </c>
      <c r="B51" s="30">
        <f t="shared" si="15"/>
        <v>10</v>
      </c>
      <c r="C51" s="30">
        <f>(MATCH(1,INDEX('Shot Map'!$B$6:$V$26,0,B51),0)-1)*5+1</f>
        <v>1</v>
      </c>
      <c r="D51" s="30">
        <f>(MATCH(1,INDEX('Shot Map'!$B$6:$V$26,0,B51),0)+SUM(INDEX('Shot Map'!$B$6:$V$26,0,B51))-2)*5+5</f>
        <v>105</v>
      </c>
      <c r="E51" s="30">
        <f t="shared" si="16"/>
        <v>105</v>
      </c>
      <c r="F51" s="30">
        <f t="shared" si="17"/>
        <v>6</v>
      </c>
      <c r="G51" s="8">
        <f t="shared" si="18"/>
        <v>1</v>
      </c>
      <c r="H51" s="8">
        <f t="shared" si="19"/>
        <v>20</v>
      </c>
      <c r="I51" s="8">
        <f t="shared" si="20"/>
        <v>21</v>
      </c>
      <c r="J51" s="8">
        <f t="shared" si="21"/>
        <v>40</v>
      </c>
      <c r="K51" s="8">
        <f t="shared" si="22"/>
        <v>41</v>
      </c>
      <c r="L51" s="8">
        <f t="shared" si="23"/>
        <v>60</v>
      </c>
      <c r="M51" s="8">
        <f t="shared" si="24"/>
        <v>61</v>
      </c>
      <c r="N51" s="8">
        <f t="shared" si="25"/>
        <v>80</v>
      </c>
      <c r="O51" s="8">
        <f t="shared" si="26"/>
        <v>81</v>
      </c>
      <c r="P51" s="8">
        <f t="shared" si="27"/>
        <v>100</v>
      </c>
      <c r="Q51" s="8">
        <f t="shared" si="28"/>
        <v>101</v>
      </c>
      <c r="R51" s="8">
        <f t="shared" si="29"/>
        <v>105</v>
      </c>
    </row>
    <row r="52" spans="1:18" x14ac:dyDescent="0.25">
      <c r="A52" s="29">
        <v>48</v>
      </c>
      <c r="B52" s="30">
        <f t="shared" si="15"/>
        <v>10</v>
      </c>
      <c r="C52" s="30">
        <f>(MATCH(1,INDEX('Shot Map'!$B$6:$V$26,0,B52),0)-1)*5+1</f>
        <v>1</v>
      </c>
      <c r="D52" s="30">
        <f>(MATCH(1,INDEX('Shot Map'!$B$6:$V$26,0,B52),0)+SUM(INDEX('Shot Map'!$B$6:$V$26,0,B52))-2)*5+5</f>
        <v>105</v>
      </c>
      <c r="E52" s="30">
        <f t="shared" si="16"/>
        <v>105</v>
      </c>
      <c r="F52" s="30">
        <f t="shared" si="17"/>
        <v>6</v>
      </c>
      <c r="G52" s="8">
        <f t="shared" si="18"/>
        <v>1</v>
      </c>
      <c r="H52" s="8">
        <f t="shared" si="19"/>
        <v>20</v>
      </c>
      <c r="I52" s="8">
        <f t="shared" si="20"/>
        <v>21</v>
      </c>
      <c r="J52" s="8">
        <f t="shared" si="21"/>
        <v>40</v>
      </c>
      <c r="K52" s="8">
        <f t="shared" si="22"/>
        <v>41</v>
      </c>
      <c r="L52" s="8">
        <f t="shared" si="23"/>
        <v>60</v>
      </c>
      <c r="M52" s="8">
        <f t="shared" si="24"/>
        <v>61</v>
      </c>
      <c r="N52" s="8">
        <f t="shared" si="25"/>
        <v>80</v>
      </c>
      <c r="O52" s="8">
        <f t="shared" si="26"/>
        <v>81</v>
      </c>
      <c r="P52" s="8">
        <f t="shared" si="27"/>
        <v>100</v>
      </c>
      <c r="Q52" s="8">
        <f t="shared" si="28"/>
        <v>101</v>
      </c>
      <c r="R52" s="8">
        <f t="shared" si="29"/>
        <v>105</v>
      </c>
    </row>
    <row r="53" spans="1:18" x14ac:dyDescent="0.25">
      <c r="A53" s="29">
        <v>49</v>
      </c>
      <c r="B53" s="30">
        <f t="shared" si="15"/>
        <v>10</v>
      </c>
      <c r="C53" s="30">
        <f>(MATCH(1,INDEX('Shot Map'!$B$6:$V$26,0,B53),0)-1)*5+1</f>
        <v>1</v>
      </c>
      <c r="D53" s="30">
        <f>(MATCH(1,INDEX('Shot Map'!$B$6:$V$26,0,B53),0)+SUM(INDEX('Shot Map'!$B$6:$V$26,0,B53))-2)*5+5</f>
        <v>105</v>
      </c>
      <c r="E53" s="30">
        <f t="shared" si="16"/>
        <v>105</v>
      </c>
      <c r="F53" s="30">
        <f t="shared" si="17"/>
        <v>6</v>
      </c>
      <c r="G53" s="8">
        <f t="shared" si="18"/>
        <v>1</v>
      </c>
      <c r="H53" s="8">
        <f t="shared" si="19"/>
        <v>20</v>
      </c>
      <c r="I53" s="8">
        <f t="shared" si="20"/>
        <v>21</v>
      </c>
      <c r="J53" s="8">
        <f t="shared" si="21"/>
        <v>40</v>
      </c>
      <c r="K53" s="8">
        <f t="shared" si="22"/>
        <v>41</v>
      </c>
      <c r="L53" s="8">
        <f t="shared" si="23"/>
        <v>60</v>
      </c>
      <c r="M53" s="8">
        <f t="shared" si="24"/>
        <v>61</v>
      </c>
      <c r="N53" s="8">
        <f t="shared" si="25"/>
        <v>80</v>
      </c>
      <c r="O53" s="8">
        <f t="shared" si="26"/>
        <v>81</v>
      </c>
      <c r="P53" s="8">
        <f t="shared" si="27"/>
        <v>100</v>
      </c>
      <c r="Q53" s="8">
        <f t="shared" si="28"/>
        <v>101</v>
      </c>
      <c r="R53" s="8">
        <f t="shared" si="29"/>
        <v>105</v>
      </c>
    </row>
    <row r="54" spans="1:18" x14ac:dyDescent="0.25">
      <c r="A54" s="29">
        <v>50</v>
      </c>
      <c r="B54" s="30">
        <f t="shared" si="15"/>
        <v>10</v>
      </c>
      <c r="C54" s="30">
        <f>(MATCH(1,INDEX('Shot Map'!$B$6:$V$26,0,B54),0)-1)*5+1</f>
        <v>1</v>
      </c>
      <c r="D54" s="30">
        <f>(MATCH(1,INDEX('Shot Map'!$B$6:$V$26,0,B54),0)+SUM(INDEX('Shot Map'!$B$6:$V$26,0,B54))-2)*5+5</f>
        <v>105</v>
      </c>
      <c r="E54" s="30">
        <f t="shared" si="16"/>
        <v>105</v>
      </c>
      <c r="F54" s="30">
        <f t="shared" si="17"/>
        <v>6</v>
      </c>
      <c r="G54" s="8">
        <f t="shared" si="18"/>
        <v>1</v>
      </c>
      <c r="H54" s="8">
        <f t="shared" si="19"/>
        <v>20</v>
      </c>
      <c r="I54" s="8">
        <f t="shared" si="20"/>
        <v>21</v>
      </c>
      <c r="J54" s="8">
        <f t="shared" si="21"/>
        <v>40</v>
      </c>
      <c r="K54" s="8">
        <f t="shared" si="22"/>
        <v>41</v>
      </c>
      <c r="L54" s="8">
        <f t="shared" si="23"/>
        <v>60</v>
      </c>
      <c r="M54" s="8">
        <f t="shared" si="24"/>
        <v>61</v>
      </c>
      <c r="N54" s="8">
        <f t="shared" si="25"/>
        <v>80</v>
      </c>
      <c r="O54" s="8">
        <f t="shared" si="26"/>
        <v>81</v>
      </c>
      <c r="P54" s="8">
        <f t="shared" si="27"/>
        <v>100</v>
      </c>
      <c r="Q54" s="8">
        <f t="shared" si="28"/>
        <v>101</v>
      </c>
      <c r="R54" s="8">
        <f t="shared" si="29"/>
        <v>105</v>
      </c>
    </row>
    <row r="55" spans="1:18" x14ac:dyDescent="0.25">
      <c r="A55" s="29">
        <v>51</v>
      </c>
      <c r="B55" s="30">
        <f t="shared" si="15"/>
        <v>11</v>
      </c>
      <c r="C55" s="30">
        <f>(MATCH(1,INDEX('Shot Map'!$B$6:$V$26,0,B55),0)-1)*5+1</f>
        <v>1</v>
      </c>
      <c r="D55" s="30">
        <f>(MATCH(1,INDEX('Shot Map'!$B$6:$V$26,0,B55),0)+SUM(INDEX('Shot Map'!$B$6:$V$26,0,B55))-2)*5+5</f>
        <v>105</v>
      </c>
      <c r="E55" s="30">
        <f t="shared" si="16"/>
        <v>105</v>
      </c>
      <c r="F55" s="30">
        <f t="shared" si="17"/>
        <v>6</v>
      </c>
      <c r="G55" s="8">
        <f t="shared" si="18"/>
        <v>1</v>
      </c>
      <c r="H55" s="8">
        <f t="shared" si="19"/>
        <v>20</v>
      </c>
      <c r="I55" s="8">
        <f t="shared" si="20"/>
        <v>21</v>
      </c>
      <c r="J55" s="8">
        <f t="shared" si="21"/>
        <v>40</v>
      </c>
      <c r="K55" s="8">
        <f t="shared" si="22"/>
        <v>41</v>
      </c>
      <c r="L55" s="8">
        <f t="shared" si="23"/>
        <v>60</v>
      </c>
      <c r="M55" s="8">
        <f t="shared" si="24"/>
        <v>61</v>
      </c>
      <c r="N55" s="8">
        <f t="shared" si="25"/>
        <v>80</v>
      </c>
      <c r="O55" s="8">
        <f t="shared" si="26"/>
        <v>81</v>
      </c>
      <c r="P55" s="8">
        <f t="shared" si="27"/>
        <v>100</v>
      </c>
      <c r="Q55" s="8">
        <f t="shared" si="28"/>
        <v>101</v>
      </c>
      <c r="R55" s="8">
        <f t="shared" si="29"/>
        <v>105</v>
      </c>
    </row>
    <row r="56" spans="1:18" x14ac:dyDescent="0.25">
      <c r="A56" s="29">
        <v>52</v>
      </c>
      <c r="B56" s="30">
        <f t="shared" si="15"/>
        <v>11</v>
      </c>
      <c r="C56" s="30">
        <f>(MATCH(1,INDEX('Shot Map'!$B$6:$V$26,0,B56),0)-1)*5+1</f>
        <v>1</v>
      </c>
      <c r="D56" s="30">
        <f>(MATCH(1,INDEX('Shot Map'!$B$6:$V$26,0,B56),0)+SUM(INDEX('Shot Map'!$B$6:$V$26,0,B56))-2)*5+5</f>
        <v>105</v>
      </c>
      <c r="E56" s="30">
        <f t="shared" si="16"/>
        <v>105</v>
      </c>
      <c r="F56" s="30">
        <f t="shared" si="17"/>
        <v>6</v>
      </c>
      <c r="G56" s="8">
        <f t="shared" si="18"/>
        <v>1</v>
      </c>
      <c r="H56" s="8">
        <f t="shared" si="19"/>
        <v>20</v>
      </c>
      <c r="I56" s="8">
        <f t="shared" si="20"/>
        <v>21</v>
      </c>
      <c r="J56" s="8">
        <f t="shared" si="21"/>
        <v>40</v>
      </c>
      <c r="K56" s="8">
        <f t="shared" si="22"/>
        <v>41</v>
      </c>
      <c r="L56" s="8">
        <f t="shared" si="23"/>
        <v>60</v>
      </c>
      <c r="M56" s="8">
        <f t="shared" si="24"/>
        <v>61</v>
      </c>
      <c r="N56" s="8">
        <f t="shared" si="25"/>
        <v>80</v>
      </c>
      <c r="O56" s="8">
        <f t="shared" si="26"/>
        <v>81</v>
      </c>
      <c r="P56" s="8">
        <f t="shared" si="27"/>
        <v>100</v>
      </c>
      <c r="Q56" s="8">
        <f t="shared" si="28"/>
        <v>101</v>
      </c>
      <c r="R56" s="8">
        <f t="shared" si="29"/>
        <v>105</v>
      </c>
    </row>
    <row r="57" spans="1:18" x14ac:dyDescent="0.25">
      <c r="A57" s="29">
        <v>53</v>
      </c>
      <c r="B57" s="30">
        <f t="shared" si="15"/>
        <v>11</v>
      </c>
      <c r="C57" s="30">
        <f>(MATCH(1,INDEX('Shot Map'!$B$6:$V$26,0,B57),0)-1)*5+1</f>
        <v>1</v>
      </c>
      <c r="D57" s="30">
        <f>(MATCH(1,INDEX('Shot Map'!$B$6:$V$26,0,B57),0)+SUM(INDEX('Shot Map'!$B$6:$V$26,0,B57))-2)*5+5</f>
        <v>105</v>
      </c>
      <c r="E57" s="30">
        <f t="shared" si="16"/>
        <v>105</v>
      </c>
      <c r="F57" s="30">
        <f t="shared" si="17"/>
        <v>6</v>
      </c>
      <c r="G57" s="8">
        <f t="shared" si="18"/>
        <v>1</v>
      </c>
      <c r="H57" s="8">
        <f t="shared" si="19"/>
        <v>20</v>
      </c>
      <c r="I57" s="8">
        <f t="shared" si="20"/>
        <v>21</v>
      </c>
      <c r="J57" s="8">
        <f t="shared" si="21"/>
        <v>40</v>
      </c>
      <c r="K57" s="8">
        <f t="shared" si="22"/>
        <v>41</v>
      </c>
      <c r="L57" s="8">
        <f t="shared" si="23"/>
        <v>60</v>
      </c>
      <c r="M57" s="8">
        <f t="shared" si="24"/>
        <v>61</v>
      </c>
      <c r="N57" s="8">
        <f t="shared" si="25"/>
        <v>80</v>
      </c>
      <c r="O57" s="8">
        <f t="shared" si="26"/>
        <v>81</v>
      </c>
      <c r="P57" s="8">
        <f t="shared" si="27"/>
        <v>100</v>
      </c>
      <c r="Q57" s="8">
        <f t="shared" si="28"/>
        <v>101</v>
      </c>
      <c r="R57" s="8">
        <f t="shared" si="29"/>
        <v>105</v>
      </c>
    </row>
    <row r="58" spans="1:18" x14ac:dyDescent="0.25">
      <c r="A58" s="29">
        <v>54</v>
      </c>
      <c r="B58" s="30">
        <f t="shared" si="15"/>
        <v>11</v>
      </c>
      <c r="C58" s="30">
        <f>(MATCH(1,INDEX('Shot Map'!$B$6:$V$26,0,B58),0)-1)*5+1</f>
        <v>1</v>
      </c>
      <c r="D58" s="30">
        <f>(MATCH(1,INDEX('Shot Map'!$B$6:$V$26,0,B58),0)+SUM(INDEX('Shot Map'!$B$6:$V$26,0,B58))-2)*5+5</f>
        <v>105</v>
      </c>
      <c r="E58" s="30">
        <f t="shared" si="16"/>
        <v>105</v>
      </c>
      <c r="F58" s="30">
        <f t="shared" si="17"/>
        <v>6</v>
      </c>
      <c r="G58" s="8">
        <f t="shared" si="18"/>
        <v>1</v>
      </c>
      <c r="H58" s="8">
        <f t="shared" si="19"/>
        <v>20</v>
      </c>
      <c r="I58" s="8">
        <f t="shared" si="20"/>
        <v>21</v>
      </c>
      <c r="J58" s="8">
        <f t="shared" si="21"/>
        <v>40</v>
      </c>
      <c r="K58" s="8">
        <f t="shared" si="22"/>
        <v>41</v>
      </c>
      <c r="L58" s="8">
        <f t="shared" si="23"/>
        <v>60</v>
      </c>
      <c r="M58" s="8">
        <f t="shared" si="24"/>
        <v>61</v>
      </c>
      <c r="N58" s="8">
        <f t="shared" si="25"/>
        <v>80</v>
      </c>
      <c r="O58" s="8">
        <f t="shared" si="26"/>
        <v>81</v>
      </c>
      <c r="P58" s="8">
        <f t="shared" si="27"/>
        <v>100</v>
      </c>
      <c r="Q58" s="8">
        <f t="shared" si="28"/>
        <v>101</v>
      </c>
      <c r="R58" s="8">
        <f t="shared" si="29"/>
        <v>105</v>
      </c>
    </row>
    <row r="59" spans="1:18" x14ac:dyDescent="0.25">
      <c r="A59" s="29">
        <v>55</v>
      </c>
      <c r="B59" s="30">
        <f t="shared" si="15"/>
        <v>11</v>
      </c>
      <c r="C59" s="30">
        <f>(MATCH(1,INDEX('Shot Map'!$B$6:$V$26,0,B59),0)-1)*5+1</f>
        <v>1</v>
      </c>
      <c r="D59" s="30">
        <f>(MATCH(1,INDEX('Shot Map'!$B$6:$V$26,0,B59),0)+SUM(INDEX('Shot Map'!$B$6:$V$26,0,B59))-2)*5+5</f>
        <v>105</v>
      </c>
      <c r="E59" s="30">
        <f t="shared" si="16"/>
        <v>105</v>
      </c>
      <c r="F59" s="30">
        <f t="shared" si="17"/>
        <v>6</v>
      </c>
      <c r="G59" s="8">
        <f t="shared" si="18"/>
        <v>1</v>
      </c>
      <c r="H59" s="8">
        <f t="shared" si="19"/>
        <v>20</v>
      </c>
      <c r="I59" s="8">
        <f t="shared" si="20"/>
        <v>21</v>
      </c>
      <c r="J59" s="8">
        <f t="shared" si="21"/>
        <v>40</v>
      </c>
      <c r="K59" s="8">
        <f t="shared" si="22"/>
        <v>41</v>
      </c>
      <c r="L59" s="8">
        <f t="shared" si="23"/>
        <v>60</v>
      </c>
      <c r="M59" s="8">
        <f t="shared" si="24"/>
        <v>61</v>
      </c>
      <c r="N59" s="8">
        <f t="shared" si="25"/>
        <v>80</v>
      </c>
      <c r="O59" s="8">
        <f t="shared" si="26"/>
        <v>81</v>
      </c>
      <c r="P59" s="8">
        <f t="shared" si="27"/>
        <v>100</v>
      </c>
      <c r="Q59" s="8">
        <f t="shared" si="28"/>
        <v>101</v>
      </c>
      <c r="R59" s="8">
        <f t="shared" si="29"/>
        <v>105</v>
      </c>
    </row>
    <row r="60" spans="1:18" x14ac:dyDescent="0.25">
      <c r="A60" s="29">
        <v>56</v>
      </c>
      <c r="B60" s="30">
        <f t="shared" si="15"/>
        <v>12</v>
      </c>
      <c r="C60" s="30">
        <f>(MATCH(1,INDEX('Shot Map'!$B$6:$V$26,0,B60),0)-1)*5+1</f>
        <v>1</v>
      </c>
      <c r="D60" s="30">
        <f>(MATCH(1,INDEX('Shot Map'!$B$6:$V$26,0,B60),0)+SUM(INDEX('Shot Map'!$B$6:$V$26,0,B60))-2)*5+5</f>
        <v>105</v>
      </c>
      <c r="E60" s="30">
        <f t="shared" si="16"/>
        <v>105</v>
      </c>
      <c r="F60" s="30">
        <f t="shared" si="17"/>
        <v>6</v>
      </c>
      <c r="G60" s="8">
        <f t="shared" si="18"/>
        <v>1</v>
      </c>
      <c r="H60" s="8">
        <f t="shared" si="19"/>
        <v>20</v>
      </c>
      <c r="I60" s="8">
        <f t="shared" si="20"/>
        <v>21</v>
      </c>
      <c r="J60" s="8">
        <f t="shared" si="21"/>
        <v>40</v>
      </c>
      <c r="K60" s="8">
        <f t="shared" si="22"/>
        <v>41</v>
      </c>
      <c r="L60" s="8">
        <f t="shared" si="23"/>
        <v>60</v>
      </c>
      <c r="M60" s="8">
        <f t="shared" si="24"/>
        <v>61</v>
      </c>
      <c r="N60" s="8">
        <f t="shared" si="25"/>
        <v>80</v>
      </c>
      <c r="O60" s="8">
        <f t="shared" si="26"/>
        <v>81</v>
      </c>
      <c r="P60" s="8">
        <f t="shared" si="27"/>
        <v>100</v>
      </c>
      <c r="Q60" s="8">
        <f t="shared" si="28"/>
        <v>101</v>
      </c>
      <c r="R60" s="8">
        <f t="shared" si="29"/>
        <v>105</v>
      </c>
    </row>
    <row r="61" spans="1:18" x14ac:dyDescent="0.25">
      <c r="A61" s="29">
        <v>57</v>
      </c>
      <c r="B61" s="30">
        <f t="shared" si="15"/>
        <v>12</v>
      </c>
      <c r="C61" s="30">
        <f>(MATCH(1,INDEX('Shot Map'!$B$6:$V$26,0,B61),0)-1)*5+1</f>
        <v>1</v>
      </c>
      <c r="D61" s="30">
        <f>(MATCH(1,INDEX('Shot Map'!$B$6:$V$26,0,B61),0)+SUM(INDEX('Shot Map'!$B$6:$V$26,0,B61))-2)*5+5</f>
        <v>105</v>
      </c>
      <c r="E61" s="30">
        <f t="shared" si="16"/>
        <v>105</v>
      </c>
      <c r="F61" s="30">
        <f t="shared" si="17"/>
        <v>6</v>
      </c>
      <c r="G61" s="8">
        <f t="shared" si="18"/>
        <v>1</v>
      </c>
      <c r="H61" s="8">
        <f t="shared" si="19"/>
        <v>20</v>
      </c>
      <c r="I61" s="8">
        <f t="shared" si="20"/>
        <v>21</v>
      </c>
      <c r="J61" s="8">
        <f t="shared" si="21"/>
        <v>40</v>
      </c>
      <c r="K61" s="8">
        <f t="shared" si="22"/>
        <v>41</v>
      </c>
      <c r="L61" s="8">
        <f t="shared" si="23"/>
        <v>60</v>
      </c>
      <c r="M61" s="8">
        <f t="shared" si="24"/>
        <v>61</v>
      </c>
      <c r="N61" s="8">
        <f t="shared" si="25"/>
        <v>80</v>
      </c>
      <c r="O61" s="8">
        <f t="shared" si="26"/>
        <v>81</v>
      </c>
      <c r="P61" s="8">
        <f t="shared" si="27"/>
        <v>100</v>
      </c>
      <c r="Q61" s="8">
        <f t="shared" si="28"/>
        <v>101</v>
      </c>
      <c r="R61" s="8">
        <f t="shared" si="29"/>
        <v>105</v>
      </c>
    </row>
    <row r="62" spans="1:18" x14ac:dyDescent="0.25">
      <c r="A62" s="29">
        <v>58</v>
      </c>
      <c r="B62" s="30">
        <f t="shared" si="15"/>
        <v>12</v>
      </c>
      <c r="C62" s="30">
        <f>(MATCH(1,INDEX('Shot Map'!$B$6:$V$26,0,B62),0)-1)*5+1</f>
        <v>1</v>
      </c>
      <c r="D62" s="30">
        <f>(MATCH(1,INDEX('Shot Map'!$B$6:$V$26,0,B62),0)+SUM(INDEX('Shot Map'!$B$6:$V$26,0,B62))-2)*5+5</f>
        <v>105</v>
      </c>
      <c r="E62" s="30">
        <f t="shared" si="16"/>
        <v>105</v>
      </c>
      <c r="F62" s="30">
        <f t="shared" si="17"/>
        <v>6</v>
      </c>
      <c r="G62" s="8">
        <f t="shared" si="18"/>
        <v>1</v>
      </c>
      <c r="H62" s="8">
        <f t="shared" si="19"/>
        <v>20</v>
      </c>
      <c r="I62" s="8">
        <f t="shared" si="20"/>
        <v>21</v>
      </c>
      <c r="J62" s="8">
        <f t="shared" si="21"/>
        <v>40</v>
      </c>
      <c r="K62" s="8">
        <f t="shared" si="22"/>
        <v>41</v>
      </c>
      <c r="L62" s="8">
        <f t="shared" si="23"/>
        <v>60</v>
      </c>
      <c r="M62" s="8">
        <f t="shared" si="24"/>
        <v>61</v>
      </c>
      <c r="N62" s="8">
        <f t="shared" si="25"/>
        <v>80</v>
      </c>
      <c r="O62" s="8">
        <f t="shared" si="26"/>
        <v>81</v>
      </c>
      <c r="P62" s="8">
        <f t="shared" si="27"/>
        <v>100</v>
      </c>
      <c r="Q62" s="8">
        <f t="shared" si="28"/>
        <v>101</v>
      </c>
      <c r="R62" s="8">
        <f t="shared" si="29"/>
        <v>105</v>
      </c>
    </row>
    <row r="63" spans="1:18" x14ac:dyDescent="0.25">
      <c r="A63" s="29">
        <v>59</v>
      </c>
      <c r="B63" s="30">
        <f t="shared" si="15"/>
        <v>12</v>
      </c>
      <c r="C63" s="30">
        <f>(MATCH(1,INDEX('Shot Map'!$B$6:$V$26,0,B63),0)-1)*5+1</f>
        <v>1</v>
      </c>
      <c r="D63" s="30">
        <f>(MATCH(1,INDEX('Shot Map'!$B$6:$V$26,0,B63),0)+SUM(INDEX('Shot Map'!$B$6:$V$26,0,B63))-2)*5+5</f>
        <v>105</v>
      </c>
      <c r="E63" s="30">
        <f t="shared" si="16"/>
        <v>105</v>
      </c>
      <c r="F63" s="30">
        <f t="shared" si="17"/>
        <v>6</v>
      </c>
      <c r="G63" s="8">
        <f t="shared" si="18"/>
        <v>1</v>
      </c>
      <c r="H63" s="8">
        <f t="shared" si="19"/>
        <v>20</v>
      </c>
      <c r="I63" s="8">
        <f t="shared" si="20"/>
        <v>21</v>
      </c>
      <c r="J63" s="8">
        <f t="shared" si="21"/>
        <v>40</v>
      </c>
      <c r="K63" s="8">
        <f t="shared" si="22"/>
        <v>41</v>
      </c>
      <c r="L63" s="8">
        <f t="shared" si="23"/>
        <v>60</v>
      </c>
      <c r="M63" s="8">
        <f t="shared" si="24"/>
        <v>61</v>
      </c>
      <c r="N63" s="8">
        <f t="shared" si="25"/>
        <v>80</v>
      </c>
      <c r="O63" s="8">
        <f t="shared" si="26"/>
        <v>81</v>
      </c>
      <c r="P63" s="8">
        <f t="shared" si="27"/>
        <v>100</v>
      </c>
      <c r="Q63" s="8">
        <f t="shared" si="28"/>
        <v>101</v>
      </c>
      <c r="R63" s="8">
        <f t="shared" si="29"/>
        <v>105</v>
      </c>
    </row>
    <row r="64" spans="1:18" x14ac:dyDescent="0.25">
      <c r="A64" s="29">
        <v>60</v>
      </c>
      <c r="B64" s="30">
        <f t="shared" si="15"/>
        <v>12</v>
      </c>
      <c r="C64" s="30">
        <f>(MATCH(1,INDEX('Shot Map'!$B$6:$V$26,0,B64),0)-1)*5+1</f>
        <v>1</v>
      </c>
      <c r="D64" s="30">
        <f>(MATCH(1,INDEX('Shot Map'!$B$6:$V$26,0,B64),0)+SUM(INDEX('Shot Map'!$B$6:$V$26,0,B64))-2)*5+5</f>
        <v>105</v>
      </c>
      <c r="E64" s="30">
        <f t="shared" si="16"/>
        <v>105</v>
      </c>
      <c r="F64" s="30">
        <f t="shared" si="17"/>
        <v>6</v>
      </c>
      <c r="G64" s="8">
        <f t="shared" si="18"/>
        <v>1</v>
      </c>
      <c r="H64" s="8">
        <f t="shared" si="19"/>
        <v>20</v>
      </c>
      <c r="I64" s="8">
        <f t="shared" si="20"/>
        <v>21</v>
      </c>
      <c r="J64" s="8">
        <f t="shared" si="21"/>
        <v>40</v>
      </c>
      <c r="K64" s="8">
        <f t="shared" si="22"/>
        <v>41</v>
      </c>
      <c r="L64" s="8">
        <f t="shared" si="23"/>
        <v>60</v>
      </c>
      <c r="M64" s="8">
        <f t="shared" si="24"/>
        <v>61</v>
      </c>
      <c r="N64" s="8">
        <f t="shared" si="25"/>
        <v>80</v>
      </c>
      <c r="O64" s="8">
        <f t="shared" si="26"/>
        <v>81</v>
      </c>
      <c r="P64" s="8">
        <f t="shared" si="27"/>
        <v>100</v>
      </c>
      <c r="Q64" s="8">
        <f t="shared" si="28"/>
        <v>101</v>
      </c>
      <c r="R64" s="8">
        <f t="shared" si="29"/>
        <v>105</v>
      </c>
    </row>
    <row r="65" spans="1:18" x14ac:dyDescent="0.25">
      <c r="A65" s="29">
        <v>61</v>
      </c>
      <c r="B65" s="30">
        <f t="shared" si="15"/>
        <v>13</v>
      </c>
      <c r="C65" s="30">
        <f>(MATCH(1,INDEX('Shot Map'!$B$6:$V$26,0,B65),0)-1)*5+1</f>
        <v>6</v>
      </c>
      <c r="D65" s="30">
        <f>(MATCH(1,INDEX('Shot Map'!$B$6:$V$26,0,B65),0)+SUM(INDEX('Shot Map'!$B$6:$V$26,0,B65))-2)*5+5</f>
        <v>100</v>
      </c>
      <c r="E65" s="30">
        <f t="shared" si="16"/>
        <v>95</v>
      </c>
      <c r="F65" s="30">
        <f t="shared" si="17"/>
        <v>5</v>
      </c>
      <c r="G65" s="8">
        <f t="shared" si="18"/>
        <v>6</v>
      </c>
      <c r="H65" s="8">
        <f t="shared" si="19"/>
        <v>25</v>
      </c>
      <c r="I65" s="8">
        <f t="shared" si="20"/>
        <v>26</v>
      </c>
      <c r="J65" s="8">
        <f t="shared" si="21"/>
        <v>45</v>
      </c>
      <c r="K65" s="8">
        <f t="shared" si="22"/>
        <v>46</v>
      </c>
      <c r="L65" s="8">
        <f t="shared" si="23"/>
        <v>65</v>
      </c>
      <c r="M65" s="8">
        <f t="shared" si="24"/>
        <v>66</v>
      </c>
      <c r="N65" s="8">
        <f t="shared" si="25"/>
        <v>85</v>
      </c>
      <c r="O65" s="8">
        <f t="shared" si="26"/>
        <v>86</v>
      </c>
      <c r="P65" s="8">
        <f t="shared" si="27"/>
        <v>105</v>
      </c>
      <c r="Q65" s="8" t="str">
        <f t="shared" si="28"/>
        <v/>
      </c>
      <c r="R65" s="8" t="str">
        <f t="shared" si="29"/>
        <v/>
      </c>
    </row>
    <row r="66" spans="1:18" x14ac:dyDescent="0.25">
      <c r="A66" s="29">
        <v>62</v>
      </c>
      <c r="B66" s="30">
        <f t="shared" si="15"/>
        <v>13</v>
      </c>
      <c r="C66" s="30">
        <f>(MATCH(1,INDEX('Shot Map'!$B$6:$V$26,0,B66),0)-1)*5+1</f>
        <v>6</v>
      </c>
      <c r="D66" s="30">
        <f>(MATCH(1,INDEX('Shot Map'!$B$6:$V$26,0,B66),0)+SUM(INDEX('Shot Map'!$B$6:$V$26,0,B66))-2)*5+5</f>
        <v>100</v>
      </c>
      <c r="E66" s="30">
        <f t="shared" si="16"/>
        <v>95</v>
      </c>
      <c r="F66" s="30">
        <f t="shared" si="17"/>
        <v>5</v>
      </c>
      <c r="G66" s="8">
        <f t="shared" si="18"/>
        <v>6</v>
      </c>
      <c r="H66" s="8">
        <f t="shared" si="19"/>
        <v>25</v>
      </c>
      <c r="I66" s="8">
        <f t="shared" si="20"/>
        <v>26</v>
      </c>
      <c r="J66" s="8">
        <f t="shared" si="21"/>
        <v>45</v>
      </c>
      <c r="K66" s="8">
        <f t="shared" si="22"/>
        <v>46</v>
      </c>
      <c r="L66" s="8">
        <f t="shared" si="23"/>
        <v>65</v>
      </c>
      <c r="M66" s="8">
        <f t="shared" si="24"/>
        <v>66</v>
      </c>
      <c r="N66" s="8">
        <f t="shared" si="25"/>
        <v>85</v>
      </c>
      <c r="O66" s="8">
        <f t="shared" si="26"/>
        <v>86</v>
      </c>
      <c r="P66" s="8">
        <f t="shared" si="27"/>
        <v>105</v>
      </c>
      <c r="Q66" s="8" t="str">
        <f t="shared" si="28"/>
        <v/>
      </c>
      <c r="R66" s="8" t="str">
        <f t="shared" si="29"/>
        <v/>
      </c>
    </row>
    <row r="67" spans="1:18" x14ac:dyDescent="0.25">
      <c r="A67" s="29">
        <v>63</v>
      </c>
      <c r="B67" s="30">
        <f t="shared" si="15"/>
        <v>13</v>
      </c>
      <c r="C67" s="30">
        <f>(MATCH(1,INDEX('Shot Map'!$B$6:$V$26,0,B67),0)-1)*5+1</f>
        <v>6</v>
      </c>
      <c r="D67" s="30">
        <f>(MATCH(1,INDEX('Shot Map'!$B$6:$V$26,0,B67),0)+SUM(INDEX('Shot Map'!$B$6:$V$26,0,B67))-2)*5+5</f>
        <v>100</v>
      </c>
      <c r="E67" s="30">
        <f t="shared" si="16"/>
        <v>95</v>
      </c>
      <c r="F67" s="30">
        <f t="shared" si="17"/>
        <v>5</v>
      </c>
      <c r="G67" s="8">
        <f t="shared" si="18"/>
        <v>6</v>
      </c>
      <c r="H67" s="8">
        <f t="shared" si="19"/>
        <v>25</v>
      </c>
      <c r="I67" s="8">
        <f t="shared" si="20"/>
        <v>26</v>
      </c>
      <c r="J67" s="8">
        <f t="shared" si="21"/>
        <v>45</v>
      </c>
      <c r="K67" s="8">
        <f t="shared" si="22"/>
        <v>46</v>
      </c>
      <c r="L67" s="8">
        <f t="shared" si="23"/>
        <v>65</v>
      </c>
      <c r="M67" s="8">
        <f t="shared" si="24"/>
        <v>66</v>
      </c>
      <c r="N67" s="8">
        <f t="shared" si="25"/>
        <v>85</v>
      </c>
      <c r="O67" s="8">
        <f t="shared" si="26"/>
        <v>86</v>
      </c>
      <c r="P67" s="8">
        <f t="shared" si="27"/>
        <v>105</v>
      </c>
      <c r="Q67" s="8" t="str">
        <f t="shared" si="28"/>
        <v/>
      </c>
      <c r="R67" s="8" t="str">
        <f t="shared" si="29"/>
        <v/>
      </c>
    </row>
    <row r="68" spans="1:18" x14ac:dyDescent="0.25">
      <c r="A68" s="29">
        <v>64</v>
      </c>
      <c r="B68" s="30">
        <f t="shared" si="15"/>
        <v>13</v>
      </c>
      <c r="C68" s="30">
        <f>(MATCH(1,INDEX('Shot Map'!$B$6:$V$26,0,B68),0)-1)*5+1</f>
        <v>6</v>
      </c>
      <c r="D68" s="30">
        <f>(MATCH(1,INDEX('Shot Map'!$B$6:$V$26,0,B68),0)+SUM(INDEX('Shot Map'!$B$6:$V$26,0,B68))-2)*5+5</f>
        <v>100</v>
      </c>
      <c r="E68" s="30">
        <f t="shared" si="16"/>
        <v>95</v>
      </c>
      <c r="F68" s="30">
        <f t="shared" si="17"/>
        <v>5</v>
      </c>
      <c r="G68" s="8">
        <f t="shared" si="18"/>
        <v>6</v>
      </c>
      <c r="H68" s="8">
        <f t="shared" si="19"/>
        <v>25</v>
      </c>
      <c r="I68" s="8">
        <f t="shared" si="20"/>
        <v>26</v>
      </c>
      <c r="J68" s="8">
        <f t="shared" si="21"/>
        <v>45</v>
      </c>
      <c r="K68" s="8">
        <f t="shared" si="22"/>
        <v>46</v>
      </c>
      <c r="L68" s="8">
        <f t="shared" si="23"/>
        <v>65</v>
      </c>
      <c r="M68" s="8">
        <f t="shared" si="24"/>
        <v>66</v>
      </c>
      <c r="N68" s="8">
        <f t="shared" si="25"/>
        <v>85</v>
      </c>
      <c r="O68" s="8">
        <f t="shared" si="26"/>
        <v>86</v>
      </c>
      <c r="P68" s="8">
        <f t="shared" si="27"/>
        <v>105</v>
      </c>
      <c r="Q68" s="8" t="str">
        <f t="shared" si="28"/>
        <v/>
      </c>
      <c r="R68" s="8" t="str">
        <f t="shared" si="29"/>
        <v/>
      </c>
    </row>
    <row r="69" spans="1:18" x14ac:dyDescent="0.25">
      <c r="A69" s="29">
        <v>65</v>
      </c>
      <c r="B69" s="30">
        <f t="shared" ref="B69:B100" si="30">CEILING(A69/5,1)</f>
        <v>13</v>
      </c>
      <c r="C69" s="30">
        <f>(MATCH(1,INDEX('Shot Map'!$B$6:$V$26,0,B69),0)-1)*5+1</f>
        <v>6</v>
      </c>
      <c r="D69" s="30">
        <f>(MATCH(1,INDEX('Shot Map'!$B$6:$V$26,0,B69),0)+SUM(INDEX('Shot Map'!$B$6:$V$26,0,B69))-2)*5+5</f>
        <v>100</v>
      </c>
      <c r="E69" s="30">
        <f t="shared" ref="E69:E100" si="31">D69-C69+1</f>
        <v>95</v>
      </c>
      <c r="F69" s="30">
        <f t="shared" ref="F69:F100" si="32">ROUNDUP(E69/$B$2,0)</f>
        <v>5</v>
      </c>
      <c r="G69" s="8">
        <f t="shared" ref="G69:G100" si="33">IF($F69&gt;=1,$C69+(1-1)*$B$2,"")</f>
        <v>6</v>
      </c>
      <c r="H69" s="8">
        <f t="shared" ref="H69:H100" si="34">IF(G69="","",MIN(G69+$B$2-1,105))</f>
        <v>25</v>
      </c>
      <c r="I69" s="8">
        <f t="shared" ref="I69:I100" si="35">IF($F69&gt;=2,$C69+(2-1)*$B$2,"")</f>
        <v>26</v>
      </c>
      <c r="J69" s="8">
        <f t="shared" ref="J69:J100" si="36">IF(I69="","",MIN(I69+$B$2-1,105))</f>
        <v>45</v>
      </c>
      <c r="K69" s="8">
        <f t="shared" ref="K69:K100" si="37">IF($F69&gt;=3,$C69+(3-1)*$B$2,"")</f>
        <v>46</v>
      </c>
      <c r="L69" s="8">
        <f t="shared" ref="L69:L100" si="38">IF(K69="","",MIN(K69+$B$2-1,105))</f>
        <v>65</v>
      </c>
      <c r="M69" s="8">
        <f t="shared" ref="M69:M100" si="39">IF($F69&gt;=4,$C69+(4-1)*$B$2,"")</f>
        <v>66</v>
      </c>
      <c r="N69" s="8">
        <f t="shared" ref="N69:N100" si="40">IF(M69="","",MIN(M69+$B$2-1,105))</f>
        <v>85</v>
      </c>
      <c r="O69" s="8">
        <f t="shared" ref="O69:O100" si="41">IF($F69&gt;=5,$C69+(5-1)*$B$2,"")</f>
        <v>86</v>
      </c>
      <c r="P69" s="8">
        <f t="shared" ref="P69:P100" si="42">IF(O69="","",MIN(O69+$B$2-1,105))</f>
        <v>105</v>
      </c>
      <c r="Q69" s="8" t="str">
        <f t="shared" ref="Q69:Q100" si="43">IF($F69&gt;=6,$C69+(6-1)*$B$2,"")</f>
        <v/>
      </c>
      <c r="R69" s="8" t="str">
        <f t="shared" ref="R69:R100" si="44">IF(Q69="","",MIN(Q69+$B$2-1,105))</f>
        <v/>
      </c>
    </row>
    <row r="70" spans="1:18" x14ac:dyDescent="0.25">
      <c r="A70" s="29">
        <v>66</v>
      </c>
      <c r="B70" s="30">
        <f t="shared" si="30"/>
        <v>14</v>
      </c>
      <c r="C70" s="30">
        <f>(MATCH(1,INDEX('Shot Map'!$B$6:$V$26,0,B70),0)-1)*5+1</f>
        <v>6</v>
      </c>
      <c r="D70" s="30">
        <f>(MATCH(1,INDEX('Shot Map'!$B$6:$V$26,0,B70),0)+SUM(INDEX('Shot Map'!$B$6:$V$26,0,B70))-2)*5+5</f>
        <v>100</v>
      </c>
      <c r="E70" s="30">
        <f t="shared" si="31"/>
        <v>95</v>
      </c>
      <c r="F70" s="30">
        <f t="shared" si="32"/>
        <v>5</v>
      </c>
      <c r="G70" s="8">
        <f t="shared" si="33"/>
        <v>6</v>
      </c>
      <c r="H70" s="8">
        <f t="shared" si="34"/>
        <v>25</v>
      </c>
      <c r="I70" s="8">
        <f t="shared" si="35"/>
        <v>26</v>
      </c>
      <c r="J70" s="8">
        <f t="shared" si="36"/>
        <v>45</v>
      </c>
      <c r="K70" s="8">
        <f t="shared" si="37"/>
        <v>46</v>
      </c>
      <c r="L70" s="8">
        <f t="shared" si="38"/>
        <v>65</v>
      </c>
      <c r="M70" s="8">
        <f t="shared" si="39"/>
        <v>66</v>
      </c>
      <c r="N70" s="8">
        <f t="shared" si="40"/>
        <v>85</v>
      </c>
      <c r="O70" s="8">
        <f t="shared" si="41"/>
        <v>86</v>
      </c>
      <c r="P70" s="8">
        <f t="shared" si="42"/>
        <v>105</v>
      </c>
      <c r="Q70" s="8" t="str">
        <f t="shared" si="43"/>
        <v/>
      </c>
      <c r="R70" s="8" t="str">
        <f t="shared" si="44"/>
        <v/>
      </c>
    </row>
    <row r="71" spans="1:18" x14ac:dyDescent="0.25">
      <c r="A71" s="29">
        <v>67</v>
      </c>
      <c r="B71" s="30">
        <f t="shared" si="30"/>
        <v>14</v>
      </c>
      <c r="C71" s="30">
        <f>(MATCH(1,INDEX('Shot Map'!$B$6:$V$26,0,B71),0)-1)*5+1</f>
        <v>6</v>
      </c>
      <c r="D71" s="30">
        <f>(MATCH(1,INDEX('Shot Map'!$B$6:$V$26,0,B71),0)+SUM(INDEX('Shot Map'!$B$6:$V$26,0,B71))-2)*5+5</f>
        <v>100</v>
      </c>
      <c r="E71" s="30">
        <f t="shared" si="31"/>
        <v>95</v>
      </c>
      <c r="F71" s="30">
        <f t="shared" si="32"/>
        <v>5</v>
      </c>
      <c r="G71" s="8">
        <f t="shared" si="33"/>
        <v>6</v>
      </c>
      <c r="H71" s="8">
        <f t="shared" si="34"/>
        <v>25</v>
      </c>
      <c r="I71" s="8">
        <f t="shared" si="35"/>
        <v>26</v>
      </c>
      <c r="J71" s="8">
        <f t="shared" si="36"/>
        <v>45</v>
      </c>
      <c r="K71" s="8">
        <f t="shared" si="37"/>
        <v>46</v>
      </c>
      <c r="L71" s="8">
        <f t="shared" si="38"/>
        <v>65</v>
      </c>
      <c r="M71" s="8">
        <f t="shared" si="39"/>
        <v>66</v>
      </c>
      <c r="N71" s="8">
        <f t="shared" si="40"/>
        <v>85</v>
      </c>
      <c r="O71" s="8">
        <f t="shared" si="41"/>
        <v>86</v>
      </c>
      <c r="P71" s="8">
        <f t="shared" si="42"/>
        <v>105</v>
      </c>
      <c r="Q71" s="8" t="str">
        <f t="shared" si="43"/>
        <v/>
      </c>
      <c r="R71" s="8" t="str">
        <f t="shared" si="44"/>
        <v/>
      </c>
    </row>
    <row r="72" spans="1:18" x14ac:dyDescent="0.25">
      <c r="A72" s="29">
        <v>68</v>
      </c>
      <c r="B72" s="30">
        <f t="shared" si="30"/>
        <v>14</v>
      </c>
      <c r="C72" s="30">
        <f>(MATCH(1,INDEX('Shot Map'!$B$6:$V$26,0,B72),0)-1)*5+1</f>
        <v>6</v>
      </c>
      <c r="D72" s="30">
        <f>(MATCH(1,INDEX('Shot Map'!$B$6:$V$26,0,B72),0)+SUM(INDEX('Shot Map'!$B$6:$V$26,0,B72))-2)*5+5</f>
        <v>100</v>
      </c>
      <c r="E72" s="30">
        <f t="shared" si="31"/>
        <v>95</v>
      </c>
      <c r="F72" s="30">
        <f t="shared" si="32"/>
        <v>5</v>
      </c>
      <c r="G72" s="8">
        <f t="shared" si="33"/>
        <v>6</v>
      </c>
      <c r="H72" s="8">
        <f t="shared" si="34"/>
        <v>25</v>
      </c>
      <c r="I72" s="8">
        <f t="shared" si="35"/>
        <v>26</v>
      </c>
      <c r="J72" s="8">
        <f t="shared" si="36"/>
        <v>45</v>
      </c>
      <c r="K72" s="8">
        <f t="shared" si="37"/>
        <v>46</v>
      </c>
      <c r="L72" s="8">
        <f t="shared" si="38"/>
        <v>65</v>
      </c>
      <c r="M72" s="8">
        <f t="shared" si="39"/>
        <v>66</v>
      </c>
      <c r="N72" s="8">
        <f t="shared" si="40"/>
        <v>85</v>
      </c>
      <c r="O72" s="8">
        <f t="shared" si="41"/>
        <v>86</v>
      </c>
      <c r="P72" s="8">
        <f t="shared" si="42"/>
        <v>105</v>
      </c>
      <c r="Q72" s="8" t="str">
        <f t="shared" si="43"/>
        <v/>
      </c>
      <c r="R72" s="8" t="str">
        <f t="shared" si="44"/>
        <v/>
      </c>
    </row>
    <row r="73" spans="1:18" x14ac:dyDescent="0.25">
      <c r="A73" s="29">
        <v>69</v>
      </c>
      <c r="B73" s="30">
        <f t="shared" si="30"/>
        <v>14</v>
      </c>
      <c r="C73" s="30">
        <f>(MATCH(1,INDEX('Shot Map'!$B$6:$V$26,0,B73),0)-1)*5+1</f>
        <v>6</v>
      </c>
      <c r="D73" s="30">
        <f>(MATCH(1,INDEX('Shot Map'!$B$6:$V$26,0,B73),0)+SUM(INDEX('Shot Map'!$B$6:$V$26,0,B73))-2)*5+5</f>
        <v>100</v>
      </c>
      <c r="E73" s="30">
        <f t="shared" si="31"/>
        <v>95</v>
      </c>
      <c r="F73" s="30">
        <f t="shared" si="32"/>
        <v>5</v>
      </c>
      <c r="G73" s="8">
        <f t="shared" si="33"/>
        <v>6</v>
      </c>
      <c r="H73" s="8">
        <f t="shared" si="34"/>
        <v>25</v>
      </c>
      <c r="I73" s="8">
        <f t="shared" si="35"/>
        <v>26</v>
      </c>
      <c r="J73" s="8">
        <f t="shared" si="36"/>
        <v>45</v>
      </c>
      <c r="K73" s="8">
        <f t="shared" si="37"/>
        <v>46</v>
      </c>
      <c r="L73" s="8">
        <f t="shared" si="38"/>
        <v>65</v>
      </c>
      <c r="M73" s="8">
        <f t="shared" si="39"/>
        <v>66</v>
      </c>
      <c r="N73" s="8">
        <f t="shared" si="40"/>
        <v>85</v>
      </c>
      <c r="O73" s="8">
        <f t="shared" si="41"/>
        <v>86</v>
      </c>
      <c r="P73" s="8">
        <f t="shared" si="42"/>
        <v>105</v>
      </c>
      <c r="Q73" s="8" t="str">
        <f t="shared" si="43"/>
        <v/>
      </c>
      <c r="R73" s="8" t="str">
        <f t="shared" si="44"/>
        <v/>
      </c>
    </row>
    <row r="74" spans="1:18" x14ac:dyDescent="0.25">
      <c r="A74" s="29">
        <v>70</v>
      </c>
      <c r="B74" s="30">
        <f t="shared" si="30"/>
        <v>14</v>
      </c>
      <c r="C74" s="30">
        <f>(MATCH(1,INDEX('Shot Map'!$B$6:$V$26,0,B74),0)-1)*5+1</f>
        <v>6</v>
      </c>
      <c r="D74" s="30">
        <f>(MATCH(1,INDEX('Shot Map'!$B$6:$V$26,0,B74),0)+SUM(INDEX('Shot Map'!$B$6:$V$26,0,B74))-2)*5+5</f>
        <v>100</v>
      </c>
      <c r="E74" s="30">
        <f t="shared" si="31"/>
        <v>95</v>
      </c>
      <c r="F74" s="30">
        <f t="shared" si="32"/>
        <v>5</v>
      </c>
      <c r="G74" s="8">
        <f t="shared" si="33"/>
        <v>6</v>
      </c>
      <c r="H74" s="8">
        <f t="shared" si="34"/>
        <v>25</v>
      </c>
      <c r="I74" s="8">
        <f t="shared" si="35"/>
        <v>26</v>
      </c>
      <c r="J74" s="8">
        <f t="shared" si="36"/>
        <v>45</v>
      </c>
      <c r="K74" s="8">
        <f t="shared" si="37"/>
        <v>46</v>
      </c>
      <c r="L74" s="8">
        <f t="shared" si="38"/>
        <v>65</v>
      </c>
      <c r="M74" s="8">
        <f t="shared" si="39"/>
        <v>66</v>
      </c>
      <c r="N74" s="8">
        <f t="shared" si="40"/>
        <v>85</v>
      </c>
      <c r="O74" s="8">
        <f t="shared" si="41"/>
        <v>86</v>
      </c>
      <c r="P74" s="8">
        <f t="shared" si="42"/>
        <v>105</v>
      </c>
      <c r="Q74" s="8" t="str">
        <f t="shared" si="43"/>
        <v/>
      </c>
      <c r="R74" s="8" t="str">
        <f t="shared" si="44"/>
        <v/>
      </c>
    </row>
    <row r="75" spans="1:18" x14ac:dyDescent="0.25">
      <c r="A75" s="29">
        <v>71</v>
      </c>
      <c r="B75" s="30">
        <f t="shared" si="30"/>
        <v>15</v>
      </c>
      <c r="C75" s="30">
        <f>(MATCH(1,INDEX('Shot Map'!$B$6:$V$26,0,B75),0)-1)*5+1</f>
        <v>6</v>
      </c>
      <c r="D75" s="30">
        <f>(MATCH(1,INDEX('Shot Map'!$B$6:$V$26,0,B75),0)+SUM(INDEX('Shot Map'!$B$6:$V$26,0,B75))-2)*5+5</f>
        <v>100</v>
      </c>
      <c r="E75" s="30">
        <f t="shared" si="31"/>
        <v>95</v>
      </c>
      <c r="F75" s="30">
        <f t="shared" si="32"/>
        <v>5</v>
      </c>
      <c r="G75" s="8">
        <f t="shared" si="33"/>
        <v>6</v>
      </c>
      <c r="H75" s="8">
        <f t="shared" si="34"/>
        <v>25</v>
      </c>
      <c r="I75" s="8">
        <f t="shared" si="35"/>
        <v>26</v>
      </c>
      <c r="J75" s="8">
        <f t="shared" si="36"/>
        <v>45</v>
      </c>
      <c r="K75" s="8">
        <f t="shared" si="37"/>
        <v>46</v>
      </c>
      <c r="L75" s="8">
        <f t="shared" si="38"/>
        <v>65</v>
      </c>
      <c r="M75" s="8">
        <f t="shared" si="39"/>
        <v>66</v>
      </c>
      <c r="N75" s="8">
        <f t="shared" si="40"/>
        <v>85</v>
      </c>
      <c r="O75" s="8">
        <f t="shared" si="41"/>
        <v>86</v>
      </c>
      <c r="P75" s="8">
        <f t="shared" si="42"/>
        <v>105</v>
      </c>
      <c r="Q75" s="8" t="str">
        <f t="shared" si="43"/>
        <v/>
      </c>
      <c r="R75" s="8" t="str">
        <f t="shared" si="44"/>
        <v/>
      </c>
    </row>
    <row r="76" spans="1:18" x14ac:dyDescent="0.25">
      <c r="A76" s="29">
        <v>72</v>
      </c>
      <c r="B76" s="30">
        <f t="shared" si="30"/>
        <v>15</v>
      </c>
      <c r="C76" s="30">
        <f>(MATCH(1,INDEX('Shot Map'!$B$6:$V$26,0,B76),0)-1)*5+1</f>
        <v>6</v>
      </c>
      <c r="D76" s="30">
        <f>(MATCH(1,INDEX('Shot Map'!$B$6:$V$26,0,B76),0)+SUM(INDEX('Shot Map'!$B$6:$V$26,0,B76))-2)*5+5</f>
        <v>100</v>
      </c>
      <c r="E76" s="30">
        <f t="shared" si="31"/>
        <v>95</v>
      </c>
      <c r="F76" s="30">
        <f t="shared" si="32"/>
        <v>5</v>
      </c>
      <c r="G76" s="8">
        <f t="shared" si="33"/>
        <v>6</v>
      </c>
      <c r="H76" s="8">
        <f t="shared" si="34"/>
        <v>25</v>
      </c>
      <c r="I76" s="8">
        <f t="shared" si="35"/>
        <v>26</v>
      </c>
      <c r="J76" s="8">
        <f t="shared" si="36"/>
        <v>45</v>
      </c>
      <c r="K76" s="8">
        <f t="shared" si="37"/>
        <v>46</v>
      </c>
      <c r="L76" s="8">
        <f t="shared" si="38"/>
        <v>65</v>
      </c>
      <c r="M76" s="8">
        <f t="shared" si="39"/>
        <v>66</v>
      </c>
      <c r="N76" s="8">
        <f t="shared" si="40"/>
        <v>85</v>
      </c>
      <c r="O76" s="8">
        <f t="shared" si="41"/>
        <v>86</v>
      </c>
      <c r="P76" s="8">
        <f t="shared" si="42"/>
        <v>105</v>
      </c>
      <c r="Q76" s="8" t="str">
        <f t="shared" si="43"/>
        <v/>
      </c>
      <c r="R76" s="8" t="str">
        <f t="shared" si="44"/>
        <v/>
      </c>
    </row>
    <row r="77" spans="1:18" x14ac:dyDescent="0.25">
      <c r="A77" s="29">
        <v>73</v>
      </c>
      <c r="B77" s="30">
        <f t="shared" si="30"/>
        <v>15</v>
      </c>
      <c r="C77" s="30">
        <f>(MATCH(1,INDEX('Shot Map'!$B$6:$V$26,0,B77),0)-1)*5+1</f>
        <v>6</v>
      </c>
      <c r="D77" s="30">
        <f>(MATCH(1,INDEX('Shot Map'!$B$6:$V$26,0,B77),0)+SUM(INDEX('Shot Map'!$B$6:$V$26,0,B77))-2)*5+5</f>
        <v>100</v>
      </c>
      <c r="E77" s="30">
        <f t="shared" si="31"/>
        <v>95</v>
      </c>
      <c r="F77" s="30">
        <f t="shared" si="32"/>
        <v>5</v>
      </c>
      <c r="G77" s="8">
        <f t="shared" si="33"/>
        <v>6</v>
      </c>
      <c r="H77" s="8">
        <f t="shared" si="34"/>
        <v>25</v>
      </c>
      <c r="I77" s="8">
        <f t="shared" si="35"/>
        <v>26</v>
      </c>
      <c r="J77" s="8">
        <f t="shared" si="36"/>
        <v>45</v>
      </c>
      <c r="K77" s="8">
        <f t="shared" si="37"/>
        <v>46</v>
      </c>
      <c r="L77" s="8">
        <f t="shared" si="38"/>
        <v>65</v>
      </c>
      <c r="M77" s="8">
        <f t="shared" si="39"/>
        <v>66</v>
      </c>
      <c r="N77" s="8">
        <f t="shared" si="40"/>
        <v>85</v>
      </c>
      <c r="O77" s="8">
        <f t="shared" si="41"/>
        <v>86</v>
      </c>
      <c r="P77" s="8">
        <f t="shared" si="42"/>
        <v>105</v>
      </c>
      <c r="Q77" s="8" t="str">
        <f t="shared" si="43"/>
        <v/>
      </c>
      <c r="R77" s="8" t="str">
        <f t="shared" si="44"/>
        <v/>
      </c>
    </row>
    <row r="78" spans="1:18" x14ac:dyDescent="0.25">
      <c r="A78" s="29">
        <v>74</v>
      </c>
      <c r="B78" s="30">
        <f t="shared" si="30"/>
        <v>15</v>
      </c>
      <c r="C78" s="30">
        <f>(MATCH(1,INDEX('Shot Map'!$B$6:$V$26,0,B78),0)-1)*5+1</f>
        <v>6</v>
      </c>
      <c r="D78" s="30">
        <f>(MATCH(1,INDEX('Shot Map'!$B$6:$V$26,0,B78),0)+SUM(INDEX('Shot Map'!$B$6:$V$26,0,B78))-2)*5+5</f>
        <v>100</v>
      </c>
      <c r="E78" s="30">
        <f t="shared" si="31"/>
        <v>95</v>
      </c>
      <c r="F78" s="30">
        <f t="shared" si="32"/>
        <v>5</v>
      </c>
      <c r="G78" s="8">
        <f t="shared" si="33"/>
        <v>6</v>
      </c>
      <c r="H78" s="8">
        <f t="shared" si="34"/>
        <v>25</v>
      </c>
      <c r="I78" s="8">
        <f t="shared" si="35"/>
        <v>26</v>
      </c>
      <c r="J78" s="8">
        <f t="shared" si="36"/>
        <v>45</v>
      </c>
      <c r="K78" s="8">
        <f t="shared" si="37"/>
        <v>46</v>
      </c>
      <c r="L78" s="8">
        <f t="shared" si="38"/>
        <v>65</v>
      </c>
      <c r="M78" s="8">
        <f t="shared" si="39"/>
        <v>66</v>
      </c>
      <c r="N78" s="8">
        <f t="shared" si="40"/>
        <v>85</v>
      </c>
      <c r="O78" s="8">
        <f t="shared" si="41"/>
        <v>86</v>
      </c>
      <c r="P78" s="8">
        <f t="shared" si="42"/>
        <v>105</v>
      </c>
      <c r="Q78" s="8" t="str">
        <f t="shared" si="43"/>
        <v/>
      </c>
      <c r="R78" s="8" t="str">
        <f t="shared" si="44"/>
        <v/>
      </c>
    </row>
    <row r="79" spans="1:18" x14ac:dyDescent="0.25">
      <c r="A79" s="29">
        <v>75</v>
      </c>
      <c r="B79" s="30">
        <f t="shared" si="30"/>
        <v>15</v>
      </c>
      <c r="C79" s="30">
        <f>(MATCH(1,INDEX('Shot Map'!$B$6:$V$26,0,B79),0)-1)*5+1</f>
        <v>6</v>
      </c>
      <c r="D79" s="30">
        <f>(MATCH(1,INDEX('Shot Map'!$B$6:$V$26,0,B79),0)+SUM(INDEX('Shot Map'!$B$6:$V$26,0,B79))-2)*5+5</f>
        <v>100</v>
      </c>
      <c r="E79" s="30">
        <f t="shared" si="31"/>
        <v>95</v>
      </c>
      <c r="F79" s="30">
        <f t="shared" si="32"/>
        <v>5</v>
      </c>
      <c r="G79" s="8">
        <f t="shared" si="33"/>
        <v>6</v>
      </c>
      <c r="H79" s="8">
        <f t="shared" si="34"/>
        <v>25</v>
      </c>
      <c r="I79" s="8">
        <f t="shared" si="35"/>
        <v>26</v>
      </c>
      <c r="J79" s="8">
        <f t="shared" si="36"/>
        <v>45</v>
      </c>
      <c r="K79" s="8">
        <f t="shared" si="37"/>
        <v>46</v>
      </c>
      <c r="L79" s="8">
        <f t="shared" si="38"/>
        <v>65</v>
      </c>
      <c r="M79" s="8">
        <f t="shared" si="39"/>
        <v>66</v>
      </c>
      <c r="N79" s="8">
        <f t="shared" si="40"/>
        <v>85</v>
      </c>
      <c r="O79" s="8">
        <f t="shared" si="41"/>
        <v>86</v>
      </c>
      <c r="P79" s="8">
        <f t="shared" si="42"/>
        <v>105</v>
      </c>
      <c r="Q79" s="8" t="str">
        <f t="shared" si="43"/>
        <v/>
      </c>
      <c r="R79" s="8" t="str">
        <f t="shared" si="44"/>
        <v/>
      </c>
    </row>
    <row r="80" spans="1:18" x14ac:dyDescent="0.25">
      <c r="A80" s="29">
        <v>76</v>
      </c>
      <c r="B80" s="30">
        <f t="shared" si="30"/>
        <v>16</v>
      </c>
      <c r="C80" s="30">
        <f>(MATCH(1,INDEX('Shot Map'!$B$6:$V$26,0,B80),0)-1)*5+1</f>
        <v>11</v>
      </c>
      <c r="D80" s="30">
        <f>(MATCH(1,INDEX('Shot Map'!$B$6:$V$26,0,B80),0)+SUM(INDEX('Shot Map'!$B$6:$V$26,0,B80))-2)*5+5</f>
        <v>95</v>
      </c>
      <c r="E80" s="30">
        <f t="shared" si="31"/>
        <v>85</v>
      </c>
      <c r="F80" s="30">
        <f t="shared" si="32"/>
        <v>5</v>
      </c>
      <c r="G80" s="8">
        <f t="shared" si="33"/>
        <v>11</v>
      </c>
      <c r="H80" s="8">
        <f t="shared" si="34"/>
        <v>30</v>
      </c>
      <c r="I80" s="8">
        <f t="shared" si="35"/>
        <v>31</v>
      </c>
      <c r="J80" s="8">
        <f t="shared" si="36"/>
        <v>50</v>
      </c>
      <c r="K80" s="8">
        <f t="shared" si="37"/>
        <v>51</v>
      </c>
      <c r="L80" s="8">
        <f t="shared" si="38"/>
        <v>70</v>
      </c>
      <c r="M80" s="8">
        <f t="shared" si="39"/>
        <v>71</v>
      </c>
      <c r="N80" s="8">
        <f t="shared" si="40"/>
        <v>90</v>
      </c>
      <c r="O80" s="8">
        <f t="shared" si="41"/>
        <v>91</v>
      </c>
      <c r="P80" s="8">
        <f t="shared" si="42"/>
        <v>105</v>
      </c>
      <c r="Q80" s="8" t="str">
        <f t="shared" si="43"/>
        <v/>
      </c>
      <c r="R80" s="8" t="str">
        <f t="shared" si="44"/>
        <v/>
      </c>
    </row>
    <row r="81" spans="1:18" x14ac:dyDescent="0.25">
      <c r="A81" s="29">
        <v>77</v>
      </c>
      <c r="B81" s="30">
        <f t="shared" si="30"/>
        <v>16</v>
      </c>
      <c r="C81" s="30">
        <f>(MATCH(1,INDEX('Shot Map'!$B$6:$V$26,0,B81),0)-1)*5+1</f>
        <v>11</v>
      </c>
      <c r="D81" s="30">
        <f>(MATCH(1,INDEX('Shot Map'!$B$6:$V$26,0,B81),0)+SUM(INDEX('Shot Map'!$B$6:$V$26,0,B81))-2)*5+5</f>
        <v>95</v>
      </c>
      <c r="E81" s="30">
        <f t="shared" si="31"/>
        <v>85</v>
      </c>
      <c r="F81" s="30">
        <f t="shared" si="32"/>
        <v>5</v>
      </c>
      <c r="G81" s="8">
        <f t="shared" si="33"/>
        <v>11</v>
      </c>
      <c r="H81" s="8">
        <f t="shared" si="34"/>
        <v>30</v>
      </c>
      <c r="I81" s="8">
        <f t="shared" si="35"/>
        <v>31</v>
      </c>
      <c r="J81" s="8">
        <f t="shared" si="36"/>
        <v>50</v>
      </c>
      <c r="K81" s="8">
        <f t="shared" si="37"/>
        <v>51</v>
      </c>
      <c r="L81" s="8">
        <f t="shared" si="38"/>
        <v>70</v>
      </c>
      <c r="M81" s="8">
        <f t="shared" si="39"/>
        <v>71</v>
      </c>
      <c r="N81" s="8">
        <f t="shared" si="40"/>
        <v>90</v>
      </c>
      <c r="O81" s="8">
        <f t="shared" si="41"/>
        <v>91</v>
      </c>
      <c r="P81" s="8">
        <f t="shared" si="42"/>
        <v>105</v>
      </c>
      <c r="Q81" s="8" t="str">
        <f t="shared" si="43"/>
        <v/>
      </c>
      <c r="R81" s="8" t="str">
        <f t="shared" si="44"/>
        <v/>
      </c>
    </row>
    <row r="82" spans="1:18" x14ac:dyDescent="0.25">
      <c r="A82" s="29">
        <v>78</v>
      </c>
      <c r="B82" s="30">
        <f t="shared" si="30"/>
        <v>16</v>
      </c>
      <c r="C82" s="30">
        <f>(MATCH(1,INDEX('Shot Map'!$B$6:$V$26,0,B82),0)-1)*5+1</f>
        <v>11</v>
      </c>
      <c r="D82" s="30">
        <f>(MATCH(1,INDEX('Shot Map'!$B$6:$V$26,0,B82),0)+SUM(INDEX('Shot Map'!$B$6:$V$26,0,B82))-2)*5+5</f>
        <v>95</v>
      </c>
      <c r="E82" s="30">
        <f t="shared" si="31"/>
        <v>85</v>
      </c>
      <c r="F82" s="30">
        <f t="shared" si="32"/>
        <v>5</v>
      </c>
      <c r="G82" s="8">
        <f t="shared" si="33"/>
        <v>11</v>
      </c>
      <c r="H82" s="8">
        <f t="shared" si="34"/>
        <v>30</v>
      </c>
      <c r="I82" s="8">
        <f t="shared" si="35"/>
        <v>31</v>
      </c>
      <c r="J82" s="8">
        <f t="shared" si="36"/>
        <v>50</v>
      </c>
      <c r="K82" s="8">
        <f t="shared" si="37"/>
        <v>51</v>
      </c>
      <c r="L82" s="8">
        <f t="shared" si="38"/>
        <v>70</v>
      </c>
      <c r="M82" s="8">
        <f t="shared" si="39"/>
        <v>71</v>
      </c>
      <c r="N82" s="8">
        <f t="shared" si="40"/>
        <v>90</v>
      </c>
      <c r="O82" s="8">
        <f t="shared" si="41"/>
        <v>91</v>
      </c>
      <c r="P82" s="8">
        <f t="shared" si="42"/>
        <v>105</v>
      </c>
      <c r="Q82" s="8" t="str">
        <f t="shared" si="43"/>
        <v/>
      </c>
      <c r="R82" s="8" t="str">
        <f t="shared" si="44"/>
        <v/>
      </c>
    </row>
    <row r="83" spans="1:18" x14ac:dyDescent="0.25">
      <c r="A83" s="29">
        <v>79</v>
      </c>
      <c r="B83" s="30">
        <f t="shared" si="30"/>
        <v>16</v>
      </c>
      <c r="C83" s="30">
        <f>(MATCH(1,INDEX('Shot Map'!$B$6:$V$26,0,B83),0)-1)*5+1</f>
        <v>11</v>
      </c>
      <c r="D83" s="30">
        <f>(MATCH(1,INDEX('Shot Map'!$B$6:$V$26,0,B83),0)+SUM(INDEX('Shot Map'!$B$6:$V$26,0,B83))-2)*5+5</f>
        <v>95</v>
      </c>
      <c r="E83" s="30">
        <f t="shared" si="31"/>
        <v>85</v>
      </c>
      <c r="F83" s="30">
        <f t="shared" si="32"/>
        <v>5</v>
      </c>
      <c r="G83" s="8">
        <f t="shared" si="33"/>
        <v>11</v>
      </c>
      <c r="H83" s="8">
        <f t="shared" si="34"/>
        <v>30</v>
      </c>
      <c r="I83" s="8">
        <f t="shared" si="35"/>
        <v>31</v>
      </c>
      <c r="J83" s="8">
        <f t="shared" si="36"/>
        <v>50</v>
      </c>
      <c r="K83" s="8">
        <f t="shared" si="37"/>
        <v>51</v>
      </c>
      <c r="L83" s="8">
        <f t="shared" si="38"/>
        <v>70</v>
      </c>
      <c r="M83" s="8">
        <f t="shared" si="39"/>
        <v>71</v>
      </c>
      <c r="N83" s="8">
        <f t="shared" si="40"/>
        <v>90</v>
      </c>
      <c r="O83" s="8">
        <f t="shared" si="41"/>
        <v>91</v>
      </c>
      <c r="P83" s="8">
        <f t="shared" si="42"/>
        <v>105</v>
      </c>
      <c r="Q83" s="8" t="str">
        <f t="shared" si="43"/>
        <v/>
      </c>
      <c r="R83" s="8" t="str">
        <f t="shared" si="44"/>
        <v/>
      </c>
    </row>
    <row r="84" spans="1:18" x14ac:dyDescent="0.25">
      <c r="A84" s="29">
        <v>80</v>
      </c>
      <c r="B84" s="30">
        <f t="shared" si="30"/>
        <v>16</v>
      </c>
      <c r="C84" s="30">
        <f>(MATCH(1,INDEX('Shot Map'!$B$6:$V$26,0,B84),0)-1)*5+1</f>
        <v>11</v>
      </c>
      <c r="D84" s="30">
        <f>(MATCH(1,INDEX('Shot Map'!$B$6:$V$26,0,B84),0)+SUM(INDEX('Shot Map'!$B$6:$V$26,0,B84))-2)*5+5</f>
        <v>95</v>
      </c>
      <c r="E84" s="30">
        <f t="shared" si="31"/>
        <v>85</v>
      </c>
      <c r="F84" s="30">
        <f t="shared" si="32"/>
        <v>5</v>
      </c>
      <c r="G84" s="8">
        <f t="shared" si="33"/>
        <v>11</v>
      </c>
      <c r="H84" s="8">
        <f t="shared" si="34"/>
        <v>30</v>
      </c>
      <c r="I84" s="8">
        <f t="shared" si="35"/>
        <v>31</v>
      </c>
      <c r="J84" s="8">
        <f t="shared" si="36"/>
        <v>50</v>
      </c>
      <c r="K84" s="8">
        <f t="shared" si="37"/>
        <v>51</v>
      </c>
      <c r="L84" s="8">
        <f t="shared" si="38"/>
        <v>70</v>
      </c>
      <c r="M84" s="8">
        <f t="shared" si="39"/>
        <v>71</v>
      </c>
      <c r="N84" s="8">
        <f t="shared" si="40"/>
        <v>90</v>
      </c>
      <c r="O84" s="8">
        <f t="shared" si="41"/>
        <v>91</v>
      </c>
      <c r="P84" s="8">
        <f t="shared" si="42"/>
        <v>105</v>
      </c>
      <c r="Q84" s="8" t="str">
        <f t="shared" si="43"/>
        <v/>
      </c>
      <c r="R84" s="8" t="str">
        <f t="shared" si="44"/>
        <v/>
      </c>
    </row>
    <row r="85" spans="1:18" x14ac:dyDescent="0.25">
      <c r="A85" s="29">
        <v>81</v>
      </c>
      <c r="B85" s="30">
        <f t="shared" si="30"/>
        <v>17</v>
      </c>
      <c r="C85" s="30">
        <f>(MATCH(1,INDEX('Shot Map'!$B$6:$V$26,0,B85),0)-1)*5+1</f>
        <v>11</v>
      </c>
      <c r="D85" s="30">
        <f>(MATCH(1,INDEX('Shot Map'!$B$6:$V$26,0,B85),0)+SUM(INDEX('Shot Map'!$B$6:$V$26,0,B85))-2)*5+5</f>
        <v>95</v>
      </c>
      <c r="E85" s="30">
        <f t="shared" si="31"/>
        <v>85</v>
      </c>
      <c r="F85" s="30">
        <f t="shared" si="32"/>
        <v>5</v>
      </c>
      <c r="G85" s="8">
        <f t="shared" si="33"/>
        <v>11</v>
      </c>
      <c r="H85" s="8">
        <f t="shared" si="34"/>
        <v>30</v>
      </c>
      <c r="I85" s="8">
        <f t="shared" si="35"/>
        <v>31</v>
      </c>
      <c r="J85" s="8">
        <f t="shared" si="36"/>
        <v>50</v>
      </c>
      <c r="K85" s="8">
        <f t="shared" si="37"/>
        <v>51</v>
      </c>
      <c r="L85" s="8">
        <f t="shared" si="38"/>
        <v>70</v>
      </c>
      <c r="M85" s="8">
        <f t="shared" si="39"/>
        <v>71</v>
      </c>
      <c r="N85" s="8">
        <f t="shared" si="40"/>
        <v>90</v>
      </c>
      <c r="O85" s="8">
        <f t="shared" si="41"/>
        <v>91</v>
      </c>
      <c r="P85" s="8">
        <f t="shared" si="42"/>
        <v>105</v>
      </c>
      <c r="Q85" s="8" t="str">
        <f t="shared" si="43"/>
        <v/>
      </c>
      <c r="R85" s="8" t="str">
        <f t="shared" si="44"/>
        <v/>
      </c>
    </row>
    <row r="86" spans="1:18" x14ac:dyDescent="0.25">
      <c r="A86" s="29">
        <v>82</v>
      </c>
      <c r="B86" s="30">
        <f t="shared" si="30"/>
        <v>17</v>
      </c>
      <c r="C86" s="30">
        <f>(MATCH(1,INDEX('Shot Map'!$B$6:$V$26,0,B86),0)-1)*5+1</f>
        <v>11</v>
      </c>
      <c r="D86" s="30">
        <f>(MATCH(1,INDEX('Shot Map'!$B$6:$V$26,0,B86),0)+SUM(INDEX('Shot Map'!$B$6:$V$26,0,B86))-2)*5+5</f>
        <v>95</v>
      </c>
      <c r="E86" s="30">
        <f t="shared" si="31"/>
        <v>85</v>
      </c>
      <c r="F86" s="30">
        <f t="shared" si="32"/>
        <v>5</v>
      </c>
      <c r="G86" s="8">
        <f t="shared" si="33"/>
        <v>11</v>
      </c>
      <c r="H86" s="8">
        <f t="shared" si="34"/>
        <v>30</v>
      </c>
      <c r="I86" s="8">
        <f t="shared" si="35"/>
        <v>31</v>
      </c>
      <c r="J86" s="8">
        <f t="shared" si="36"/>
        <v>50</v>
      </c>
      <c r="K86" s="8">
        <f t="shared" si="37"/>
        <v>51</v>
      </c>
      <c r="L86" s="8">
        <f t="shared" si="38"/>
        <v>70</v>
      </c>
      <c r="M86" s="8">
        <f t="shared" si="39"/>
        <v>71</v>
      </c>
      <c r="N86" s="8">
        <f t="shared" si="40"/>
        <v>90</v>
      </c>
      <c r="O86" s="8">
        <f t="shared" si="41"/>
        <v>91</v>
      </c>
      <c r="P86" s="8">
        <f t="shared" si="42"/>
        <v>105</v>
      </c>
      <c r="Q86" s="8" t="str">
        <f t="shared" si="43"/>
        <v/>
      </c>
      <c r="R86" s="8" t="str">
        <f t="shared" si="44"/>
        <v/>
      </c>
    </row>
    <row r="87" spans="1:18" x14ac:dyDescent="0.25">
      <c r="A87" s="29">
        <v>83</v>
      </c>
      <c r="B87" s="30">
        <f t="shared" si="30"/>
        <v>17</v>
      </c>
      <c r="C87" s="30">
        <f>(MATCH(1,INDEX('Shot Map'!$B$6:$V$26,0,B87),0)-1)*5+1</f>
        <v>11</v>
      </c>
      <c r="D87" s="30">
        <f>(MATCH(1,INDEX('Shot Map'!$B$6:$V$26,0,B87),0)+SUM(INDEX('Shot Map'!$B$6:$V$26,0,B87))-2)*5+5</f>
        <v>95</v>
      </c>
      <c r="E87" s="30">
        <f t="shared" si="31"/>
        <v>85</v>
      </c>
      <c r="F87" s="30">
        <f t="shared" si="32"/>
        <v>5</v>
      </c>
      <c r="G87" s="8">
        <f t="shared" si="33"/>
        <v>11</v>
      </c>
      <c r="H87" s="8">
        <f t="shared" si="34"/>
        <v>30</v>
      </c>
      <c r="I87" s="8">
        <f t="shared" si="35"/>
        <v>31</v>
      </c>
      <c r="J87" s="8">
        <f t="shared" si="36"/>
        <v>50</v>
      </c>
      <c r="K87" s="8">
        <f t="shared" si="37"/>
        <v>51</v>
      </c>
      <c r="L87" s="8">
        <f t="shared" si="38"/>
        <v>70</v>
      </c>
      <c r="M87" s="8">
        <f t="shared" si="39"/>
        <v>71</v>
      </c>
      <c r="N87" s="8">
        <f t="shared" si="40"/>
        <v>90</v>
      </c>
      <c r="O87" s="8">
        <f t="shared" si="41"/>
        <v>91</v>
      </c>
      <c r="P87" s="8">
        <f t="shared" si="42"/>
        <v>105</v>
      </c>
      <c r="Q87" s="8" t="str">
        <f t="shared" si="43"/>
        <v/>
      </c>
      <c r="R87" s="8" t="str">
        <f t="shared" si="44"/>
        <v/>
      </c>
    </row>
    <row r="88" spans="1:18" x14ac:dyDescent="0.25">
      <c r="A88" s="29">
        <v>84</v>
      </c>
      <c r="B88" s="30">
        <f t="shared" si="30"/>
        <v>17</v>
      </c>
      <c r="C88" s="30">
        <f>(MATCH(1,INDEX('Shot Map'!$B$6:$V$26,0,B88),0)-1)*5+1</f>
        <v>11</v>
      </c>
      <c r="D88" s="30">
        <f>(MATCH(1,INDEX('Shot Map'!$B$6:$V$26,0,B88),0)+SUM(INDEX('Shot Map'!$B$6:$V$26,0,B88))-2)*5+5</f>
        <v>95</v>
      </c>
      <c r="E88" s="30">
        <f t="shared" si="31"/>
        <v>85</v>
      </c>
      <c r="F88" s="30">
        <f t="shared" si="32"/>
        <v>5</v>
      </c>
      <c r="G88" s="8">
        <f t="shared" si="33"/>
        <v>11</v>
      </c>
      <c r="H88" s="8">
        <f t="shared" si="34"/>
        <v>30</v>
      </c>
      <c r="I88" s="8">
        <f t="shared" si="35"/>
        <v>31</v>
      </c>
      <c r="J88" s="8">
        <f t="shared" si="36"/>
        <v>50</v>
      </c>
      <c r="K88" s="8">
        <f t="shared" si="37"/>
        <v>51</v>
      </c>
      <c r="L88" s="8">
        <f t="shared" si="38"/>
        <v>70</v>
      </c>
      <c r="M88" s="8">
        <f t="shared" si="39"/>
        <v>71</v>
      </c>
      <c r="N88" s="8">
        <f t="shared" si="40"/>
        <v>90</v>
      </c>
      <c r="O88" s="8">
        <f t="shared" si="41"/>
        <v>91</v>
      </c>
      <c r="P88" s="8">
        <f t="shared" si="42"/>
        <v>105</v>
      </c>
      <c r="Q88" s="8" t="str">
        <f t="shared" si="43"/>
        <v/>
      </c>
      <c r="R88" s="8" t="str">
        <f t="shared" si="44"/>
        <v/>
      </c>
    </row>
    <row r="89" spans="1:18" x14ac:dyDescent="0.25">
      <c r="A89" s="29">
        <v>85</v>
      </c>
      <c r="B89" s="30">
        <f t="shared" si="30"/>
        <v>17</v>
      </c>
      <c r="C89" s="30">
        <f>(MATCH(1,INDEX('Shot Map'!$B$6:$V$26,0,B89),0)-1)*5+1</f>
        <v>11</v>
      </c>
      <c r="D89" s="30">
        <f>(MATCH(1,INDEX('Shot Map'!$B$6:$V$26,0,B89),0)+SUM(INDEX('Shot Map'!$B$6:$V$26,0,B89))-2)*5+5</f>
        <v>95</v>
      </c>
      <c r="E89" s="30">
        <f t="shared" si="31"/>
        <v>85</v>
      </c>
      <c r="F89" s="30">
        <f t="shared" si="32"/>
        <v>5</v>
      </c>
      <c r="G89" s="8">
        <f t="shared" si="33"/>
        <v>11</v>
      </c>
      <c r="H89" s="8">
        <f t="shared" si="34"/>
        <v>30</v>
      </c>
      <c r="I89" s="8">
        <f t="shared" si="35"/>
        <v>31</v>
      </c>
      <c r="J89" s="8">
        <f t="shared" si="36"/>
        <v>50</v>
      </c>
      <c r="K89" s="8">
        <f t="shared" si="37"/>
        <v>51</v>
      </c>
      <c r="L89" s="8">
        <f t="shared" si="38"/>
        <v>70</v>
      </c>
      <c r="M89" s="8">
        <f t="shared" si="39"/>
        <v>71</v>
      </c>
      <c r="N89" s="8">
        <f t="shared" si="40"/>
        <v>90</v>
      </c>
      <c r="O89" s="8">
        <f t="shared" si="41"/>
        <v>91</v>
      </c>
      <c r="P89" s="8">
        <f t="shared" si="42"/>
        <v>105</v>
      </c>
      <c r="Q89" s="8" t="str">
        <f t="shared" si="43"/>
        <v/>
      </c>
      <c r="R89" s="8" t="str">
        <f t="shared" si="44"/>
        <v/>
      </c>
    </row>
    <row r="90" spans="1:18" x14ac:dyDescent="0.25">
      <c r="A90" s="29">
        <v>86</v>
      </c>
      <c r="B90" s="30">
        <f t="shared" si="30"/>
        <v>18</v>
      </c>
      <c r="C90" s="30">
        <f>(MATCH(1,INDEX('Shot Map'!$B$6:$V$26,0,B90),0)-1)*5+1</f>
        <v>16</v>
      </c>
      <c r="D90" s="30">
        <f>(MATCH(1,INDEX('Shot Map'!$B$6:$V$26,0,B90),0)+SUM(INDEX('Shot Map'!$B$6:$V$26,0,B90))-2)*5+5</f>
        <v>90</v>
      </c>
      <c r="E90" s="30">
        <f t="shared" si="31"/>
        <v>75</v>
      </c>
      <c r="F90" s="30">
        <f t="shared" si="32"/>
        <v>4</v>
      </c>
      <c r="G90" s="8">
        <f t="shared" si="33"/>
        <v>16</v>
      </c>
      <c r="H90" s="8">
        <f t="shared" si="34"/>
        <v>35</v>
      </c>
      <c r="I90" s="8">
        <f t="shared" si="35"/>
        <v>36</v>
      </c>
      <c r="J90" s="8">
        <f t="shared" si="36"/>
        <v>55</v>
      </c>
      <c r="K90" s="8">
        <f t="shared" si="37"/>
        <v>56</v>
      </c>
      <c r="L90" s="8">
        <f t="shared" si="38"/>
        <v>75</v>
      </c>
      <c r="M90" s="8">
        <f t="shared" si="39"/>
        <v>76</v>
      </c>
      <c r="N90" s="8">
        <f t="shared" si="40"/>
        <v>95</v>
      </c>
      <c r="O90" s="8" t="str">
        <f t="shared" si="41"/>
        <v/>
      </c>
      <c r="P90" s="8" t="str">
        <f t="shared" si="42"/>
        <v/>
      </c>
      <c r="Q90" s="8" t="str">
        <f t="shared" si="43"/>
        <v/>
      </c>
      <c r="R90" s="8" t="str">
        <f t="shared" si="44"/>
        <v/>
      </c>
    </row>
    <row r="91" spans="1:18" x14ac:dyDescent="0.25">
      <c r="A91" s="29">
        <v>87</v>
      </c>
      <c r="B91" s="30">
        <f t="shared" si="30"/>
        <v>18</v>
      </c>
      <c r="C91" s="30">
        <f>(MATCH(1,INDEX('Shot Map'!$B$6:$V$26,0,B91),0)-1)*5+1</f>
        <v>16</v>
      </c>
      <c r="D91" s="30">
        <f>(MATCH(1,INDEX('Shot Map'!$B$6:$V$26,0,B91),0)+SUM(INDEX('Shot Map'!$B$6:$V$26,0,B91))-2)*5+5</f>
        <v>90</v>
      </c>
      <c r="E91" s="30">
        <f t="shared" si="31"/>
        <v>75</v>
      </c>
      <c r="F91" s="30">
        <f t="shared" si="32"/>
        <v>4</v>
      </c>
      <c r="G91" s="8">
        <f t="shared" si="33"/>
        <v>16</v>
      </c>
      <c r="H91" s="8">
        <f t="shared" si="34"/>
        <v>35</v>
      </c>
      <c r="I91" s="8">
        <f t="shared" si="35"/>
        <v>36</v>
      </c>
      <c r="J91" s="8">
        <f t="shared" si="36"/>
        <v>55</v>
      </c>
      <c r="K91" s="8">
        <f t="shared" si="37"/>
        <v>56</v>
      </c>
      <c r="L91" s="8">
        <f t="shared" si="38"/>
        <v>75</v>
      </c>
      <c r="M91" s="8">
        <f t="shared" si="39"/>
        <v>76</v>
      </c>
      <c r="N91" s="8">
        <f t="shared" si="40"/>
        <v>95</v>
      </c>
      <c r="O91" s="8" t="str">
        <f t="shared" si="41"/>
        <v/>
      </c>
      <c r="P91" s="8" t="str">
        <f t="shared" si="42"/>
        <v/>
      </c>
      <c r="Q91" s="8" t="str">
        <f t="shared" si="43"/>
        <v/>
      </c>
      <c r="R91" s="8" t="str">
        <f t="shared" si="44"/>
        <v/>
      </c>
    </row>
    <row r="92" spans="1:18" x14ac:dyDescent="0.25">
      <c r="A92" s="29">
        <v>88</v>
      </c>
      <c r="B92" s="30">
        <f t="shared" si="30"/>
        <v>18</v>
      </c>
      <c r="C92" s="30">
        <f>(MATCH(1,INDEX('Shot Map'!$B$6:$V$26,0,B92),0)-1)*5+1</f>
        <v>16</v>
      </c>
      <c r="D92" s="30">
        <f>(MATCH(1,INDEX('Shot Map'!$B$6:$V$26,0,B92),0)+SUM(INDEX('Shot Map'!$B$6:$V$26,0,B92))-2)*5+5</f>
        <v>90</v>
      </c>
      <c r="E92" s="30">
        <f t="shared" si="31"/>
        <v>75</v>
      </c>
      <c r="F92" s="30">
        <f t="shared" si="32"/>
        <v>4</v>
      </c>
      <c r="G92" s="8">
        <f t="shared" si="33"/>
        <v>16</v>
      </c>
      <c r="H92" s="8">
        <f t="shared" si="34"/>
        <v>35</v>
      </c>
      <c r="I92" s="8">
        <f t="shared" si="35"/>
        <v>36</v>
      </c>
      <c r="J92" s="8">
        <f t="shared" si="36"/>
        <v>55</v>
      </c>
      <c r="K92" s="8">
        <f t="shared" si="37"/>
        <v>56</v>
      </c>
      <c r="L92" s="8">
        <f t="shared" si="38"/>
        <v>75</v>
      </c>
      <c r="M92" s="8">
        <f t="shared" si="39"/>
        <v>76</v>
      </c>
      <c r="N92" s="8">
        <f t="shared" si="40"/>
        <v>95</v>
      </c>
      <c r="O92" s="8" t="str">
        <f t="shared" si="41"/>
        <v/>
      </c>
      <c r="P92" s="8" t="str">
        <f t="shared" si="42"/>
        <v/>
      </c>
      <c r="Q92" s="8" t="str">
        <f t="shared" si="43"/>
        <v/>
      </c>
      <c r="R92" s="8" t="str">
        <f t="shared" si="44"/>
        <v/>
      </c>
    </row>
    <row r="93" spans="1:18" x14ac:dyDescent="0.25">
      <c r="A93" s="29">
        <v>89</v>
      </c>
      <c r="B93" s="30">
        <f t="shared" si="30"/>
        <v>18</v>
      </c>
      <c r="C93" s="30">
        <f>(MATCH(1,INDEX('Shot Map'!$B$6:$V$26,0,B93),0)-1)*5+1</f>
        <v>16</v>
      </c>
      <c r="D93" s="30">
        <f>(MATCH(1,INDEX('Shot Map'!$B$6:$V$26,0,B93),0)+SUM(INDEX('Shot Map'!$B$6:$V$26,0,B93))-2)*5+5</f>
        <v>90</v>
      </c>
      <c r="E93" s="30">
        <f t="shared" si="31"/>
        <v>75</v>
      </c>
      <c r="F93" s="30">
        <f t="shared" si="32"/>
        <v>4</v>
      </c>
      <c r="G93" s="8">
        <f t="shared" si="33"/>
        <v>16</v>
      </c>
      <c r="H93" s="8">
        <f t="shared" si="34"/>
        <v>35</v>
      </c>
      <c r="I93" s="8">
        <f t="shared" si="35"/>
        <v>36</v>
      </c>
      <c r="J93" s="8">
        <f t="shared" si="36"/>
        <v>55</v>
      </c>
      <c r="K93" s="8">
        <f t="shared" si="37"/>
        <v>56</v>
      </c>
      <c r="L93" s="8">
        <f t="shared" si="38"/>
        <v>75</v>
      </c>
      <c r="M93" s="8">
        <f t="shared" si="39"/>
        <v>76</v>
      </c>
      <c r="N93" s="8">
        <f t="shared" si="40"/>
        <v>95</v>
      </c>
      <c r="O93" s="8" t="str">
        <f t="shared" si="41"/>
        <v/>
      </c>
      <c r="P93" s="8" t="str">
        <f t="shared" si="42"/>
        <v/>
      </c>
      <c r="Q93" s="8" t="str">
        <f t="shared" si="43"/>
        <v/>
      </c>
      <c r="R93" s="8" t="str">
        <f t="shared" si="44"/>
        <v/>
      </c>
    </row>
    <row r="94" spans="1:18" x14ac:dyDescent="0.25">
      <c r="A94" s="29">
        <v>90</v>
      </c>
      <c r="B94" s="30">
        <f t="shared" si="30"/>
        <v>18</v>
      </c>
      <c r="C94" s="30">
        <f>(MATCH(1,INDEX('Shot Map'!$B$6:$V$26,0,B94),0)-1)*5+1</f>
        <v>16</v>
      </c>
      <c r="D94" s="30">
        <f>(MATCH(1,INDEX('Shot Map'!$B$6:$V$26,0,B94),0)+SUM(INDEX('Shot Map'!$B$6:$V$26,0,B94))-2)*5+5</f>
        <v>90</v>
      </c>
      <c r="E94" s="30">
        <f t="shared" si="31"/>
        <v>75</v>
      </c>
      <c r="F94" s="30">
        <f t="shared" si="32"/>
        <v>4</v>
      </c>
      <c r="G94" s="8">
        <f t="shared" si="33"/>
        <v>16</v>
      </c>
      <c r="H94" s="8">
        <f t="shared" si="34"/>
        <v>35</v>
      </c>
      <c r="I94" s="8">
        <f t="shared" si="35"/>
        <v>36</v>
      </c>
      <c r="J94" s="8">
        <f t="shared" si="36"/>
        <v>55</v>
      </c>
      <c r="K94" s="8">
        <f t="shared" si="37"/>
        <v>56</v>
      </c>
      <c r="L94" s="8">
        <f t="shared" si="38"/>
        <v>75</v>
      </c>
      <c r="M94" s="8">
        <f t="shared" si="39"/>
        <v>76</v>
      </c>
      <c r="N94" s="8">
        <f t="shared" si="40"/>
        <v>95</v>
      </c>
      <c r="O94" s="8" t="str">
        <f t="shared" si="41"/>
        <v/>
      </c>
      <c r="P94" s="8" t="str">
        <f t="shared" si="42"/>
        <v/>
      </c>
      <c r="Q94" s="8" t="str">
        <f t="shared" si="43"/>
        <v/>
      </c>
      <c r="R94" s="8" t="str">
        <f t="shared" si="44"/>
        <v/>
      </c>
    </row>
    <row r="95" spans="1:18" x14ac:dyDescent="0.25">
      <c r="A95" s="29">
        <v>91</v>
      </c>
      <c r="B95" s="30">
        <f t="shared" si="30"/>
        <v>19</v>
      </c>
      <c r="C95" s="30">
        <f>(MATCH(1,INDEX('Shot Map'!$B$6:$V$26,0,B95),0)-1)*5+1</f>
        <v>21</v>
      </c>
      <c r="D95" s="30">
        <f>(MATCH(1,INDEX('Shot Map'!$B$6:$V$26,0,B95),0)+SUM(INDEX('Shot Map'!$B$6:$V$26,0,B95))-2)*5+5</f>
        <v>85</v>
      </c>
      <c r="E95" s="30">
        <f t="shared" si="31"/>
        <v>65</v>
      </c>
      <c r="F95" s="30">
        <f t="shared" si="32"/>
        <v>4</v>
      </c>
      <c r="G95" s="8">
        <f t="shared" si="33"/>
        <v>21</v>
      </c>
      <c r="H95" s="8">
        <f t="shared" si="34"/>
        <v>40</v>
      </c>
      <c r="I95" s="8">
        <f t="shared" si="35"/>
        <v>41</v>
      </c>
      <c r="J95" s="8">
        <f t="shared" si="36"/>
        <v>60</v>
      </c>
      <c r="K95" s="8">
        <f t="shared" si="37"/>
        <v>61</v>
      </c>
      <c r="L95" s="8">
        <f t="shared" si="38"/>
        <v>80</v>
      </c>
      <c r="M95" s="8">
        <f t="shared" si="39"/>
        <v>81</v>
      </c>
      <c r="N95" s="8">
        <f t="shared" si="40"/>
        <v>100</v>
      </c>
      <c r="O95" s="8" t="str">
        <f t="shared" si="41"/>
        <v/>
      </c>
      <c r="P95" s="8" t="str">
        <f t="shared" si="42"/>
        <v/>
      </c>
      <c r="Q95" s="8" t="str">
        <f t="shared" si="43"/>
        <v/>
      </c>
      <c r="R95" s="8" t="str">
        <f t="shared" si="44"/>
        <v/>
      </c>
    </row>
    <row r="96" spans="1:18" x14ac:dyDescent="0.25">
      <c r="A96" s="29">
        <v>92</v>
      </c>
      <c r="B96" s="30">
        <f t="shared" si="30"/>
        <v>19</v>
      </c>
      <c r="C96" s="30">
        <f>(MATCH(1,INDEX('Shot Map'!$B$6:$V$26,0,B96),0)-1)*5+1</f>
        <v>21</v>
      </c>
      <c r="D96" s="30">
        <f>(MATCH(1,INDEX('Shot Map'!$B$6:$V$26,0,B96),0)+SUM(INDEX('Shot Map'!$B$6:$V$26,0,B96))-2)*5+5</f>
        <v>85</v>
      </c>
      <c r="E96" s="30">
        <f t="shared" si="31"/>
        <v>65</v>
      </c>
      <c r="F96" s="30">
        <f t="shared" si="32"/>
        <v>4</v>
      </c>
      <c r="G96" s="8">
        <f t="shared" si="33"/>
        <v>21</v>
      </c>
      <c r="H96" s="8">
        <f t="shared" si="34"/>
        <v>40</v>
      </c>
      <c r="I96" s="8">
        <f t="shared" si="35"/>
        <v>41</v>
      </c>
      <c r="J96" s="8">
        <f t="shared" si="36"/>
        <v>60</v>
      </c>
      <c r="K96" s="8">
        <f t="shared" si="37"/>
        <v>61</v>
      </c>
      <c r="L96" s="8">
        <f t="shared" si="38"/>
        <v>80</v>
      </c>
      <c r="M96" s="8">
        <f t="shared" si="39"/>
        <v>81</v>
      </c>
      <c r="N96" s="8">
        <f t="shared" si="40"/>
        <v>100</v>
      </c>
      <c r="O96" s="8" t="str">
        <f t="shared" si="41"/>
        <v/>
      </c>
      <c r="P96" s="8" t="str">
        <f t="shared" si="42"/>
        <v/>
      </c>
      <c r="Q96" s="8" t="str">
        <f t="shared" si="43"/>
        <v/>
      </c>
      <c r="R96" s="8" t="str">
        <f t="shared" si="44"/>
        <v/>
      </c>
    </row>
    <row r="97" spans="1:18" x14ac:dyDescent="0.25">
      <c r="A97" s="29">
        <v>93</v>
      </c>
      <c r="B97" s="30">
        <f t="shared" si="30"/>
        <v>19</v>
      </c>
      <c r="C97" s="30">
        <f>(MATCH(1,INDEX('Shot Map'!$B$6:$V$26,0,B97),0)-1)*5+1</f>
        <v>21</v>
      </c>
      <c r="D97" s="30">
        <f>(MATCH(1,INDEX('Shot Map'!$B$6:$V$26,0,B97),0)+SUM(INDEX('Shot Map'!$B$6:$V$26,0,B97))-2)*5+5</f>
        <v>85</v>
      </c>
      <c r="E97" s="30">
        <f t="shared" si="31"/>
        <v>65</v>
      </c>
      <c r="F97" s="30">
        <f t="shared" si="32"/>
        <v>4</v>
      </c>
      <c r="G97" s="8">
        <f t="shared" si="33"/>
        <v>21</v>
      </c>
      <c r="H97" s="8">
        <f t="shared" si="34"/>
        <v>40</v>
      </c>
      <c r="I97" s="8">
        <f t="shared" si="35"/>
        <v>41</v>
      </c>
      <c r="J97" s="8">
        <f t="shared" si="36"/>
        <v>60</v>
      </c>
      <c r="K97" s="8">
        <f t="shared" si="37"/>
        <v>61</v>
      </c>
      <c r="L97" s="8">
        <f t="shared" si="38"/>
        <v>80</v>
      </c>
      <c r="M97" s="8">
        <f t="shared" si="39"/>
        <v>81</v>
      </c>
      <c r="N97" s="8">
        <f t="shared" si="40"/>
        <v>100</v>
      </c>
      <c r="O97" s="8" t="str">
        <f t="shared" si="41"/>
        <v/>
      </c>
      <c r="P97" s="8" t="str">
        <f t="shared" si="42"/>
        <v/>
      </c>
      <c r="Q97" s="8" t="str">
        <f t="shared" si="43"/>
        <v/>
      </c>
      <c r="R97" s="8" t="str">
        <f t="shared" si="44"/>
        <v/>
      </c>
    </row>
    <row r="98" spans="1:18" x14ac:dyDescent="0.25">
      <c r="A98" s="29">
        <v>94</v>
      </c>
      <c r="B98" s="30">
        <f t="shared" si="30"/>
        <v>19</v>
      </c>
      <c r="C98" s="30">
        <f>(MATCH(1,INDEX('Shot Map'!$B$6:$V$26,0,B98),0)-1)*5+1</f>
        <v>21</v>
      </c>
      <c r="D98" s="30">
        <f>(MATCH(1,INDEX('Shot Map'!$B$6:$V$26,0,B98),0)+SUM(INDEX('Shot Map'!$B$6:$V$26,0,B98))-2)*5+5</f>
        <v>85</v>
      </c>
      <c r="E98" s="30">
        <f t="shared" si="31"/>
        <v>65</v>
      </c>
      <c r="F98" s="30">
        <f t="shared" si="32"/>
        <v>4</v>
      </c>
      <c r="G98" s="8">
        <f t="shared" si="33"/>
        <v>21</v>
      </c>
      <c r="H98" s="8">
        <f t="shared" si="34"/>
        <v>40</v>
      </c>
      <c r="I98" s="8">
        <f t="shared" si="35"/>
        <v>41</v>
      </c>
      <c r="J98" s="8">
        <f t="shared" si="36"/>
        <v>60</v>
      </c>
      <c r="K98" s="8">
        <f t="shared" si="37"/>
        <v>61</v>
      </c>
      <c r="L98" s="8">
        <f t="shared" si="38"/>
        <v>80</v>
      </c>
      <c r="M98" s="8">
        <f t="shared" si="39"/>
        <v>81</v>
      </c>
      <c r="N98" s="8">
        <f t="shared" si="40"/>
        <v>100</v>
      </c>
      <c r="O98" s="8" t="str">
        <f t="shared" si="41"/>
        <v/>
      </c>
      <c r="P98" s="8" t="str">
        <f t="shared" si="42"/>
        <v/>
      </c>
      <c r="Q98" s="8" t="str">
        <f t="shared" si="43"/>
        <v/>
      </c>
      <c r="R98" s="8" t="str">
        <f t="shared" si="44"/>
        <v/>
      </c>
    </row>
    <row r="99" spans="1:18" x14ac:dyDescent="0.25">
      <c r="A99" s="29">
        <v>95</v>
      </c>
      <c r="B99" s="30">
        <f t="shared" si="30"/>
        <v>19</v>
      </c>
      <c r="C99" s="30">
        <f>(MATCH(1,INDEX('Shot Map'!$B$6:$V$26,0,B99),0)-1)*5+1</f>
        <v>21</v>
      </c>
      <c r="D99" s="30">
        <f>(MATCH(1,INDEX('Shot Map'!$B$6:$V$26,0,B99),0)+SUM(INDEX('Shot Map'!$B$6:$V$26,0,B99))-2)*5+5</f>
        <v>85</v>
      </c>
      <c r="E99" s="30">
        <f t="shared" si="31"/>
        <v>65</v>
      </c>
      <c r="F99" s="30">
        <f t="shared" si="32"/>
        <v>4</v>
      </c>
      <c r="G99" s="8">
        <f t="shared" si="33"/>
        <v>21</v>
      </c>
      <c r="H99" s="8">
        <f t="shared" si="34"/>
        <v>40</v>
      </c>
      <c r="I99" s="8">
        <f t="shared" si="35"/>
        <v>41</v>
      </c>
      <c r="J99" s="8">
        <f t="shared" si="36"/>
        <v>60</v>
      </c>
      <c r="K99" s="8">
        <f t="shared" si="37"/>
        <v>61</v>
      </c>
      <c r="L99" s="8">
        <f t="shared" si="38"/>
        <v>80</v>
      </c>
      <c r="M99" s="8">
        <f t="shared" si="39"/>
        <v>81</v>
      </c>
      <c r="N99" s="8">
        <f t="shared" si="40"/>
        <v>100</v>
      </c>
      <c r="O99" s="8" t="str">
        <f t="shared" si="41"/>
        <v/>
      </c>
      <c r="P99" s="8" t="str">
        <f t="shared" si="42"/>
        <v/>
      </c>
      <c r="Q99" s="8" t="str">
        <f t="shared" si="43"/>
        <v/>
      </c>
      <c r="R99" s="8" t="str">
        <f t="shared" si="44"/>
        <v/>
      </c>
    </row>
    <row r="100" spans="1:18" x14ac:dyDescent="0.25">
      <c r="A100" s="29">
        <v>96</v>
      </c>
      <c r="B100" s="30">
        <f t="shared" si="30"/>
        <v>20</v>
      </c>
      <c r="C100" s="30">
        <f>(MATCH(1,INDEX('Shot Map'!$B$6:$V$26,0,B100),0)-1)*5+1</f>
        <v>31</v>
      </c>
      <c r="D100" s="30">
        <f>(MATCH(1,INDEX('Shot Map'!$B$6:$V$26,0,B100),0)+SUM(INDEX('Shot Map'!$B$6:$V$26,0,B100))-2)*5+5</f>
        <v>75</v>
      </c>
      <c r="E100" s="30">
        <f t="shared" si="31"/>
        <v>45</v>
      </c>
      <c r="F100" s="30">
        <f t="shared" si="32"/>
        <v>3</v>
      </c>
      <c r="G100" s="8">
        <f t="shared" si="33"/>
        <v>31</v>
      </c>
      <c r="H100" s="8">
        <f t="shared" si="34"/>
        <v>50</v>
      </c>
      <c r="I100" s="8">
        <f t="shared" si="35"/>
        <v>51</v>
      </c>
      <c r="J100" s="8">
        <f t="shared" si="36"/>
        <v>70</v>
      </c>
      <c r="K100" s="8">
        <f t="shared" si="37"/>
        <v>71</v>
      </c>
      <c r="L100" s="8">
        <f t="shared" si="38"/>
        <v>90</v>
      </c>
      <c r="M100" s="8" t="str">
        <f t="shared" si="39"/>
        <v/>
      </c>
      <c r="N100" s="8" t="str">
        <f t="shared" si="40"/>
        <v/>
      </c>
      <c r="O100" s="8" t="str">
        <f t="shared" si="41"/>
        <v/>
      </c>
      <c r="P100" s="8" t="str">
        <f t="shared" si="42"/>
        <v/>
      </c>
      <c r="Q100" s="8" t="str">
        <f t="shared" si="43"/>
        <v/>
      </c>
      <c r="R100" s="8" t="str">
        <f t="shared" si="44"/>
        <v/>
      </c>
    </row>
    <row r="101" spans="1:18" x14ac:dyDescent="0.25">
      <c r="A101" s="29">
        <v>97</v>
      </c>
      <c r="B101" s="30">
        <f t="shared" ref="B101:B109" si="45">CEILING(A101/5,1)</f>
        <v>20</v>
      </c>
      <c r="C101" s="30">
        <f>(MATCH(1,INDEX('Shot Map'!$B$6:$V$26,0,B101),0)-1)*5+1</f>
        <v>31</v>
      </c>
      <c r="D101" s="30">
        <f>(MATCH(1,INDEX('Shot Map'!$B$6:$V$26,0,B101),0)+SUM(INDEX('Shot Map'!$B$6:$V$26,0,B101))-2)*5+5</f>
        <v>75</v>
      </c>
      <c r="E101" s="30">
        <f t="shared" ref="E101:E109" si="46">D101-C101+1</f>
        <v>45</v>
      </c>
      <c r="F101" s="30">
        <f t="shared" ref="F101:F109" si="47">ROUNDUP(E101/$B$2,0)</f>
        <v>3</v>
      </c>
      <c r="G101" s="8">
        <f t="shared" ref="G101:G109" si="48">IF($F101&gt;=1,$C101+(1-1)*$B$2,"")</f>
        <v>31</v>
      </c>
      <c r="H101" s="8">
        <f t="shared" ref="H101:H109" si="49">IF(G101="","",MIN(G101+$B$2-1,105))</f>
        <v>50</v>
      </c>
      <c r="I101" s="8">
        <f t="shared" ref="I101:I109" si="50">IF($F101&gt;=2,$C101+(2-1)*$B$2,"")</f>
        <v>51</v>
      </c>
      <c r="J101" s="8">
        <f t="shared" ref="J101:J109" si="51">IF(I101="","",MIN(I101+$B$2-1,105))</f>
        <v>70</v>
      </c>
      <c r="K101" s="8">
        <f t="shared" ref="K101:K109" si="52">IF($F101&gt;=3,$C101+(3-1)*$B$2,"")</f>
        <v>71</v>
      </c>
      <c r="L101" s="8">
        <f t="shared" ref="L101:L109" si="53">IF(K101="","",MIN(K101+$B$2-1,105))</f>
        <v>90</v>
      </c>
      <c r="M101" s="8" t="str">
        <f t="shared" ref="M101:M109" si="54">IF($F101&gt;=4,$C101+(4-1)*$B$2,"")</f>
        <v/>
      </c>
      <c r="N101" s="8" t="str">
        <f t="shared" ref="N101:N109" si="55">IF(M101="","",MIN(M101+$B$2-1,105))</f>
        <v/>
      </c>
      <c r="O101" s="8" t="str">
        <f t="shared" ref="O101:O109" si="56">IF($F101&gt;=5,$C101+(5-1)*$B$2,"")</f>
        <v/>
      </c>
      <c r="P101" s="8" t="str">
        <f t="shared" ref="P101:P109" si="57">IF(O101="","",MIN(O101+$B$2-1,105))</f>
        <v/>
      </c>
      <c r="Q101" s="8" t="str">
        <f t="shared" ref="Q101:Q109" si="58">IF($F101&gt;=6,$C101+(6-1)*$B$2,"")</f>
        <v/>
      </c>
      <c r="R101" s="8" t="str">
        <f t="shared" ref="R101:R109" si="59">IF(Q101="","",MIN(Q101+$B$2-1,105))</f>
        <v/>
      </c>
    </row>
    <row r="102" spans="1:18" x14ac:dyDescent="0.25">
      <c r="A102" s="29">
        <v>98</v>
      </c>
      <c r="B102" s="30">
        <f t="shared" si="45"/>
        <v>20</v>
      </c>
      <c r="C102" s="30">
        <f>(MATCH(1,INDEX('Shot Map'!$B$6:$V$26,0,B102),0)-1)*5+1</f>
        <v>31</v>
      </c>
      <c r="D102" s="30">
        <f>(MATCH(1,INDEX('Shot Map'!$B$6:$V$26,0,B102),0)+SUM(INDEX('Shot Map'!$B$6:$V$26,0,B102))-2)*5+5</f>
        <v>75</v>
      </c>
      <c r="E102" s="30">
        <f t="shared" si="46"/>
        <v>45</v>
      </c>
      <c r="F102" s="30">
        <f t="shared" si="47"/>
        <v>3</v>
      </c>
      <c r="G102" s="8">
        <f t="shared" si="48"/>
        <v>31</v>
      </c>
      <c r="H102" s="8">
        <f t="shared" si="49"/>
        <v>50</v>
      </c>
      <c r="I102" s="8">
        <f t="shared" si="50"/>
        <v>51</v>
      </c>
      <c r="J102" s="8">
        <f t="shared" si="51"/>
        <v>70</v>
      </c>
      <c r="K102" s="8">
        <f t="shared" si="52"/>
        <v>71</v>
      </c>
      <c r="L102" s="8">
        <f t="shared" si="53"/>
        <v>90</v>
      </c>
      <c r="M102" s="8" t="str">
        <f t="shared" si="54"/>
        <v/>
      </c>
      <c r="N102" s="8" t="str">
        <f t="shared" si="55"/>
        <v/>
      </c>
      <c r="O102" s="8" t="str">
        <f t="shared" si="56"/>
        <v/>
      </c>
      <c r="P102" s="8" t="str">
        <f t="shared" si="57"/>
        <v/>
      </c>
      <c r="Q102" s="8" t="str">
        <f t="shared" si="58"/>
        <v/>
      </c>
      <c r="R102" s="8" t="str">
        <f t="shared" si="59"/>
        <v/>
      </c>
    </row>
    <row r="103" spans="1:18" x14ac:dyDescent="0.25">
      <c r="A103" s="29">
        <v>99</v>
      </c>
      <c r="B103" s="30">
        <f t="shared" si="45"/>
        <v>20</v>
      </c>
      <c r="C103" s="30">
        <f>(MATCH(1,INDEX('Shot Map'!$B$6:$V$26,0,B103),0)-1)*5+1</f>
        <v>31</v>
      </c>
      <c r="D103" s="30">
        <f>(MATCH(1,INDEX('Shot Map'!$B$6:$V$26,0,B103),0)+SUM(INDEX('Shot Map'!$B$6:$V$26,0,B103))-2)*5+5</f>
        <v>75</v>
      </c>
      <c r="E103" s="30">
        <f t="shared" si="46"/>
        <v>45</v>
      </c>
      <c r="F103" s="30">
        <f t="shared" si="47"/>
        <v>3</v>
      </c>
      <c r="G103" s="8">
        <f t="shared" si="48"/>
        <v>31</v>
      </c>
      <c r="H103" s="8">
        <f t="shared" si="49"/>
        <v>50</v>
      </c>
      <c r="I103" s="8">
        <f t="shared" si="50"/>
        <v>51</v>
      </c>
      <c r="J103" s="8">
        <f t="shared" si="51"/>
        <v>70</v>
      </c>
      <c r="K103" s="8">
        <f t="shared" si="52"/>
        <v>71</v>
      </c>
      <c r="L103" s="8">
        <f t="shared" si="53"/>
        <v>90</v>
      </c>
      <c r="M103" s="8" t="str">
        <f t="shared" si="54"/>
        <v/>
      </c>
      <c r="N103" s="8" t="str">
        <f t="shared" si="55"/>
        <v/>
      </c>
      <c r="O103" s="8" t="str">
        <f t="shared" si="56"/>
        <v/>
      </c>
      <c r="P103" s="8" t="str">
        <f t="shared" si="57"/>
        <v/>
      </c>
      <c r="Q103" s="8" t="str">
        <f t="shared" si="58"/>
        <v/>
      </c>
      <c r="R103" s="8" t="str">
        <f t="shared" si="59"/>
        <v/>
      </c>
    </row>
    <row r="104" spans="1:18" x14ac:dyDescent="0.25">
      <c r="A104" s="29">
        <v>100</v>
      </c>
      <c r="B104" s="30">
        <f t="shared" si="45"/>
        <v>20</v>
      </c>
      <c r="C104" s="30">
        <f>(MATCH(1,INDEX('Shot Map'!$B$6:$V$26,0,B104),0)-1)*5+1</f>
        <v>31</v>
      </c>
      <c r="D104" s="30">
        <f>(MATCH(1,INDEX('Shot Map'!$B$6:$V$26,0,B104),0)+SUM(INDEX('Shot Map'!$B$6:$V$26,0,B104))-2)*5+5</f>
        <v>75</v>
      </c>
      <c r="E104" s="30">
        <f t="shared" si="46"/>
        <v>45</v>
      </c>
      <c r="F104" s="30">
        <f t="shared" si="47"/>
        <v>3</v>
      </c>
      <c r="G104" s="8">
        <f t="shared" si="48"/>
        <v>31</v>
      </c>
      <c r="H104" s="8">
        <f t="shared" si="49"/>
        <v>50</v>
      </c>
      <c r="I104" s="8">
        <f t="shared" si="50"/>
        <v>51</v>
      </c>
      <c r="J104" s="8">
        <f t="shared" si="51"/>
        <v>70</v>
      </c>
      <c r="K104" s="8">
        <f t="shared" si="52"/>
        <v>71</v>
      </c>
      <c r="L104" s="8">
        <f t="shared" si="53"/>
        <v>90</v>
      </c>
      <c r="M104" s="8" t="str">
        <f t="shared" si="54"/>
        <v/>
      </c>
      <c r="N104" s="8" t="str">
        <f t="shared" si="55"/>
        <v/>
      </c>
      <c r="O104" s="8" t="str">
        <f t="shared" si="56"/>
        <v/>
      </c>
      <c r="P104" s="8" t="str">
        <f t="shared" si="57"/>
        <v/>
      </c>
      <c r="Q104" s="8" t="str">
        <f t="shared" si="58"/>
        <v/>
      </c>
      <c r="R104" s="8" t="str">
        <f t="shared" si="59"/>
        <v/>
      </c>
    </row>
    <row r="105" spans="1:18" x14ac:dyDescent="0.25">
      <c r="A105" s="29">
        <v>101</v>
      </c>
      <c r="B105" s="30">
        <f t="shared" si="45"/>
        <v>21</v>
      </c>
      <c r="C105" s="30">
        <f>(MATCH(1,INDEX('Shot Map'!$B$6:$V$26,0,B105),0)-1)*5+1</f>
        <v>46</v>
      </c>
      <c r="D105" s="30">
        <f>(MATCH(1,INDEX('Shot Map'!$B$6:$V$26,0,B105),0)+SUM(INDEX('Shot Map'!$B$6:$V$26,0,B105))-2)*5+5</f>
        <v>60</v>
      </c>
      <c r="E105" s="30">
        <f t="shared" si="46"/>
        <v>15</v>
      </c>
      <c r="F105" s="30">
        <f t="shared" si="47"/>
        <v>1</v>
      </c>
      <c r="G105" s="8">
        <f t="shared" si="48"/>
        <v>46</v>
      </c>
      <c r="H105" s="8">
        <f t="shared" si="49"/>
        <v>65</v>
      </c>
      <c r="I105" s="8" t="str">
        <f t="shared" si="50"/>
        <v/>
      </c>
      <c r="J105" s="8" t="str">
        <f t="shared" si="51"/>
        <v/>
      </c>
      <c r="K105" s="8" t="str">
        <f t="shared" si="52"/>
        <v/>
      </c>
      <c r="L105" s="8" t="str">
        <f t="shared" si="53"/>
        <v/>
      </c>
      <c r="M105" s="8" t="str">
        <f t="shared" si="54"/>
        <v/>
      </c>
      <c r="N105" s="8" t="str">
        <f t="shared" si="55"/>
        <v/>
      </c>
      <c r="O105" s="8" t="str">
        <f t="shared" si="56"/>
        <v/>
      </c>
      <c r="P105" s="8" t="str">
        <f t="shared" si="57"/>
        <v/>
      </c>
      <c r="Q105" s="8" t="str">
        <f t="shared" si="58"/>
        <v/>
      </c>
      <c r="R105" s="8" t="str">
        <f t="shared" si="59"/>
        <v/>
      </c>
    </row>
    <row r="106" spans="1:18" x14ac:dyDescent="0.25">
      <c r="A106" s="29">
        <v>102</v>
      </c>
      <c r="B106" s="30">
        <f t="shared" si="45"/>
        <v>21</v>
      </c>
      <c r="C106" s="30">
        <f>(MATCH(1,INDEX('Shot Map'!$B$6:$V$26,0,B106),0)-1)*5+1</f>
        <v>46</v>
      </c>
      <c r="D106" s="30">
        <f>(MATCH(1,INDEX('Shot Map'!$B$6:$V$26,0,B106),0)+SUM(INDEX('Shot Map'!$B$6:$V$26,0,B106))-2)*5+5</f>
        <v>60</v>
      </c>
      <c r="E106" s="30">
        <f t="shared" si="46"/>
        <v>15</v>
      </c>
      <c r="F106" s="30">
        <f t="shared" si="47"/>
        <v>1</v>
      </c>
      <c r="G106" s="8">
        <f t="shared" si="48"/>
        <v>46</v>
      </c>
      <c r="H106" s="8">
        <f t="shared" si="49"/>
        <v>65</v>
      </c>
      <c r="I106" s="8" t="str">
        <f t="shared" si="50"/>
        <v/>
      </c>
      <c r="J106" s="8" t="str">
        <f t="shared" si="51"/>
        <v/>
      </c>
      <c r="K106" s="8" t="str">
        <f t="shared" si="52"/>
        <v/>
      </c>
      <c r="L106" s="8" t="str">
        <f t="shared" si="53"/>
        <v/>
      </c>
      <c r="M106" s="8" t="str">
        <f t="shared" si="54"/>
        <v/>
      </c>
      <c r="N106" s="8" t="str">
        <f t="shared" si="55"/>
        <v/>
      </c>
      <c r="O106" s="8" t="str">
        <f t="shared" si="56"/>
        <v/>
      </c>
      <c r="P106" s="8" t="str">
        <f t="shared" si="57"/>
        <v/>
      </c>
      <c r="Q106" s="8" t="str">
        <f t="shared" si="58"/>
        <v/>
      </c>
      <c r="R106" s="8" t="str">
        <f t="shared" si="59"/>
        <v/>
      </c>
    </row>
    <row r="107" spans="1:18" x14ac:dyDescent="0.25">
      <c r="A107" s="29">
        <v>103</v>
      </c>
      <c r="B107" s="30">
        <f t="shared" si="45"/>
        <v>21</v>
      </c>
      <c r="C107" s="30">
        <f>(MATCH(1,INDEX('Shot Map'!$B$6:$V$26,0,B107),0)-1)*5+1</f>
        <v>46</v>
      </c>
      <c r="D107" s="30">
        <f>(MATCH(1,INDEX('Shot Map'!$B$6:$V$26,0,B107),0)+SUM(INDEX('Shot Map'!$B$6:$V$26,0,B107))-2)*5+5</f>
        <v>60</v>
      </c>
      <c r="E107" s="30">
        <f t="shared" si="46"/>
        <v>15</v>
      </c>
      <c r="F107" s="30">
        <f t="shared" si="47"/>
        <v>1</v>
      </c>
      <c r="G107" s="8">
        <f t="shared" si="48"/>
        <v>46</v>
      </c>
      <c r="H107" s="8">
        <f t="shared" si="49"/>
        <v>65</v>
      </c>
      <c r="I107" s="8" t="str">
        <f t="shared" si="50"/>
        <v/>
      </c>
      <c r="J107" s="8" t="str">
        <f t="shared" si="51"/>
        <v/>
      </c>
      <c r="K107" s="8" t="str">
        <f t="shared" si="52"/>
        <v/>
      </c>
      <c r="L107" s="8" t="str">
        <f t="shared" si="53"/>
        <v/>
      </c>
      <c r="M107" s="8" t="str">
        <f t="shared" si="54"/>
        <v/>
      </c>
      <c r="N107" s="8" t="str">
        <f t="shared" si="55"/>
        <v/>
      </c>
      <c r="O107" s="8" t="str">
        <f t="shared" si="56"/>
        <v/>
      </c>
      <c r="P107" s="8" t="str">
        <f t="shared" si="57"/>
        <v/>
      </c>
      <c r="Q107" s="8" t="str">
        <f t="shared" si="58"/>
        <v/>
      </c>
      <c r="R107" s="8" t="str">
        <f t="shared" si="59"/>
        <v/>
      </c>
    </row>
    <row r="108" spans="1:18" x14ac:dyDescent="0.25">
      <c r="A108" s="29">
        <v>104</v>
      </c>
      <c r="B108" s="30">
        <f t="shared" si="45"/>
        <v>21</v>
      </c>
      <c r="C108" s="30">
        <f>(MATCH(1,INDEX('Shot Map'!$B$6:$V$26,0,B108),0)-1)*5+1</f>
        <v>46</v>
      </c>
      <c r="D108" s="30">
        <f>(MATCH(1,INDEX('Shot Map'!$B$6:$V$26,0,B108),0)+SUM(INDEX('Shot Map'!$B$6:$V$26,0,B108))-2)*5+5</f>
        <v>60</v>
      </c>
      <c r="E108" s="30">
        <f t="shared" si="46"/>
        <v>15</v>
      </c>
      <c r="F108" s="30">
        <f t="shared" si="47"/>
        <v>1</v>
      </c>
      <c r="G108" s="8">
        <f t="shared" si="48"/>
        <v>46</v>
      </c>
      <c r="H108" s="8">
        <f t="shared" si="49"/>
        <v>65</v>
      </c>
      <c r="I108" s="8" t="str">
        <f t="shared" si="50"/>
        <v/>
      </c>
      <c r="J108" s="8" t="str">
        <f t="shared" si="51"/>
        <v/>
      </c>
      <c r="K108" s="8" t="str">
        <f t="shared" si="52"/>
        <v/>
      </c>
      <c r="L108" s="8" t="str">
        <f t="shared" si="53"/>
        <v/>
      </c>
      <c r="M108" s="8" t="str">
        <f t="shared" si="54"/>
        <v/>
      </c>
      <c r="N108" s="8" t="str">
        <f t="shared" si="55"/>
        <v/>
      </c>
      <c r="O108" s="8" t="str">
        <f t="shared" si="56"/>
        <v/>
      </c>
      <c r="P108" s="8" t="str">
        <f t="shared" si="57"/>
        <v/>
      </c>
      <c r="Q108" s="8" t="str">
        <f t="shared" si="58"/>
        <v/>
      </c>
      <c r="R108" s="8" t="str">
        <f t="shared" si="59"/>
        <v/>
      </c>
    </row>
    <row r="109" spans="1:18" x14ac:dyDescent="0.25">
      <c r="A109" s="29">
        <v>105</v>
      </c>
      <c r="B109" s="30">
        <f t="shared" si="45"/>
        <v>21</v>
      </c>
      <c r="C109" s="30">
        <f>(MATCH(1,INDEX('Shot Map'!$B$6:$V$26,0,B109),0)-1)*5+1</f>
        <v>46</v>
      </c>
      <c r="D109" s="30">
        <f>(MATCH(1,INDEX('Shot Map'!$B$6:$V$26,0,B109),0)+SUM(INDEX('Shot Map'!$B$6:$V$26,0,B109))-2)*5+5</f>
        <v>60</v>
      </c>
      <c r="E109" s="30">
        <f t="shared" si="46"/>
        <v>15</v>
      </c>
      <c r="F109" s="30">
        <f t="shared" si="47"/>
        <v>1</v>
      </c>
      <c r="G109" s="8">
        <f t="shared" si="48"/>
        <v>46</v>
      </c>
      <c r="H109" s="8">
        <f t="shared" si="49"/>
        <v>65</v>
      </c>
      <c r="I109" s="8" t="str">
        <f t="shared" si="50"/>
        <v/>
      </c>
      <c r="J109" s="8" t="str">
        <f t="shared" si="51"/>
        <v/>
      </c>
      <c r="K109" s="8" t="str">
        <f t="shared" si="52"/>
        <v/>
      </c>
      <c r="L109" s="8" t="str">
        <f t="shared" si="53"/>
        <v/>
      </c>
      <c r="M109" s="8" t="str">
        <f t="shared" si="54"/>
        <v/>
      </c>
      <c r="N109" s="8" t="str">
        <f t="shared" si="55"/>
        <v/>
      </c>
      <c r="O109" s="8" t="str">
        <f t="shared" si="56"/>
        <v/>
      </c>
      <c r="P109" s="8" t="str">
        <f t="shared" si="57"/>
        <v/>
      </c>
      <c r="Q109" s="8" t="str">
        <f t="shared" si="58"/>
        <v/>
      </c>
      <c r="R109" s="8" t="str">
        <f t="shared" si="59"/>
        <v/>
      </c>
    </row>
    <row r="111" spans="1:18" x14ac:dyDescent="0.25">
      <c r="A111" s="5" t="s">
        <v>99</v>
      </c>
      <c r="F111" s="5">
        <f>SUM(F5:F109)</f>
        <v>460</v>
      </c>
    </row>
    <row r="112" spans="1:18" x14ac:dyDescent="0.25">
      <c r="A112" s="5" t="s">
        <v>100</v>
      </c>
      <c r="F112" s="5">
        <f>MAX(F5:F109)</f>
        <v>6</v>
      </c>
    </row>
    <row r="113" spans="1:6" x14ac:dyDescent="0.25">
      <c r="A113" s="5" t="s">
        <v>101</v>
      </c>
      <c r="F113" s="5">
        <f>SUM(E5:E109)</f>
        <v>8125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DB107"/>
  <sheetViews>
    <sheetView showGridLines="0" tabSelected="1" zoomScaleNormal="100" workbookViewId="0">
      <pane xSplit="1" ySplit="2" topLeftCell="B55" activePane="bottomRight" state="frozen"/>
      <selection activeCell="AA33" sqref="AA33"/>
      <selection pane="topRight" activeCell="AA33" sqref="AA33"/>
      <selection pane="bottomLeft" activeCell="AA33" sqref="AA33"/>
      <selection pane="bottomRight" activeCell="AA33" sqref="AA33"/>
    </sheetView>
  </sheetViews>
  <sheetFormatPr defaultColWidth="8.7109375" defaultRowHeight="15" x14ac:dyDescent="0.25"/>
  <cols>
    <col min="2" max="106" width="5.5703125" customWidth="1"/>
  </cols>
  <sheetData>
    <row r="1" spans="1:106" ht="15.75" x14ac:dyDescent="0.25">
      <c r="A1" s="9" t="s">
        <v>77</v>
      </c>
    </row>
    <row r="2" spans="1:106" x14ac:dyDescent="0.25">
      <c r="A2" s="4" t="s">
        <v>78</v>
      </c>
      <c r="B2" s="16">
        <v>1</v>
      </c>
      <c r="C2" s="16">
        <v>2</v>
      </c>
      <c r="D2" s="16">
        <v>3</v>
      </c>
      <c r="E2" s="16">
        <v>4</v>
      </c>
      <c r="F2" s="16">
        <v>5</v>
      </c>
      <c r="G2" s="16">
        <v>6</v>
      </c>
      <c r="H2" s="16">
        <v>7</v>
      </c>
      <c r="I2" s="16">
        <v>8</v>
      </c>
      <c r="J2" s="16">
        <v>9</v>
      </c>
      <c r="K2" s="16">
        <v>10</v>
      </c>
      <c r="L2" s="16">
        <v>11</v>
      </c>
      <c r="M2" s="16">
        <v>12</v>
      </c>
      <c r="N2" s="16">
        <v>13</v>
      </c>
      <c r="O2" s="16">
        <v>14</v>
      </c>
      <c r="P2" s="16">
        <v>15</v>
      </c>
      <c r="Q2" s="16">
        <v>16</v>
      </c>
      <c r="R2" s="16">
        <v>17</v>
      </c>
      <c r="S2" s="16">
        <v>18</v>
      </c>
      <c r="T2" s="16">
        <v>19</v>
      </c>
      <c r="U2" s="16">
        <v>20</v>
      </c>
      <c r="V2" s="16">
        <v>21</v>
      </c>
      <c r="W2" s="16">
        <v>22</v>
      </c>
      <c r="X2" s="16">
        <v>23</v>
      </c>
      <c r="Y2" s="16">
        <v>24</v>
      </c>
      <c r="Z2" s="16">
        <v>25</v>
      </c>
      <c r="AA2" s="16">
        <v>26</v>
      </c>
      <c r="AB2" s="16">
        <v>27</v>
      </c>
      <c r="AC2" s="16">
        <v>28</v>
      </c>
      <c r="AD2" s="16">
        <v>29</v>
      </c>
      <c r="AE2" s="16">
        <v>30</v>
      </c>
      <c r="AF2" s="16">
        <v>31</v>
      </c>
      <c r="AG2" s="16">
        <v>32</v>
      </c>
      <c r="AH2" s="16">
        <v>33</v>
      </c>
      <c r="AI2" s="16">
        <v>34</v>
      </c>
      <c r="AJ2" s="16">
        <v>35</v>
      </c>
      <c r="AK2" s="16">
        <v>36</v>
      </c>
      <c r="AL2" s="16">
        <v>37</v>
      </c>
      <c r="AM2" s="16">
        <v>38</v>
      </c>
      <c r="AN2" s="16">
        <v>39</v>
      </c>
      <c r="AO2" s="16">
        <v>40</v>
      </c>
      <c r="AP2" s="16">
        <v>41</v>
      </c>
      <c r="AQ2" s="16">
        <v>42</v>
      </c>
      <c r="AR2" s="16">
        <v>43</v>
      </c>
      <c r="AS2" s="16">
        <v>44</v>
      </c>
      <c r="AT2" s="16">
        <v>45</v>
      </c>
      <c r="AU2" s="16">
        <v>46</v>
      </c>
      <c r="AV2" s="16">
        <v>47</v>
      </c>
      <c r="AW2" s="16">
        <v>48</v>
      </c>
      <c r="AX2" s="16">
        <v>49</v>
      </c>
      <c r="AY2" s="16">
        <v>50</v>
      </c>
      <c r="AZ2" s="16">
        <v>51</v>
      </c>
      <c r="BA2" s="16">
        <v>52</v>
      </c>
      <c r="BB2" s="16">
        <v>53</v>
      </c>
      <c r="BC2" s="16">
        <v>54</v>
      </c>
      <c r="BD2" s="16">
        <v>55</v>
      </c>
      <c r="BE2" s="16">
        <v>56</v>
      </c>
      <c r="BF2" s="16">
        <v>57</v>
      </c>
      <c r="BG2" s="16">
        <v>58</v>
      </c>
      <c r="BH2" s="16">
        <v>59</v>
      </c>
      <c r="BI2" s="16">
        <v>60</v>
      </c>
      <c r="BJ2" s="16">
        <v>61</v>
      </c>
      <c r="BK2" s="16">
        <v>62</v>
      </c>
      <c r="BL2" s="16">
        <v>63</v>
      </c>
      <c r="BM2" s="16">
        <v>64</v>
      </c>
      <c r="BN2" s="16">
        <v>65</v>
      </c>
      <c r="BO2" s="16">
        <v>66</v>
      </c>
      <c r="BP2" s="16">
        <v>67</v>
      </c>
      <c r="BQ2" s="16">
        <v>68</v>
      </c>
      <c r="BR2" s="16">
        <v>69</v>
      </c>
      <c r="BS2" s="16">
        <v>70</v>
      </c>
      <c r="BT2" s="16">
        <v>71</v>
      </c>
      <c r="BU2" s="16">
        <v>72</v>
      </c>
      <c r="BV2" s="16">
        <v>73</v>
      </c>
      <c r="BW2" s="16">
        <v>74</v>
      </c>
      <c r="BX2" s="16">
        <v>75</v>
      </c>
      <c r="BY2" s="16">
        <v>76</v>
      </c>
      <c r="BZ2" s="16">
        <v>77</v>
      </c>
      <c r="CA2" s="16">
        <v>78</v>
      </c>
      <c r="CB2" s="16">
        <v>79</v>
      </c>
      <c r="CC2" s="16">
        <v>80</v>
      </c>
      <c r="CD2" s="16">
        <v>81</v>
      </c>
      <c r="CE2" s="16">
        <v>82</v>
      </c>
      <c r="CF2" s="16">
        <v>83</v>
      </c>
      <c r="CG2" s="16">
        <v>84</v>
      </c>
      <c r="CH2" s="16">
        <v>85</v>
      </c>
      <c r="CI2" s="16">
        <v>86</v>
      </c>
      <c r="CJ2" s="16">
        <v>87</v>
      </c>
      <c r="CK2" s="16">
        <v>88</v>
      </c>
      <c r="CL2" s="16">
        <v>89</v>
      </c>
      <c r="CM2" s="16">
        <v>90</v>
      </c>
      <c r="CN2" s="16">
        <v>91</v>
      </c>
      <c r="CO2" s="16">
        <v>92</v>
      </c>
      <c r="CP2" s="16">
        <v>93</v>
      </c>
      <c r="CQ2" s="16">
        <v>94</v>
      </c>
      <c r="CR2" s="16">
        <v>95</v>
      </c>
      <c r="CS2" s="16">
        <v>96</v>
      </c>
      <c r="CT2" s="16">
        <v>97</v>
      </c>
      <c r="CU2" s="16">
        <v>98</v>
      </c>
      <c r="CV2" s="16">
        <v>99</v>
      </c>
      <c r="CW2" s="16">
        <v>100</v>
      </c>
      <c r="CX2" s="16">
        <v>101</v>
      </c>
      <c r="CY2" s="16">
        <v>102</v>
      </c>
      <c r="CZ2" s="16">
        <v>103</v>
      </c>
      <c r="DA2" s="16">
        <v>104</v>
      </c>
      <c r="DB2" s="16">
        <v>105</v>
      </c>
    </row>
    <row r="3" spans="1:106" ht="12.75" customHeight="1" x14ac:dyDescent="0.25">
      <c r="A3" s="17">
        <v>1</v>
      </c>
      <c r="B3" s="18" t="str">
        <f>IF(INDEX('Shot Map'!$B$6:$V$26,CEILING($A3/5,1),CEILING(B$2/5,1))=1,INDEX('Serial Reference'!$A$8:$W$8,1,FLOOR(($A3-1)/23,1)+1)&amp;INDEX('Serial Reference'!$A$8:$W$8,1,MOD($A3-1,23)+1)&amp;TEXT(B$2+FLOOR((B$2-1)/9,1),"000"),"")</f>
        <v/>
      </c>
      <c r="C3" s="19" t="str">
        <f>IF(INDEX('Shot Map'!$B$6:$V$26,CEILING($A3/5,1),CEILING(C$2/5,1))=1,INDEX('Serial Reference'!$A$8:$W$8,1,FLOOR(($A3-1)/23,1)+1)&amp;INDEX('Serial Reference'!$A$8:$W$8,1,MOD($A3-1,23)+1)&amp;TEXT(C$2+FLOOR((C$2-1)/9,1),"000"),"")</f>
        <v/>
      </c>
      <c r="D3" s="19" t="str">
        <f>IF(INDEX('Shot Map'!$B$6:$V$26,CEILING($A3/5,1),CEILING(D$2/5,1))=1,INDEX('Serial Reference'!$A$8:$W$8,1,FLOOR(($A3-1)/23,1)+1)&amp;INDEX('Serial Reference'!$A$8:$W$8,1,MOD($A3-1,23)+1)&amp;TEXT(D$2+FLOOR((D$2-1)/9,1),"000"),"")</f>
        <v/>
      </c>
      <c r="E3" s="19" t="str">
        <f>IF(INDEX('Shot Map'!$B$6:$V$26,CEILING($A3/5,1),CEILING(E$2/5,1))=1,INDEX('Serial Reference'!$A$8:$W$8,1,FLOOR(($A3-1)/23,1)+1)&amp;INDEX('Serial Reference'!$A$8:$W$8,1,MOD($A3-1,23)+1)&amp;TEXT(E$2+FLOOR((E$2-1)/9,1),"000"),"")</f>
        <v/>
      </c>
      <c r="F3" s="20" t="str">
        <f>IF(INDEX('Shot Map'!$B$6:$V$26,CEILING($A3/5,1),CEILING(F$2/5,1))=1,INDEX('Serial Reference'!$A$8:$W$8,1,FLOOR(($A3-1)/23,1)+1)&amp;INDEX('Serial Reference'!$A$8:$W$8,1,MOD($A3-1,23)+1)&amp;TEXT(F$2+FLOOR((F$2-1)/9,1),"000"),"")</f>
        <v/>
      </c>
      <c r="G3" s="18" t="str">
        <f>IF(INDEX('Shot Map'!$B$6:$V$26,CEILING($A3/5,1),CEILING(G$2/5,1))=1,INDEX('Serial Reference'!$A$8:$W$8,1,FLOOR(($A3-1)/23,1)+1)&amp;INDEX('Serial Reference'!$A$8:$W$8,1,MOD($A3-1,23)+1)&amp;TEXT(G$2+FLOOR((G$2-1)/9,1),"000"),"")</f>
        <v/>
      </c>
      <c r="H3" s="19" t="str">
        <f>IF(INDEX('Shot Map'!$B$6:$V$26,CEILING($A3/5,1),CEILING(H$2/5,1))=1,INDEX('Serial Reference'!$A$8:$W$8,1,FLOOR(($A3-1)/23,1)+1)&amp;INDEX('Serial Reference'!$A$8:$W$8,1,MOD($A3-1,23)+1)&amp;TEXT(H$2+FLOOR((H$2-1)/9,1),"000"),"")</f>
        <v/>
      </c>
      <c r="I3" s="19" t="str">
        <f>IF(INDEX('Shot Map'!$B$6:$V$26,CEILING($A3/5,1),CEILING(I$2/5,1))=1,INDEX('Serial Reference'!$A$8:$W$8,1,FLOOR(($A3-1)/23,1)+1)&amp;INDEX('Serial Reference'!$A$8:$W$8,1,MOD($A3-1,23)+1)&amp;TEXT(I$2+FLOOR((I$2-1)/9,1),"000"),"")</f>
        <v/>
      </c>
      <c r="J3" s="19" t="str">
        <f>IF(INDEX('Shot Map'!$B$6:$V$26,CEILING($A3/5,1),CEILING(J$2/5,1))=1,INDEX('Serial Reference'!$A$8:$W$8,1,FLOOR(($A3-1)/23,1)+1)&amp;INDEX('Serial Reference'!$A$8:$W$8,1,MOD($A3-1,23)+1)&amp;TEXT(J$2+FLOOR((J$2-1)/9,1),"000"),"")</f>
        <v/>
      </c>
      <c r="K3" s="20" t="str">
        <f>IF(INDEX('Shot Map'!$B$6:$V$26,CEILING($A3/5,1),CEILING(K$2/5,1))=1,INDEX('Serial Reference'!$A$8:$W$8,1,FLOOR(($A3-1)/23,1)+1)&amp;INDEX('Serial Reference'!$A$8:$W$8,1,MOD($A3-1,23)+1)&amp;TEXT(K$2+FLOOR((K$2-1)/9,1),"000"),"")</f>
        <v/>
      </c>
      <c r="L3" s="18" t="str">
        <f>IF(INDEX('Shot Map'!$B$6:$V$26,CEILING($A3/5,1),CEILING(L$2/5,1))=1,INDEX('Serial Reference'!$A$8:$W$8,1,FLOOR(($A3-1)/23,1)+1)&amp;INDEX('Serial Reference'!$A$8:$W$8,1,MOD($A3-1,23)+1)&amp;TEXT(L$2+FLOOR((L$2-1)/9,1),"000"),"")</f>
        <v/>
      </c>
      <c r="M3" s="19" t="str">
        <f>IF(INDEX('Shot Map'!$B$6:$V$26,CEILING($A3/5,1),CEILING(M$2/5,1))=1,INDEX('Serial Reference'!$A$8:$W$8,1,FLOOR(($A3-1)/23,1)+1)&amp;INDEX('Serial Reference'!$A$8:$W$8,1,MOD($A3-1,23)+1)&amp;TEXT(M$2+FLOOR((M$2-1)/9,1),"000"),"")</f>
        <v/>
      </c>
      <c r="N3" s="19" t="str">
        <f>IF(INDEX('Shot Map'!$B$6:$V$26,CEILING($A3/5,1),CEILING(N$2/5,1))=1,INDEX('Serial Reference'!$A$8:$W$8,1,FLOOR(($A3-1)/23,1)+1)&amp;INDEX('Serial Reference'!$A$8:$W$8,1,MOD($A3-1,23)+1)&amp;TEXT(N$2+FLOOR((N$2-1)/9,1),"000"),"")</f>
        <v/>
      </c>
      <c r="O3" s="19" t="str">
        <f>IF(INDEX('Shot Map'!$B$6:$V$26,CEILING($A3/5,1),CEILING(O$2/5,1))=1,INDEX('Serial Reference'!$A$8:$W$8,1,FLOOR(($A3-1)/23,1)+1)&amp;INDEX('Serial Reference'!$A$8:$W$8,1,MOD($A3-1,23)+1)&amp;TEXT(O$2+FLOOR((O$2-1)/9,1),"000"),"")</f>
        <v/>
      </c>
      <c r="P3" s="20" t="str">
        <f>IF(INDEX('Shot Map'!$B$6:$V$26,CEILING($A3/5,1),CEILING(P$2/5,1))=1,INDEX('Serial Reference'!$A$8:$W$8,1,FLOOR(($A3-1)/23,1)+1)&amp;INDEX('Serial Reference'!$A$8:$W$8,1,MOD($A3-1,23)+1)&amp;TEXT(P$2+FLOOR((P$2-1)/9,1),"000"),"")</f>
        <v/>
      </c>
      <c r="Q3" s="18" t="str">
        <f>IF(INDEX('Shot Map'!$B$6:$V$26,CEILING($A3/5,1),CEILING(Q$2/5,1))=1,INDEX('Serial Reference'!$A$8:$W$8,1,FLOOR(($A3-1)/23,1)+1)&amp;INDEX('Serial Reference'!$A$8:$W$8,1,MOD($A3-1,23)+1)&amp;TEXT(Q$2+FLOOR((Q$2-1)/9,1),"000"),"")</f>
        <v/>
      </c>
      <c r="R3" s="19" t="str">
        <f>IF(INDEX('Shot Map'!$B$6:$V$26,CEILING($A3/5,1),CEILING(R$2/5,1))=1,INDEX('Serial Reference'!$A$8:$W$8,1,FLOOR(($A3-1)/23,1)+1)&amp;INDEX('Serial Reference'!$A$8:$W$8,1,MOD($A3-1,23)+1)&amp;TEXT(R$2+FLOOR((R$2-1)/9,1),"000"),"")</f>
        <v/>
      </c>
      <c r="S3" s="19" t="str">
        <f>IF(INDEX('Shot Map'!$B$6:$V$26,CEILING($A3/5,1),CEILING(S$2/5,1))=1,INDEX('Serial Reference'!$A$8:$W$8,1,FLOOR(($A3-1)/23,1)+1)&amp;INDEX('Serial Reference'!$A$8:$W$8,1,MOD($A3-1,23)+1)&amp;TEXT(S$2+FLOOR((S$2-1)/9,1),"000"),"")</f>
        <v/>
      </c>
      <c r="T3" s="19" t="str">
        <f>IF(INDEX('Shot Map'!$B$6:$V$26,CEILING($A3/5,1),CEILING(T$2/5,1))=1,INDEX('Serial Reference'!$A$8:$W$8,1,FLOOR(($A3-1)/23,1)+1)&amp;INDEX('Serial Reference'!$A$8:$W$8,1,MOD($A3-1,23)+1)&amp;TEXT(T$2+FLOOR((T$2-1)/9,1),"000"),"")</f>
        <v/>
      </c>
      <c r="U3" s="20" t="str">
        <f>IF(INDEX('Shot Map'!$B$6:$V$26,CEILING($A3/5,1),CEILING(U$2/5,1))=1,INDEX('Serial Reference'!$A$8:$W$8,1,FLOOR(($A3-1)/23,1)+1)&amp;INDEX('Serial Reference'!$A$8:$W$8,1,MOD($A3-1,23)+1)&amp;TEXT(U$2+FLOOR((U$2-1)/9,1),"000"),"")</f>
        <v/>
      </c>
      <c r="V3" s="18" t="str">
        <f>IF(INDEX('Shot Map'!$B$6:$V$26,CEILING($A3/5,1),CEILING(V$2/5,1))=1,INDEX('Serial Reference'!$A$8:$W$8,1,FLOOR(($A3-1)/23,1)+1)&amp;INDEX('Serial Reference'!$A$8:$W$8,1,MOD($A3-1,23)+1)&amp;TEXT(V$2+FLOOR((V$2-1)/9,1),"000"),"")</f>
        <v/>
      </c>
      <c r="W3" s="19" t="str">
        <f>IF(INDEX('Shot Map'!$B$6:$V$26,CEILING($A3/5,1),CEILING(W$2/5,1))=1,INDEX('Serial Reference'!$A$8:$W$8,1,FLOOR(($A3-1)/23,1)+1)&amp;INDEX('Serial Reference'!$A$8:$W$8,1,MOD($A3-1,23)+1)&amp;TEXT(W$2+FLOOR((W$2-1)/9,1),"000"),"")</f>
        <v/>
      </c>
      <c r="X3" s="19" t="str">
        <f>IF(INDEX('Shot Map'!$B$6:$V$26,CEILING($A3/5,1),CEILING(X$2/5,1))=1,INDEX('Serial Reference'!$A$8:$W$8,1,FLOOR(($A3-1)/23,1)+1)&amp;INDEX('Serial Reference'!$A$8:$W$8,1,MOD($A3-1,23)+1)&amp;TEXT(X$2+FLOOR((X$2-1)/9,1),"000"),"")</f>
        <v/>
      </c>
      <c r="Y3" s="19" t="str">
        <f>IF(INDEX('Shot Map'!$B$6:$V$26,CEILING($A3/5,1),CEILING(Y$2/5,1))=1,INDEX('Serial Reference'!$A$8:$W$8,1,FLOOR(($A3-1)/23,1)+1)&amp;INDEX('Serial Reference'!$A$8:$W$8,1,MOD($A3-1,23)+1)&amp;TEXT(Y$2+FLOOR((Y$2-1)/9,1),"000"),"")</f>
        <v/>
      </c>
      <c r="Z3" s="20" t="str">
        <f>IF(INDEX('Shot Map'!$B$6:$V$26,CEILING($A3/5,1),CEILING(Z$2/5,1))=1,INDEX('Serial Reference'!$A$8:$W$8,1,FLOOR(($A3-1)/23,1)+1)&amp;INDEX('Serial Reference'!$A$8:$W$8,1,MOD($A3-1,23)+1)&amp;TEXT(Z$2+FLOOR((Z$2-1)/9,1),"000"),"")</f>
        <v/>
      </c>
      <c r="AA3" s="18" t="str">
        <f>IF(INDEX('Shot Map'!$B$6:$V$26,CEILING($A3/5,1),CEILING(AA$2/5,1))=1,INDEX('Serial Reference'!$A$8:$W$8,1,FLOOR(($A3-1)/23,1)+1)&amp;INDEX('Serial Reference'!$A$8:$W$8,1,MOD($A3-1,23)+1)&amp;TEXT(AA$2+FLOOR((AA$2-1)/9,1),"000"),"")</f>
        <v/>
      </c>
      <c r="AB3" s="19" t="str">
        <f>IF(INDEX('Shot Map'!$B$6:$V$26,CEILING($A3/5,1),CEILING(AB$2/5,1))=1,INDEX('Serial Reference'!$A$8:$W$8,1,FLOOR(($A3-1)/23,1)+1)&amp;INDEX('Serial Reference'!$A$8:$W$8,1,MOD($A3-1,23)+1)&amp;TEXT(AB$2+FLOOR((AB$2-1)/9,1),"000"),"")</f>
        <v/>
      </c>
      <c r="AC3" s="19" t="str">
        <f>IF(INDEX('Shot Map'!$B$6:$V$26,CEILING($A3/5,1),CEILING(AC$2/5,1))=1,INDEX('Serial Reference'!$A$8:$W$8,1,FLOOR(($A3-1)/23,1)+1)&amp;INDEX('Serial Reference'!$A$8:$W$8,1,MOD($A3-1,23)+1)&amp;TEXT(AC$2+FLOOR((AC$2-1)/9,1),"000"),"")</f>
        <v/>
      </c>
      <c r="AD3" s="19" t="str">
        <f>IF(INDEX('Shot Map'!$B$6:$V$26,CEILING($A3/5,1),CEILING(AD$2/5,1))=1,INDEX('Serial Reference'!$A$8:$W$8,1,FLOOR(($A3-1)/23,1)+1)&amp;INDEX('Serial Reference'!$A$8:$W$8,1,MOD($A3-1,23)+1)&amp;TEXT(AD$2+FLOOR((AD$2-1)/9,1),"000"),"")</f>
        <v/>
      </c>
      <c r="AE3" s="20" t="str">
        <f>IF(INDEX('Shot Map'!$B$6:$V$26,CEILING($A3/5,1),CEILING(AE$2/5,1))=1,INDEX('Serial Reference'!$A$8:$W$8,1,FLOOR(($A3-1)/23,1)+1)&amp;INDEX('Serial Reference'!$A$8:$W$8,1,MOD($A3-1,23)+1)&amp;TEXT(AE$2+FLOOR((AE$2-1)/9,1),"000"),"")</f>
        <v/>
      </c>
      <c r="AF3" s="18" t="str">
        <f>IF(INDEX('Shot Map'!$B$6:$V$26,CEILING($A3/5,1),CEILING(AF$2/5,1))=1,INDEX('Serial Reference'!$A$8:$W$8,1,FLOOR(($A3-1)/23,1)+1)&amp;INDEX('Serial Reference'!$A$8:$W$8,1,MOD($A3-1,23)+1)&amp;TEXT(AF$2+FLOOR((AF$2-1)/9,1),"000"),"")</f>
        <v/>
      </c>
      <c r="AG3" s="19" t="str">
        <f>IF(INDEX('Shot Map'!$B$6:$V$26,CEILING($A3/5,1),CEILING(AG$2/5,1))=1,INDEX('Serial Reference'!$A$8:$W$8,1,FLOOR(($A3-1)/23,1)+1)&amp;INDEX('Serial Reference'!$A$8:$W$8,1,MOD($A3-1,23)+1)&amp;TEXT(AG$2+FLOOR((AG$2-1)/9,1),"000"),"")</f>
        <v/>
      </c>
      <c r="AH3" s="19" t="str">
        <f>IF(INDEX('Shot Map'!$B$6:$V$26,CEILING($A3/5,1),CEILING(AH$2/5,1))=1,INDEX('Serial Reference'!$A$8:$W$8,1,FLOOR(($A3-1)/23,1)+1)&amp;INDEX('Serial Reference'!$A$8:$W$8,1,MOD($A3-1,23)+1)&amp;TEXT(AH$2+FLOOR((AH$2-1)/9,1),"000"),"")</f>
        <v/>
      </c>
      <c r="AI3" s="19" t="str">
        <f>IF(INDEX('Shot Map'!$B$6:$V$26,CEILING($A3/5,1),CEILING(AI$2/5,1))=1,INDEX('Serial Reference'!$A$8:$W$8,1,FLOOR(($A3-1)/23,1)+1)&amp;INDEX('Serial Reference'!$A$8:$W$8,1,MOD($A3-1,23)+1)&amp;TEXT(AI$2+FLOOR((AI$2-1)/9,1),"000"),"")</f>
        <v/>
      </c>
      <c r="AJ3" s="20" t="str">
        <f>IF(INDEX('Shot Map'!$B$6:$V$26,CEILING($A3/5,1),CEILING(AJ$2/5,1))=1,INDEX('Serial Reference'!$A$8:$W$8,1,FLOOR(($A3-1)/23,1)+1)&amp;INDEX('Serial Reference'!$A$8:$W$8,1,MOD($A3-1,23)+1)&amp;TEXT(AJ$2+FLOOR((AJ$2-1)/9,1),"000"),"")</f>
        <v/>
      </c>
      <c r="AK3" s="18" t="str">
        <f>IF(INDEX('Shot Map'!$B$6:$V$26,CEILING($A3/5,1),CEILING(AK$2/5,1))=1,INDEX('Serial Reference'!$A$8:$W$8,1,FLOOR(($A3-1)/23,1)+1)&amp;INDEX('Serial Reference'!$A$8:$W$8,1,MOD($A3-1,23)+1)&amp;TEXT(AK$2+FLOOR((AK$2-1)/9,1),"000"),"")</f>
        <v/>
      </c>
      <c r="AL3" s="19" t="str">
        <f>IF(INDEX('Shot Map'!$B$6:$V$26,CEILING($A3/5,1),CEILING(AL$2/5,1))=1,INDEX('Serial Reference'!$A$8:$W$8,1,FLOOR(($A3-1)/23,1)+1)&amp;INDEX('Serial Reference'!$A$8:$W$8,1,MOD($A3-1,23)+1)&amp;TEXT(AL$2+FLOOR((AL$2-1)/9,1),"000"),"")</f>
        <v/>
      </c>
      <c r="AM3" s="19" t="str">
        <f>IF(INDEX('Shot Map'!$B$6:$V$26,CEILING($A3/5,1),CEILING(AM$2/5,1))=1,INDEX('Serial Reference'!$A$8:$W$8,1,FLOOR(($A3-1)/23,1)+1)&amp;INDEX('Serial Reference'!$A$8:$W$8,1,MOD($A3-1,23)+1)&amp;TEXT(AM$2+FLOOR((AM$2-1)/9,1),"000"),"")</f>
        <v/>
      </c>
      <c r="AN3" s="19" t="str">
        <f>IF(INDEX('Shot Map'!$B$6:$V$26,CEILING($A3/5,1),CEILING(AN$2/5,1))=1,INDEX('Serial Reference'!$A$8:$W$8,1,FLOOR(($A3-1)/23,1)+1)&amp;INDEX('Serial Reference'!$A$8:$W$8,1,MOD($A3-1,23)+1)&amp;TEXT(AN$2+FLOOR((AN$2-1)/9,1),"000"),"")</f>
        <v/>
      </c>
      <c r="AO3" s="20" t="str">
        <f>IF(INDEX('Shot Map'!$B$6:$V$26,CEILING($A3/5,1),CEILING(AO$2/5,1))=1,INDEX('Serial Reference'!$A$8:$W$8,1,FLOOR(($A3-1)/23,1)+1)&amp;INDEX('Serial Reference'!$A$8:$W$8,1,MOD($A3-1,23)+1)&amp;TEXT(AO$2+FLOOR((AO$2-1)/9,1),"000"),"")</f>
        <v/>
      </c>
      <c r="AP3" s="18" t="str">
        <f>IF(INDEX('Shot Map'!$B$6:$V$26,CEILING($A3/5,1),CEILING(AP$2/5,1))=1,INDEX('Serial Reference'!$A$8:$W$8,1,FLOOR(($A3-1)/23,1)+1)&amp;INDEX('Serial Reference'!$A$8:$W$8,1,MOD($A3-1,23)+1)&amp;TEXT(AP$2+FLOOR((AP$2-1)/9,1),"000"),"")</f>
        <v/>
      </c>
      <c r="AQ3" s="19" t="str">
        <f>IF(INDEX('Shot Map'!$B$6:$V$26,CEILING($A3/5,1),CEILING(AQ$2/5,1))=1,INDEX('Serial Reference'!$A$8:$W$8,1,FLOOR(($A3-1)/23,1)+1)&amp;INDEX('Serial Reference'!$A$8:$W$8,1,MOD($A3-1,23)+1)&amp;TEXT(AQ$2+FLOOR((AQ$2-1)/9,1),"000"),"")</f>
        <v/>
      </c>
      <c r="AR3" s="19" t="str">
        <f>IF(INDEX('Shot Map'!$B$6:$V$26,CEILING($A3/5,1),CEILING(AR$2/5,1))=1,INDEX('Serial Reference'!$A$8:$W$8,1,FLOOR(($A3-1)/23,1)+1)&amp;INDEX('Serial Reference'!$A$8:$W$8,1,MOD($A3-1,23)+1)&amp;TEXT(AR$2+FLOOR((AR$2-1)/9,1),"000"),"")</f>
        <v/>
      </c>
      <c r="AS3" s="19" t="str">
        <f>IF(INDEX('Shot Map'!$B$6:$V$26,CEILING($A3/5,1),CEILING(AS$2/5,1))=1,INDEX('Serial Reference'!$A$8:$W$8,1,FLOOR(($A3-1)/23,1)+1)&amp;INDEX('Serial Reference'!$A$8:$W$8,1,MOD($A3-1,23)+1)&amp;TEXT(AS$2+FLOOR((AS$2-1)/9,1),"000"),"")</f>
        <v/>
      </c>
      <c r="AT3" s="20" t="str">
        <f>IF(INDEX('Shot Map'!$B$6:$V$26,CEILING($A3/5,1),CEILING(AT$2/5,1))=1,INDEX('Serial Reference'!$A$8:$W$8,1,FLOOR(($A3-1)/23,1)+1)&amp;INDEX('Serial Reference'!$A$8:$W$8,1,MOD($A3-1,23)+1)&amp;TEXT(AT$2+FLOOR((AT$2-1)/9,1),"000"),"")</f>
        <v/>
      </c>
      <c r="AU3" s="18" t="str">
        <f>IF(INDEX('Shot Map'!$B$6:$V$26,CEILING($A3/5,1),CEILING(AU$2/5,1))=1,INDEX('Serial Reference'!$A$8:$W$8,1,FLOOR(($A3-1)/23,1)+1)&amp;INDEX('Serial Reference'!$A$8:$W$8,1,MOD($A3-1,23)+1)&amp;TEXT(AU$2+FLOOR((AU$2-1)/9,1),"000"),"")</f>
        <v>AA051</v>
      </c>
      <c r="AV3" s="19" t="str">
        <f>IF(INDEX('Shot Map'!$B$6:$V$26,CEILING($A3/5,1),CEILING(AV$2/5,1))=1,INDEX('Serial Reference'!$A$8:$W$8,1,FLOOR(($A3-1)/23,1)+1)&amp;INDEX('Serial Reference'!$A$8:$W$8,1,MOD($A3-1,23)+1)&amp;TEXT(AV$2+FLOOR((AV$2-1)/9,1),"000"),"")</f>
        <v>AA052</v>
      </c>
      <c r="AW3" s="19" t="str">
        <f>IF(INDEX('Shot Map'!$B$6:$V$26,CEILING($A3/5,1),CEILING(AW$2/5,1))=1,INDEX('Serial Reference'!$A$8:$W$8,1,FLOOR(($A3-1)/23,1)+1)&amp;INDEX('Serial Reference'!$A$8:$W$8,1,MOD($A3-1,23)+1)&amp;TEXT(AW$2+FLOOR((AW$2-1)/9,1),"000"),"")</f>
        <v>AA053</v>
      </c>
      <c r="AX3" s="19" t="str">
        <f>IF(INDEX('Shot Map'!$B$6:$V$26,CEILING($A3/5,1),CEILING(AX$2/5,1))=1,INDEX('Serial Reference'!$A$8:$W$8,1,FLOOR(($A3-1)/23,1)+1)&amp;INDEX('Serial Reference'!$A$8:$W$8,1,MOD($A3-1,23)+1)&amp;TEXT(AX$2+FLOOR((AX$2-1)/9,1),"000"),"")</f>
        <v>AA054</v>
      </c>
      <c r="AY3" s="20" t="str">
        <f>IF(INDEX('Shot Map'!$B$6:$V$26,CEILING($A3/5,1),CEILING(AY$2/5,1))=1,INDEX('Serial Reference'!$A$8:$W$8,1,FLOOR(($A3-1)/23,1)+1)&amp;INDEX('Serial Reference'!$A$8:$W$8,1,MOD($A3-1,23)+1)&amp;TEXT(AY$2+FLOOR((AY$2-1)/9,1),"000"),"")</f>
        <v>AA055</v>
      </c>
      <c r="AZ3" s="18" t="str">
        <f>IF(INDEX('Shot Map'!$B$6:$V$26,CEILING($A3/5,1),CEILING(AZ$2/5,1))=1,INDEX('Serial Reference'!$A$8:$W$8,1,FLOOR(($A3-1)/23,1)+1)&amp;INDEX('Serial Reference'!$A$8:$W$8,1,MOD($A3-1,23)+1)&amp;TEXT(AZ$2+FLOOR((AZ$2-1)/9,1),"000"),"")</f>
        <v>AA056</v>
      </c>
      <c r="BA3" s="19" t="str">
        <f>IF(INDEX('Shot Map'!$B$6:$V$26,CEILING($A3/5,1),CEILING(BA$2/5,1))=1,INDEX('Serial Reference'!$A$8:$W$8,1,FLOOR(($A3-1)/23,1)+1)&amp;INDEX('Serial Reference'!$A$8:$W$8,1,MOD($A3-1,23)+1)&amp;TEXT(BA$2+FLOOR((BA$2-1)/9,1),"000"),"")</f>
        <v>AA057</v>
      </c>
      <c r="BB3" s="19" t="str">
        <f>IF(INDEX('Shot Map'!$B$6:$V$26,CEILING($A3/5,1),CEILING(BB$2/5,1))=1,INDEX('Serial Reference'!$A$8:$W$8,1,FLOOR(($A3-1)/23,1)+1)&amp;INDEX('Serial Reference'!$A$8:$W$8,1,MOD($A3-1,23)+1)&amp;TEXT(BB$2+FLOOR((BB$2-1)/9,1),"000"),"")</f>
        <v>AA058</v>
      </c>
      <c r="BC3" s="19" t="str">
        <f>IF(INDEX('Shot Map'!$B$6:$V$26,CEILING($A3/5,1),CEILING(BC$2/5,1))=1,INDEX('Serial Reference'!$A$8:$W$8,1,FLOOR(($A3-1)/23,1)+1)&amp;INDEX('Serial Reference'!$A$8:$W$8,1,MOD($A3-1,23)+1)&amp;TEXT(BC$2+FLOOR((BC$2-1)/9,1),"000"),"")</f>
        <v>AA059</v>
      </c>
      <c r="BD3" s="20" t="str">
        <f>IF(INDEX('Shot Map'!$B$6:$V$26,CEILING($A3/5,1),CEILING(BD$2/5,1))=1,INDEX('Serial Reference'!$A$8:$W$8,1,FLOOR(($A3-1)/23,1)+1)&amp;INDEX('Serial Reference'!$A$8:$W$8,1,MOD($A3-1,23)+1)&amp;TEXT(BD$2+FLOOR((BD$2-1)/9,1),"000"),"")</f>
        <v>AA061</v>
      </c>
      <c r="BE3" s="18" t="str">
        <f>IF(INDEX('Shot Map'!$B$6:$V$26,CEILING($A3/5,1),CEILING(BE$2/5,1))=1,INDEX('Serial Reference'!$A$8:$W$8,1,FLOOR(($A3-1)/23,1)+1)&amp;INDEX('Serial Reference'!$A$8:$W$8,1,MOD($A3-1,23)+1)&amp;TEXT(BE$2+FLOOR((BE$2-1)/9,1),"000"),"")</f>
        <v>AA062</v>
      </c>
      <c r="BF3" s="19" t="str">
        <f>IF(INDEX('Shot Map'!$B$6:$V$26,CEILING($A3/5,1),CEILING(BF$2/5,1))=1,INDEX('Serial Reference'!$A$8:$W$8,1,FLOOR(($A3-1)/23,1)+1)&amp;INDEX('Serial Reference'!$A$8:$W$8,1,MOD($A3-1,23)+1)&amp;TEXT(BF$2+FLOOR((BF$2-1)/9,1),"000"),"")</f>
        <v>AA063</v>
      </c>
      <c r="BG3" s="19" t="str">
        <f>IF(INDEX('Shot Map'!$B$6:$V$26,CEILING($A3/5,1),CEILING(BG$2/5,1))=1,INDEX('Serial Reference'!$A$8:$W$8,1,FLOOR(($A3-1)/23,1)+1)&amp;INDEX('Serial Reference'!$A$8:$W$8,1,MOD($A3-1,23)+1)&amp;TEXT(BG$2+FLOOR((BG$2-1)/9,1),"000"),"")</f>
        <v>AA064</v>
      </c>
      <c r="BH3" s="19" t="str">
        <f>IF(INDEX('Shot Map'!$B$6:$V$26,CEILING($A3/5,1),CEILING(BH$2/5,1))=1,INDEX('Serial Reference'!$A$8:$W$8,1,FLOOR(($A3-1)/23,1)+1)&amp;INDEX('Serial Reference'!$A$8:$W$8,1,MOD($A3-1,23)+1)&amp;TEXT(BH$2+FLOOR((BH$2-1)/9,1),"000"),"")</f>
        <v>AA065</v>
      </c>
      <c r="BI3" s="20" t="str">
        <f>IF(INDEX('Shot Map'!$B$6:$V$26,CEILING($A3/5,1),CEILING(BI$2/5,1))=1,INDEX('Serial Reference'!$A$8:$W$8,1,FLOOR(($A3-1)/23,1)+1)&amp;INDEX('Serial Reference'!$A$8:$W$8,1,MOD($A3-1,23)+1)&amp;TEXT(BI$2+FLOOR((BI$2-1)/9,1),"000"),"")</f>
        <v>AA066</v>
      </c>
      <c r="BJ3" s="18" t="str">
        <f>IF(INDEX('Shot Map'!$B$6:$V$26,CEILING($A3/5,1),CEILING(BJ$2/5,1))=1,INDEX('Serial Reference'!$A$8:$W$8,1,FLOOR(($A3-1)/23,1)+1)&amp;INDEX('Serial Reference'!$A$8:$W$8,1,MOD($A3-1,23)+1)&amp;TEXT(BJ$2+FLOOR((BJ$2-1)/9,1),"000"),"")</f>
        <v/>
      </c>
      <c r="BK3" s="19" t="str">
        <f>IF(INDEX('Shot Map'!$B$6:$V$26,CEILING($A3/5,1),CEILING(BK$2/5,1))=1,INDEX('Serial Reference'!$A$8:$W$8,1,FLOOR(($A3-1)/23,1)+1)&amp;INDEX('Serial Reference'!$A$8:$W$8,1,MOD($A3-1,23)+1)&amp;TEXT(BK$2+FLOOR((BK$2-1)/9,1),"000"),"")</f>
        <v/>
      </c>
      <c r="BL3" s="19" t="str">
        <f>IF(INDEX('Shot Map'!$B$6:$V$26,CEILING($A3/5,1),CEILING(BL$2/5,1))=1,INDEX('Serial Reference'!$A$8:$W$8,1,FLOOR(($A3-1)/23,1)+1)&amp;INDEX('Serial Reference'!$A$8:$W$8,1,MOD($A3-1,23)+1)&amp;TEXT(BL$2+FLOOR((BL$2-1)/9,1),"000"),"")</f>
        <v/>
      </c>
      <c r="BM3" s="19" t="str">
        <f>IF(INDEX('Shot Map'!$B$6:$V$26,CEILING($A3/5,1),CEILING(BM$2/5,1))=1,INDEX('Serial Reference'!$A$8:$W$8,1,FLOOR(($A3-1)/23,1)+1)&amp;INDEX('Serial Reference'!$A$8:$W$8,1,MOD($A3-1,23)+1)&amp;TEXT(BM$2+FLOOR((BM$2-1)/9,1),"000"),"")</f>
        <v/>
      </c>
      <c r="BN3" s="20" t="str">
        <f>IF(INDEX('Shot Map'!$B$6:$V$26,CEILING($A3/5,1),CEILING(BN$2/5,1))=1,INDEX('Serial Reference'!$A$8:$W$8,1,FLOOR(($A3-1)/23,1)+1)&amp;INDEX('Serial Reference'!$A$8:$W$8,1,MOD($A3-1,23)+1)&amp;TEXT(BN$2+FLOOR((BN$2-1)/9,1),"000"),"")</f>
        <v/>
      </c>
      <c r="BO3" s="18" t="str">
        <f>IF(INDEX('Shot Map'!$B$6:$V$26,CEILING($A3/5,1),CEILING(BO$2/5,1))=1,INDEX('Serial Reference'!$A$8:$W$8,1,FLOOR(($A3-1)/23,1)+1)&amp;INDEX('Serial Reference'!$A$8:$W$8,1,MOD($A3-1,23)+1)&amp;TEXT(BO$2+FLOOR((BO$2-1)/9,1),"000"),"")</f>
        <v/>
      </c>
      <c r="BP3" s="19" t="str">
        <f>IF(INDEX('Shot Map'!$B$6:$V$26,CEILING($A3/5,1),CEILING(BP$2/5,1))=1,INDEX('Serial Reference'!$A$8:$W$8,1,FLOOR(($A3-1)/23,1)+1)&amp;INDEX('Serial Reference'!$A$8:$W$8,1,MOD($A3-1,23)+1)&amp;TEXT(BP$2+FLOOR((BP$2-1)/9,1),"000"),"")</f>
        <v/>
      </c>
      <c r="BQ3" s="19" t="str">
        <f>IF(INDEX('Shot Map'!$B$6:$V$26,CEILING($A3/5,1),CEILING(BQ$2/5,1))=1,INDEX('Serial Reference'!$A$8:$W$8,1,FLOOR(($A3-1)/23,1)+1)&amp;INDEX('Serial Reference'!$A$8:$W$8,1,MOD($A3-1,23)+1)&amp;TEXT(BQ$2+FLOOR((BQ$2-1)/9,1),"000"),"")</f>
        <v/>
      </c>
      <c r="BR3" s="19" t="str">
        <f>IF(INDEX('Shot Map'!$B$6:$V$26,CEILING($A3/5,1),CEILING(BR$2/5,1))=1,INDEX('Serial Reference'!$A$8:$W$8,1,FLOOR(($A3-1)/23,1)+1)&amp;INDEX('Serial Reference'!$A$8:$W$8,1,MOD($A3-1,23)+1)&amp;TEXT(BR$2+FLOOR((BR$2-1)/9,1),"000"),"")</f>
        <v/>
      </c>
      <c r="BS3" s="20" t="str">
        <f>IF(INDEX('Shot Map'!$B$6:$V$26,CEILING($A3/5,1),CEILING(BS$2/5,1))=1,INDEX('Serial Reference'!$A$8:$W$8,1,FLOOR(($A3-1)/23,1)+1)&amp;INDEX('Serial Reference'!$A$8:$W$8,1,MOD($A3-1,23)+1)&amp;TEXT(BS$2+FLOOR((BS$2-1)/9,1),"000"),"")</f>
        <v/>
      </c>
      <c r="BT3" s="18" t="str">
        <f>IF(INDEX('Shot Map'!$B$6:$V$26,CEILING($A3/5,1),CEILING(BT$2/5,1))=1,INDEX('Serial Reference'!$A$8:$W$8,1,FLOOR(($A3-1)/23,1)+1)&amp;INDEX('Serial Reference'!$A$8:$W$8,1,MOD($A3-1,23)+1)&amp;TEXT(BT$2+FLOOR((BT$2-1)/9,1),"000"),"")</f>
        <v/>
      </c>
      <c r="BU3" s="19" t="str">
        <f>IF(INDEX('Shot Map'!$B$6:$V$26,CEILING($A3/5,1),CEILING(BU$2/5,1))=1,INDEX('Serial Reference'!$A$8:$W$8,1,FLOOR(($A3-1)/23,1)+1)&amp;INDEX('Serial Reference'!$A$8:$W$8,1,MOD($A3-1,23)+1)&amp;TEXT(BU$2+FLOOR((BU$2-1)/9,1),"000"),"")</f>
        <v/>
      </c>
      <c r="BV3" s="19" t="str">
        <f>IF(INDEX('Shot Map'!$B$6:$V$26,CEILING($A3/5,1),CEILING(BV$2/5,1))=1,INDEX('Serial Reference'!$A$8:$W$8,1,FLOOR(($A3-1)/23,1)+1)&amp;INDEX('Serial Reference'!$A$8:$W$8,1,MOD($A3-1,23)+1)&amp;TEXT(BV$2+FLOOR((BV$2-1)/9,1),"000"),"")</f>
        <v/>
      </c>
      <c r="BW3" s="19" t="str">
        <f>IF(INDEX('Shot Map'!$B$6:$V$26,CEILING($A3/5,1),CEILING(BW$2/5,1))=1,INDEX('Serial Reference'!$A$8:$W$8,1,FLOOR(($A3-1)/23,1)+1)&amp;INDEX('Serial Reference'!$A$8:$W$8,1,MOD($A3-1,23)+1)&amp;TEXT(BW$2+FLOOR((BW$2-1)/9,1),"000"),"")</f>
        <v/>
      </c>
      <c r="BX3" s="20" t="str">
        <f>IF(INDEX('Shot Map'!$B$6:$V$26,CEILING($A3/5,1),CEILING(BX$2/5,1))=1,INDEX('Serial Reference'!$A$8:$W$8,1,FLOOR(($A3-1)/23,1)+1)&amp;INDEX('Serial Reference'!$A$8:$W$8,1,MOD($A3-1,23)+1)&amp;TEXT(BX$2+FLOOR((BX$2-1)/9,1),"000"),"")</f>
        <v/>
      </c>
      <c r="BY3" s="18" t="str">
        <f>IF(INDEX('Shot Map'!$B$6:$V$26,CEILING($A3/5,1),CEILING(BY$2/5,1))=1,INDEX('Serial Reference'!$A$8:$W$8,1,FLOOR(($A3-1)/23,1)+1)&amp;INDEX('Serial Reference'!$A$8:$W$8,1,MOD($A3-1,23)+1)&amp;TEXT(BY$2+FLOOR((BY$2-1)/9,1),"000"),"")</f>
        <v/>
      </c>
      <c r="BZ3" s="19" t="str">
        <f>IF(INDEX('Shot Map'!$B$6:$V$26,CEILING($A3/5,1),CEILING(BZ$2/5,1))=1,INDEX('Serial Reference'!$A$8:$W$8,1,FLOOR(($A3-1)/23,1)+1)&amp;INDEX('Serial Reference'!$A$8:$W$8,1,MOD($A3-1,23)+1)&amp;TEXT(BZ$2+FLOOR((BZ$2-1)/9,1),"000"),"")</f>
        <v/>
      </c>
      <c r="CA3" s="19" t="str">
        <f>IF(INDEX('Shot Map'!$B$6:$V$26,CEILING($A3/5,1),CEILING(CA$2/5,1))=1,INDEX('Serial Reference'!$A$8:$W$8,1,FLOOR(($A3-1)/23,1)+1)&amp;INDEX('Serial Reference'!$A$8:$W$8,1,MOD($A3-1,23)+1)&amp;TEXT(CA$2+FLOOR((CA$2-1)/9,1),"000"),"")</f>
        <v/>
      </c>
      <c r="CB3" s="19" t="str">
        <f>IF(INDEX('Shot Map'!$B$6:$V$26,CEILING($A3/5,1),CEILING(CB$2/5,1))=1,INDEX('Serial Reference'!$A$8:$W$8,1,FLOOR(($A3-1)/23,1)+1)&amp;INDEX('Serial Reference'!$A$8:$W$8,1,MOD($A3-1,23)+1)&amp;TEXT(CB$2+FLOOR((CB$2-1)/9,1),"000"),"")</f>
        <v/>
      </c>
      <c r="CC3" s="20" t="str">
        <f>IF(INDEX('Shot Map'!$B$6:$V$26,CEILING($A3/5,1),CEILING(CC$2/5,1))=1,INDEX('Serial Reference'!$A$8:$W$8,1,FLOOR(($A3-1)/23,1)+1)&amp;INDEX('Serial Reference'!$A$8:$W$8,1,MOD($A3-1,23)+1)&amp;TEXT(CC$2+FLOOR((CC$2-1)/9,1),"000"),"")</f>
        <v/>
      </c>
      <c r="CD3" s="18" t="str">
        <f>IF(INDEX('Shot Map'!$B$6:$V$26,CEILING($A3/5,1),CEILING(CD$2/5,1))=1,INDEX('Serial Reference'!$A$8:$W$8,1,FLOOR(($A3-1)/23,1)+1)&amp;INDEX('Serial Reference'!$A$8:$W$8,1,MOD($A3-1,23)+1)&amp;TEXT(CD$2+FLOOR((CD$2-1)/9,1),"000"),"")</f>
        <v/>
      </c>
      <c r="CE3" s="19" t="str">
        <f>IF(INDEX('Shot Map'!$B$6:$V$26,CEILING($A3/5,1),CEILING(CE$2/5,1))=1,INDEX('Serial Reference'!$A$8:$W$8,1,FLOOR(($A3-1)/23,1)+1)&amp;INDEX('Serial Reference'!$A$8:$W$8,1,MOD($A3-1,23)+1)&amp;TEXT(CE$2+FLOOR((CE$2-1)/9,1),"000"),"")</f>
        <v/>
      </c>
      <c r="CF3" s="19" t="str">
        <f>IF(INDEX('Shot Map'!$B$6:$V$26,CEILING($A3/5,1),CEILING(CF$2/5,1))=1,INDEX('Serial Reference'!$A$8:$W$8,1,FLOOR(($A3-1)/23,1)+1)&amp;INDEX('Serial Reference'!$A$8:$W$8,1,MOD($A3-1,23)+1)&amp;TEXT(CF$2+FLOOR((CF$2-1)/9,1),"000"),"")</f>
        <v/>
      </c>
      <c r="CG3" s="19" t="str">
        <f>IF(INDEX('Shot Map'!$B$6:$V$26,CEILING($A3/5,1),CEILING(CG$2/5,1))=1,INDEX('Serial Reference'!$A$8:$W$8,1,FLOOR(($A3-1)/23,1)+1)&amp;INDEX('Serial Reference'!$A$8:$W$8,1,MOD($A3-1,23)+1)&amp;TEXT(CG$2+FLOOR((CG$2-1)/9,1),"000"),"")</f>
        <v/>
      </c>
      <c r="CH3" s="20" t="str">
        <f>IF(INDEX('Shot Map'!$B$6:$V$26,CEILING($A3/5,1),CEILING(CH$2/5,1))=1,INDEX('Serial Reference'!$A$8:$W$8,1,FLOOR(($A3-1)/23,1)+1)&amp;INDEX('Serial Reference'!$A$8:$W$8,1,MOD($A3-1,23)+1)&amp;TEXT(CH$2+FLOOR((CH$2-1)/9,1),"000"),"")</f>
        <v/>
      </c>
      <c r="CI3" s="18" t="str">
        <f>IF(INDEX('Shot Map'!$B$6:$V$26,CEILING($A3/5,1),CEILING(CI$2/5,1))=1,INDEX('Serial Reference'!$A$8:$W$8,1,FLOOR(($A3-1)/23,1)+1)&amp;INDEX('Serial Reference'!$A$8:$W$8,1,MOD($A3-1,23)+1)&amp;TEXT(CI$2+FLOOR((CI$2-1)/9,1),"000"),"")</f>
        <v/>
      </c>
      <c r="CJ3" s="19" t="str">
        <f>IF(INDEX('Shot Map'!$B$6:$V$26,CEILING($A3/5,1),CEILING(CJ$2/5,1))=1,INDEX('Serial Reference'!$A$8:$W$8,1,FLOOR(($A3-1)/23,1)+1)&amp;INDEX('Serial Reference'!$A$8:$W$8,1,MOD($A3-1,23)+1)&amp;TEXT(CJ$2+FLOOR((CJ$2-1)/9,1),"000"),"")</f>
        <v/>
      </c>
      <c r="CK3" s="19" t="str">
        <f>IF(INDEX('Shot Map'!$B$6:$V$26,CEILING($A3/5,1),CEILING(CK$2/5,1))=1,INDEX('Serial Reference'!$A$8:$W$8,1,FLOOR(($A3-1)/23,1)+1)&amp;INDEX('Serial Reference'!$A$8:$W$8,1,MOD($A3-1,23)+1)&amp;TEXT(CK$2+FLOOR((CK$2-1)/9,1),"000"),"")</f>
        <v/>
      </c>
      <c r="CL3" s="19" t="str">
        <f>IF(INDEX('Shot Map'!$B$6:$V$26,CEILING($A3/5,1),CEILING(CL$2/5,1))=1,INDEX('Serial Reference'!$A$8:$W$8,1,FLOOR(($A3-1)/23,1)+1)&amp;INDEX('Serial Reference'!$A$8:$W$8,1,MOD($A3-1,23)+1)&amp;TEXT(CL$2+FLOOR((CL$2-1)/9,1),"000"),"")</f>
        <v/>
      </c>
      <c r="CM3" s="20" t="str">
        <f>IF(INDEX('Shot Map'!$B$6:$V$26,CEILING($A3/5,1),CEILING(CM$2/5,1))=1,INDEX('Serial Reference'!$A$8:$W$8,1,FLOOR(($A3-1)/23,1)+1)&amp;INDEX('Serial Reference'!$A$8:$W$8,1,MOD($A3-1,23)+1)&amp;TEXT(CM$2+FLOOR((CM$2-1)/9,1),"000"),"")</f>
        <v/>
      </c>
      <c r="CN3" s="18" t="str">
        <f>IF(INDEX('Shot Map'!$B$6:$V$26,CEILING($A3/5,1),CEILING(CN$2/5,1))=1,INDEX('Serial Reference'!$A$8:$W$8,1,FLOOR(($A3-1)/23,1)+1)&amp;INDEX('Serial Reference'!$A$8:$W$8,1,MOD($A3-1,23)+1)&amp;TEXT(CN$2+FLOOR((CN$2-1)/9,1),"000"),"")</f>
        <v/>
      </c>
      <c r="CO3" s="19" t="str">
        <f>IF(INDEX('Shot Map'!$B$6:$V$26,CEILING($A3/5,1),CEILING(CO$2/5,1))=1,INDEX('Serial Reference'!$A$8:$W$8,1,FLOOR(($A3-1)/23,1)+1)&amp;INDEX('Serial Reference'!$A$8:$W$8,1,MOD($A3-1,23)+1)&amp;TEXT(CO$2+FLOOR((CO$2-1)/9,1),"000"),"")</f>
        <v/>
      </c>
      <c r="CP3" s="19" t="str">
        <f>IF(INDEX('Shot Map'!$B$6:$V$26,CEILING($A3/5,1),CEILING(CP$2/5,1))=1,INDEX('Serial Reference'!$A$8:$W$8,1,FLOOR(($A3-1)/23,1)+1)&amp;INDEX('Serial Reference'!$A$8:$W$8,1,MOD($A3-1,23)+1)&amp;TEXT(CP$2+FLOOR((CP$2-1)/9,1),"000"),"")</f>
        <v/>
      </c>
      <c r="CQ3" s="19" t="str">
        <f>IF(INDEX('Shot Map'!$B$6:$V$26,CEILING($A3/5,1),CEILING(CQ$2/5,1))=1,INDEX('Serial Reference'!$A$8:$W$8,1,FLOOR(($A3-1)/23,1)+1)&amp;INDEX('Serial Reference'!$A$8:$W$8,1,MOD($A3-1,23)+1)&amp;TEXT(CQ$2+FLOOR((CQ$2-1)/9,1),"000"),"")</f>
        <v/>
      </c>
      <c r="CR3" s="20" t="str">
        <f>IF(INDEX('Shot Map'!$B$6:$V$26,CEILING($A3/5,1),CEILING(CR$2/5,1))=1,INDEX('Serial Reference'!$A$8:$W$8,1,FLOOR(($A3-1)/23,1)+1)&amp;INDEX('Serial Reference'!$A$8:$W$8,1,MOD($A3-1,23)+1)&amp;TEXT(CR$2+FLOOR((CR$2-1)/9,1),"000"),"")</f>
        <v/>
      </c>
      <c r="CS3" s="18" t="str">
        <f>IF(INDEX('Shot Map'!$B$6:$V$26,CEILING($A3/5,1),CEILING(CS$2/5,1))=1,INDEX('Serial Reference'!$A$8:$W$8,1,FLOOR(($A3-1)/23,1)+1)&amp;INDEX('Serial Reference'!$A$8:$W$8,1,MOD($A3-1,23)+1)&amp;TEXT(CS$2+FLOOR((CS$2-1)/9,1),"000"),"")</f>
        <v/>
      </c>
      <c r="CT3" s="19" t="str">
        <f>IF(INDEX('Shot Map'!$B$6:$V$26,CEILING($A3/5,1),CEILING(CT$2/5,1))=1,INDEX('Serial Reference'!$A$8:$W$8,1,FLOOR(($A3-1)/23,1)+1)&amp;INDEX('Serial Reference'!$A$8:$W$8,1,MOD($A3-1,23)+1)&amp;TEXT(CT$2+FLOOR((CT$2-1)/9,1),"000"),"")</f>
        <v/>
      </c>
      <c r="CU3" s="19" t="str">
        <f>IF(INDEX('Shot Map'!$B$6:$V$26,CEILING($A3/5,1),CEILING(CU$2/5,1))=1,INDEX('Serial Reference'!$A$8:$W$8,1,FLOOR(($A3-1)/23,1)+1)&amp;INDEX('Serial Reference'!$A$8:$W$8,1,MOD($A3-1,23)+1)&amp;TEXT(CU$2+FLOOR((CU$2-1)/9,1),"000"),"")</f>
        <v/>
      </c>
      <c r="CV3" s="19" t="str">
        <f>IF(INDEX('Shot Map'!$B$6:$V$26,CEILING($A3/5,1),CEILING(CV$2/5,1))=1,INDEX('Serial Reference'!$A$8:$W$8,1,FLOOR(($A3-1)/23,1)+1)&amp;INDEX('Serial Reference'!$A$8:$W$8,1,MOD($A3-1,23)+1)&amp;TEXT(CV$2+FLOOR((CV$2-1)/9,1),"000"),"")</f>
        <v/>
      </c>
      <c r="CW3" s="20" t="str">
        <f>IF(INDEX('Shot Map'!$B$6:$V$26,CEILING($A3/5,1),CEILING(CW$2/5,1))=1,INDEX('Serial Reference'!$A$8:$W$8,1,FLOOR(($A3-1)/23,1)+1)&amp;INDEX('Serial Reference'!$A$8:$W$8,1,MOD($A3-1,23)+1)&amp;TEXT(CW$2+FLOOR((CW$2-1)/9,1),"000"),"")</f>
        <v/>
      </c>
      <c r="CX3" s="18" t="str">
        <f>IF(INDEX('Shot Map'!$B$6:$V$26,CEILING($A3/5,1),CEILING(CX$2/5,1))=1,INDEX('Serial Reference'!$A$8:$W$8,1,FLOOR(($A3-1)/23,1)+1)&amp;INDEX('Serial Reference'!$A$8:$W$8,1,MOD($A3-1,23)+1)&amp;TEXT(CX$2+FLOOR((CX$2-1)/9,1),"000"),"")</f>
        <v/>
      </c>
      <c r="CY3" s="19" t="str">
        <f>IF(INDEX('Shot Map'!$B$6:$V$26,CEILING($A3/5,1),CEILING(CY$2/5,1))=1,INDEX('Serial Reference'!$A$8:$W$8,1,FLOOR(($A3-1)/23,1)+1)&amp;INDEX('Serial Reference'!$A$8:$W$8,1,MOD($A3-1,23)+1)&amp;TEXT(CY$2+FLOOR((CY$2-1)/9,1),"000"),"")</f>
        <v/>
      </c>
      <c r="CZ3" s="19" t="str">
        <f>IF(INDEX('Shot Map'!$B$6:$V$26,CEILING($A3/5,1),CEILING(CZ$2/5,1))=1,INDEX('Serial Reference'!$A$8:$W$8,1,FLOOR(($A3-1)/23,1)+1)&amp;INDEX('Serial Reference'!$A$8:$W$8,1,MOD($A3-1,23)+1)&amp;TEXT(CZ$2+FLOOR((CZ$2-1)/9,1),"000"),"")</f>
        <v/>
      </c>
      <c r="DA3" s="19" t="str">
        <f>IF(INDEX('Shot Map'!$B$6:$V$26,CEILING($A3/5,1),CEILING(DA$2/5,1))=1,INDEX('Serial Reference'!$A$8:$W$8,1,FLOOR(($A3-1)/23,1)+1)&amp;INDEX('Serial Reference'!$A$8:$W$8,1,MOD($A3-1,23)+1)&amp;TEXT(DA$2+FLOOR((DA$2-1)/9,1),"000"),"")</f>
        <v/>
      </c>
      <c r="DB3" s="20" t="str">
        <f>IF(INDEX('Shot Map'!$B$6:$V$26,CEILING($A3/5,1),CEILING(DB$2/5,1))=1,INDEX('Serial Reference'!$A$8:$W$8,1,FLOOR(($A3-1)/23,1)+1)&amp;INDEX('Serial Reference'!$A$8:$W$8,1,MOD($A3-1,23)+1)&amp;TEXT(DB$2+FLOOR((DB$2-1)/9,1),"000"),"")</f>
        <v/>
      </c>
    </row>
    <row r="4" spans="1:106" ht="12.75" customHeight="1" x14ac:dyDescent="0.25">
      <c r="A4" s="17">
        <v>2</v>
      </c>
      <c r="B4" s="21" t="str">
        <f>IF(INDEX('Shot Map'!$B$6:$V$26,CEILING($A4/5,1),CEILING(B$2/5,1))=1,INDEX('Serial Reference'!$A$8:$W$8,1,FLOOR(($A4-1)/23,1)+1)&amp;INDEX('Serial Reference'!$A$8:$W$8,1,MOD($A4-1,23)+1)&amp;TEXT(B$2+FLOOR((B$2-1)/9,1),"000"),"")</f>
        <v/>
      </c>
      <c r="C4" s="22" t="str">
        <f>IF(INDEX('Shot Map'!$B$6:$V$26,CEILING($A4/5,1),CEILING(C$2/5,1))=1,INDEX('Serial Reference'!$A$8:$W$8,1,FLOOR(($A4-1)/23,1)+1)&amp;INDEX('Serial Reference'!$A$8:$W$8,1,MOD($A4-1,23)+1)&amp;TEXT(C$2+FLOOR((C$2-1)/9,1),"000"),"")</f>
        <v/>
      </c>
      <c r="D4" s="22" t="str">
        <f>IF(INDEX('Shot Map'!$B$6:$V$26,CEILING($A4/5,1),CEILING(D$2/5,1))=1,INDEX('Serial Reference'!$A$8:$W$8,1,FLOOR(($A4-1)/23,1)+1)&amp;INDEX('Serial Reference'!$A$8:$W$8,1,MOD($A4-1,23)+1)&amp;TEXT(D$2+FLOOR((D$2-1)/9,1),"000"),"")</f>
        <v/>
      </c>
      <c r="E4" s="22" t="str">
        <f>IF(INDEX('Shot Map'!$B$6:$V$26,CEILING($A4/5,1),CEILING(E$2/5,1))=1,INDEX('Serial Reference'!$A$8:$W$8,1,FLOOR(($A4-1)/23,1)+1)&amp;INDEX('Serial Reference'!$A$8:$W$8,1,MOD($A4-1,23)+1)&amp;TEXT(E$2+FLOOR((E$2-1)/9,1),"000"),"")</f>
        <v/>
      </c>
      <c r="F4" s="23" t="str">
        <f>IF(INDEX('Shot Map'!$B$6:$V$26,CEILING($A4/5,1),CEILING(F$2/5,1))=1,INDEX('Serial Reference'!$A$8:$W$8,1,FLOOR(($A4-1)/23,1)+1)&amp;INDEX('Serial Reference'!$A$8:$W$8,1,MOD($A4-1,23)+1)&amp;TEXT(F$2+FLOOR((F$2-1)/9,1),"000"),"")</f>
        <v/>
      </c>
      <c r="G4" s="21" t="str">
        <f>IF(INDEX('Shot Map'!$B$6:$V$26,CEILING($A4/5,1),CEILING(G$2/5,1))=1,INDEX('Serial Reference'!$A$8:$W$8,1,FLOOR(($A4-1)/23,1)+1)&amp;INDEX('Serial Reference'!$A$8:$W$8,1,MOD($A4-1,23)+1)&amp;TEXT(G$2+FLOOR((G$2-1)/9,1),"000"),"")</f>
        <v/>
      </c>
      <c r="H4" s="22" t="str">
        <f>IF(INDEX('Shot Map'!$B$6:$V$26,CEILING($A4/5,1),CEILING(H$2/5,1))=1,INDEX('Serial Reference'!$A$8:$W$8,1,FLOOR(($A4-1)/23,1)+1)&amp;INDEX('Serial Reference'!$A$8:$W$8,1,MOD($A4-1,23)+1)&amp;TEXT(H$2+FLOOR((H$2-1)/9,1),"000"),"")</f>
        <v/>
      </c>
      <c r="I4" s="22" t="str">
        <f>IF(INDEX('Shot Map'!$B$6:$V$26,CEILING($A4/5,1),CEILING(I$2/5,1))=1,INDEX('Serial Reference'!$A$8:$W$8,1,FLOOR(($A4-1)/23,1)+1)&amp;INDEX('Serial Reference'!$A$8:$W$8,1,MOD($A4-1,23)+1)&amp;TEXT(I$2+FLOOR((I$2-1)/9,1),"000"),"")</f>
        <v/>
      </c>
      <c r="J4" s="22" t="str">
        <f>IF(INDEX('Shot Map'!$B$6:$V$26,CEILING($A4/5,1),CEILING(J$2/5,1))=1,INDEX('Serial Reference'!$A$8:$W$8,1,FLOOR(($A4-1)/23,1)+1)&amp;INDEX('Serial Reference'!$A$8:$W$8,1,MOD($A4-1,23)+1)&amp;TEXT(J$2+FLOOR((J$2-1)/9,1),"000"),"")</f>
        <v/>
      </c>
      <c r="K4" s="23" t="str">
        <f>IF(INDEX('Shot Map'!$B$6:$V$26,CEILING($A4/5,1),CEILING(K$2/5,1))=1,INDEX('Serial Reference'!$A$8:$W$8,1,FLOOR(($A4-1)/23,1)+1)&amp;INDEX('Serial Reference'!$A$8:$W$8,1,MOD($A4-1,23)+1)&amp;TEXT(K$2+FLOOR((K$2-1)/9,1),"000"),"")</f>
        <v/>
      </c>
      <c r="L4" s="21" t="str">
        <f>IF(INDEX('Shot Map'!$B$6:$V$26,CEILING($A4/5,1),CEILING(L$2/5,1))=1,INDEX('Serial Reference'!$A$8:$W$8,1,FLOOR(($A4-1)/23,1)+1)&amp;INDEX('Serial Reference'!$A$8:$W$8,1,MOD($A4-1,23)+1)&amp;TEXT(L$2+FLOOR((L$2-1)/9,1),"000"),"")</f>
        <v/>
      </c>
      <c r="M4" s="22" t="str">
        <f>IF(INDEX('Shot Map'!$B$6:$V$26,CEILING($A4/5,1),CEILING(M$2/5,1))=1,INDEX('Serial Reference'!$A$8:$W$8,1,FLOOR(($A4-1)/23,1)+1)&amp;INDEX('Serial Reference'!$A$8:$W$8,1,MOD($A4-1,23)+1)&amp;TEXT(M$2+FLOOR((M$2-1)/9,1),"000"),"")</f>
        <v/>
      </c>
      <c r="N4" s="22" t="str">
        <f>IF(INDEX('Shot Map'!$B$6:$V$26,CEILING($A4/5,1),CEILING(N$2/5,1))=1,INDEX('Serial Reference'!$A$8:$W$8,1,FLOOR(($A4-1)/23,1)+1)&amp;INDEX('Serial Reference'!$A$8:$W$8,1,MOD($A4-1,23)+1)&amp;TEXT(N$2+FLOOR((N$2-1)/9,1),"000"),"")</f>
        <v/>
      </c>
      <c r="O4" s="22" t="str">
        <f>IF(INDEX('Shot Map'!$B$6:$V$26,CEILING($A4/5,1),CEILING(O$2/5,1))=1,INDEX('Serial Reference'!$A$8:$W$8,1,FLOOR(($A4-1)/23,1)+1)&amp;INDEX('Serial Reference'!$A$8:$W$8,1,MOD($A4-1,23)+1)&amp;TEXT(O$2+FLOOR((O$2-1)/9,1),"000"),"")</f>
        <v/>
      </c>
      <c r="P4" s="23" t="str">
        <f>IF(INDEX('Shot Map'!$B$6:$V$26,CEILING($A4/5,1),CEILING(P$2/5,1))=1,INDEX('Serial Reference'!$A$8:$W$8,1,FLOOR(($A4-1)/23,1)+1)&amp;INDEX('Serial Reference'!$A$8:$W$8,1,MOD($A4-1,23)+1)&amp;TEXT(P$2+FLOOR((P$2-1)/9,1),"000"),"")</f>
        <v/>
      </c>
      <c r="Q4" s="21" t="str">
        <f>IF(INDEX('Shot Map'!$B$6:$V$26,CEILING($A4/5,1),CEILING(Q$2/5,1))=1,INDEX('Serial Reference'!$A$8:$W$8,1,FLOOR(($A4-1)/23,1)+1)&amp;INDEX('Serial Reference'!$A$8:$W$8,1,MOD($A4-1,23)+1)&amp;TEXT(Q$2+FLOOR((Q$2-1)/9,1),"000"),"")</f>
        <v/>
      </c>
      <c r="R4" s="22" t="str">
        <f>IF(INDEX('Shot Map'!$B$6:$V$26,CEILING($A4/5,1),CEILING(R$2/5,1))=1,INDEX('Serial Reference'!$A$8:$W$8,1,FLOOR(($A4-1)/23,1)+1)&amp;INDEX('Serial Reference'!$A$8:$W$8,1,MOD($A4-1,23)+1)&amp;TEXT(R$2+FLOOR((R$2-1)/9,1),"000"),"")</f>
        <v/>
      </c>
      <c r="S4" s="22" t="str">
        <f>IF(INDEX('Shot Map'!$B$6:$V$26,CEILING($A4/5,1),CEILING(S$2/5,1))=1,INDEX('Serial Reference'!$A$8:$W$8,1,FLOOR(($A4-1)/23,1)+1)&amp;INDEX('Serial Reference'!$A$8:$W$8,1,MOD($A4-1,23)+1)&amp;TEXT(S$2+FLOOR((S$2-1)/9,1),"000"),"")</f>
        <v/>
      </c>
      <c r="T4" s="22" t="str">
        <f>IF(INDEX('Shot Map'!$B$6:$V$26,CEILING($A4/5,1),CEILING(T$2/5,1))=1,INDEX('Serial Reference'!$A$8:$W$8,1,FLOOR(($A4-1)/23,1)+1)&amp;INDEX('Serial Reference'!$A$8:$W$8,1,MOD($A4-1,23)+1)&amp;TEXT(T$2+FLOOR((T$2-1)/9,1),"000"),"")</f>
        <v/>
      </c>
      <c r="U4" s="23" t="str">
        <f>IF(INDEX('Shot Map'!$B$6:$V$26,CEILING($A4/5,1),CEILING(U$2/5,1))=1,INDEX('Serial Reference'!$A$8:$W$8,1,FLOOR(($A4-1)/23,1)+1)&amp;INDEX('Serial Reference'!$A$8:$W$8,1,MOD($A4-1,23)+1)&amp;TEXT(U$2+FLOOR((U$2-1)/9,1),"000"),"")</f>
        <v/>
      </c>
      <c r="V4" s="21" t="str">
        <f>IF(INDEX('Shot Map'!$B$6:$V$26,CEILING($A4/5,1),CEILING(V$2/5,1))=1,INDEX('Serial Reference'!$A$8:$W$8,1,FLOOR(($A4-1)/23,1)+1)&amp;INDEX('Serial Reference'!$A$8:$W$8,1,MOD($A4-1,23)+1)&amp;TEXT(V$2+FLOOR((V$2-1)/9,1),"000"),"")</f>
        <v/>
      </c>
      <c r="W4" s="22" t="str">
        <f>IF(INDEX('Shot Map'!$B$6:$V$26,CEILING($A4/5,1),CEILING(W$2/5,1))=1,INDEX('Serial Reference'!$A$8:$W$8,1,FLOOR(($A4-1)/23,1)+1)&amp;INDEX('Serial Reference'!$A$8:$W$8,1,MOD($A4-1,23)+1)&amp;TEXT(W$2+FLOOR((W$2-1)/9,1),"000"),"")</f>
        <v/>
      </c>
      <c r="X4" s="22" t="str">
        <f>IF(INDEX('Shot Map'!$B$6:$V$26,CEILING($A4/5,1),CEILING(X$2/5,1))=1,INDEX('Serial Reference'!$A$8:$W$8,1,FLOOR(($A4-1)/23,1)+1)&amp;INDEX('Serial Reference'!$A$8:$W$8,1,MOD($A4-1,23)+1)&amp;TEXT(X$2+FLOOR((X$2-1)/9,1),"000"),"")</f>
        <v/>
      </c>
      <c r="Y4" s="22" t="str">
        <f>IF(INDEX('Shot Map'!$B$6:$V$26,CEILING($A4/5,1),CEILING(Y$2/5,1))=1,INDEX('Serial Reference'!$A$8:$W$8,1,FLOOR(($A4-1)/23,1)+1)&amp;INDEX('Serial Reference'!$A$8:$W$8,1,MOD($A4-1,23)+1)&amp;TEXT(Y$2+FLOOR((Y$2-1)/9,1),"000"),"")</f>
        <v/>
      </c>
      <c r="Z4" s="23" t="str">
        <f>IF(INDEX('Shot Map'!$B$6:$V$26,CEILING($A4/5,1),CEILING(Z$2/5,1))=1,INDEX('Serial Reference'!$A$8:$W$8,1,FLOOR(($A4-1)/23,1)+1)&amp;INDEX('Serial Reference'!$A$8:$W$8,1,MOD($A4-1,23)+1)&amp;TEXT(Z$2+FLOOR((Z$2-1)/9,1),"000"),"")</f>
        <v/>
      </c>
      <c r="AA4" s="21" t="str">
        <f>IF(INDEX('Shot Map'!$B$6:$V$26,CEILING($A4/5,1),CEILING(AA$2/5,1))=1,INDEX('Serial Reference'!$A$8:$W$8,1,FLOOR(($A4-1)/23,1)+1)&amp;INDEX('Serial Reference'!$A$8:$W$8,1,MOD($A4-1,23)+1)&amp;TEXT(AA$2+FLOOR((AA$2-1)/9,1),"000"),"")</f>
        <v/>
      </c>
      <c r="AB4" s="22" t="str">
        <f>IF(INDEX('Shot Map'!$B$6:$V$26,CEILING($A4/5,1),CEILING(AB$2/5,1))=1,INDEX('Serial Reference'!$A$8:$W$8,1,FLOOR(($A4-1)/23,1)+1)&amp;INDEX('Serial Reference'!$A$8:$W$8,1,MOD($A4-1,23)+1)&amp;TEXT(AB$2+FLOOR((AB$2-1)/9,1),"000"),"")</f>
        <v/>
      </c>
      <c r="AC4" s="22" t="str">
        <f>IF(INDEX('Shot Map'!$B$6:$V$26,CEILING($A4/5,1),CEILING(AC$2/5,1))=1,INDEX('Serial Reference'!$A$8:$W$8,1,FLOOR(($A4-1)/23,1)+1)&amp;INDEX('Serial Reference'!$A$8:$W$8,1,MOD($A4-1,23)+1)&amp;TEXT(AC$2+FLOOR((AC$2-1)/9,1),"000"),"")</f>
        <v/>
      </c>
      <c r="AD4" s="22" t="str">
        <f>IF(INDEX('Shot Map'!$B$6:$V$26,CEILING($A4/5,1),CEILING(AD$2/5,1))=1,INDEX('Serial Reference'!$A$8:$W$8,1,FLOOR(($A4-1)/23,1)+1)&amp;INDEX('Serial Reference'!$A$8:$W$8,1,MOD($A4-1,23)+1)&amp;TEXT(AD$2+FLOOR((AD$2-1)/9,1),"000"),"")</f>
        <v/>
      </c>
      <c r="AE4" s="23" t="str">
        <f>IF(INDEX('Shot Map'!$B$6:$V$26,CEILING($A4/5,1),CEILING(AE$2/5,1))=1,INDEX('Serial Reference'!$A$8:$W$8,1,FLOOR(($A4-1)/23,1)+1)&amp;INDEX('Serial Reference'!$A$8:$W$8,1,MOD($A4-1,23)+1)&amp;TEXT(AE$2+FLOOR((AE$2-1)/9,1),"000"),"")</f>
        <v/>
      </c>
      <c r="AF4" s="21" t="str">
        <f>IF(INDEX('Shot Map'!$B$6:$V$26,CEILING($A4/5,1),CEILING(AF$2/5,1))=1,INDEX('Serial Reference'!$A$8:$W$8,1,FLOOR(($A4-1)/23,1)+1)&amp;INDEX('Serial Reference'!$A$8:$W$8,1,MOD($A4-1,23)+1)&amp;TEXT(AF$2+FLOOR((AF$2-1)/9,1),"000"),"")</f>
        <v/>
      </c>
      <c r="AG4" s="22" t="str">
        <f>IF(INDEX('Shot Map'!$B$6:$V$26,CEILING($A4/5,1),CEILING(AG$2/5,1))=1,INDEX('Serial Reference'!$A$8:$W$8,1,FLOOR(($A4-1)/23,1)+1)&amp;INDEX('Serial Reference'!$A$8:$W$8,1,MOD($A4-1,23)+1)&amp;TEXT(AG$2+FLOOR((AG$2-1)/9,1),"000"),"")</f>
        <v/>
      </c>
      <c r="AH4" s="22" t="str">
        <f>IF(INDEX('Shot Map'!$B$6:$V$26,CEILING($A4/5,1),CEILING(AH$2/5,1))=1,INDEX('Serial Reference'!$A$8:$W$8,1,FLOOR(($A4-1)/23,1)+1)&amp;INDEX('Serial Reference'!$A$8:$W$8,1,MOD($A4-1,23)+1)&amp;TEXT(AH$2+FLOOR((AH$2-1)/9,1),"000"),"")</f>
        <v/>
      </c>
      <c r="AI4" s="22" t="str">
        <f>IF(INDEX('Shot Map'!$B$6:$V$26,CEILING($A4/5,1),CEILING(AI$2/5,1))=1,INDEX('Serial Reference'!$A$8:$W$8,1,FLOOR(($A4-1)/23,1)+1)&amp;INDEX('Serial Reference'!$A$8:$W$8,1,MOD($A4-1,23)+1)&amp;TEXT(AI$2+FLOOR((AI$2-1)/9,1),"000"),"")</f>
        <v/>
      </c>
      <c r="AJ4" s="23" t="str">
        <f>IF(INDEX('Shot Map'!$B$6:$V$26,CEILING($A4/5,1),CEILING(AJ$2/5,1))=1,INDEX('Serial Reference'!$A$8:$W$8,1,FLOOR(($A4-1)/23,1)+1)&amp;INDEX('Serial Reference'!$A$8:$W$8,1,MOD($A4-1,23)+1)&amp;TEXT(AJ$2+FLOOR((AJ$2-1)/9,1),"000"),"")</f>
        <v/>
      </c>
      <c r="AK4" s="21" t="str">
        <f>IF(INDEX('Shot Map'!$B$6:$V$26,CEILING($A4/5,1),CEILING(AK$2/5,1))=1,INDEX('Serial Reference'!$A$8:$W$8,1,FLOOR(($A4-1)/23,1)+1)&amp;INDEX('Serial Reference'!$A$8:$W$8,1,MOD($A4-1,23)+1)&amp;TEXT(AK$2+FLOOR((AK$2-1)/9,1),"000"),"")</f>
        <v/>
      </c>
      <c r="AL4" s="22" t="str">
        <f>IF(INDEX('Shot Map'!$B$6:$V$26,CEILING($A4/5,1),CEILING(AL$2/5,1))=1,INDEX('Serial Reference'!$A$8:$W$8,1,FLOOR(($A4-1)/23,1)+1)&amp;INDEX('Serial Reference'!$A$8:$W$8,1,MOD($A4-1,23)+1)&amp;TEXT(AL$2+FLOOR((AL$2-1)/9,1),"000"),"")</f>
        <v/>
      </c>
      <c r="AM4" s="22" t="str">
        <f>IF(INDEX('Shot Map'!$B$6:$V$26,CEILING($A4/5,1),CEILING(AM$2/5,1))=1,INDEX('Serial Reference'!$A$8:$W$8,1,FLOOR(($A4-1)/23,1)+1)&amp;INDEX('Serial Reference'!$A$8:$W$8,1,MOD($A4-1,23)+1)&amp;TEXT(AM$2+FLOOR((AM$2-1)/9,1),"000"),"")</f>
        <v/>
      </c>
      <c r="AN4" s="22" t="str">
        <f>IF(INDEX('Shot Map'!$B$6:$V$26,CEILING($A4/5,1),CEILING(AN$2/5,1))=1,INDEX('Serial Reference'!$A$8:$W$8,1,FLOOR(($A4-1)/23,1)+1)&amp;INDEX('Serial Reference'!$A$8:$W$8,1,MOD($A4-1,23)+1)&amp;TEXT(AN$2+FLOOR((AN$2-1)/9,1),"000"),"")</f>
        <v/>
      </c>
      <c r="AO4" s="23" t="str">
        <f>IF(INDEX('Shot Map'!$B$6:$V$26,CEILING($A4/5,1),CEILING(AO$2/5,1))=1,INDEX('Serial Reference'!$A$8:$W$8,1,FLOOR(($A4-1)/23,1)+1)&amp;INDEX('Serial Reference'!$A$8:$W$8,1,MOD($A4-1,23)+1)&amp;TEXT(AO$2+FLOOR((AO$2-1)/9,1),"000"),"")</f>
        <v/>
      </c>
      <c r="AP4" s="21" t="str">
        <f>IF(INDEX('Shot Map'!$B$6:$V$26,CEILING($A4/5,1),CEILING(AP$2/5,1))=1,INDEX('Serial Reference'!$A$8:$W$8,1,FLOOR(($A4-1)/23,1)+1)&amp;INDEX('Serial Reference'!$A$8:$W$8,1,MOD($A4-1,23)+1)&amp;TEXT(AP$2+FLOOR((AP$2-1)/9,1),"000"),"")</f>
        <v/>
      </c>
      <c r="AQ4" s="22" t="str">
        <f>IF(INDEX('Shot Map'!$B$6:$V$26,CEILING($A4/5,1),CEILING(AQ$2/5,1))=1,INDEX('Serial Reference'!$A$8:$W$8,1,FLOOR(($A4-1)/23,1)+1)&amp;INDEX('Serial Reference'!$A$8:$W$8,1,MOD($A4-1,23)+1)&amp;TEXT(AQ$2+FLOOR((AQ$2-1)/9,1),"000"),"")</f>
        <v/>
      </c>
      <c r="AR4" s="22" t="str">
        <f>IF(INDEX('Shot Map'!$B$6:$V$26,CEILING($A4/5,1),CEILING(AR$2/5,1))=1,INDEX('Serial Reference'!$A$8:$W$8,1,FLOOR(($A4-1)/23,1)+1)&amp;INDEX('Serial Reference'!$A$8:$W$8,1,MOD($A4-1,23)+1)&amp;TEXT(AR$2+FLOOR((AR$2-1)/9,1),"000"),"")</f>
        <v/>
      </c>
      <c r="AS4" s="22" t="str">
        <f>IF(INDEX('Shot Map'!$B$6:$V$26,CEILING($A4/5,1),CEILING(AS$2/5,1))=1,INDEX('Serial Reference'!$A$8:$W$8,1,FLOOR(($A4-1)/23,1)+1)&amp;INDEX('Serial Reference'!$A$8:$W$8,1,MOD($A4-1,23)+1)&amp;TEXT(AS$2+FLOOR((AS$2-1)/9,1),"000"),"")</f>
        <v/>
      </c>
      <c r="AT4" s="23" t="str">
        <f>IF(INDEX('Shot Map'!$B$6:$V$26,CEILING($A4/5,1),CEILING(AT$2/5,1))=1,INDEX('Serial Reference'!$A$8:$W$8,1,FLOOR(($A4-1)/23,1)+1)&amp;INDEX('Serial Reference'!$A$8:$W$8,1,MOD($A4-1,23)+1)&amp;TEXT(AT$2+FLOOR((AT$2-1)/9,1),"000"),"")</f>
        <v/>
      </c>
      <c r="AU4" s="21" t="str">
        <f>IF(INDEX('Shot Map'!$B$6:$V$26,CEILING($A4/5,1),CEILING(AU$2/5,1))=1,INDEX('Serial Reference'!$A$8:$W$8,1,FLOOR(($A4-1)/23,1)+1)&amp;INDEX('Serial Reference'!$A$8:$W$8,1,MOD($A4-1,23)+1)&amp;TEXT(AU$2+FLOOR((AU$2-1)/9,1),"000"),"")</f>
        <v>AB051</v>
      </c>
      <c r="AV4" s="22" t="str">
        <f>IF(INDEX('Shot Map'!$B$6:$V$26,CEILING($A4/5,1),CEILING(AV$2/5,1))=1,INDEX('Serial Reference'!$A$8:$W$8,1,FLOOR(($A4-1)/23,1)+1)&amp;INDEX('Serial Reference'!$A$8:$W$8,1,MOD($A4-1,23)+1)&amp;TEXT(AV$2+FLOOR((AV$2-1)/9,1),"000"),"")</f>
        <v>AB052</v>
      </c>
      <c r="AW4" s="22" t="str">
        <f>IF(INDEX('Shot Map'!$B$6:$V$26,CEILING($A4/5,1),CEILING(AW$2/5,1))=1,INDEX('Serial Reference'!$A$8:$W$8,1,FLOOR(($A4-1)/23,1)+1)&amp;INDEX('Serial Reference'!$A$8:$W$8,1,MOD($A4-1,23)+1)&amp;TEXT(AW$2+FLOOR((AW$2-1)/9,1),"000"),"")</f>
        <v>AB053</v>
      </c>
      <c r="AX4" s="22" t="str">
        <f>IF(INDEX('Shot Map'!$B$6:$V$26,CEILING($A4/5,1),CEILING(AX$2/5,1))=1,INDEX('Serial Reference'!$A$8:$W$8,1,FLOOR(($A4-1)/23,1)+1)&amp;INDEX('Serial Reference'!$A$8:$W$8,1,MOD($A4-1,23)+1)&amp;TEXT(AX$2+FLOOR((AX$2-1)/9,1),"000"),"")</f>
        <v>AB054</v>
      </c>
      <c r="AY4" s="23" t="str">
        <f>IF(INDEX('Shot Map'!$B$6:$V$26,CEILING($A4/5,1),CEILING(AY$2/5,1))=1,INDEX('Serial Reference'!$A$8:$W$8,1,FLOOR(($A4-1)/23,1)+1)&amp;INDEX('Serial Reference'!$A$8:$W$8,1,MOD($A4-1,23)+1)&amp;TEXT(AY$2+FLOOR((AY$2-1)/9,1),"000"),"")</f>
        <v>AB055</v>
      </c>
      <c r="AZ4" s="21" t="str">
        <f>IF(INDEX('Shot Map'!$B$6:$V$26,CEILING($A4/5,1),CEILING(AZ$2/5,1))=1,INDEX('Serial Reference'!$A$8:$W$8,1,FLOOR(($A4-1)/23,1)+1)&amp;INDEX('Serial Reference'!$A$8:$W$8,1,MOD($A4-1,23)+1)&amp;TEXT(AZ$2+FLOOR((AZ$2-1)/9,1),"000"),"")</f>
        <v>AB056</v>
      </c>
      <c r="BA4" s="22" t="str">
        <f>IF(INDEX('Shot Map'!$B$6:$V$26,CEILING($A4/5,1),CEILING(BA$2/5,1))=1,INDEX('Serial Reference'!$A$8:$W$8,1,FLOOR(($A4-1)/23,1)+1)&amp;INDEX('Serial Reference'!$A$8:$W$8,1,MOD($A4-1,23)+1)&amp;TEXT(BA$2+FLOOR((BA$2-1)/9,1),"000"),"")</f>
        <v>AB057</v>
      </c>
      <c r="BB4" s="22" t="str">
        <f>IF(INDEX('Shot Map'!$B$6:$V$26,CEILING($A4/5,1),CEILING(BB$2/5,1))=1,INDEX('Serial Reference'!$A$8:$W$8,1,FLOOR(($A4-1)/23,1)+1)&amp;INDEX('Serial Reference'!$A$8:$W$8,1,MOD($A4-1,23)+1)&amp;TEXT(BB$2+FLOOR((BB$2-1)/9,1),"000"),"")</f>
        <v>AB058</v>
      </c>
      <c r="BC4" s="22" t="str">
        <f>IF(INDEX('Shot Map'!$B$6:$V$26,CEILING($A4/5,1),CEILING(BC$2/5,1))=1,INDEX('Serial Reference'!$A$8:$W$8,1,FLOOR(($A4-1)/23,1)+1)&amp;INDEX('Serial Reference'!$A$8:$W$8,1,MOD($A4-1,23)+1)&amp;TEXT(BC$2+FLOOR((BC$2-1)/9,1),"000"),"")</f>
        <v>AB059</v>
      </c>
      <c r="BD4" s="23" t="str">
        <f>IF(INDEX('Shot Map'!$B$6:$V$26,CEILING($A4/5,1),CEILING(BD$2/5,1))=1,INDEX('Serial Reference'!$A$8:$W$8,1,FLOOR(($A4-1)/23,1)+1)&amp;INDEX('Serial Reference'!$A$8:$W$8,1,MOD($A4-1,23)+1)&amp;TEXT(BD$2+FLOOR((BD$2-1)/9,1),"000"),"")</f>
        <v>AB061</v>
      </c>
      <c r="BE4" s="21" t="str">
        <f>IF(INDEX('Shot Map'!$B$6:$V$26,CEILING($A4/5,1),CEILING(BE$2/5,1))=1,INDEX('Serial Reference'!$A$8:$W$8,1,FLOOR(($A4-1)/23,1)+1)&amp;INDEX('Serial Reference'!$A$8:$W$8,1,MOD($A4-1,23)+1)&amp;TEXT(BE$2+FLOOR((BE$2-1)/9,1),"000"),"")</f>
        <v>AB062</v>
      </c>
      <c r="BF4" s="22" t="str">
        <f>IF(INDEX('Shot Map'!$B$6:$V$26,CEILING($A4/5,1),CEILING(BF$2/5,1))=1,INDEX('Serial Reference'!$A$8:$W$8,1,FLOOR(($A4-1)/23,1)+1)&amp;INDEX('Serial Reference'!$A$8:$W$8,1,MOD($A4-1,23)+1)&amp;TEXT(BF$2+FLOOR((BF$2-1)/9,1),"000"),"")</f>
        <v>AB063</v>
      </c>
      <c r="BG4" s="22" t="str">
        <f>IF(INDEX('Shot Map'!$B$6:$V$26,CEILING($A4/5,1),CEILING(BG$2/5,1))=1,INDEX('Serial Reference'!$A$8:$W$8,1,FLOOR(($A4-1)/23,1)+1)&amp;INDEX('Serial Reference'!$A$8:$W$8,1,MOD($A4-1,23)+1)&amp;TEXT(BG$2+FLOOR((BG$2-1)/9,1),"000"),"")</f>
        <v>AB064</v>
      </c>
      <c r="BH4" s="22" t="str">
        <f>IF(INDEX('Shot Map'!$B$6:$V$26,CEILING($A4/5,1),CEILING(BH$2/5,1))=1,INDEX('Serial Reference'!$A$8:$W$8,1,FLOOR(($A4-1)/23,1)+1)&amp;INDEX('Serial Reference'!$A$8:$W$8,1,MOD($A4-1,23)+1)&amp;TEXT(BH$2+FLOOR((BH$2-1)/9,1),"000"),"")</f>
        <v>AB065</v>
      </c>
      <c r="BI4" s="23" t="str">
        <f>IF(INDEX('Shot Map'!$B$6:$V$26,CEILING($A4/5,1),CEILING(BI$2/5,1))=1,INDEX('Serial Reference'!$A$8:$W$8,1,FLOOR(($A4-1)/23,1)+1)&amp;INDEX('Serial Reference'!$A$8:$W$8,1,MOD($A4-1,23)+1)&amp;TEXT(BI$2+FLOOR((BI$2-1)/9,1),"000"),"")</f>
        <v>AB066</v>
      </c>
      <c r="BJ4" s="21" t="str">
        <f>IF(INDEX('Shot Map'!$B$6:$V$26,CEILING($A4/5,1),CEILING(BJ$2/5,1))=1,INDEX('Serial Reference'!$A$8:$W$8,1,FLOOR(($A4-1)/23,1)+1)&amp;INDEX('Serial Reference'!$A$8:$W$8,1,MOD($A4-1,23)+1)&amp;TEXT(BJ$2+FLOOR((BJ$2-1)/9,1),"000"),"")</f>
        <v/>
      </c>
      <c r="BK4" s="22" t="str">
        <f>IF(INDEX('Shot Map'!$B$6:$V$26,CEILING($A4/5,1),CEILING(BK$2/5,1))=1,INDEX('Serial Reference'!$A$8:$W$8,1,FLOOR(($A4-1)/23,1)+1)&amp;INDEX('Serial Reference'!$A$8:$W$8,1,MOD($A4-1,23)+1)&amp;TEXT(BK$2+FLOOR((BK$2-1)/9,1),"000"),"")</f>
        <v/>
      </c>
      <c r="BL4" s="22" t="str">
        <f>IF(INDEX('Shot Map'!$B$6:$V$26,CEILING($A4/5,1),CEILING(BL$2/5,1))=1,INDEX('Serial Reference'!$A$8:$W$8,1,FLOOR(($A4-1)/23,1)+1)&amp;INDEX('Serial Reference'!$A$8:$W$8,1,MOD($A4-1,23)+1)&amp;TEXT(BL$2+FLOOR((BL$2-1)/9,1),"000"),"")</f>
        <v/>
      </c>
      <c r="BM4" s="22" t="str">
        <f>IF(INDEX('Shot Map'!$B$6:$V$26,CEILING($A4/5,1),CEILING(BM$2/5,1))=1,INDEX('Serial Reference'!$A$8:$W$8,1,FLOOR(($A4-1)/23,1)+1)&amp;INDEX('Serial Reference'!$A$8:$W$8,1,MOD($A4-1,23)+1)&amp;TEXT(BM$2+FLOOR((BM$2-1)/9,1),"000"),"")</f>
        <v/>
      </c>
      <c r="BN4" s="23" t="str">
        <f>IF(INDEX('Shot Map'!$B$6:$V$26,CEILING($A4/5,1),CEILING(BN$2/5,1))=1,INDEX('Serial Reference'!$A$8:$W$8,1,FLOOR(($A4-1)/23,1)+1)&amp;INDEX('Serial Reference'!$A$8:$W$8,1,MOD($A4-1,23)+1)&amp;TEXT(BN$2+FLOOR((BN$2-1)/9,1),"000"),"")</f>
        <v/>
      </c>
      <c r="BO4" s="21" t="str">
        <f>IF(INDEX('Shot Map'!$B$6:$V$26,CEILING($A4/5,1),CEILING(BO$2/5,1))=1,INDEX('Serial Reference'!$A$8:$W$8,1,FLOOR(($A4-1)/23,1)+1)&amp;INDEX('Serial Reference'!$A$8:$W$8,1,MOD($A4-1,23)+1)&amp;TEXT(BO$2+FLOOR((BO$2-1)/9,1),"000"),"")</f>
        <v/>
      </c>
      <c r="BP4" s="22" t="str">
        <f>IF(INDEX('Shot Map'!$B$6:$V$26,CEILING($A4/5,1),CEILING(BP$2/5,1))=1,INDEX('Serial Reference'!$A$8:$W$8,1,FLOOR(($A4-1)/23,1)+1)&amp;INDEX('Serial Reference'!$A$8:$W$8,1,MOD($A4-1,23)+1)&amp;TEXT(BP$2+FLOOR((BP$2-1)/9,1),"000"),"")</f>
        <v/>
      </c>
      <c r="BQ4" s="22" t="str">
        <f>IF(INDEX('Shot Map'!$B$6:$V$26,CEILING($A4/5,1),CEILING(BQ$2/5,1))=1,INDEX('Serial Reference'!$A$8:$W$8,1,FLOOR(($A4-1)/23,1)+1)&amp;INDEX('Serial Reference'!$A$8:$W$8,1,MOD($A4-1,23)+1)&amp;TEXT(BQ$2+FLOOR((BQ$2-1)/9,1),"000"),"")</f>
        <v/>
      </c>
      <c r="BR4" s="22" t="str">
        <f>IF(INDEX('Shot Map'!$B$6:$V$26,CEILING($A4/5,1),CEILING(BR$2/5,1))=1,INDEX('Serial Reference'!$A$8:$W$8,1,FLOOR(($A4-1)/23,1)+1)&amp;INDEX('Serial Reference'!$A$8:$W$8,1,MOD($A4-1,23)+1)&amp;TEXT(BR$2+FLOOR((BR$2-1)/9,1),"000"),"")</f>
        <v/>
      </c>
      <c r="BS4" s="23" t="str">
        <f>IF(INDEX('Shot Map'!$B$6:$V$26,CEILING($A4/5,1),CEILING(BS$2/5,1))=1,INDEX('Serial Reference'!$A$8:$W$8,1,FLOOR(($A4-1)/23,1)+1)&amp;INDEX('Serial Reference'!$A$8:$W$8,1,MOD($A4-1,23)+1)&amp;TEXT(BS$2+FLOOR((BS$2-1)/9,1),"000"),"")</f>
        <v/>
      </c>
      <c r="BT4" s="21" t="str">
        <f>IF(INDEX('Shot Map'!$B$6:$V$26,CEILING($A4/5,1),CEILING(BT$2/5,1))=1,INDEX('Serial Reference'!$A$8:$W$8,1,FLOOR(($A4-1)/23,1)+1)&amp;INDEX('Serial Reference'!$A$8:$W$8,1,MOD($A4-1,23)+1)&amp;TEXT(BT$2+FLOOR((BT$2-1)/9,1),"000"),"")</f>
        <v/>
      </c>
      <c r="BU4" s="22" t="str">
        <f>IF(INDEX('Shot Map'!$B$6:$V$26,CEILING($A4/5,1),CEILING(BU$2/5,1))=1,INDEX('Serial Reference'!$A$8:$W$8,1,FLOOR(($A4-1)/23,1)+1)&amp;INDEX('Serial Reference'!$A$8:$W$8,1,MOD($A4-1,23)+1)&amp;TEXT(BU$2+FLOOR((BU$2-1)/9,1),"000"),"")</f>
        <v/>
      </c>
      <c r="BV4" s="22" t="str">
        <f>IF(INDEX('Shot Map'!$B$6:$V$26,CEILING($A4/5,1),CEILING(BV$2/5,1))=1,INDEX('Serial Reference'!$A$8:$W$8,1,FLOOR(($A4-1)/23,1)+1)&amp;INDEX('Serial Reference'!$A$8:$W$8,1,MOD($A4-1,23)+1)&amp;TEXT(BV$2+FLOOR((BV$2-1)/9,1),"000"),"")</f>
        <v/>
      </c>
      <c r="BW4" s="22" t="str">
        <f>IF(INDEX('Shot Map'!$B$6:$V$26,CEILING($A4/5,1),CEILING(BW$2/5,1))=1,INDEX('Serial Reference'!$A$8:$W$8,1,FLOOR(($A4-1)/23,1)+1)&amp;INDEX('Serial Reference'!$A$8:$W$8,1,MOD($A4-1,23)+1)&amp;TEXT(BW$2+FLOOR((BW$2-1)/9,1),"000"),"")</f>
        <v/>
      </c>
      <c r="BX4" s="23" t="str">
        <f>IF(INDEX('Shot Map'!$B$6:$V$26,CEILING($A4/5,1),CEILING(BX$2/5,1))=1,INDEX('Serial Reference'!$A$8:$W$8,1,FLOOR(($A4-1)/23,1)+1)&amp;INDEX('Serial Reference'!$A$8:$W$8,1,MOD($A4-1,23)+1)&amp;TEXT(BX$2+FLOOR((BX$2-1)/9,1),"000"),"")</f>
        <v/>
      </c>
      <c r="BY4" s="21" t="str">
        <f>IF(INDEX('Shot Map'!$B$6:$V$26,CEILING($A4/5,1),CEILING(BY$2/5,1))=1,INDEX('Serial Reference'!$A$8:$W$8,1,FLOOR(($A4-1)/23,1)+1)&amp;INDEX('Serial Reference'!$A$8:$W$8,1,MOD($A4-1,23)+1)&amp;TEXT(BY$2+FLOOR((BY$2-1)/9,1),"000"),"")</f>
        <v/>
      </c>
      <c r="BZ4" s="22" t="str">
        <f>IF(INDEX('Shot Map'!$B$6:$V$26,CEILING($A4/5,1),CEILING(BZ$2/5,1))=1,INDEX('Serial Reference'!$A$8:$W$8,1,FLOOR(($A4-1)/23,1)+1)&amp;INDEX('Serial Reference'!$A$8:$W$8,1,MOD($A4-1,23)+1)&amp;TEXT(BZ$2+FLOOR((BZ$2-1)/9,1),"000"),"")</f>
        <v/>
      </c>
      <c r="CA4" s="22" t="str">
        <f>IF(INDEX('Shot Map'!$B$6:$V$26,CEILING($A4/5,1),CEILING(CA$2/5,1))=1,INDEX('Serial Reference'!$A$8:$W$8,1,FLOOR(($A4-1)/23,1)+1)&amp;INDEX('Serial Reference'!$A$8:$W$8,1,MOD($A4-1,23)+1)&amp;TEXT(CA$2+FLOOR((CA$2-1)/9,1),"000"),"")</f>
        <v/>
      </c>
      <c r="CB4" s="22" t="str">
        <f>IF(INDEX('Shot Map'!$B$6:$V$26,CEILING($A4/5,1),CEILING(CB$2/5,1))=1,INDEX('Serial Reference'!$A$8:$W$8,1,FLOOR(($A4-1)/23,1)+1)&amp;INDEX('Serial Reference'!$A$8:$W$8,1,MOD($A4-1,23)+1)&amp;TEXT(CB$2+FLOOR((CB$2-1)/9,1),"000"),"")</f>
        <v/>
      </c>
      <c r="CC4" s="23" t="str">
        <f>IF(INDEX('Shot Map'!$B$6:$V$26,CEILING($A4/5,1),CEILING(CC$2/5,1))=1,INDEX('Serial Reference'!$A$8:$W$8,1,FLOOR(($A4-1)/23,1)+1)&amp;INDEX('Serial Reference'!$A$8:$W$8,1,MOD($A4-1,23)+1)&amp;TEXT(CC$2+FLOOR((CC$2-1)/9,1),"000"),"")</f>
        <v/>
      </c>
      <c r="CD4" s="21" t="str">
        <f>IF(INDEX('Shot Map'!$B$6:$V$26,CEILING($A4/5,1),CEILING(CD$2/5,1))=1,INDEX('Serial Reference'!$A$8:$W$8,1,FLOOR(($A4-1)/23,1)+1)&amp;INDEX('Serial Reference'!$A$8:$W$8,1,MOD($A4-1,23)+1)&amp;TEXT(CD$2+FLOOR((CD$2-1)/9,1),"000"),"")</f>
        <v/>
      </c>
      <c r="CE4" s="22" t="str">
        <f>IF(INDEX('Shot Map'!$B$6:$V$26,CEILING($A4/5,1),CEILING(CE$2/5,1))=1,INDEX('Serial Reference'!$A$8:$W$8,1,FLOOR(($A4-1)/23,1)+1)&amp;INDEX('Serial Reference'!$A$8:$W$8,1,MOD($A4-1,23)+1)&amp;TEXT(CE$2+FLOOR((CE$2-1)/9,1),"000"),"")</f>
        <v/>
      </c>
      <c r="CF4" s="22" t="str">
        <f>IF(INDEX('Shot Map'!$B$6:$V$26,CEILING($A4/5,1),CEILING(CF$2/5,1))=1,INDEX('Serial Reference'!$A$8:$W$8,1,FLOOR(($A4-1)/23,1)+1)&amp;INDEX('Serial Reference'!$A$8:$W$8,1,MOD($A4-1,23)+1)&amp;TEXT(CF$2+FLOOR((CF$2-1)/9,1),"000"),"")</f>
        <v/>
      </c>
      <c r="CG4" s="22" t="str">
        <f>IF(INDEX('Shot Map'!$B$6:$V$26,CEILING($A4/5,1),CEILING(CG$2/5,1))=1,INDEX('Serial Reference'!$A$8:$W$8,1,FLOOR(($A4-1)/23,1)+1)&amp;INDEX('Serial Reference'!$A$8:$W$8,1,MOD($A4-1,23)+1)&amp;TEXT(CG$2+FLOOR((CG$2-1)/9,1),"000"),"")</f>
        <v/>
      </c>
      <c r="CH4" s="23" t="str">
        <f>IF(INDEX('Shot Map'!$B$6:$V$26,CEILING($A4/5,1),CEILING(CH$2/5,1))=1,INDEX('Serial Reference'!$A$8:$W$8,1,FLOOR(($A4-1)/23,1)+1)&amp;INDEX('Serial Reference'!$A$8:$W$8,1,MOD($A4-1,23)+1)&amp;TEXT(CH$2+FLOOR((CH$2-1)/9,1),"000"),"")</f>
        <v/>
      </c>
      <c r="CI4" s="21" t="str">
        <f>IF(INDEX('Shot Map'!$B$6:$V$26,CEILING($A4/5,1),CEILING(CI$2/5,1))=1,INDEX('Serial Reference'!$A$8:$W$8,1,FLOOR(($A4-1)/23,1)+1)&amp;INDEX('Serial Reference'!$A$8:$W$8,1,MOD($A4-1,23)+1)&amp;TEXT(CI$2+FLOOR((CI$2-1)/9,1),"000"),"")</f>
        <v/>
      </c>
      <c r="CJ4" s="22" t="str">
        <f>IF(INDEX('Shot Map'!$B$6:$V$26,CEILING($A4/5,1),CEILING(CJ$2/5,1))=1,INDEX('Serial Reference'!$A$8:$W$8,1,FLOOR(($A4-1)/23,1)+1)&amp;INDEX('Serial Reference'!$A$8:$W$8,1,MOD($A4-1,23)+1)&amp;TEXT(CJ$2+FLOOR((CJ$2-1)/9,1),"000"),"")</f>
        <v/>
      </c>
      <c r="CK4" s="22" t="str">
        <f>IF(INDEX('Shot Map'!$B$6:$V$26,CEILING($A4/5,1),CEILING(CK$2/5,1))=1,INDEX('Serial Reference'!$A$8:$W$8,1,FLOOR(($A4-1)/23,1)+1)&amp;INDEX('Serial Reference'!$A$8:$W$8,1,MOD($A4-1,23)+1)&amp;TEXT(CK$2+FLOOR((CK$2-1)/9,1),"000"),"")</f>
        <v/>
      </c>
      <c r="CL4" s="22" t="str">
        <f>IF(INDEX('Shot Map'!$B$6:$V$26,CEILING($A4/5,1),CEILING(CL$2/5,1))=1,INDEX('Serial Reference'!$A$8:$W$8,1,FLOOR(($A4-1)/23,1)+1)&amp;INDEX('Serial Reference'!$A$8:$W$8,1,MOD($A4-1,23)+1)&amp;TEXT(CL$2+FLOOR((CL$2-1)/9,1),"000"),"")</f>
        <v/>
      </c>
      <c r="CM4" s="23" t="str">
        <f>IF(INDEX('Shot Map'!$B$6:$V$26,CEILING($A4/5,1),CEILING(CM$2/5,1))=1,INDEX('Serial Reference'!$A$8:$W$8,1,FLOOR(($A4-1)/23,1)+1)&amp;INDEX('Serial Reference'!$A$8:$W$8,1,MOD($A4-1,23)+1)&amp;TEXT(CM$2+FLOOR((CM$2-1)/9,1),"000"),"")</f>
        <v/>
      </c>
      <c r="CN4" s="21" t="str">
        <f>IF(INDEX('Shot Map'!$B$6:$V$26,CEILING($A4/5,1),CEILING(CN$2/5,1))=1,INDEX('Serial Reference'!$A$8:$W$8,1,FLOOR(($A4-1)/23,1)+1)&amp;INDEX('Serial Reference'!$A$8:$W$8,1,MOD($A4-1,23)+1)&amp;TEXT(CN$2+FLOOR((CN$2-1)/9,1),"000"),"")</f>
        <v/>
      </c>
      <c r="CO4" s="22" t="str">
        <f>IF(INDEX('Shot Map'!$B$6:$V$26,CEILING($A4/5,1),CEILING(CO$2/5,1))=1,INDEX('Serial Reference'!$A$8:$W$8,1,FLOOR(($A4-1)/23,1)+1)&amp;INDEX('Serial Reference'!$A$8:$W$8,1,MOD($A4-1,23)+1)&amp;TEXT(CO$2+FLOOR((CO$2-1)/9,1),"000"),"")</f>
        <v/>
      </c>
      <c r="CP4" s="22" t="str">
        <f>IF(INDEX('Shot Map'!$B$6:$V$26,CEILING($A4/5,1),CEILING(CP$2/5,1))=1,INDEX('Serial Reference'!$A$8:$W$8,1,FLOOR(($A4-1)/23,1)+1)&amp;INDEX('Serial Reference'!$A$8:$W$8,1,MOD($A4-1,23)+1)&amp;TEXT(CP$2+FLOOR((CP$2-1)/9,1),"000"),"")</f>
        <v/>
      </c>
      <c r="CQ4" s="22" t="str">
        <f>IF(INDEX('Shot Map'!$B$6:$V$26,CEILING($A4/5,1),CEILING(CQ$2/5,1))=1,INDEX('Serial Reference'!$A$8:$W$8,1,FLOOR(($A4-1)/23,1)+1)&amp;INDEX('Serial Reference'!$A$8:$W$8,1,MOD($A4-1,23)+1)&amp;TEXT(CQ$2+FLOOR((CQ$2-1)/9,1),"000"),"")</f>
        <v/>
      </c>
      <c r="CR4" s="23" t="str">
        <f>IF(INDEX('Shot Map'!$B$6:$V$26,CEILING($A4/5,1),CEILING(CR$2/5,1))=1,INDEX('Serial Reference'!$A$8:$W$8,1,FLOOR(($A4-1)/23,1)+1)&amp;INDEX('Serial Reference'!$A$8:$W$8,1,MOD($A4-1,23)+1)&amp;TEXT(CR$2+FLOOR((CR$2-1)/9,1),"000"),"")</f>
        <v/>
      </c>
      <c r="CS4" s="21" t="str">
        <f>IF(INDEX('Shot Map'!$B$6:$V$26,CEILING($A4/5,1),CEILING(CS$2/5,1))=1,INDEX('Serial Reference'!$A$8:$W$8,1,FLOOR(($A4-1)/23,1)+1)&amp;INDEX('Serial Reference'!$A$8:$W$8,1,MOD($A4-1,23)+1)&amp;TEXT(CS$2+FLOOR((CS$2-1)/9,1),"000"),"")</f>
        <v/>
      </c>
      <c r="CT4" s="22" t="str">
        <f>IF(INDEX('Shot Map'!$B$6:$V$26,CEILING($A4/5,1),CEILING(CT$2/5,1))=1,INDEX('Serial Reference'!$A$8:$W$8,1,FLOOR(($A4-1)/23,1)+1)&amp;INDEX('Serial Reference'!$A$8:$W$8,1,MOD($A4-1,23)+1)&amp;TEXT(CT$2+FLOOR((CT$2-1)/9,1),"000"),"")</f>
        <v/>
      </c>
      <c r="CU4" s="22" t="str">
        <f>IF(INDEX('Shot Map'!$B$6:$V$26,CEILING($A4/5,1),CEILING(CU$2/5,1))=1,INDEX('Serial Reference'!$A$8:$W$8,1,FLOOR(($A4-1)/23,1)+1)&amp;INDEX('Serial Reference'!$A$8:$W$8,1,MOD($A4-1,23)+1)&amp;TEXT(CU$2+FLOOR((CU$2-1)/9,1),"000"),"")</f>
        <v/>
      </c>
      <c r="CV4" s="22" t="str">
        <f>IF(INDEX('Shot Map'!$B$6:$V$26,CEILING($A4/5,1),CEILING(CV$2/5,1))=1,INDEX('Serial Reference'!$A$8:$W$8,1,FLOOR(($A4-1)/23,1)+1)&amp;INDEX('Serial Reference'!$A$8:$W$8,1,MOD($A4-1,23)+1)&amp;TEXT(CV$2+FLOOR((CV$2-1)/9,1),"000"),"")</f>
        <v/>
      </c>
      <c r="CW4" s="23" t="str">
        <f>IF(INDEX('Shot Map'!$B$6:$V$26,CEILING($A4/5,1),CEILING(CW$2/5,1))=1,INDEX('Serial Reference'!$A$8:$W$8,1,FLOOR(($A4-1)/23,1)+1)&amp;INDEX('Serial Reference'!$A$8:$W$8,1,MOD($A4-1,23)+1)&amp;TEXT(CW$2+FLOOR((CW$2-1)/9,1),"000"),"")</f>
        <v/>
      </c>
      <c r="CX4" s="21" t="str">
        <f>IF(INDEX('Shot Map'!$B$6:$V$26,CEILING($A4/5,1),CEILING(CX$2/5,1))=1,INDEX('Serial Reference'!$A$8:$W$8,1,FLOOR(($A4-1)/23,1)+1)&amp;INDEX('Serial Reference'!$A$8:$W$8,1,MOD($A4-1,23)+1)&amp;TEXT(CX$2+FLOOR((CX$2-1)/9,1),"000"),"")</f>
        <v/>
      </c>
      <c r="CY4" s="22" t="str">
        <f>IF(INDEX('Shot Map'!$B$6:$V$26,CEILING($A4/5,1),CEILING(CY$2/5,1))=1,INDEX('Serial Reference'!$A$8:$W$8,1,FLOOR(($A4-1)/23,1)+1)&amp;INDEX('Serial Reference'!$A$8:$W$8,1,MOD($A4-1,23)+1)&amp;TEXT(CY$2+FLOOR((CY$2-1)/9,1),"000"),"")</f>
        <v/>
      </c>
      <c r="CZ4" s="22" t="str">
        <f>IF(INDEX('Shot Map'!$B$6:$V$26,CEILING($A4/5,1),CEILING(CZ$2/5,1))=1,INDEX('Serial Reference'!$A$8:$W$8,1,FLOOR(($A4-1)/23,1)+1)&amp;INDEX('Serial Reference'!$A$8:$W$8,1,MOD($A4-1,23)+1)&amp;TEXT(CZ$2+FLOOR((CZ$2-1)/9,1),"000"),"")</f>
        <v/>
      </c>
      <c r="DA4" s="22" t="str">
        <f>IF(INDEX('Shot Map'!$B$6:$V$26,CEILING($A4/5,1),CEILING(DA$2/5,1))=1,INDEX('Serial Reference'!$A$8:$W$8,1,FLOOR(($A4-1)/23,1)+1)&amp;INDEX('Serial Reference'!$A$8:$W$8,1,MOD($A4-1,23)+1)&amp;TEXT(DA$2+FLOOR((DA$2-1)/9,1),"000"),"")</f>
        <v/>
      </c>
      <c r="DB4" s="23" t="str">
        <f>IF(INDEX('Shot Map'!$B$6:$V$26,CEILING($A4/5,1),CEILING(DB$2/5,1))=1,INDEX('Serial Reference'!$A$8:$W$8,1,FLOOR(($A4-1)/23,1)+1)&amp;INDEX('Serial Reference'!$A$8:$W$8,1,MOD($A4-1,23)+1)&amp;TEXT(DB$2+FLOOR((DB$2-1)/9,1),"000"),"")</f>
        <v/>
      </c>
    </row>
    <row r="5" spans="1:106" ht="12.75" customHeight="1" x14ac:dyDescent="0.25">
      <c r="A5" s="17">
        <v>3</v>
      </c>
      <c r="B5" s="21" t="str">
        <f>IF(INDEX('Shot Map'!$B$6:$V$26,CEILING($A5/5,1),CEILING(B$2/5,1))=1,INDEX('Serial Reference'!$A$8:$W$8,1,FLOOR(($A5-1)/23,1)+1)&amp;INDEX('Serial Reference'!$A$8:$W$8,1,MOD($A5-1,23)+1)&amp;TEXT(B$2+FLOOR((B$2-1)/9,1),"000"),"")</f>
        <v/>
      </c>
      <c r="C5" s="22" t="str">
        <f>IF(INDEX('Shot Map'!$B$6:$V$26,CEILING($A5/5,1),CEILING(C$2/5,1))=1,INDEX('Serial Reference'!$A$8:$W$8,1,FLOOR(($A5-1)/23,1)+1)&amp;INDEX('Serial Reference'!$A$8:$W$8,1,MOD($A5-1,23)+1)&amp;TEXT(C$2+FLOOR((C$2-1)/9,1),"000"),"")</f>
        <v/>
      </c>
      <c r="D5" s="22" t="str">
        <f>IF(INDEX('Shot Map'!$B$6:$V$26,CEILING($A5/5,1),CEILING(D$2/5,1))=1,INDEX('Serial Reference'!$A$8:$W$8,1,FLOOR(($A5-1)/23,1)+1)&amp;INDEX('Serial Reference'!$A$8:$W$8,1,MOD($A5-1,23)+1)&amp;TEXT(D$2+FLOOR((D$2-1)/9,1),"000"),"")</f>
        <v/>
      </c>
      <c r="E5" s="22" t="str">
        <f>IF(INDEX('Shot Map'!$B$6:$V$26,CEILING($A5/5,1),CEILING(E$2/5,1))=1,INDEX('Serial Reference'!$A$8:$W$8,1,FLOOR(($A5-1)/23,1)+1)&amp;INDEX('Serial Reference'!$A$8:$W$8,1,MOD($A5-1,23)+1)&amp;TEXT(E$2+FLOOR((E$2-1)/9,1),"000"),"")</f>
        <v/>
      </c>
      <c r="F5" s="23" t="str">
        <f>IF(INDEX('Shot Map'!$B$6:$V$26,CEILING($A5/5,1),CEILING(F$2/5,1))=1,INDEX('Serial Reference'!$A$8:$W$8,1,FLOOR(($A5-1)/23,1)+1)&amp;INDEX('Serial Reference'!$A$8:$W$8,1,MOD($A5-1,23)+1)&amp;TEXT(F$2+FLOOR((F$2-1)/9,1),"000"),"")</f>
        <v/>
      </c>
      <c r="G5" s="21" t="str">
        <f>IF(INDEX('Shot Map'!$B$6:$V$26,CEILING($A5/5,1),CEILING(G$2/5,1))=1,INDEX('Serial Reference'!$A$8:$W$8,1,FLOOR(($A5-1)/23,1)+1)&amp;INDEX('Serial Reference'!$A$8:$W$8,1,MOD($A5-1,23)+1)&amp;TEXT(G$2+FLOOR((G$2-1)/9,1),"000"),"")</f>
        <v/>
      </c>
      <c r="H5" s="22" t="str">
        <f>IF(INDEX('Shot Map'!$B$6:$V$26,CEILING($A5/5,1),CEILING(H$2/5,1))=1,INDEX('Serial Reference'!$A$8:$W$8,1,FLOOR(($A5-1)/23,1)+1)&amp;INDEX('Serial Reference'!$A$8:$W$8,1,MOD($A5-1,23)+1)&amp;TEXT(H$2+FLOOR((H$2-1)/9,1),"000"),"")</f>
        <v/>
      </c>
      <c r="I5" s="22" t="str">
        <f>IF(INDEX('Shot Map'!$B$6:$V$26,CEILING($A5/5,1),CEILING(I$2/5,1))=1,INDEX('Serial Reference'!$A$8:$W$8,1,FLOOR(($A5-1)/23,1)+1)&amp;INDEX('Serial Reference'!$A$8:$W$8,1,MOD($A5-1,23)+1)&amp;TEXT(I$2+FLOOR((I$2-1)/9,1),"000"),"")</f>
        <v/>
      </c>
      <c r="J5" s="22" t="str">
        <f>IF(INDEX('Shot Map'!$B$6:$V$26,CEILING($A5/5,1),CEILING(J$2/5,1))=1,INDEX('Serial Reference'!$A$8:$W$8,1,FLOOR(($A5-1)/23,1)+1)&amp;INDEX('Serial Reference'!$A$8:$W$8,1,MOD($A5-1,23)+1)&amp;TEXT(J$2+FLOOR((J$2-1)/9,1),"000"),"")</f>
        <v/>
      </c>
      <c r="K5" s="23" t="str">
        <f>IF(INDEX('Shot Map'!$B$6:$V$26,CEILING($A5/5,1),CEILING(K$2/5,1))=1,INDEX('Serial Reference'!$A$8:$W$8,1,FLOOR(($A5-1)/23,1)+1)&amp;INDEX('Serial Reference'!$A$8:$W$8,1,MOD($A5-1,23)+1)&amp;TEXT(K$2+FLOOR((K$2-1)/9,1),"000"),"")</f>
        <v/>
      </c>
      <c r="L5" s="21" t="str">
        <f>IF(INDEX('Shot Map'!$B$6:$V$26,CEILING($A5/5,1),CEILING(L$2/5,1))=1,INDEX('Serial Reference'!$A$8:$W$8,1,FLOOR(($A5-1)/23,1)+1)&amp;INDEX('Serial Reference'!$A$8:$W$8,1,MOD($A5-1,23)+1)&amp;TEXT(L$2+FLOOR((L$2-1)/9,1),"000"),"")</f>
        <v/>
      </c>
      <c r="M5" s="22" t="str">
        <f>IF(INDEX('Shot Map'!$B$6:$V$26,CEILING($A5/5,1),CEILING(M$2/5,1))=1,INDEX('Serial Reference'!$A$8:$W$8,1,FLOOR(($A5-1)/23,1)+1)&amp;INDEX('Serial Reference'!$A$8:$W$8,1,MOD($A5-1,23)+1)&amp;TEXT(M$2+FLOOR((M$2-1)/9,1),"000"),"")</f>
        <v/>
      </c>
      <c r="N5" s="22" t="str">
        <f>IF(INDEX('Shot Map'!$B$6:$V$26,CEILING($A5/5,1),CEILING(N$2/5,1))=1,INDEX('Serial Reference'!$A$8:$W$8,1,FLOOR(($A5-1)/23,1)+1)&amp;INDEX('Serial Reference'!$A$8:$W$8,1,MOD($A5-1,23)+1)&amp;TEXT(N$2+FLOOR((N$2-1)/9,1),"000"),"")</f>
        <v/>
      </c>
      <c r="O5" s="22" t="str">
        <f>IF(INDEX('Shot Map'!$B$6:$V$26,CEILING($A5/5,1),CEILING(O$2/5,1))=1,INDEX('Serial Reference'!$A$8:$W$8,1,FLOOR(($A5-1)/23,1)+1)&amp;INDEX('Serial Reference'!$A$8:$W$8,1,MOD($A5-1,23)+1)&amp;TEXT(O$2+FLOOR((O$2-1)/9,1),"000"),"")</f>
        <v/>
      </c>
      <c r="P5" s="23" t="str">
        <f>IF(INDEX('Shot Map'!$B$6:$V$26,CEILING($A5/5,1),CEILING(P$2/5,1))=1,INDEX('Serial Reference'!$A$8:$W$8,1,FLOOR(($A5-1)/23,1)+1)&amp;INDEX('Serial Reference'!$A$8:$W$8,1,MOD($A5-1,23)+1)&amp;TEXT(P$2+FLOOR((P$2-1)/9,1),"000"),"")</f>
        <v/>
      </c>
      <c r="Q5" s="21" t="str">
        <f>IF(INDEX('Shot Map'!$B$6:$V$26,CEILING($A5/5,1),CEILING(Q$2/5,1))=1,INDEX('Serial Reference'!$A$8:$W$8,1,FLOOR(($A5-1)/23,1)+1)&amp;INDEX('Serial Reference'!$A$8:$W$8,1,MOD($A5-1,23)+1)&amp;TEXT(Q$2+FLOOR((Q$2-1)/9,1),"000"),"")</f>
        <v/>
      </c>
      <c r="R5" s="22" t="str">
        <f>IF(INDEX('Shot Map'!$B$6:$V$26,CEILING($A5/5,1),CEILING(R$2/5,1))=1,INDEX('Serial Reference'!$A$8:$W$8,1,FLOOR(($A5-1)/23,1)+1)&amp;INDEX('Serial Reference'!$A$8:$W$8,1,MOD($A5-1,23)+1)&amp;TEXT(R$2+FLOOR((R$2-1)/9,1),"000"),"")</f>
        <v/>
      </c>
      <c r="S5" s="22" t="str">
        <f>IF(INDEX('Shot Map'!$B$6:$V$26,CEILING($A5/5,1),CEILING(S$2/5,1))=1,INDEX('Serial Reference'!$A$8:$W$8,1,FLOOR(($A5-1)/23,1)+1)&amp;INDEX('Serial Reference'!$A$8:$W$8,1,MOD($A5-1,23)+1)&amp;TEXT(S$2+FLOOR((S$2-1)/9,1),"000"),"")</f>
        <v/>
      </c>
      <c r="T5" s="22" t="str">
        <f>IF(INDEX('Shot Map'!$B$6:$V$26,CEILING($A5/5,1),CEILING(T$2/5,1))=1,INDEX('Serial Reference'!$A$8:$W$8,1,FLOOR(($A5-1)/23,1)+1)&amp;INDEX('Serial Reference'!$A$8:$W$8,1,MOD($A5-1,23)+1)&amp;TEXT(T$2+FLOOR((T$2-1)/9,1),"000"),"")</f>
        <v/>
      </c>
      <c r="U5" s="23" t="str">
        <f>IF(INDEX('Shot Map'!$B$6:$V$26,CEILING($A5/5,1),CEILING(U$2/5,1))=1,INDEX('Serial Reference'!$A$8:$W$8,1,FLOOR(($A5-1)/23,1)+1)&amp;INDEX('Serial Reference'!$A$8:$W$8,1,MOD($A5-1,23)+1)&amp;TEXT(U$2+FLOOR((U$2-1)/9,1),"000"),"")</f>
        <v/>
      </c>
      <c r="V5" s="21" t="str">
        <f>IF(INDEX('Shot Map'!$B$6:$V$26,CEILING($A5/5,1),CEILING(V$2/5,1))=1,INDEX('Serial Reference'!$A$8:$W$8,1,FLOOR(($A5-1)/23,1)+1)&amp;INDEX('Serial Reference'!$A$8:$W$8,1,MOD($A5-1,23)+1)&amp;TEXT(V$2+FLOOR((V$2-1)/9,1),"000"),"")</f>
        <v/>
      </c>
      <c r="W5" s="22" t="str">
        <f>IF(INDEX('Shot Map'!$B$6:$V$26,CEILING($A5/5,1),CEILING(W$2/5,1))=1,INDEX('Serial Reference'!$A$8:$W$8,1,FLOOR(($A5-1)/23,1)+1)&amp;INDEX('Serial Reference'!$A$8:$W$8,1,MOD($A5-1,23)+1)&amp;TEXT(W$2+FLOOR((W$2-1)/9,1),"000"),"")</f>
        <v/>
      </c>
      <c r="X5" s="22" t="str">
        <f>IF(INDEX('Shot Map'!$B$6:$V$26,CEILING($A5/5,1),CEILING(X$2/5,1))=1,INDEX('Serial Reference'!$A$8:$W$8,1,FLOOR(($A5-1)/23,1)+1)&amp;INDEX('Serial Reference'!$A$8:$W$8,1,MOD($A5-1,23)+1)&amp;TEXT(X$2+FLOOR((X$2-1)/9,1),"000"),"")</f>
        <v/>
      </c>
      <c r="Y5" s="22" t="str">
        <f>IF(INDEX('Shot Map'!$B$6:$V$26,CEILING($A5/5,1),CEILING(Y$2/5,1))=1,INDEX('Serial Reference'!$A$8:$W$8,1,FLOOR(($A5-1)/23,1)+1)&amp;INDEX('Serial Reference'!$A$8:$W$8,1,MOD($A5-1,23)+1)&amp;TEXT(Y$2+FLOOR((Y$2-1)/9,1),"000"),"")</f>
        <v/>
      </c>
      <c r="Z5" s="23" t="str">
        <f>IF(INDEX('Shot Map'!$B$6:$V$26,CEILING($A5/5,1),CEILING(Z$2/5,1))=1,INDEX('Serial Reference'!$A$8:$W$8,1,FLOOR(($A5-1)/23,1)+1)&amp;INDEX('Serial Reference'!$A$8:$W$8,1,MOD($A5-1,23)+1)&amp;TEXT(Z$2+FLOOR((Z$2-1)/9,1),"000"),"")</f>
        <v/>
      </c>
      <c r="AA5" s="21" t="str">
        <f>IF(INDEX('Shot Map'!$B$6:$V$26,CEILING($A5/5,1),CEILING(AA$2/5,1))=1,INDEX('Serial Reference'!$A$8:$W$8,1,FLOOR(($A5-1)/23,1)+1)&amp;INDEX('Serial Reference'!$A$8:$W$8,1,MOD($A5-1,23)+1)&amp;TEXT(AA$2+FLOOR((AA$2-1)/9,1),"000"),"")</f>
        <v/>
      </c>
      <c r="AB5" s="22" t="str">
        <f>IF(INDEX('Shot Map'!$B$6:$V$26,CEILING($A5/5,1),CEILING(AB$2/5,1))=1,INDEX('Serial Reference'!$A$8:$W$8,1,FLOOR(($A5-1)/23,1)+1)&amp;INDEX('Serial Reference'!$A$8:$W$8,1,MOD($A5-1,23)+1)&amp;TEXT(AB$2+FLOOR((AB$2-1)/9,1),"000"),"")</f>
        <v/>
      </c>
      <c r="AC5" s="22" t="str">
        <f>IF(INDEX('Shot Map'!$B$6:$V$26,CEILING($A5/5,1),CEILING(AC$2/5,1))=1,INDEX('Serial Reference'!$A$8:$W$8,1,FLOOR(($A5-1)/23,1)+1)&amp;INDEX('Serial Reference'!$A$8:$W$8,1,MOD($A5-1,23)+1)&amp;TEXT(AC$2+FLOOR((AC$2-1)/9,1),"000"),"")</f>
        <v/>
      </c>
      <c r="AD5" s="22" t="str">
        <f>IF(INDEX('Shot Map'!$B$6:$V$26,CEILING($A5/5,1),CEILING(AD$2/5,1))=1,INDEX('Serial Reference'!$A$8:$W$8,1,FLOOR(($A5-1)/23,1)+1)&amp;INDEX('Serial Reference'!$A$8:$W$8,1,MOD($A5-1,23)+1)&amp;TEXT(AD$2+FLOOR((AD$2-1)/9,1),"000"),"")</f>
        <v/>
      </c>
      <c r="AE5" s="23" t="str">
        <f>IF(INDEX('Shot Map'!$B$6:$V$26,CEILING($A5/5,1),CEILING(AE$2/5,1))=1,INDEX('Serial Reference'!$A$8:$W$8,1,FLOOR(($A5-1)/23,1)+1)&amp;INDEX('Serial Reference'!$A$8:$W$8,1,MOD($A5-1,23)+1)&amp;TEXT(AE$2+FLOOR((AE$2-1)/9,1),"000"),"")</f>
        <v/>
      </c>
      <c r="AF5" s="21" t="str">
        <f>IF(INDEX('Shot Map'!$B$6:$V$26,CEILING($A5/5,1),CEILING(AF$2/5,1))=1,INDEX('Serial Reference'!$A$8:$W$8,1,FLOOR(($A5-1)/23,1)+1)&amp;INDEX('Serial Reference'!$A$8:$W$8,1,MOD($A5-1,23)+1)&amp;TEXT(AF$2+FLOOR((AF$2-1)/9,1),"000"),"")</f>
        <v/>
      </c>
      <c r="AG5" s="22" t="str">
        <f>IF(INDEX('Shot Map'!$B$6:$V$26,CEILING($A5/5,1),CEILING(AG$2/5,1))=1,INDEX('Serial Reference'!$A$8:$W$8,1,FLOOR(($A5-1)/23,1)+1)&amp;INDEX('Serial Reference'!$A$8:$W$8,1,MOD($A5-1,23)+1)&amp;TEXT(AG$2+FLOOR((AG$2-1)/9,1),"000"),"")</f>
        <v/>
      </c>
      <c r="AH5" s="22" t="str">
        <f>IF(INDEX('Shot Map'!$B$6:$V$26,CEILING($A5/5,1),CEILING(AH$2/5,1))=1,INDEX('Serial Reference'!$A$8:$W$8,1,FLOOR(($A5-1)/23,1)+1)&amp;INDEX('Serial Reference'!$A$8:$W$8,1,MOD($A5-1,23)+1)&amp;TEXT(AH$2+FLOOR((AH$2-1)/9,1),"000"),"")</f>
        <v/>
      </c>
      <c r="AI5" s="22" t="str">
        <f>IF(INDEX('Shot Map'!$B$6:$V$26,CEILING($A5/5,1),CEILING(AI$2/5,1))=1,INDEX('Serial Reference'!$A$8:$W$8,1,FLOOR(($A5-1)/23,1)+1)&amp;INDEX('Serial Reference'!$A$8:$W$8,1,MOD($A5-1,23)+1)&amp;TEXT(AI$2+FLOOR((AI$2-1)/9,1),"000"),"")</f>
        <v/>
      </c>
      <c r="AJ5" s="23" t="str">
        <f>IF(INDEX('Shot Map'!$B$6:$V$26,CEILING($A5/5,1),CEILING(AJ$2/5,1))=1,INDEX('Serial Reference'!$A$8:$W$8,1,FLOOR(($A5-1)/23,1)+1)&amp;INDEX('Serial Reference'!$A$8:$W$8,1,MOD($A5-1,23)+1)&amp;TEXT(AJ$2+FLOOR((AJ$2-1)/9,1),"000"),"")</f>
        <v/>
      </c>
      <c r="AK5" s="21" t="str">
        <f>IF(INDEX('Shot Map'!$B$6:$V$26,CEILING($A5/5,1),CEILING(AK$2/5,1))=1,INDEX('Serial Reference'!$A$8:$W$8,1,FLOOR(($A5-1)/23,1)+1)&amp;INDEX('Serial Reference'!$A$8:$W$8,1,MOD($A5-1,23)+1)&amp;TEXT(AK$2+FLOOR((AK$2-1)/9,1),"000"),"")</f>
        <v/>
      </c>
      <c r="AL5" s="22" t="str">
        <f>IF(INDEX('Shot Map'!$B$6:$V$26,CEILING($A5/5,1),CEILING(AL$2/5,1))=1,INDEX('Serial Reference'!$A$8:$W$8,1,FLOOR(($A5-1)/23,1)+1)&amp;INDEX('Serial Reference'!$A$8:$W$8,1,MOD($A5-1,23)+1)&amp;TEXT(AL$2+FLOOR((AL$2-1)/9,1),"000"),"")</f>
        <v/>
      </c>
      <c r="AM5" s="22" t="str">
        <f>IF(INDEX('Shot Map'!$B$6:$V$26,CEILING($A5/5,1),CEILING(AM$2/5,1))=1,INDEX('Serial Reference'!$A$8:$W$8,1,FLOOR(($A5-1)/23,1)+1)&amp;INDEX('Serial Reference'!$A$8:$W$8,1,MOD($A5-1,23)+1)&amp;TEXT(AM$2+FLOOR((AM$2-1)/9,1),"000"),"")</f>
        <v/>
      </c>
      <c r="AN5" s="22" t="str">
        <f>IF(INDEX('Shot Map'!$B$6:$V$26,CEILING($A5/5,1),CEILING(AN$2/5,1))=1,INDEX('Serial Reference'!$A$8:$W$8,1,FLOOR(($A5-1)/23,1)+1)&amp;INDEX('Serial Reference'!$A$8:$W$8,1,MOD($A5-1,23)+1)&amp;TEXT(AN$2+FLOOR((AN$2-1)/9,1),"000"),"")</f>
        <v/>
      </c>
      <c r="AO5" s="23" t="str">
        <f>IF(INDEX('Shot Map'!$B$6:$V$26,CEILING($A5/5,1),CEILING(AO$2/5,1))=1,INDEX('Serial Reference'!$A$8:$W$8,1,FLOOR(($A5-1)/23,1)+1)&amp;INDEX('Serial Reference'!$A$8:$W$8,1,MOD($A5-1,23)+1)&amp;TEXT(AO$2+FLOOR((AO$2-1)/9,1),"000"),"")</f>
        <v/>
      </c>
      <c r="AP5" s="21" t="str">
        <f>IF(INDEX('Shot Map'!$B$6:$V$26,CEILING($A5/5,1),CEILING(AP$2/5,1))=1,INDEX('Serial Reference'!$A$8:$W$8,1,FLOOR(($A5-1)/23,1)+1)&amp;INDEX('Serial Reference'!$A$8:$W$8,1,MOD($A5-1,23)+1)&amp;TEXT(AP$2+FLOOR((AP$2-1)/9,1),"000"),"")</f>
        <v/>
      </c>
      <c r="AQ5" s="22" t="str">
        <f>IF(INDEX('Shot Map'!$B$6:$V$26,CEILING($A5/5,1),CEILING(AQ$2/5,1))=1,INDEX('Serial Reference'!$A$8:$W$8,1,FLOOR(($A5-1)/23,1)+1)&amp;INDEX('Serial Reference'!$A$8:$W$8,1,MOD($A5-1,23)+1)&amp;TEXT(AQ$2+FLOOR((AQ$2-1)/9,1),"000"),"")</f>
        <v/>
      </c>
      <c r="AR5" s="22" t="str">
        <f>IF(INDEX('Shot Map'!$B$6:$V$26,CEILING($A5/5,1),CEILING(AR$2/5,1))=1,INDEX('Serial Reference'!$A$8:$W$8,1,FLOOR(($A5-1)/23,1)+1)&amp;INDEX('Serial Reference'!$A$8:$W$8,1,MOD($A5-1,23)+1)&amp;TEXT(AR$2+FLOOR((AR$2-1)/9,1),"000"),"")</f>
        <v/>
      </c>
      <c r="AS5" s="22" t="str">
        <f>IF(INDEX('Shot Map'!$B$6:$V$26,CEILING($A5/5,1),CEILING(AS$2/5,1))=1,INDEX('Serial Reference'!$A$8:$W$8,1,FLOOR(($A5-1)/23,1)+1)&amp;INDEX('Serial Reference'!$A$8:$W$8,1,MOD($A5-1,23)+1)&amp;TEXT(AS$2+FLOOR((AS$2-1)/9,1),"000"),"")</f>
        <v/>
      </c>
      <c r="AT5" s="23" t="str">
        <f>IF(INDEX('Shot Map'!$B$6:$V$26,CEILING($A5/5,1),CEILING(AT$2/5,1))=1,INDEX('Serial Reference'!$A$8:$W$8,1,FLOOR(($A5-1)/23,1)+1)&amp;INDEX('Serial Reference'!$A$8:$W$8,1,MOD($A5-1,23)+1)&amp;TEXT(AT$2+FLOOR((AT$2-1)/9,1),"000"),"")</f>
        <v/>
      </c>
      <c r="AU5" s="21" t="str">
        <f>IF(INDEX('Shot Map'!$B$6:$V$26,CEILING($A5/5,1),CEILING(AU$2/5,1))=1,INDEX('Serial Reference'!$A$8:$W$8,1,FLOOR(($A5-1)/23,1)+1)&amp;INDEX('Serial Reference'!$A$8:$W$8,1,MOD($A5-1,23)+1)&amp;TEXT(AU$2+FLOOR((AU$2-1)/9,1),"000"),"")</f>
        <v>AC051</v>
      </c>
      <c r="AV5" s="22" t="str">
        <f>IF(INDEX('Shot Map'!$B$6:$V$26,CEILING($A5/5,1),CEILING(AV$2/5,1))=1,INDEX('Serial Reference'!$A$8:$W$8,1,FLOOR(($A5-1)/23,1)+1)&amp;INDEX('Serial Reference'!$A$8:$W$8,1,MOD($A5-1,23)+1)&amp;TEXT(AV$2+FLOOR((AV$2-1)/9,1),"000"),"")</f>
        <v>AC052</v>
      </c>
      <c r="AW5" s="22" t="str">
        <f>IF(INDEX('Shot Map'!$B$6:$V$26,CEILING($A5/5,1),CEILING(AW$2/5,1))=1,INDEX('Serial Reference'!$A$8:$W$8,1,FLOOR(($A5-1)/23,1)+1)&amp;INDEX('Serial Reference'!$A$8:$W$8,1,MOD($A5-1,23)+1)&amp;TEXT(AW$2+FLOOR((AW$2-1)/9,1),"000"),"")</f>
        <v>AC053</v>
      </c>
      <c r="AX5" s="22" t="str">
        <f>IF(INDEX('Shot Map'!$B$6:$V$26,CEILING($A5/5,1),CEILING(AX$2/5,1))=1,INDEX('Serial Reference'!$A$8:$W$8,1,FLOOR(($A5-1)/23,1)+1)&amp;INDEX('Serial Reference'!$A$8:$W$8,1,MOD($A5-1,23)+1)&amp;TEXT(AX$2+FLOOR((AX$2-1)/9,1),"000"),"")</f>
        <v>AC054</v>
      </c>
      <c r="AY5" s="23" t="str">
        <f>IF(INDEX('Shot Map'!$B$6:$V$26,CEILING($A5/5,1),CEILING(AY$2/5,1))=1,INDEX('Serial Reference'!$A$8:$W$8,1,FLOOR(($A5-1)/23,1)+1)&amp;INDEX('Serial Reference'!$A$8:$W$8,1,MOD($A5-1,23)+1)&amp;TEXT(AY$2+FLOOR((AY$2-1)/9,1),"000"),"")</f>
        <v>AC055</v>
      </c>
      <c r="AZ5" s="21" t="str">
        <f>IF(INDEX('Shot Map'!$B$6:$V$26,CEILING($A5/5,1),CEILING(AZ$2/5,1))=1,INDEX('Serial Reference'!$A$8:$W$8,1,FLOOR(($A5-1)/23,1)+1)&amp;INDEX('Serial Reference'!$A$8:$W$8,1,MOD($A5-1,23)+1)&amp;TEXT(AZ$2+FLOOR((AZ$2-1)/9,1),"000"),"")</f>
        <v>AC056</v>
      </c>
      <c r="BA5" s="22" t="str">
        <f>IF(INDEX('Shot Map'!$B$6:$V$26,CEILING($A5/5,1),CEILING(BA$2/5,1))=1,INDEX('Serial Reference'!$A$8:$W$8,1,FLOOR(($A5-1)/23,1)+1)&amp;INDEX('Serial Reference'!$A$8:$W$8,1,MOD($A5-1,23)+1)&amp;TEXT(BA$2+FLOOR((BA$2-1)/9,1),"000"),"")</f>
        <v>AC057</v>
      </c>
      <c r="BB5" s="22" t="str">
        <f>IF(INDEX('Shot Map'!$B$6:$V$26,CEILING($A5/5,1),CEILING(BB$2/5,1))=1,INDEX('Serial Reference'!$A$8:$W$8,1,FLOOR(($A5-1)/23,1)+1)&amp;INDEX('Serial Reference'!$A$8:$W$8,1,MOD($A5-1,23)+1)&amp;TEXT(BB$2+FLOOR((BB$2-1)/9,1),"000"),"")</f>
        <v>AC058</v>
      </c>
      <c r="BC5" s="22" t="str">
        <f>IF(INDEX('Shot Map'!$B$6:$V$26,CEILING($A5/5,1),CEILING(BC$2/5,1))=1,INDEX('Serial Reference'!$A$8:$W$8,1,FLOOR(($A5-1)/23,1)+1)&amp;INDEX('Serial Reference'!$A$8:$W$8,1,MOD($A5-1,23)+1)&amp;TEXT(BC$2+FLOOR((BC$2-1)/9,1),"000"),"")</f>
        <v>AC059</v>
      </c>
      <c r="BD5" s="23" t="str">
        <f>IF(INDEX('Shot Map'!$B$6:$V$26,CEILING($A5/5,1),CEILING(BD$2/5,1))=1,INDEX('Serial Reference'!$A$8:$W$8,1,FLOOR(($A5-1)/23,1)+1)&amp;INDEX('Serial Reference'!$A$8:$W$8,1,MOD($A5-1,23)+1)&amp;TEXT(BD$2+FLOOR((BD$2-1)/9,1),"000"),"")</f>
        <v>AC061</v>
      </c>
      <c r="BE5" s="21" t="str">
        <f>IF(INDEX('Shot Map'!$B$6:$V$26,CEILING($A5/5,1),CEILING(BE$2/5,1))=1,INDEX('Serial Reference'!$A$8:$W$8,1,FLOOR(($A5-1)/23,1)+1)&amp;INDEX('Serial Reference'!$A$8:$W$8,1,MOD($A5-1,23)+1)&amp;TEXT(BE$2+FLOOR((BE$2-1)/9,1),"000"),"")</f>
        <v>AC062</v>
      </c>
      <c r="BF5" s="22" t="str">
        <f>IF(INDEX('Shot Map'!$B$6:$V$26,CEILING($A5/5,1),CEILING(BF$2/5,1))=1,INDEX('Serial Reference'!$A$8:$W$8,1,FLOOR(($A5-1)/23,1)+1)&amp;INDEX('Serial Reference'!$A$8:$W$8,1,MOD($A5-1,23)+1)&amp;TEXT(BF$2+FLOOR((BF$2-1)/9,1),"000"),"")</f>
        <v>AC063</v>
      </c>
      <c r="BG5" s="22" t="str">
        <f>IF(INDEX('Shot Map'!$B$6:$V$26,CEILING($A5/5,1),CEILING(BG$2/5,1))=1,INDEX('Serial Reference'!$A$8:$W$8,1,FLOOR(($A5-1)/23,1)+1)&amp;INDEX('Serial Reference'!$A$8:$W$8,1,MOD($A5-1,23)+1)&amp;TEXT(BG$2+FLOOR((BG$2-1)/9,1),"000"),"")</f>
        <v>AC064</v>
      </c>
      <c r="BH5" s="22" t="str">
        <f>IF(INDEX('Shot Map'!$B$6:$V$26,CEILING($A5/5,1),CEILING(BH$2/5,1))=1,INDEX('Serial Reference'!$A$8:$W$8,1,FLOOR(($A5-1)/23,1)+1)&amp;INDEX('Serial Reference'!$A$8:$W$8,1,MOD($A5-1,23)+1)&amp;TEXT(BH$2+FLOOR((BH$2-1)/9,1),"000"),"")</f>
        <v>AC065</v>
      </c>
      <c r="BI5" s="23" t="str">
        <f>IF(INDEX('Shot Map'!$B$6:$V$26,CEILING($A5/5,1),CEILING(BI$2/5,1))=1,INDEX('Serial Reference'!$A$8:$W$8,1,FLOOR(($A5-1)/23,1)+1)&amp;INDEX('Serial Reference'!$A$8:$W$8,1,MOD($A5-1,23)+1)&amp;TEXT(BI$2+FLOOR((BI$2-1)/9,1),"000"),"")</f>
        <v>AC066</v>
      </c>
      <c r="BJ5" s="21" t="str">
        <f>IF(INDEX('Shot Map'!$B$6:$V$26,CEILING($A5/5,1),CEILING(BJ$2/5,1))=1,INDEX('Serial Reference'!$A$8:$W$8,1,FLOOR(($A5-1)/23,1)+1)&amp;INDEX('Serial Reference'!$A$8:$W$8,1,MOD($A5-1,23)+1)&amp;TEXT(BJ$2+FLOOR((BJ$2-1)/9,1),"000"),"")</f>
        <v/>
      </c>
      <c r="BK5" s="22" t="str">
        <f>IF(INDEX('Shot Map'!$B$6:$V$26,CEILING($A5/5,1),CEILING(BK$2/5,1))=1,INDEX('Serial Reference'!$A$8:$W$8,1,FLOOR(($A5-1)/23,1)+1)&amp;INDEX('Serial Reference'!$A$8:$W$8,1,MOD($A5-1,23)+1)&amp;TEXT(BK$2+FLOOR((BK$2-1)/9,1),"000"),"")</f>
        <v/>
      </c>
      <c r="BL5" s="22" t="str">
        <f>IF(INDEX('Shot Map'!$B$6:$V$26,CEILING($A5/5,1),CEILING(BL$2/5,1))=1,INDEX('Serial Reference'!$A$8:$W$8,1,FLOOR(($A5-1)/23,1)+1)&amp;INDEX('Serial Reference'!$A$8:$W$8,1,MOD($A5-1,23)+1)&amp;TEXT(BL$2+FLOOR((BL$2-1)/9,1),"000"),"")</f>
        <v/>
      </c>
      <c r="BM5" s="22" t="str">
        <f>IF(INDEX('Shot Map'!$B$6:$V$26,CEILING($A5/5,1),CEILING(BM$2/5,1))=1,INDEX('Serial Reference'!$A$8:$W$8,1,FLOOR(($A5-1)/23,1)+1)&amp;INDEX('Serial Reference'!$A$8:$W$8,1,MOD($A5-1,23)+1)&amp;TEXT(BM$2+FLOOR((BM$2-1)/9,1),"000"),"")</f>
        <v/>
      </c>
      <c r="BN5" s="23" t="str">
        <f>IF(INDEX('Shot Map'!$B$6:$V$26,CEILING($A5/5,1),CEILING(BN$2/5,1))=1,INDEX('Serial Reference'!$A$8:$W$8,1,FLOOR(($A5-1)/23,1)+1)&amp;INDEX('Serial Reference'!$A$8:$W$8,1,MOD($A5-1,23)+1)&amp;TEXT(BN$2+FLOOR((BN$2-1)/9,1),"000"),"")</f>
        <v/>
      </c>
      <c r="BO5" s="21" t="str">
        <f>IF(INDEX('Shot Map'!$B$6:$V$26,CEILING($A5/5,1),CEILING(BO$2/5,1))=1,INDEX('Serial Reference'!$A$8:$W$8,1,FLOOR(($A5-1)/23,1)+1)&amp;INDEX('Serial Reference'!$A$8:$W$8,1,MOD($A5-1,23)+1)&amp;TEXT(BO$2+FLOOR((BO$2-1)/9,1),"000"),"")</f>
        <v/>
      </c>
      <c r="BP5" s="22" t="str">
        <f>IF(INDEX('Shot Map'!$B$6:$V$26,CEILING($A5/5,1),CEILING(BP$2/5,1))=1,INDEX('Serial Reference'!$A$8:$W$8,1,FLOOR(($A5-1)/23,1)+1)&amp;INDEX('Serial Reference'!$A$8:$W$8,1,MOD($A5-1,23)+1)&amp;TEXT(BP$2+FLOOR((BP$2-1)/9,1),"000"),"")</f>
        <v/>
      </c>
      <c r="BQ5" s="22" t="str">
        <f>IF(INDEX('Shot Map'!$B$6:$V$26,CEILING($A5/5,1),CEILING(BQ$2/5,1))=1,INDEX('Serial Reference'!$A$8:$W$8,1,FLOOR(($A5-1)/23,1)+1)&amp;INDEX('Serial Reference'!$A$8:$W$8,1,MOD($A5-1,23)+1)&amp;TEXT(BQ$2+FLOOR((BQ$2-1)/9,1),"000"),"")</f>
        <v/>
      </c>
      <c r="BR5" s="22" t="str">
        <f>IF(INDEX('Shot Map'!$B$6:$V$26,CEILING($A5/5,1),CEILING(BR$2/5,1))=1,INDEX('Serial Reference'!$A$8:$W$8,1,FLOOR(($A5-1)/23,1)+1)&amp;INDEX('Serial Reference'!$A$8:$W$8,1,MOD($A5-1,23)+1)&amp;TEXT(BR$2+FLOOR((BR$2-1)/9,1),"000"),"")</f>
        <v/>
      </c>
      <c r="BS5" s="23" t="str">
        <f>IF(INDEX('Shot Map'!$B$6:$V$26,CEILING($A5/5,1),CEILING(BS$2/5,1))=1,INDEX('Serial Reference'!$A$8:$W$8,1,FLOOR(($A5-1)/23,1)+1)&amp;INDEX('Serial Reference'!$A$8:$W$8,1,MOD($A5-1,23)+1)&amp;TEXT(BS$2+FLOOR((BS$2-1)/9,1),"000"),"")</f>
        <v/>
      </c>
      <c r="BT5" s="21" t="str">
        <f>IF(INDEX('Shot Map'!$B$6:$V$26,CEILING($A5/5,1),CEILING(BT$2/5,1))=1,INDEX('Serial Reference'!$A$8:$W$8,1,FLOOR(($A5-1)/23,1)+1)&amp;INDEX('Serial Reference'!$A$8:$W$8,1,MOD($A5-1,23)+1)&amp;TEXT(BT$2+FLOOR((BT$2-1)/9,1),"000"),"")</f>
        <v/>
      </c>
      <c r="BU5" s="22" t="str">
        <f>IF(INDEX('Shot Map'!$B$6:$V$26,CEILING($A5/5,1),CEILING(BU$2/5,1))=1,INDEX('Serial Reference'!$A$8:$W$8,1,FLOOR(($A5-1)/23,1)+1)&amp;INDEX('Serial Reference'!$A$8:$W$8,1,MOD($A5-1,23)+1)&amp;TEXT(BU$2+FLOOR((BU$2-1)/9,1),"000"),"")</f>
        <v/>
      </c>
      <c r="BV5" s="22" t="str">
        <f>IF(INDEX('Shot Map'!$B$6:$V$26,CEILING($A5/5,1),CEILING(BV$2/5,1))=1,INDEX('Serial Reference'!$A$8:$W$8,1,FLOOR(($A5-1)/23,1)+1)&amp;INDEX('Serial Reference'!$A$8:$W$8,1,MOD($A5-1,23)+1)&amp;TEXT(BV$2+FLOOR((BV$2-1)/9,1),"000"),"")</f>
        <v/>
      </c>
      <c r="BW5" s="22" t="str">
        <f>IF(INDEX('Shot Map'!$B$6:$V$26,CEILING($A5/5,1),CEILING(BW$2/5,1))=1,INDEX('Serial Reference'!$A$8:$W$8,1,FLOOR(($A5-1)/23,1)+1)&amp;INDEX('Serial Reference'!$A$8:$W$8,1,MOD($A5-1,23)+1)&amp;TEXT(BW$2+FLOOR((BW$2-1)/9,1),"000"),"")</f>
        <v/>
      </c>
      <c r="BX5" s="23" t="str">
        <f>IF(INDEX('Shot Map'!$B$6:$V$26,CEILING($A5/5,1),CEILING(BX$2/5,1))=1,INDEX('Serial Reference'!$A$8:$W$8,1,FLOOR(($A5-1)/23,1)+1)&amp;INDEX('Serial Reference'!$A$8:$W$8,1,MOD($A5-1,23)+1)&amp;TEXT(BX$2+FLOOR((BX$2-1)/9,1),"000"),"")</f>
        <v/>
      </c>
      <c r="BY5" s="21" t="str">
        <f>IF(INDEX('Shot Map'!$B$6:$V$26,CEILING($A5/5,1),CEILING(BY$2/5,1))=1,INDEX('Serial Reference'!$A$8:$W$8,1,FLOOR(($A5-1)/23,1)+1)&amp;INDEX('Serial Reference'!$A$8:$W$8,1,MOD($A5-1,23)+1)&amp;TEXT(BY$2+FLOOR((BY$2-1)/9,1),"000"),"")</f>
        <v/>
      </c>
      <c r="BZ5" s="22" t="str">
        <f>IF(INDEX('Shot Map'!$B$6:$V$26,CEILING($A5/5,1),CEILING(BZ$2/5,1))=1,INDEX('Serial Reference'!$A$8:$W$8,1,FLOOR(($A5-1)/23,1)+1)&amp;INDEX('Serial Reference'!$A$8:$W$8,1,MOD($A5-1,23)+1)&amp;TEXT(BZ$2+FLOOR((BZ$2-1)/9,1),"000"),"")</f>
        <v/>
      </c>
      <c r="CA5" s="22" t="str">
        <f>IF(INDEX('Shot Map'!$B$6:$V$26,CEILING($A5/5,1),CEILING(CA$2/5,1))=1,INDEX('Serial Reference'!$A$8:$W$8,1,FLOOR(($A5-1)/23,1)+1)&amp;INDEX('Serial Reference'!$A$8:$W$8,1,MOD($A5-1,23)+1)&amp;TEXT(CA$2+FLOOR((CA$2-1)/9,1),"000"),"")</f>
        <v/>
      </c>
      <c r="CB5" s="22" t="str">
        <f>IF(INDEX('Shot Map'!$B$6:$V$26,CEILING($A5/5,1),CEILING(CB$2/5,1))=1,INDEX('Serial Reference'!$A$8:$W$8,1,FLOOR(($A5-1)/23,1)+1)&amp;INDEX('Serial Reference'!$A$8:$W$8,1,MOD($A5-1,23)+1)&amp;TEXT(CB$2+FLOOR((CB$2-1)/9,1),"000"),"")</f>
        <v/>
      </c>
      <c r="CC5" s="23" t="str">
        <f>IF(INDEX('Shot Map'!$B$6:$V$26,CEILING($A5/5,1),CEILING(CC$2/5,1))=1,INDEX('Serial Reference'!$A$8:$W$8,1,FLOOR(($A5-1)/23,1)+1)&amp;INDEX('Serial Reference'!$A$8:$W$8,1,MOD($A5-1,23)+1)&amp;TEXT(CC$2+FLOOR((CC$2-1)/9,1),"000"),"")</f>
        <v/>
      </c>
      <c r="CD5" s="21" t="str">
        <f>IF(INDEX('Shot Map'!$B$6:$V$26,CEILING($A5/5,1),CEILING(CD$2/5,1))=1,INDEX('Serial Reference'!$A$8:$W$8,1,FLOOR(($A5-1)/23,1)+1)&amp;INDEX('Serial Reference'!$A$8:$W$8,1,MOD($A5-1,23)+1)&amp;TEXT(CD$2+FLOOR((CD$2-1)/9,1),"000"),"")</f>
        <v/>
      </c>
      <c r="CE5" s="22" t="str">
        <f>IF(INDEX('Shot Map'!$B$6:$V$26,CEILING($A5/5,1),CEILING(CE$2/5,1))=1,INDEX('Serial Reference'!$A$8:$W$8,1,FLOOR(($A5-1)/23,1)+1)&amp;INDEX('Serial Reference'!$A$8:$W$8,1,MOD($A5-1,23)+1)&amp;TEXT(CE$2+FLOOR((CE$2-1)/9,1),"000"),"")</f>
        <v/>
      </c>
      <c r="CF5" s="22" t="str">
        <f>IF(INDEX('Shot Map'!$B$6:$V$26,CEILING($A5/5,1),CEILING(CF$2/5,1))=1,INDEX('Serial Reference'!$A$8:$W$8,1,FLOOR(($A5-1)/23,1)+1)&amp;INDEX('Serial Reference'!$A$8:$W$8,1,MOD($A5-1,23)+1)&amp;TEXT(CF$2+FLOOR((CF$2-1)/9,1),"000"),"")</f>
        <v/>
      </c>
      <c r="CG5" s="22" t="str">
        <f>IF(INDEX('Shot Map'!$B$6:$V$26,CEILING($A5/5,1),CEILING(CG$2/5,1))=1,INDEX('Serial Reference'!$A$8:$W$8,1,FLOOR(($A5-1)/23,1)+1)&amp;INDEX('Serial Reference'!$A$8:$W$8,1,MOD($A5-1,23)+1)&amp;TEXT(CG$2+FLOOR((CG$2-1)/9,1),"000"),"")</f>
        <v/>
      </c>
      <c r="CH5" s="23" t="str">
        <f>IF(INDEX('Shot Map'!$B$6:$V$26,CEILING($A5/5,1),CEILING(CH$2/5,1))=1,INDEX('Serial Reference'!$A$8:$W$8,1,FLOOR(($A5-1)/23,1)+1)&amp;INDEX('Serial Reference'!$A$8:$W$8,1,MOD($A5-1,23)+1)&amp;TEXT(CH$2+FLOOR((CH$2-1)/9,1),"000"),"")</f>
        <v/>
      </c>
      <c r="CI5" s="21" t="str">
        <f>IF(INDEX('Shot Map'!$B$6:$V$26,CEILING($A5/5,1),CEILING(CI$2/5,1))=1,INDEX('Serial Reference'!$A$8:$W$8,1,FLOOR(($A5-1)/23,1)+1)&amp;INDEX('Serial Reference'!$A$8:$W$8,1,MOD($A5-1,23)+1)&amp;TEXT(CI$2+FLOOR((CI$2-1)/9,1),"000"),"")</f>
        <v/>
      </c>
      <c r="CJ5" s="22" t="str">
        <f>IF(INDEX('Shot Map'!$B$6:$V$26,CEILING($A5/5,1),CEILING(CJ$2/5,1))=1,INDEX('Serial Reference'!$A$8:$W$8,1,FLOOR(($A5-1)/23,1)+1)&amp;INDEX('Serial Reference'!$A$8:$W$8,1,MOD($A5-1,23)+1)&amp;TEXT(CJ$2+FLOOR((CJ$2-1)/9,1),"000"),"")</f>
        <v/>
      </c>
      <c r="CK5" s="22" t="str">
        <f>IF(INDEX('Shot Map'!$B$6:$V$26,CEILING($A5/5,1),CEILING(CK$2/5,1))=1,INDEX('Serial Reference'!$A$8:$W$8,1,FLOOR(($A5-1)/23,1)+1)&amp;INDEX('Serial Reference'!$A$8:$W$8,1,MOD($A5-1,23)+1)&amp;TEXT(CK$2+FLOOR((CK$2-1)/9,1),"000"),"")</f>
        <v/>
      </c>
      <c r="CL5" s="22" t="str">
        <f>IF(INDEX('Shot Map'!$B$6:$V$26,CEILING($A5/5,1),CEILING(CL$2/5,1))=1,INDEX('Serial Reference'!$A$8:$W$8,1,FLOOR(($A5-1)/23,1)+1)&amp;INDEX('Serial Reference'!$A$8:$W$8,1,MOD($A5-1,23)+1)&amp;TEXT(CL$2+FLOOR((CL$2-1)/9,1),"000"),"")</f>
        <v/>
      </c>
      <c r="CM5" s="23" t="str">
        <f>IF(INDEX('Shot Map'!$B$6:$V$26,CEILING($A5/5,1),CEILING(CM$2/5,1))=1,INDEX('Serial Reference'!$A$8:$W$8,1,FLOOR(($A5-1)/23,1)+1)&amp;INDEX('Serial Reference'!$A$8:$W$8,1,MOD($A5-1,23)+1)&amp;TEXT(CM$2+FLOOR((CM$2-1)/9,1),"000"),"")</f>
        <v/>
      </c>
      <c r="CN5" s="21" t="str">
        <f>IF(INDEX('Shot Map'!$B$6:$V$26,CEILING($A5/5,1),CEILING(CN$2/5,1))=1,INDEX('Serial Reference'!$A$8:$W$8,1,FLOOR(($A5-1)/23,1)+1)&amp;INDEX('Serial Reference'!$A$8:$W$8,1,MOD($A5-1,23)+1)&amp;TEXT(CN$2+FLOOR((CN$2-1)/9,1),"000"),"")</f>
        <v/>
      </c>
      <c r="CO5" s="22" t="str">
        <f>IF(INDEX('Shot Map'!$B$6:$V$26,CEILING($A5/5,1),CEILING(CO$2/5,1))=1,INDEX('Serial Reference'!$A$8:$W$8,1,FLOOR(($A5-1)/23,1)+1)&amp;INDEX('Serial Reference'!$A$8:$W$8,1,MOD($A5-1,23)+1)&amp;TEXT(CO$2+FLOOR((CO$2-1)/9,1),"000"),"")</f>
        <v/>
      </c>
      <c r="CP5" s="22" t="str">
        <f>IF(INDEX('Shot Map'!$B$6:$V$26,CEILING($A5/5,1),CEILING(CP$2/5,1))=1,INDEX('Serial Reference'!$A$8:$W$8,1,FLOOR(($A5-1)/23,1)+1)&amp;INDEX('Serial Reference'!$A$8:$W$8,1,MOD($A5-1,23)+1)&amp;TEXT(CP$2+FLOOR((CP$2-1)/9,1),"000"),"")</f>
        <v/>
      </c>
      <c r="CQ5" s="22" t="str">
        <f>IF(INDEX('Shot Map'!$B$6:$V$26,CEILING($A5/5,1),CEILING(CQ$2/5,1))=1,INDEX('Serial Reference'!$A$8:$W$8,1,FLOOR(($A5-1)/23,1)+1)&amp;INDEX('Serial Reference'!$A$8:$W$8,1,MOD($A5-1,23)+1)&amp;TEXT(CQ$2+FLOOR((CQ$2-1)/9,1),"000"),"")</f>
        <v/>
      </c>
      <c r="CR5" s="23" t="str">
        <f>IF(INDEX('Shot Map'!$B$6:$V$26,CEILING($A5/5,1),CEILING(CR$2/5,1))=1,INDEX('Serial Reference'!$A$8:$W$8,1,FLOOR(($A5-1)/23,1)+1)&amp;INDEX('Serial Reference'!$A$8:$W$8,1,MOD($A5-1,23)+1)&amp;TEXT(CR$2+FLOOR((CR$2-1)/9,1),"000"),"")</f>
        <v/>
      </c>
      <c r="CS5" s="21" t="str">
        <f>IF(INDEX('Shot Map'!$B$6:$V$26,CEILING($A5/5,1),CEILING(CS$2/5,1))=1,INDEX('Serial Reference'!$A$8:$W$8,1,FLOOR(($A5-1)/23,1)+1)&amp;INDEX('Serial Reference'!$A$8:$W$8,1,MOD($A5-1,23)+1)&amp;TEXT(CS$2+FLOOR((CS$2-1)/9,1),"000"),"")</f>
        <v/>
      </c>
      <c r="CT5" s="22" t="str">
        <f>IF(INDEX('Shot Map'!$B$6:$V$26,CEILING($A5/5,1),CEILING(CT$2/5,1))=1,INDEX('Serial Reference'!$A$8:$W$8,1,FLOOR(($A5-1)/23,1)+1)&amp;INDEX('Serial Reference'!$A$8:$W$8,1,MOD($A5-1,23)+1)&amp;TEXT(CT$2+FLOOR((CT$2-1)/9,1),"000"),"")</f>
        <v/>
      </c>
      <c r="CU5" s="22" t="str">
        <f>IF(INDEX('Shot Map'!$B$6:$V$26,CEILING($A5/5,1),CEILING(CU$2/5,1))=1,INDEX('Serial Reference'!$A$8:$W$8,1,FLOOR(($A5-1)/23,1)+1)&amp;INDEX('Serial Reference'!$A$8:$W$8,1,MOD($A5-1,23)+1)&amp;TEXT(CU$2+FLOOR((CU$2-1)/9,1),"000"),"")</f>
        <v/>
      </c>
      <c r="CV5" s="22" t="str">
        <f>IF(INDEX('Shot Map'!$B$6:$V$26,CEILING($A5/5,1),CEILING(CV$2/5,1))=1,INDEX('Serial Reference'!$A$8:$W$8,1,FLOOR(($A5-1)/23,1)+1)&amp;INDEX('Serial Reference'!$A$8:$W$8,1,MOD($A5-1,23)+1)&amp;TEXT(CV$2+FLOOR((CV$2-1)/9,1),"000"),"")</f>
        <v/>
      </c>
      <c r="CW5" s="23" t="str">
        <f>IF(INDEX('Shot Map'!$B$6:$V$26,CEILING($A5/5,1),CEILING(CW$2/5,1))=1,INDEX('Serial Reference'!$A$8:$W$8,1,FLOOR(($A5-1)/23,1)+1)&amp;INDEX('Serial Reference'!$A$8:$W$8,1,MOD($A5-1,23)+1)&amp;TEXT(CW$2+FLOOR((CW$2-1)/9,1),"000"),"")</f>
        <v/>
      </c>
      <c r="CX5" s="21" t="str">
        <f>IF(INDEX('Shot Map'!$B$6:$V$26,CEILING($A5/5,1),CEILING(CX$2/5,1))=1,INDEX('Serial Reference'!$A$8:$W$8,1,FLOOR(($A5-1)/23,1)+1)&amp;INDEX('Serial Reference'!$A$8:$W$8,1,MOD($A5-1,23)+1)&amp;TEXT(CX$2+FLOOR((CX$2-1)/9,1),"000"),"")</f>
        <v/>
      </c>
      <c r="CY5" s="22" t="str">
        <f>IF(INDEX('Shot Map'!$B$6:$V$26,CEILING($A5/5,1),CEILING(CY$2/5,1))=1,INDEX('Serial Reference'!$A$8:$W$8,1,FLOOR(($A5-1)/23,1)+1)&amp;INDEX('Serial Reference'!$A$8:$W$8,1,MOD($A5-1,23)+1)&amp;TEXT(CY$2+FLOOR((CY$2-1)/9,1),"000"),"")</f>
        <v/>
      </c>
      <c r="CZ5" s="22" t="str">
        <f>IF(INDEX('Shot Map'!$B$6:$V$26,CEILING($A5/5,1),CEILING(CZ$2/5,1))=1,INDEX('Serial Reference'!$A$8:$W$8,1,FLOOR(($A5-1)/23,1)+1)&amp;INDEX('Serial Reference'!$A$8:$W$8,1,MOD($A5-1,23)+1)&amp;TEXT(CZ$2+FLOOR((CZ$2-1)/9,1),"000"),"")</f>
        <v/>
      </c>
      <c r="DA5" s="22" t="str">
        <f>IF(INDEX('Shot Map'!$B$6:$V$26,CEILING($A5/5,1),CEILING(DA$2/5,1))=1,INDEX('Serial Reference'!$A$8:$W$8,1,FLOOR(($A5-1)/23,1)+1)&amp;INDEX('Serial Reference'!$A$8:$W$8,1,MOD($A5-1,23)+1)&amp;TEXT(DA$2+FLOOR((DA$2-1)/9,1),"000"),"")</f>
        <v/>
      </c>
      <c r="DB5" s="23" t="str">
        <f>IF(INDEX('Shot Map'!$B$6:$V$26,CEILING($A5/5,1),CEILING(DB$2/5,1))=1,INDEX('Serial Reference'!$A$8:$W$8,1,FLOOR(($A5-1)/23,1)+1)&amp;INDEX('Serial Reference'!$A$8:$W$8,1,MOD($A5-1,23)+1)&amp;TEXT(DB$2+FLOOR((DB$2-1)/9,1),"000"),"")</f>
        <v/>
      </c>
    </row>
    <row r="6" spans="1:106" ht="12.75" customHeight="1" x14ac:dyDescent="0.25">
      <c r="A6" s="17">
        <v>4</v>
      </c>
      <c r="B6" s="21" t="str">
        <f>IF(INDEX('Shot Map'!$B$6:$V$26,CEILING($A6/5,1),CEILING(B$2/5,1))=1,INDEX('Serial Reference'!$A$8:$W$8,1,FLOOR(($A6-1)/23,1)+1)&amp;INDEX('Serial Reference'!$A$8:$W$8,1,MOD($A6-1,23)+1)&amp;TEXT(B$2+FLOOR((B$2-1)/9,1),"000"),"")</f>
        <v/>
      </c>
      <c r="C6" s="22" t="str">
        <f>IF(INDEX('Shot Map'!$B$6:$V$26,CEILING($A6/5,1),CEILING(C$2/5,1))=1,INDEX('Serial Reference'!$A$8:$W$8,1,FLOOR(($A6-1)/23,1)+1)&amp;INDEX('Serial Reference'!$A$8:$W$8,1,MOD($A6-1,23)+1)&amp;TEXT(C$2+FLOOR((C$2-1)/9,1),"000"),"")</f>
        <v/>
      </c>
      <c r="D6" s="22" t="str">
        <f>IF(INDEX('Shot Map'!$B$6:$V$26,CEILING($A6/5,1),CEILING(D$2/5,1))=1,INDEX('Serial Reference'!$A$8:$W$8,1,FLOOR(($A6-1)/23,1)+1)&amp;INDEX('Serial Reference'!$A$8:$W$8,1,MOD($A6-1,23)+1)&amp;TEXT(D$2+FLOOR((D$2-1)/9,1),"000"),"")</f>
        <v/>
      </c>
      <c r="E6" s="22" t="str">
        <f>IF(INDEX('Shot Map'!$B$6:$V$26,CEILING($A6/5,1),CEILING(E$2/5,1))=1,INDEX('Serial Reference'!$A$8:$W$8,1,FLOOR(($A6-1)/23,1)+1)&amp;INDEX('Serial Reference'!$A$8:$W$8,1,MOD($A6-1,23)+1)&amp;TEXT(E$2+FLOOR((E$2-1)/9,1),"000"),"")</f>
        <v/>
      </c>
      <c r="F6" s="23" t="str">
        <f>IF(INDEX('Shot Map'!$B$6:$V$26,CEILING($A6/5,1),CEILING(F$2/5,1))=1,INDEX('Serial Reference'!$A$8:$W$8,1,FLOOR(($A6-1)/23,1)+1)&amp;INDEX('Serial Reference'!$A$8:$W$8,1,MOD($A6-1,23)+1)&amp;TEXT(F$2+FLOOR((F$2-1)/9,1),"000"),"")</f>
        <v/>
      </c>
      <c r="G6" s="21" t="str">
        <f>IF(INDEX('Shot Map'!$B$6:$V$26,CEILING($A6/5,1),CEILING(G$2/5,1))=1,INDEX('Serial Reference'!$A$8:$W$8,1,FLOOR(($A6-1)/23,1)+1)&amp;INDEX('Serial Reference'!$A$8:$W$8,1,MOD($A6-1,23)+1)&amp;TEXT(G$2+FLOOR((G$2-1)/9,1),"000"),"")</f>
        <v/>
      </c>
      <c r="H6" s="22" t="str">
        <f>IF(INDEX('Shot Map'!$B$6:$V$26,CEILING($A6/5,1),CEILING(H$2/5,1))=1,INDEX('Serial Reference'!$A$8:$W$8,1,FLOOR(($A6-1)/23,1)+1)&amp;INDEX('Serial Reference'!$A$8:$W$8,1,MOD($A6-1,23)+1)&amp;TEXT(H$2+FLOOR((H$2-1)/9,1),"000"),"")</f>
        <v/>
      </c>
      <c r="I6" s="22" t="str">
        <f>IF(INDEX('Shot Map'!$B$6:$V$26,CEILING($A6/5,1),CEILING(I$2/5,1))=1,INDEX('Serial Reference'!$A$8:$W$8,1,FLOOR(($A6-1)/23,1)+1)&amp;INDEX('Serial Reference'!$A$8:$W$8,1,MOD($A6-1,23)+1)&amp;TEXT(I$2+FLOOR((I$2-1)/9,1),"000"),"")</f>
        <v/>
      </c>
      <c r="J6" s="22" t="str">
        <f>IF(INDEX('Shot Map'!$B$6:$V$26,CEILING($A6/5,1),CEILING(J$2/5,1))=1,INDEX('Serial Reference'!$A$8:$W$8,1,FLOOR(($A6-1)/23,1)+1)&amp;INDEX('Serial Reference'!$A$8:$W$8,1,MOD($A6-1,23)+1)&amp;TEXT(J$2+FLOOR((J$2-1)/9,1),"000"),"")</f>
        <v/>
      </c>
      <c r="K6" s="23" t="str">
        <f>IF(INDEX('Shot Map'!$B$6:$V$26,CEILING($A6/5,1),CEILING(K$2/5,1))=1,INDEX('Serial Reference'!$A$8:$W$8,1,FLOOR(($A6-1)/23,1)+1)&amp;INDEX('Serial Reference'!$A$8:$W$8,1,MOD($A6-1,23)+1)&amp;TEXT(K$2+FLOOR((K$2-1)/9,1),"000"),"")</f>
        <v/>
      </c>
      <c r="L6" s="21" t="str">
        <f>IF(INDEX('Shot Map'!$B$6:$V$26,CEILING($A6/5,1),CEILING(L$2/5,1))=1,INDEX('Serial Reference'!$A$8:$W$8,1,FLOOR(($A6-1)/23,1)+1)&amp;INDEX('Serial Reference'!$A$8:$W$8,1,MOD($A6-1,23)+1)&amp;TEXT(L$2+FLOOR((L$2-1)/9,1),"000"),"")</f>
        <v/>
      </c>
      <c r="M6" s="22" t="str">
        <f>IF(INDEX('Shot Map'!$B$6:$V$26,CEILING($A6/5,1),CEILING(M$2/5,1))=1,INDEX('Serial Reference'!$A$8:$W$8,1,FLOOR(($A6-1)/23,1)+1)&amp;INDEX('Serial Reference'!$A$8:$W$8,1,MOD($A6-1,23)+1)&amp;TEXT(M$2+FLOOR((M$2-1)/9,1),"000"),"")</f>
        <v/>
      </c>
      <c r="N6" s="22" t="str">
        <f>IF(INDEX('Shot Map'!$B$6:$V$26,CEILING($A6/5,1),CEILING(N$2/5,1))=1,INDEX('Serial Reference'!$A$8:$W$8,1,FLOOR(($A6-1)/23,1)+1)&amp;INDEX('Serial Reference'!$A$8:$W$8,1,MOD($A6-1,23)+1)&amp;TEXT(N$2+FLOOR((N$2-1)/9,1),"000"),"")</f>
        <v/>
      </c>
      <c r="O6" s="22" t="str">
        <f>IF(INDEX('Shot Map'!$B$6:$V$26,CEILING($A6/5,1),CEILING(O$2/5,1))=1,INDEX('Serial Reference'!$A$8:$W$8,1,FLOOR(($A6-1)/23,1)+1)&amp;INDEX('Serial Reference'!$A$8:$W$8,1,MOD($A6-1,23)+1)&amp;TEXT(O$2+FLOOR((O$2-1)/9,1),"000"),"")</f>
        <v/>
      </c>
      <c r="P6" s="23" t="str">
        <f>IF(INDEX('Shot Map'!$B$6:$V$26,CEILING($A6/5,1),CEILING(P$2/5,1))=1,INDEX('Serial Reference'!$A$8:$W$8,1,FLOOR(($A6-1)/23,1)+1)&amp;INDEX('Serial Reference'!$A$8:$W$8,1,MOD($A6-1,23)+1)&amp;TEXT(P$2+FLOOR((P$2-1)/9,1),"000"),"")</f>
        <v/>
      </c>
      <c r="Q6" s="21" t="str">
        <f>IF(INDEX('Shot Map'!$B$6:$V$26,CEILING($A6/5,1),CEILING(Q$2/5,1))=1,INDEX('Serial Reference'!$A$8:$W$8,1,FLOOR(($A6-1)/23,1)+1)&amp;INDEX('Serial Reference'!$A$8:$W$8,1,MOD($A6-1,23)+1)&amp;TEXT(Q$2+FLOOR((Q$2-1)/9,1),"000"),"")</f>
        <v/>
      </c>
      <c r="R6" s="22" t="str">
        <f>IF(INDEX('Shot Map'!$B$6:$V$26,CEILING($A6/5,1),CEILING(R$2/5,1))=1,INDEX('Serial Reference'!$A$8:$W$8,1,FLOOR(($A6-1)/23,1)+1)&amp;INDEX('Serial Reference'!$A$8:$W$8,1,MOD($A6-1,23)+1)&amp;TEXT(R$2+FLOOR((R$2-1)/9,1),"000"),"")</f>
        <v/>
      </c>
      <c r="S6" s="22" t="str">
        <f>IF(INDEX('Shot Map'!$B$6:$V$26,CEILING($A6/5,1),CEILING(S$2/5,1))=1,INDEX('Serial Reference'!$A$8:$W$8,1,FLOOR(($A6-1)/23,1)+1)&amp;INDEX('Serial Reference'!$A$8:$W$8,1,MOD($A6-1,23)+1)&amp;TEXT(S$2+FLOOR((S$2-1)/9,1),"000"),"")</f>
        <v/>
      </c>
      <c r="T6" s="22" t="str">
        <f>IF(INDEX('Shot Map'!$B$6:$V$26,CEILING($A6/5,1),CEILING(T$2/5,1))=1,INDEX('Serial Reference'!$A$8:$W$8,1,FLOOR(($A6-1)/23,1)+1)&amp;INDEX('Serial Reference'!$A$8:$W$8,1,MOD($A6-1,23)+1)&amp;TEXT(T$2+FLOOR((T$2-1)/9,1),"000"),"")</f>
        <v/>
      </c>
      <c r="U6" s="23" t="str">
        <f>IF(INDEX('Shot Map'!$B$6:$V$26,CEILING($A6/5,1),CEILING(U$2/5,1))=1,INDEX('Serial Reference'!$A$8:$W$8,1,FLOOR(($A6-1)/23,1)+1)&amp;INDEX('Serial Reference'!$A$8:$W$8,1,MOD($A6-1,23)+1)&amp;TEXT(U$2+FLOOR((U$2-1)/9,1),"000"),"")</f>
        <v/>
      </c>
      <c r="V6" s="21" t="str">
        <f>IF(INDEX('Shot Map'!$B$6:$V$26,CEILING($A6/5,1),CEILING(V$2/5,1))=1,INDEX('Serial Reference'!$A$8:$W$8,1,FLOOR(($A6-1)/23,1)+1)&amp;INDEX('Serial Reference'!$A$8:$W$8,1,MOD($A6-1,23)+1)&amp;TEXT(V$2+FLOOR((V$2-1)/9,1),"000"),"")</f>
        <v/>
      </c>
      <c r="W6" s="22" t="str">
        <f>IF(INDEX('Shot Map'!$B$6:$V$26,CEILING($A6/5,1),CEILING(W$2/5,1))=1,INDEX('Serial Reference'!$A$8:$W$8,1,FLOOR(($A6-1)/23,1)+1)&amp;INDEX('Serial Reference'!$A$8:$W$8,1,MOD($A6-1,23)+1)&amp;TEXT(W$2+FLOOR((W$2-1)/9,1),"000"),"")</f>
        <v/>
      </c>
      <c r="X6" s="22" t="str">
        <f>IF(INDEX('Shot Map'!$B$6:$V$26,CEILING($A6/5,1),CEILING(X$2/5,1))=1,INDEX('Serial Reference'!$A$8:$W$8,1,FLOOR(($A6-1)/23,1)+1)&amp;INDEX('Serial Reference'!$A$8:$W$8,1,MOD($A6-1,23)+1)&amp;TEXT(X$2+FLOOR((X$2-1)/9,1),"000"),"")</f>
        <v/>
      </c>
      <c r="Y6" s="22" t="str">
        <f>IF(INDEX('Shot Map'!$B$6:$V$26,CEILING($A6/5,1),CEILING(Y$2/5,1))=1,INDEX('Serial Reference'!$A$8:$W$8,1,FLOOR(($A6-1)/23,1)+1)&amp;INDEX('Serial Reference'!$A$8:$W$8,1,MOD($A6-1,23)+1)&amp;TEXT(Y$2+FLOOR((Y$2-1)/9,1),"000"),"")</f>
        <v/>
      </c>
      <c r="Z6" s="23" t="str">
        <f>IF(INDEX('Shot Map'!$B$6:$V$26,CEILING($A6/5,1),CEILING(Z$2/5,1))=1,INDEX('Serial Reference'!$A$8:$W$8,1,FLOOR(($A6-1)/23,1)+1)&amp;INDEX('Serial Reference'!$A$8:$W$8,1,MOD($A6-1,23)+1)&amp;TEXT(Z$2+FLOOR((Z$2-1)/9,1),"000"),"")</f>
        <v/>
      </c>
      <c r="AA6" s="21" t="str">
        <f>IF(INDEX('Shot Map'!$B$6:$V$26,CEILING($A6/5,1),CEILING(AA$2/5,1))=1,INDEX('Serial Reference'!$A$8:$W$8,1,FLOOR(($A6-1)/23,1)+1)&amp;INDEX('Serial Reference'!$A$8:$W$8,1,MOD($A6-1,23)+1)&amp;TEXT(AA$2+FLOOR((AA$2-1)/9,1),"000"),"")</f>
        <v/>
      </c>
      <c r="AB6" s="22" t="str">
        <f>IF(INDEX('Shot Map'!$B$6:$V$26,CEILING($A6/5,1),CEILING(AB$2/5,1))=1,INDEX('Serial Reference'!$A$8:$W$8,1,FLOOR(($A6-1)/23,1)+1)&amp;INDEX('Serial Reference'!$A$8:$W$8,1,MOD($A6-1,23)+1)&amp;TEXT(AB$2+FLOOR((AB$2-1)/9,1),"000"),"")</f>
        <v/>
      </c>
      <c r="AC6" s="22" t="str">
        <f>IF(INDEX('Shot Map'!$B$6:$V$26,CEILING($A6/5,1),CEILING(AC$2/5,1))=1,INDEX('Serial Reference'!$A$8:$W$8,1,FLOOR(($A6-1)/23,1)+1)&amp;INDEX('Serial Reference'!$A$8:$W$8,1,MOD($A6-1,23)+1)&amp;TEXT(AC$2+FLOOR((AC$2-1)/9,1),"000"),"")</f>
        <v/>
      </c>
      <c r="AD6" s="22" t="str">
        <f>IF(INDEX('Shot Map'!$B$6:$V$26,CEILING($A6/5,1),CEILING(AD$2/5,1))=1,INDEX('Serial Reference'!$A$8:$W$8,1,FLOOR(($A6-1)/23,1)+1)&amp;INDEX('Serial Reference'!$A$8:$W$8,1,MOD($A6-1,23)+1)&amp;TEXT(AD$2+FLOOR((AD$2-1)/9,1),"000"),"")</f>
        <v/>
      </c>
      <c r="AE6" s="23" t="str">
        <f>IF(INDEX('Shot Map'!$B$6:$V$26,CEILING($A6/5,1),CEILING(AE$2/5,1))=1,INDEX('Serial Reference'!$A$8:$W$8,1,FLOOR(($A6-1)/23,1)+1)&amp;INDEX('Serial Reference'!$A$8:$W$8,1,MOD($A6-1,23)+1)&amp;TEXT(AE$2+FLOOR((AE$2-1)/9,1),"000"),"")</f>
        <v/>
      </c>
      <c r="AF6" s="21" t="str">
        <f>IF(INDEX('Shot Map'!$B$6:$V$26,CEILING($A6/5,1),CEILING(AF$2/5,1))=1,INDEX('Serial Reference'!$A$8:$W$8,1,FLOOR(($A6-1)/23,1)+1)&amp;INDEX('Serial Reference'!$A$8:$W$8,1,MOD($A6-1,23)+1)&amp;TEXT(AF$2+FLOOR((AF$2-1)/9,1),"000"),"")</f>
        <v/>
      </c>
      <c r="AG6" s="22" t="str">
        <f>IF(INDEX('Shot Map'!$B$6:$V$26,CEILING($A6/5,1),CEILING(AG$2/5,1))=1,INDEX('Serial Reference'!$A$8:$W$8,1,FLOOR(($A6-1)/23,1)+1)&amp;INDEX('Serial Reference'!$A$8:$W$8,1,MOD($A6-1,23)+1)&amp;TEXT(AG$2+FLOOR((AG$2-1)/9,1),"000"),"")</f>
        <v/>
      </c>
      <c r="AH6" s="22" t="str">
        <f>IF(INDEX('Shot Map'!$B$6:$V$26,CEILING($A6/5,1),CEILING(AH$2/5,1))=1,INDEX('Serial Reference'!$A$8:$W$8,1,FLOOR(($A6-1)/23,1)+1)&amp;INDEX('Serial Reference'!$A$8:$W$8,1,MOD($A6-1,23)+1)&amp;TEXT(AH$2+FLOOR((AH$2-1)/9,1),"000"),"")</f>
        <v/>
      </c>
      <c r="AI6" s="22" t="str">
        <f>IF(INDEX('Shot Map'!$B$6:$V$26,CEILING($A6/5,1),CEILING(AI$2/5,1))=1,INDEX('Serial Reference'!$A$8:$W$8,1,FLOOR(($A6-1)/23,1)+1)&amp;INDEX('Serial Reference'!$A$8:$W$8,1,MOD($A6-1,23)+1)&amp;TEXT(AI$2+FLOOR((AI$2-1)/9,1),"000"),"")</f>
        <v/>
      </c>
      <c r="AJ6" s="23" t="str">
        <f>IF(INDEX('Shot Map'!$B$6:$V$26,CEILING($A6/5,1),CEILING(AJ$2/5,1))=1,INDEX('Serial Reference'!$A$8:$W$8,1,FLOOR(($A6-1)/23,1)+1)&amp;INDEX('Serial Reference'!$A$8:$W$8,1,MOD($A6-1,23)+1)&amp;TEXT(AJ$2+FLOOR((AJ$2-1)/9,1),"000"),"")</f>
        <v/>
      </c>
      <c r="AK6" s="21" t="str">
        <f>IF(INDEX('Shot Map'!$B$6:$V$26,CEILING($A6/5,1),CEILING(AK$2/5,1))=1,INDEX('Serial Reference'!$A$8:$W$8,1,FLOOR(($A6-1)/23,1)+1)&amp;INDEX('Serial Reference'!$A$8:$W$8,1,MOD($A6-1,23)+1)&amp;TEXT(AK$2+FLOOR((AK$2-1)/9,1),"000"),"")</f>
        <v/>
      </c>
      <c r="AL6" s="22" t="str">
        <f>IF(INDEX('Shot Map'!$B$6:$V$26,CEILING($A6/5,1),CEILING(AL$2/5,1))=1,INDEX('Serial Reference'!$A$8:$W$8,1,FLOOR(($A6-1)/23,1)+1)&amp;INDEX('Serial Reference'!$A$8:$W$8,1,MOD($A6-1,23)+1)&amp;TEXT(AL$2+FLOOR((AL$2-1)/9,1),"000"),"")</f>
        <v/>
      </c>
      <c r="AM6" s="22" t="str">
        <f>IF(INDEX('Shot Map'!$B$6:$V$26,CEILING($A6/5,1),CEILING(AM$2/5,1))=1,INDEX('Serial Reference'!$A$8:$W$8,1,FLOOR(($A6-1)/23,1)+1)&amp;INDEX('Serial Reference'!$A$8:$W$8,1,MOD($A6-1,23)+1)&amp;TEXT(AM$2+FLOOR((AM$2-1)/9,1),"000"),"")</f>
        <v/>
      </c>
      <c r="AN6" s="22" t="str">
        <f>IF(INDEX('Shot Map'!$B$6:$V$26,CEILING($A6/5,1),CEILING(AN$2/5,1))=1,INDEX('Serial Reference'!$A$8:$W$8,1,FLOOR(($A6-1)/23,1)+1)&amp;INDEX('Serial Reference'!$A$8:$W$8,1,MOD($A6-1,23)+1)&amp;TEXT(AN$2+FLOOR((AN$2-1)/9,1),"000"),"")</f>
        <v/>
      </c>
      <c r="AO6" s="23" t="str">
        <f>IF(INDEX('Shot Map'!$B$6:$V$26,CEILING($A6/5,1),CEILING(AO$2/5,1))=1,INDEX('Serial Reference'!$A$8:$W$8,1,FLOOR(($A6-1)/23,1)+1)&amp;INDEX('Serial Reference'!$A$8:$W$8,1,MOD($A6-1,23)+1)&amp;TEXT(AO$2+FLOOR((AO$2-1)/9,1),"000"),"")</f>
        <v/>
      </c>
      <c r="AP6" s="21" t="str">
        <f>IF(INDEX('Shot Map'!$B$6:$V$26,CEILING($A6/5,1),CEILING(AP$2/5,1))=1,INDEX('Serial Reference'!$A$8:$W$8,1,FLOOR(($A6-1)/23,1)+1)&amp;INDEX('Serial Reference'!$A$8:$W$8,1,MOD($A6-1,23)+1)&amp;TEXT(AP$2+FLOOR((AP$2-1)/9,1),"000"),"")</f>
        <v/>
      </c>
      <c r="AQ6" s="22" t="str">
        <f>IF(INDEX('Shot Map'!$B$6:$V$26,CEILING($A6/5,1),CEILING(AQ$2/5,1))=1,INDEX('Serial Reference'!$A$8:$W$8,1,FLOOR(($A6-1)/23,1)+1)&amp;INDEX('Serial Reference'!$A$8:$W$8,1,MOD($A6-1,23)+1)&amp;TEXT(AQ$2+FLOOR((AQ$2-1)/9,1),"000"),"")</f>
        <v/>
      </c>
      <c r="AR6" s="22" t="str">
        <f>IF(INDEX('Shot Map'!$B$6:$V$26,CEILING($A6/5,1),CEILING(AR$2/5,1))=1,INDEX('Serial Reference'!$A$8:$W$8,1,FLOOR(($A6-1)/23,1)+1)&amp;INDEX('Serial Reference'!$A$8:$W$8,1,MOD($A6-1,23)+1)&amp;TEXT(AR$2+FLOOR((AR$2-1)/9,1),"000"),"")</f>
        <v/>
      </c>
      <c r="AS6" s="22" t="str">
        <f>IF(INDEX('Shot Map'!$B$6:$V$26,CEILING($A6/5,1),CEILING(AS$2/5,1))=1,INDEX('Serial Reference'!$A$8:$W$8,1,FLOOR(($A6-1)/23,1)+1)&amp;INDEX('Serial Reference'!$A$8:$W$8,1,MOD($A6-1,23)+1)&amp;TEXT(AS$2+FLOOR((AS$2-1)/9,1),"000"),"")</f>
        <v/>
      </c>
      <c r="AT6" s="23" t="str">
        <f>IF(INDEX('Shot Map'!$B$6:$V$26,CEILING($A6/5,1),CEILING(AT$2/5,1))=1,INDEX('Serial Reference'!$A$8:$W$8,1,FLOOR(($A6-1)/23,1)+1)&amp;INDEX('Serial Reference'!$A$8:$W$8,1,MOD($A6-1,23)+1)&amp;TEXT(AT$2+FLOOR((AT$2-1)/9,1),"000"),"")</f>
        <v/>
      </c>
      <c r="AU6" s="21" t="str">
        <f>IF(INDEX('Shot Map'!$B$6:$V$26,CEILING($A6/5,1),CEILING(AU$2/5,1))=1,INDEX('Serial Reference'!$A$8:$W$8,1,FLOOR(($A6-1)/23,1)+1)&amp;INDEX('Serial Reference'!$A$8:$W$8,1,MOD($A6-1,23)+1)&amp;TEXT(AU$2+FLOOR((AU$2-1)/9,1),"000"),"")</f>
        <v>AD051</v>
      </c>
      <c r="AV6" s="22" t="str">
        <f>IF(INDEX('Shot Map'!$B$6:$V$26,CEILING($A6/5,1),CEILING(AV$2/5,1))=1,INDEX('Serial Reference'!$A$8:$W$8,1,FLOOR(($A6-1)/23,1)+1)&amp;INDEX('Serial Reference'!$A$8:$W$8,1,MOD($A6-1,23)+1)&amp;TEXT(AV$2+FLOOR((AV$2-1)/9,1),"000"),"")</f>
        <v>AD052</v>
      </c>
      <c r="AW6" s="22" t="str">
        <f>IF(INDEX('Shot Map'!$B$6:$V$26,CEILING($A6/5,1),CEILING(AW$2/5,1))=1,INDEX('Serial Reference'!$A$8:$W$8,1,FLOOR(($A6-1)/23,1)+1)&amp;INDEX('Serial Reference'!$A$8:$W$8,1,MOD($A6-1,23)+1)&amp;TEXT(AW$2+FLOOR((AW$2-1)/9,1),"000"),"")</f>
        <v>AD053</v>
      </c>
      <c r="AX6" s="22" t="str">
        <f>IF(INDEX('Shot Map'!$B$6:$V$26,CEILING($A6/5,1),CEILING(AX$2/5,1))=1,INDEX('Serial Reference'!$A$8:$W$8,1,FLOOR(($A6-1)/23,1)+1)&amp;INDEX('Serial Reference'!$A$8:$W$8,1,MOD($A6-1,23)+1)&amp;TEXT(AX$2+FLOOR((AX$2-1)/9,1),"000"),"")</f>
        <v>AD054</v>
      </c>
      <c r="AY6" s="23" t="str">
        <f>IF(INDEX('Shot Map'!$B$6:$V$26,CEILING($A6/5,1),CEILING(AY$2/5,1))=1,INDEX('Serial Reference'!$A$8:$W$8,1,FLOOR(($A6-1)/23,1)+1)&amp;INDEX('Serial Reference'!$A$8:$W$8,1,MOD($A6-1,23)+1)&amp;TEXT(AY$2+FLOOR((AY$2-1)/9,1),"000"),"")</f>
        <v>AD055</v>
      </c>
      <c r="AZ6" s="21" t="str">
        <f>IF(INDEX('Shot Map'!$B$6:$V$26,CEILING($A6/5,1),CEILING(AZ$2/5,1))=1,INDEX('Serial Reference'!$A$8:$W$8,1,FLOOR(($A6-1)/23,1)+1)&amp;INDEX('Serial Reference'!$A$8:$W$8,1,MOD($A6-1,23)+1)&amp;TEXT(AZ$2+FLOOR((AZ$2-1)/9,1),"000"),"")</f>
        <v>AD056</v>
      </c>
      <c r="BA6" s="22" t="str">
        <f>IF(INDEX('Shot Map'!$B$6:$V$26,CEILING($A6/5,1),CEILING(BA$2/5,1))=1,INDEX('Serial Reference'!$A$8:$W$8,1,FLOOR(($A6-1)/23,1)+1)&amp;INDEX('Serial Reference'!$A$8:$W$8,1,MOD($A6-1,23)+1)&amp;TEXT(BA$2+FLOOR((BA$2-1)/9,1),"000"),"")</f>
        <v>AD057</v>
      </c>
      <c r="BB6" s="22" t="str">
        <f>IF(INDEX('Shot Map'!$B$6:$V$26,CEILING($A6/5,1),CEILING(BB$2/5,1))=1,INDEX('Serial Reference'!$A$8:$W$8,1,FLOOR(($A6-1)/23,1)+1)&amp;INDEX('Serial Reference'!$A$8:$W$8,1,MOD($A6-1,23)+1)&amp;TEXT(BB$2+FLOOR((BB$2-1)/9,1),"000"),"")</f>
        <v>AD058</v>
      </c>
      <c r="BC6" s="22" t="str">
        <f>IF(INDEX('Shot Map'!$B$6:$V$26,CEILING($A6/5,1),CEILING(BC$2/5,1))=1,INDEX('Serial Reference'!$A$8:$W$8,1,FLOOR(($A6-1)/23,1)+1)&amp;INDEX('Serial Reference'!$A$8:$W$8,1,MOD($A6-1,23)+1)&amp;TEXT(BC$2+FLOOR((BC$2-1)/9,1),"000"),"")</f>
        <v>AD059</v>
      </c>
      <c r="BD6" s="23" t="str">
        <f>IF(INDEX('Shot Map'!$B$6:$V$26,CEILING($A6/5,1),CEILING(BD$2/5,1))=1,INDEX('Serial Reference'!$A$8:$W$8,1,FLOOR(($A6-1)/23,1)+1)&amp;INDEX('Serial Reference'!$A$8:$W$8,1,MOD($A6-1,23)+1)&amp;TEXT(BD$2+FLOOR((BD$2-1)/9,1),"000"),"")</f>
        <v>AD061</v>
      </c>
      <c r="BE6" s="21" t="str">
        <f>IF(INDEX('Shot Map'!$B$6:$V$26,CEILING($A6/5,1),CEILING(BE$2/5,1))=1,INDEX('Serial Reference'!$A$8:$W$8,1,FLOOR(($A6-1)/23,1)+1)&amp;INDEX('Serial Reference'!$A$8:$W$8,1,MOD($A6-1,23)+1)&amp;TEXT(BE$2+FLOOR((BE$2-1)/9,1),"000"),"")</f>
        <v>AD062</v>
      </c>
      <c r="BF6" s="22" t="str">
        <f>IF(INDEX('Shot Map'!$B$6:$V$26,CEILING($A6/5,1),CEILING(BF$2/5,1))=1,INDEX('Serial Reference'!$A$8:$W$8,1,FLOOR(($A6-1)/23,1)+1)&amp;INDEX('Serial Reference'!$A$8:$W$8,1,MOD($A6-1,23)+1)&amp;TEXT(BF$2+FLOOR((BF$2-1)/9,1),"000"),"")</f>
        <v>AD063</v>
      </c>
      <c r="BG6" s="22" t="str">
        <f>IF(INDEX('Shot Map'!$B$6:$V$26,CEILING($A6/5,1),CEILING(BG$2/5,1))=1,INDEX('Serial Reference'!$A$8:$W$8,1,FLOOR(($A6-1)/23,1)+1)&amp;INDEX('Serial Reference'!$A$8:$W$8,1,MOD($A6-1,23)+1)&amp;TEXT(BG$2+FLOOR((BG$2-1)/9,1),"000"),"")</f>
        <v>AD064</v>
      </c>
      <c r="BH6" s="22" t="str">
        <f>IF(INDEX('Shot Map'!$B$6:$V$26,CEILING($A6/5,1),CEILING(BH$2/5,1))=1,INDEX('Serial Reference'!$A$8:$W$8,1,FLOOR(($A6-1)/23,1)+1)&amp;INDEX('Serial Reference'!$A$8:$W$8,1,MOD($A6-1,23)+1)&amp;TEXT(BH$2+FLOOR((BH$2-1)/9,1),"000"),"")</f>
        <v>AD065</v>
      </c>
      <c r="BI6" s="23" t="str">
        <f>IF(INDEX('Shot Map'!$B$6:$V$26,CEILING($A6/5,1),CEILING(BI$2/5,1))=1,INDEX('Serial Reference'!$A$8:$W$8,1,FLOOR(($A6-1)/23,1)+1)&amp;INDEX('Serial Reference'!$A$8:$W$8,1,MOD($A6-1,23)+1)&amp;TEXT(BI$2+FLOOR((BI$2-1)/9,1),"000"),"")</f>
        <v>AD066</v>
      </c>
      <c r="BJ6" s="21" t="str">
        <f>IF(INDEX('Shot Map'!$B$6:$V$26,CEILING($A6/5,1),CEILING(BJ$2/5,1))=1,INDEX('Serial Reference'!$A$8:$W$8,1,FLOOR(($A6-1)/23,1)+1)&amp;INDEX('Serial Reference'!$A$8:$W$8,1,MOD($A6-1,23)+1)&amp;TEXT(BJ$2+FLOOR((BJ$2-1)/9,1),"000"),"")</f>
        <v/>
      </c>
      <c r="BK6" s="22" t="str">
        <f>IF(INDEX('Shot Map'!$B$6:$V$26,CEILING($A6/5,1),CEILING(BK$2/5,1))=1,INDEX('Serial Reference'!$A$8:$W$8,1,FLOOR(($A6-1)/23,1)+1)&amp;INDEX('Serial Reference'!$A$8:$W$8,1,MOD($A6-1,23)+1)&amp;TEXT(BK$2+FLOOR((BK$2-1)/9,1),"000"),"")</f>
        <v/>
      </c>
      <c r="BL6" s="22" t="str">
        <f>IF(INDEX('Shot Map'!$B$6:$V$26,CEILING($A6/5,1),CEILING(BL$2/5,1))=1,INDEX('Serial Reference'!$A$8:$W$8,1,FLOOR(($A6-1)/23,1)+1)&amp;INDEX('Serial Reference'!$A$8:$W$8,1,MOD($A6-1,23)+1)&amp;TEXT(BL$2+FLOOR((BL$2-1)/9,1),"000"),"")</f>
        <v/>
      </c>
      <c r="BM6" s="22" t="str">
        <f>IF(INDEX('Shot Map'!$B$6:$V$26,CEILING($A6/5,1),CEILING(BM$2/5,1))=1,INDEX('Serial Reference'!$A$8:$W$8,1,FLOOR(($A6-1)/23,1)+1)&amp;INDEX('Serial Reference'!$A$8:$W$8,1,MOD($A6-1,23)+1)&amp;TEXT(BM$2+FLOOR((BM$2-1)/9,1),"000"),"")</f>
        <v/>
      </c>
      <c r="BN6" s="23" t="str">
        <f>IF(INDEX('Shot Map'!$B$6:$V$26,CEILING($A6/5,1),CEILING(BN$2/5,1))=1,INDEX('Serial Reference'!$A$8:$W$8,1,FLOOR(($A6-1)/23,1)+1)&amp;INDEX('Serial Reference'!$A$8:$W$8,1,MOD($A6-1,23)+1)&amp;TEXT(BN$2+FLOOR((BN$2-1)/9,1),"000"),"")</f>
        <v/>
      </c>
      <c r="BO6" s="21" t="str">
        <f>IF(INDEX('Shot Map'!$B$6:$V$26,CEILING($A6/5,1),CEILING(BO$2/5,1))=1,INDEX('Serial Reference'!$A$8:$W$8,1,FLOOR(($A6-1)/23,1)+1)&amp;INDEX('Serial Reference'!$A$8:$W$8,1,MOD($A6-1,23)+1)&amp;TEXT(BO$2+FLOOR((BO$2-1)/9,1),"000"),"")</f>
        <v/>
      </c>
      <c r="BP6" s="22" t="str">
        <f>IF(INDEX('Shot Map'!$B$6:$V$26,CEILING($A6/5,1),CEILING(BP$2/5,1))=1,INDEX('Serial Reference'!$A$8:$W$8,1,FLOOR(($A6-1)/23,1)+1)&amp;INDEX('Serial Reference'!$A$8:$W$8,1,MOD($A6-1,23)+1)&amp;TEXT(BP$2+FLOOR((BP$2-1)/9,1),"000"),"")</f>
        <v/>
      </c>
      <c r="BQ6" s="22" t="str">
        <f>IF(INDEX('Shot Map'!$B$6:$V$26,CEILING($A6/5,1),CEILING(BQ$2/5,1))=1,INDEX('Serial Reference'!$A$8:$W$8,1,FLOOR(($A6-1)/23,1)+1)&amp;INDEX('Serial Reference'!$A$8:$W$8,1,MOD($A6-1,23)+1)&amp;TEXT(BQ$2+FLOOR((BQ$2-1)/9,1),"000"),"")</f>
        <v/>
      </c>
      <c r="BR6" s="22" t="str">
        <f>IF(INDEX('Shot Map'!$B$6:$V$26,CEILING($A6/5,1),CEILING(BR$2/5,1))=1,INDEX('Serial Reference'!$A$8:$W$8,1,FLOOR(($A6-1)/23,1)+1)&amp;INDEX('Serial Reference'!$A$8:$W$8,1,MOD($A6-1,23)+1)&amp;TEXT(BR$2+FLOOR((BR$2-1)/9,1),"000"),"")</f>
        <v/>
      </c>
      <c r="BS6" s="23" t="str">
        <f>IF(INDEX('Shot Map'!$B$6:$V$26,CEILING($A6/5,1),CEILING(BS$2/5,1))=1,INDEX('Serial Reference'!$A$8:$W$8,1,FLOOR(($A6-1)/23,1)+1)&amp;INDEX('Serial Reference'!$A$8:$W$8,1,MOD($A6-1,23)+1)&amp;TEXT(BS$2+FLOOR((BS$2-1)/9,1),"000"),"")</f>
        <v/>
      </c>
      <c r="BT6" s="21" t="str">
        <f>IF(INDEX('Shot Map'!$B$6:$V$26,CEILING($A6/5,1),CEILING(BT$2/5,1))=1,INDEX('Serial Reference'!$A$8:$W$8,1,FLOOR(($A6-1)/23,1)+1)&amp;INDEX('Serial Reference'!$A$8:$W$8,1,MOD($A6-1,23)+1)&amp;TEXT(BT$2+FLOOR((BT$2-1)/9,1),"000"),"")</f>
        <v/>
      </c>
      <c r="BU6" s="22" t="str">
        <f>IF(INDEX('Shot Map'!$B$6:$V$26,CEILING($A6/5,1),CEILING(BU$2/5,1))=1,INDEX('Serial Reference'!$A$8:$W$8,1,FLOOR(($A6-1)/23,1)+1)&amp;INDEX('Serial Reference'!$A$8:$W$8,1,MOD($A6-1,23)+1)&amp;TEXT(BU$2+FLOOR((BU$2-1)/9,1),"000"),"")</f>
        <v/>
      </c>
      <c r="BV6" s="22" t="str">
        <f>IF(INDEX('Shot Map'!$B$6:$V$26,CEILING($A6/5,1),CEILING(BV$2/5,1))=1,INDEX('Serial Reference'!$A$8:$W$8,1,FLOOR(($A6-1)/23,1)+1)&amp;INDEX('Serial Reference'!$A$8:$W$8,1,MOD($A6-1,23)+1)&amp;TEXT(BV$2+FLOOR((BV$2-1)/9,1),"000"),"")</f>
        <v/>
      </c>
      <c r="BW6" s="22" t="str">
        <f>IF(INDEX('Shot Map'!$B$6:$V$26,CEILING($A6/5,1),CEILING(BW$2/5,1))=1,INDEX('Serial Reference'!$A$8:$W$8,1,FLOOR(($A6-1)/23,1)+1)&amp;INDEX('Serial Reference'!$A$8:$W$8,1,MOD($A6-1,23)+1)&amp;TEXT(BW$2+FLOOR((BW$2-1)/9,1),"000"),"")</f>
        <v/>
      </c>
      <c r="BX6" s="23" t="str">
        <f>IF(INDEX('Shot Map'!$B$6:$V$26,CEILING($A6/5,1),CEILING(BX$2/5,1))=1,INDEX('Serial Reference'!$A$8:$W$8,1,FLOOR(($A6-1)/23,1)+1)&amp;INDEX('Serial Reference'!$A$8:$W$8,1,MOD($A6-1,23)+1)&amp;TEXT(BX$2+FLOOR((BX$2-1)/9,1),"000"),"")</f>
        <v/>
      </c>
      <c r="BY6" s="21" t="str">
        <f>IF(INDEX('Shot Map'!$B$6:$V$26,CEILING($A6/5,1),CEILING(BY$2/5,1))=1,INDEX('Serial Reference'!$A$8:$W$8,1,FLOOR(($A6-1)/23,1)+1)&amp;INDEX('Serial Reference'!$A$8:$W$8,1,MOD($A6-1,23)+1)&amp;TEXT(BY$2+FLOOR((BY$2-1)/9,1),"000"),"")</f>
        <v/>
      </c>
      <c r="BZ6" s="22" t="str">
        <f>IF(INDEX('Shot Map'!$B$6:$V$26,CEILING($A6/5,1),CEILING(BZ$2/5,1))=1,INDEX('Serial Reference'!$A$8:$W$8,1,FLOOR(($A6-1)/23,1)+1)&amp;INDEX('Serial Reference'!$A$8:$W$8,1,MOD($A6-1,23)+1)&amp;TEXT(BZ$2+FLOOR((BZ$2-1)/9,1),"000"),"")</f>
        <v/>
      </c>
      <c r="CA6" s="22" t="str">
        <f>IF(INDEX('Shot Map'!$B$6:$V$26,CEILING($A6/5,1),CEILING(CA$2/5,1))=1,INDEX('Serial Reference'!$A$8:$W$8,1,FLOOR(($A6-1)/23,1)+1)&amp;INDEX('Serial Reference'!$A$8:$W$8,1,MOD($A6-1,23)+1)&amp;TEXT(CA$2+FLOOR((CA$2-1)/9,1),"000"),"")</f>
        <v/>
      </c>
      <c r="CB6" s="22" t="str">
        <f>IF(INDEX('Shot Map'!$B$6:$V$26,CEILING($A6/5,1),CEILING(CB$2/5,1))=1,INDEX('Serial Reference'!$A$8:$W$8,1,FLOOR(($A6-1)/23,1)+1)&amp;INDEX('Serial Reference'!$A$8:$W$8,1,MOD($A6-1,23)+1)&amp;TEXT(CB$2+FLOOR((CB$2-1)/9,1),"000"),"")</f>
        <v/>
      </c>
      <c r="CC6" s="23" t="str">
        <f>IF(INDEX('Shot Map'!$B$6:$V$26,CEILING($A6/5,1),CEILING(CC$2/5,1))=1,INDEX('Serial Reference'!$A$8:$W$8,1,FLOOR(($A6-1)/23,1)+1)&amp;INDEX('Serial Reference'!$A$8:$W$8,1,MOD($A6-1,23)+1)&amp;TEXT(CC$2+FLOOR((CC$2-1)/9,1),"000"),"")</f>
        <v/>
      </c>
      <c r="CD6" s="21" t="str">
        <f>IF(INDEX('Shot Map'!$B$6:$V$26,CEILING($A6/5,1),CEILING(CD$2/5,1))=1,INDEX('Serial Reference'!$A$8:$W$8,1,FLOOR(($A6-1)/23,1)+1)&amp;INDEX('Serial Reference'!$A$8:$W$8,1,MOD($A6-1,23)+1)&amp;TEXT(CD$2+FLOOR((CD$2-1)/9,1),"000"),"")</f>
        <v/>
      </c>
      <c r="CE6" s="22" t="str">
        <f>IF(INDEX('Shot Map'!$B$6:$V$26,CEILING($A6/5,1),CEILING(CE$2/5,1))=1,INDEX('Serial Reference'!$A$8:$W$8,1,FLOOR(($A6-1)/23,1)+1)&amp;INDEX('Serial Reference'!$A$8:$W$8,1,MOD($A6-1,23)+1)&amp;TEXT(CE$2+FLOOR((CE$2-1)/9,1),"000"),"")</f>
        <v/>
      </c>
      <c r="CF6" s="22" t="str">
        <f>IF(INDEX('Shot Map'!$B$6:$V$26,CEILING($A6/5,1),CEILING(CF$2/5,1))=1,INDEX('Serial Reference'!$A$8:$W$8,1,FLOOR(($A6-1)/23,1)+1)&amp;INDEX('Serial Reference'!$A$8:$W$8,1,MOD($A6-1,23)+1)&amp;TEXT(CF$2+FLOOR((CF$2-1)/9,1),"000"),"")</f>
        <v/>
      </c>
      <c r="CG6" s="22" t="str">
        <f>IF(INDEX('Shot Map'!$B$6:$V$26,CEILING($A6/5,1),CEILING(CG$2/5,1))=1,INDEX('Serial Reference'!$A$8:$W$8,1,FLOOR(($A6-1)/23,1)+1)&amp;INDEX('Serial Reference'!$A$8:$W$8,1,MOD($A6-1,23)+1)&amp;TEXT(CG$2+FLOOR((CG$2-1)/9,1),"000"),"")</f>
        <v/>
      </c>
      <c r="CH6" s="23" t="str">
        <f>IF(INDEX('Shot Map'!$B$6:$V$26,CEILING($A6/5,1),CEILING(CH$2/5,1))=1,INDEX('Serial Reference'!$A$8:$W$8,1,FLOOR(($A6-1)/23,1)+1)&amp;INDEX('Serial Reference'!$A$8:$W$8,1,MOD($A6-1,23)+1)&amp;TEXT(CH$2+FLOOR((CH$2-1)/9,1),"000"),"")</f>
        <v/>
      </c>
      <c r="CI6" s="21" t="str">
        <f>IF(INDEX('Shot Map'!$B$6:$V$26,CEILING($A6/5,1),CEILING(CI$2/5,1))=1,INDEX('Serial Reference'!$A$8:$W$8,1,FLOOR(($A6-1)/23,1)+1)&amp;INDEX('Serial Reference'!$A$8:$W$8,1,MOD($A6-1,23)+1)&amp;TEXT(CI$2+FLOOR((CI$2-1)/9,1),"000"),"")</f>
        <v/>
      </c>
      <c r="CJ6" s="22" t="str">
        <f>IF(INDEX('Shot Map'!$B$6:$V$26,CEILING($A6/5,1),CEILING(CJ$2/5,1))=1,INDEX('Serial Reference'!$A$8:$W$8,1,FLOOR(($A6-1)/23,1)+1)&amp;INDEX('Serial Reference'!$A$8:$W$8,1,MOD($A6-1,23)+1)&amp;TEXT(CJ$2+FLOOR((CJ$2-1)/9,1),"000"),"")</f>
        <v/>
      </c>
      <c r="CK6" s="22" t="str">
        <f>IF(INDEX('Shot Map'!$B$6:$V$26,CEILING($A6/5,1),CEILING(CK$2/5,1))=1,INDEX('Serial Reference'!$A$8:$W$8,1,FLOOR(($A6-1)/23,1)+1)&amp;INDEX('Serial Reference'!$A$8:$W$8,1,MOD($A6-1,23)+1)&amp;TEXT(CK$2+FLOOR((CK$2-1)/9,1),"000"),"")</f>
        <v/>
      </c>
      <c r="CL6" s="22" t="str">
        <f>IF(INDEX('Shot Map'!$B$6:$V$26,CEILING($A6/5,1),CEILING(CL$2/5,1))=1,INDEX('Serial Reference'!$A$8:$W$8,1,FLOOR(($A6-1)/23,1)+1)&amp;INDEX('Serial Reference'!$A$8:$W$8,1,MOD($A6-1,23)+1)&amp;TEXT(CL$2+FLOOR((CL$2-1)/9,1),"000"),"")</f>
        <v/>
      </c>
      <c r="CM6" s="23" t="str">
        <f>IF(INDEX('Shot Map'!$B$6:$V$26,CEILING($A6/5,1),CEILING(CM$2/5,1))=1,INDEX('Serial Reference'!$A$8:$W$8,1,FLOOR(($A6-1)/23,1)+1)&amp;INDEX('Serial Reference'!$A$8:$W$8,1,MOD($A6-1,23)+1)&amp;TEXT(CM$2+FLOOR((CM$2-1)/9,1),"000"),"")</f>
        <v/>
      </c>
      <c r="CN6" s="21" t="str">
        <f>IF(INDEX('Shot Map'!$B$6:$V$26,CEILING($A6/5,1),CEILING(CN$2/5,1))=1,INDEX('Serial Reference'!$A$8:$W$8,1,FLOOR(($A6-1)/23,1)+1)&amp;INDEX('Serial Reference'!$A$8:$W$8,1,MOD($A6-1,23)+1)&amp;TEXT(CN$2+FLOOR((CN$2-1)/9,1),"000"),"")</f>
        <v/>
      </c>
      <c r="CO6" s="22" t="str">
        <f>IF(INDEX('Shot Map'!$B$6:$V$26,CEILING($A6/5,1),CEILING(CO$2/5,1))=1,INDEX('Serial Reference'!$A$8:$W$8,1,FLOOR(($A6-1)/23,1)+1)&amp;INDEX('Serial Reference'!$A$8:$W$8,1,MOD($A6-1,23)+1)&amp;TEXT(CO$2+FLOOR((CO$2-1)/9,1),"000"),"")</f>
        <v/>
      </c>
      <c r="CP6" s="22" t="str">
        <f>IF(INDEX('Shot Map'!$B$6:$V$26,CEILING($A6/5,1),CEILING(CP$2/5,1))=1,INDEX('Serial Reference'!$A$8:$W$8,1,FLOOR(($A6-1)/23,1)+1)&amp;INDEX('Serial Reference'!$A$8:$W$8,1,MOD($A6-1,23)+1)&amp;TEXT(CP$2+FLOOR((CP$2-1)/9,1),"000"),"")</f>
        <v/>
      </c>
      <c r="CQ6" s="22" t="str">
        <f>IF(INDEX('Shot Map'!$B$6:$V$26,CEILING($A6/5,1),CEILING(CQ$2/5,1))=1,INDEX('Serial Reference'!$A$8:$W$8,1,FLOOR(($A6-1)/23,1)+1)&amp;INDEX('Serial Reference'!$A$8:$W$8,1,MOD($A6-1,23)+1)&amp;TEXT(CQ$2+FLOOR((CQ$2-1)/9,1),"000"),"")</f>
        <v/>
      </c>
      <c r="CR6" s="23" t="str">
        <f>IF(INDEX('Shot Map'!$B$6:$V$26,CEILING($A6/5,1),CEILING(CR$2/5,1))=1,INDEX('Serial Reference'!$A$8:$W$8,1,FLOOR(($A6-1)/23,1)+1)&amp;INDEX('Serial Reference'!$A$8:$W$8,1,MOD($A6-1,23)+1)&amp;TEXT(CR$2+FLOOR((CR$2-1)/9,1),"000"),"")</f>
        <v/>
      </c>
      <c r="CS6" s="21" t="str">
        <f>IF(INDEX('Shot Map'!$B$6:$V$26,CEILING($A6/5,1),CEILING(CS$2/5,1))=1,INDEX('Serial Reference'!$A$8:$W$8,1,FLOOR(($A6-1)/23,1)+1)&amp;INDEX('Serial Reference'!$A$8:$W$8,1,MOD($A6-1,23)+1)&amp;TEXT(CS$2+FLOOR((CS$2-1)/9,1),"000"),"")</f>
        <v/>
      </c>
      <c r="CT6" s="22" t="str">
        <f>IF(INDEX('Shot Map'!$B$6:$V$26,CEILING($A6/5,1),CEILING(CT$2/5,1))=1,INDEX('Serial Reference'!$A$8:$W$8,1,FLOOR(($A6-1)/23,1)+1)&amp;INDEX('Serial Reference'!$A$8:$W$8,1,MOD($A6-1,23)+1)&amp;TEXT(CT$2+FLOOR((CT$2-1)/9,1),"000"),"")</f>
        <v/>
      </c>
      <c r="CU6" s="22" t="str">
        <f>IF(INDEX('Shot Map'!$B$6:$V$26,CEILING($A6/5,1),CEILING(CU$2/5,1))=1,INDEX('Serial Reference'!$A$8:$W$8,1,FLOOR(($A6-1)/23,1)+1)&amp;INDEX('Serial Reference'!$A$8:$W$8,1,MOD($A6-1,23)+1)&amp;TEXT(CU$2+FLOOR((CU$2-1)/9,1),"000"),"")</f>
        <v/>
      </c>
      <c r="CV6" s="22" t="str">
        <f>IF(INDEX('Shot Map'!$B$6:$V$26,CEILING($A6/5,1),CEILING(CV$2/5,1))=1,INDEX('Serial Reference'!$A$8:$W$8,1,FLOOR(($A6-1)/23,1)+1)&amp;INDEX('Serial Reference'!$A$8:$W$8,1,MOD($A6-1,23)+1)&amp;TEXT(CV$2+FLOOR((CV$2-1)/9,1),"000"),"")</f>
        <v/>
      </c>
      <c r="CW6" s="23" t="str">
        <f>IF(INDEX('Shot Map'!$B$6:$V$26,CEILING($A6/5,1),CEILING(CW$2/5,1))=1,INDEX('Serial Reference'!$A$8:$W$8,1,FLOOR(($A6-1)/23,1)+1)&amp;INDEX('Serial Reference'!$A$8:$W$8,1,MOD($A6-1,23)+1)&amp;TEXT(CW$2+FLOOR((CW$2-1)/9,1),"000"),"")</f>
        <v/>
      </c>
      <c r="CX6" s="21" t="str">
        <f>IF(INDEX('Shot Map'!$B$6:$V$26,CEILING($A6/5,1),CEILING(CX$2/5,1))=1,INDEX('Serial Reference'!$A$8:$W$8,1,FLOOR(($A6-1)/23,1)+1)&amp;INDEX('Serial Reference'!$A$8:$W$8,1,MOD($A6-1,23)+1)&amp;TEXT(CX$2+FLOOR((CX$2-1)/9,1),"000"),"")</f>
        <v/>
      </c>
      <c r="CY6" s="22" t="str">
        <f>IF(INDEX('Shot Map'!$B$6:$V$26,CEILING($A6/5,1),CEILING(CY$2/5,1))=1,INDEX('Serial Reference'!$A$8:$W$8,1,FLOOR(($A6-1)/23,1)+1)&amp;INDEX('Serial Reference'!$A$8:$W$8,1,MOD($A6-1,23)+1)&amp;TEXT(CY$2+FLOOR((CY$2-1)/9,1),"000"),"")</f>
        <v/>
      </c>
      <c r="CZ6" s="22" t="str">
        <f>IF(INDEX('Shot Map'!$B$6:$V$26,CEILING($A6/5,1),CEILING(CZ$2/5,1))=1,INDEX('Serial Reference'!$A$8:$W$8,1,FLOOR(($A6-1)/23,1)+1)&amp;INDEX('Serial Reference'!$A$8:$W$8,1,MOD($A6-1,23)+1)&amp;TEXT(CZ$2+FLOOR((CZ$2-1)/9,1),"000"),"")</f>
        <v/>
      </c>
      <c r="DA6" s="22" t="str">
        <f>IF(INDEX('Shot Map'!$B$6:$V$26,CEILING($A6/5,1),CEILING(DA$2/5,1))=1,INDEX('Serial Reference'!$A$8:$W$8,1,FLOOR(($A6-1)/23,1)+1)&amp;INDEX('Serial Reference'!$A$8:$W$8,1,MOD($A6-1,23)+1)&amp;TEXT(DA$2+FLOOR((DA$2-1)/9,1),"000"),"")</f>
        <v/>
      </c>
      <c r="DB6" s="23" t="str">
        <f>IF(INDEX('Shot Map'!$B$6:$V$26,CEILING($A6/5,1),CEILING(DB$2/5,1))=1,INDEX('Serial Reference'!$A$8:$W$8,1,FLOOR(($A6-1)/23,1)+1)&amp;INDEX('Serial Reference'!$A$8:$W$8,1,MOD($A6-1,23)+1)&amp;TEXT(DB$2+FLOOR((DB$2-1)/9,1),"000"),"")</f>
        <v/>
      </c>
    </row>
    <row r="7" spans="1:106" ht="12.75" customHeight="1" x14ac:dyDescent="0.25">
      <c r="A7" s="17">
        <v>5</v>
      </c>
      <c r="B7" s="24" t="str">
        <f>IF(INDEX('Shot Map'!$B$6:$V$26,CEILING($A7/5,1),CEILING(B$2/5,1))=1,INDEX('Serial Reference'!$A$8:$W$8,1,FLOOR(($A7-1)/23,1)+1)&amp;INDEX('Serial Reference'!$A$8:$W$8,1,MOD($A7-1,23)+1)&amp;TEXT(B$2+FLOOR((B$2-1)/9,1),"000"),"")</f>
        <v/>
      </c>
      <c r="C7" s="25" t="str">
        <f>IF(INDEX('Shot Map'!$B$6:$V$26,CEILING($A7/5,1),CEILING(C$2/5,1))=1,INDEX('Serial Reference'!$A$8:$W$8,1,FLOOR(($A7-1)/23,1)+1)&amp;INDEX('Serial Reference'!$A$8:$W$8,1,MOD($A7-1,23)+1)&amp;TEXT(C$2+FLOOR((C$2-1)/9,1),"000"),"")</f>
        <v/>
      </c>
      <c r="D7" s="25" t="str">
        <f>IF(INDEX('Shot Map'!$B$6:$V$26,CEILING($A7/5,1),CEILING(D$2/5,1))=1,INDEX('Serial Reference'!$A$8:$W$8,1,FLOOR(($A7-1)/23,1)+1)&amp;INDEX('Serial Reference'!$A$8:$W$8,1,MOD($A7-1,23)+1)&amp;TEXT(D$2+FLOOR((D$2-1)/9,1),"000"),"")</f>
        <v/>
      </c>
      <c r="E7" s="25" t="str">
        <f>IF(INDEX('Shot Map'!$B$6:$V$26,CEILING($A7/5,1),CEILING(E$2/5,1))=1,INDEX('Serial Reference'!$A$8:$W$8,1,FLOOR(($A7-1)/23,1)+1)&amp;INDEX('Serial Reference'!$A$8:$W$8,1,MOD($A7-1,23)+1)&amp;TEXT(E$2+FLOOR((E$2-1)/9,1),"000"),"")</f>
        <v/>
      </c>
      <c r="F7" s="26" t="str">
        <f>IF(INDEX('Shot Map'!$B$6:$V$26,CEILING($A7/5,1),CEILING(F$2/5,1))=1,INDEX('Serial Reference'!$A$8:$W$8,1,FLOOR(($A7-1)/23,1)+1)&amp;INDEX('Serial Reference'!$A$8:$W$8,1,MOD($A7-1,23)+1)&amp;TEXT(F$2+FLOOR((F$2-1)/9,1),"000"),"")</f>
        <v/>
      </c>
      <c r="G7" s="24" t="str">
        <f>IF(INDEX('Shot Map'!$B$6:$V$26,CEILING($A7/5,1),CEILING(G$2/5,1))=1,INDEX('Serial Reference'!$A$8:$W$8,1,FLOOR(($A7-1)/23,1)+1)&amp;INDEX('Serial Reference'!$A$8:$W$8,1,MOD($A7-1,23)+1)&amp;TEXT(G$2+FLOOR((G$2-1)/9,1),"000"),"")</f>
        <v/>
      </c>
      <c r="H7" s="25" t="str">
        <f>IF(INDEX('Shot Map'!$B$6:$V$26,CEILING($A7/5,1),CEILING(H$2/5,1))=1,INDEX('Serial Reference'!$A$8:$W$8,1,FLOOR(($A7-1)/23,1)+1)&amp;INDEX('Serial Reference'!$A$8:$W$8,1,MOD($A7-1,23)+1)&amp;TEXT(H$2+FLOOR((H$2-1)/9,1),"000"),"")</f>
        <v/>
      </c>
      <c r="I7" s="25" t="str">
        <f>IF(INDEX('Shot Map'!$B$6:$V$26,CEILING($A7/5,1),CEILING(I$2/5,1))=1,INDEX('Serial Reference'!$A$8:$W$8,1,FLOOR(($A7-1)/23,1)+1)&amp;INDEX('Serial Reference'!$A$8:$W$8,1,MOD($A7-1,23)+1)&amp;TEXT(I$2+FLOOR((I$2-1)/9,1),"000"),"")</f>
        <v/>
      </c>
      <c r="J7" s="25" t="str">
        <f>IF(INDEX('Shot Map'!$B$6:$V$26,CEILING($A7/5,1),CEILING(J$2/5,1))=1,INDEX('Serial Reference'!$A$8:$W$8,1,FLOOR(($A7-1)/23,1)+1)&amp;INDEX('Serial Reference'!$A$8:$W$8,1,MOD($A7-1,23)+1)&amp;TEXT(J$2+FLOOR((J$2-1)/9,1),"000"),"")</f>
        <v/>
      </c>
      <c r="K7" s="26" t="str">
        <f>IF(INDEX('Shot Map'!$B$6:$V$26,CEILING($A7/5,1),CEILING(K$2/5,1))=1,INDEX('Serial Reference'!$A$8:$W$8,1,FLOOR(($A7-1)/23,1)+1)&amp;INDEX('Serial Reference'!$A$8:$W$8,1,MOD($A7-1,23)+1)&amp;TEXT(K$2+FLOOR((K$2-1)/9,1),"000"),"")</f>
        <v/>
      </c>
      <c r="L7" s="24" t="str">
        <f>IF(INDEX('Shot Map'!$B$6:$V$26,CEILING($A7/5,1),CEILING(L$2/5,1))=1,INDEX('Serial Reference'!$A$8:$W$8,1,FLOOR(($A7-1)/23,1)+1)&amp;INDEX('Serial Reference'!$A$8:$W$8,1,MOD($A7-1,23)+1)&amp;TEXT(L$2+FLOOR((L$2-1)/9,1),"000"),"")</f>
        <v/>
      </c>
      <c r="M7" s="25" t="str">
        <f>IF(INDEX('Shot Map'!$B$6:$V$26,CEILING($A7/5,1),CEILING(M$2/5,1))=1,INDEX('Serial Reference'!$A$8:$W$8,1,FLOOR(($A7-1)/23,1)+1)&amp;INDEX('Serial Reference'!$A$8:$W$8,1,MOD($A7-1,23)+1)&amp;TEXT(M$2+FLOOR((M$2-1)/9,1),"000"),"")</f>
        <v/>
      </c>
      <c r="N7" s="25" t="str">
        <f>IF(INDEX('Shot Map'!$B$6:$V$26,CEILING($A7/5,1),CEILING(N$2/5,1))=1,INDEX('Serial Reference'!$A$8:$W$8,1,FLOOR(($A7-1)/23,1)+1)&amp;INDEX('Serial Reference'!$A$8:$W$8,1,MOD($A7-1,23)+1)&amp;TEXT(N$2+FLOOR((N$2-1)/9,1),"000"),"")</f>
        <v/>
      </c>
      <c r="O7" s="25" t="str">
        <f>IF(INDEX('Shot Map'!$B$6:$V$26,CEILING($A7/5,1),CEILING(O$2/5,1))=1,INDEX('Serial Reference'!$A$8:$W$8,1,FLOOR(($A7-1)/23,1)+1)&amp;INDEX('Serial Reference'!$A$8:$W$8,1,MOD($A7-1,23)+1)&amp;TEXT(O$2+FLOOR((O$2-1)/9,1),"000"),"")</f>
        <v/>
      </c>
      <c r="P7" s="26" t="str">
        <f>IF(INDEX('Shot Map'!$B$6:$V$26,CEILING($A7/5,1),CEILING(P$2/5,1))=1,INDEX('Serial Reference'!$A$8:$W$8,1,FLOOR(($A7-1)/23,1)+1)&amp;INDEX('Serial Reference'!$A$8:$W$8,1,MOD($A7-1,23)+1)&amp;TEXT(P$2+FLOOR((P$2-1)/9,1),"000"),"")</f>
        <v/>
      </c>
      <c r="Q7" s="24" t="str">
        <f>IF(INDEX('Shot Map'!$B$6:$V$26,CEILING($A7/5,1),CEILING(Q$2/5,1))=1,INDEX('Serial Reference'!$A$8:$W$8,1,FLOOR(($A7-1)/23,1)+1)&amp;INDEX('Serial Reference'!$A$8:$W$8,1,MOD($A7-1,23)+1)&amp;TEXT(Q$2+FLOOR((Q$2-1)/9,1),"000"),"")</f>
        <v/>
      </c>
      <c r="R7" s="25" t="str">
        <f>IF(INDEX('Shot Map'!$B$6:$V$26,CEILING($A7/5,1),CEILING(R$2/5,1))=1,INDEX('Serial Reference'!$A$8:$W$8,1,FLOOR(($A7-1)/23,1)+1)&amp;INDEX('Serial Reference'!$A$8:$W$8,1,MOD($A7-1,23)+1)&amp;TEXT(R$2+FLOOR((R$2-1)/9,1),"000"),"")</f>
        <v/>
      </c>
      <c r="S7" s="25" t="str">
        <f>IF(INDEX('Shot Map'!$B$6:$V$26,CEILING($A7/5,1),CEILING(S$2/5,1))=1,INDEX('Serial Reference'!$A$8:$W$8,1,FLOOR(($A7-1)/23,1)+1)&amp;INDEX('Serial Reference'!$A$8:$W$8,1,MOD($A7-1,23)+1)&amp;TEXT(S$2+FLOOR((S$2-1)/9,1),"000"),"")</f>
        <v/>
      </c>
      <c r="T7" s="25" t="str">
        <f>IF(INDEX('Shot Map'!$B$6:$V$26,CEILING($A7/5,1),CEILING(T$2/5,1))=1,INDEX('Serial Reference'!$A$8:$W$8,1,FLOOR(($A7-1)/23,1)+1)&amp;INDEX('Serial Reference'!$A$8:$W$8,1,MOD($A7-1,23)+1)&amp;TEXT(T$2+FLOOR((T$2-1)/9,1),"000"),"")</f>
        <v/>
      </c>
      <c r="U7" s="26" t="str">
        <f>IF(INDEX('Shot Map'!$B$6:$V$26,CEILING($A7/5,1),CEILING(U$2/5,1))=1,INDEX('Serial Reference'!$A$8:$W$8,1,FLOOR(($A7-1)/23,1)+1)&amp;INDEX('Serial Reference'!$A$8:$W$8,1,MOD($A7-1,23)+1)&amp;TEXT(U$2+FLOOR((U$2-1)/9,1),"000"),"")</f>
        <v/>
      </c>
      <c r="V7" s="24" t="str">
        <f>IF(INDEX('Shot Map'!$B$6:$V$26,CEILING($A7/5,1),CEILING(V$2/5,1))=1,INDEX('Serial Reference'!$A$8:$W$8,1,FLOOR(($A7-1)/23,1)+1)&amp;INDEX('Serial Reference'!$A$8:$W$8,1,MOD($A7-1,23)+1)&amp;TEXT(V$2+FLOOR((V$2-1)/9,1),"000"),"")</f>
        <v/>
      </c>
      <c r="W7" s="25" t="str">
        <f>IF(INDEX('Shot Map'!$B$6:$V$26,CEILING($A7/5,1),CEILING(W$2/5,1))=1,INDEX('Serial Reference'!$A$8:$W$8,1,FLOOR(($A7-1)/23,1)+1)&amp;INDEX('Serial Reference'!$A$8:$W$8,1,MOD($A7-1,23)+1)&amp;TEXT(W$2+FLOOR((W$2-1)/9,1),"000"),"")</f>
        <v/>
      </c>
      <c r="X7" s="25" t="str">
        <f>IF(INDEX('Shot Map'!$B$6:$V$26,CEILING($A7/5,1),CEILING(X$2/5,1))=1,INDEX('Serial Reference'!$A$8:$W$8,1,FLOOR(($A7-1)/23,1)+1)&amp;INDEX('Serial Reference'!$A$8:$W$8,1,MOD($A7-1,23)+1)&amp;TEXT(X$2+FLOOR((X$2-1)/9,1),"000"),"")</f>
        <v/>
      </c>
      <c r="Y7" s="25" t="str">
        <f>IF(INDEX('Shot Map'!$B$6:$V$26,CEILING($A7/5,1),CEILING(Y$2/5,1))=1,INDEX('Serial Reference'!$A$8:$W$8,1,FLOOR(($A7-1)/23,1)+1)&amp;INDEX('Serial Reference'!$A$8:$W$8,1,MOD($A7-1,23)+1)&amp;TEXT(Y$2+FLOOR((Y$2-1)/9,1),"000"),"")</f>
        <v/>
      </c>
      <c r="Z7" s="26" t="str">
        <f>IF(INDEX('Shot Map'!$B$6:$V$26,CEILING($A7/5,1),CEILING(Z$2/5,1))=1,INDEX('Serial Reference'!$A$8:$W$8,1,FLOOR(($A7-1)/23,1)+1)&amp;INDEX('Serial Reference'!$A$8:$W$8,1,MOD($A7-1,23)+1)&amp;TEXT(Z$2+FLOOR((Z$2-1)/9,1),"000"),"")</f>
        <v/>
      </c>
      <c r="AA7" s="24" t="str">
        <f>IF(INDEX('Shot Map'!$B$6:$V$26,CEILING($A7/5,1),CEILING(AA$2/5,1))=1,INDEX('Serial Reference'!$A$8:$W$8,1,FLOOR(($A7-1)/23,1)+1)&amp;INDEX('Serial Reference'!$A$8:$W$8,1,MOD($A7-1,23)+1)&amp;TEXT(AA$2+FLOOR((AA$2-1)/9,1),"000"),"")</f>
        <v/>
      </c>
      <c r="AB7" s="25" t="str">
        <f>IF(INDEX('Shot Map'!$B$6:$V$26,CEILING($A7/5,1),CEILING(AB$2/5,1))=1,INDEX('Serial Reference'!$A$8:$W$8,1,FLOOR(($A7-1)/23,1)+1)&amp;INDEX('Serial Reference'!$A$8:$W$8,1,MOD($A7-1,23)+1)&amp;TEXT(AB$2+FLOOR((AB$2-1)/9,1),"000"),"")</f>
        <v/>
      </c>
      <c r="AC7" s="25" t="str">
        <f>IF(INDEX('Shot Map'!$B$6:$V$26,CEILING($A7/5,1),CEILING(AC$2/5,1))=1,INDEX('Serial Reference'!$A$8:$W$8,1,FLOOR(($A7-1)/23,1)+1)&amp;INDEX('Serial Reference'!$A$8:$W$8,1,MOD($A7-1,23)+1)&amp;TEXT(AC$2+FLOOR((AC$2-1)/9,1),"000"),"")</f>
        <v/>
      </c>
      <c r="AD7" s="25" t="str">
        <f>IF(INDEX('Shot Map'!$B$6:$V$26,CEILING($A7/5,1),CEILING(AD$2/5,1))=1,INDEX('Serial Reference'!$A$8:$W$8,1,FLOOR(($A7-1)/23,1)+1)&amp;INDEX('Serial Reference'!$A$8:$W$8,1,MOD($A7-1,23)+1)&amp;TEXT(AD$2+FLOOR((AD$2-1)/9,1),"000"),"")</f>
        <v/>
      </c>
      <c r="AE7" s="26" t="str">
        <f>IF(INDEX('Shot Map'!$B$6:$V$26,CEILING($A7/5,1),CEILING(AE$2/5,1))=1,INDEX('Serial Reference'!$A$8:$W$8,1,FLOOR(($A7-1)/23,1)+1)&amp;INDEX('Serial Reference'!$A$8:$W$8,1,MOD($A7-1,23)+1)&amp;TEXT(AE$2+FLOOR((AE$2-1)/9,1),"000"),"")</f>
        <v/>
      </c>
      <c r="AF7" s="24" t="str">
        <f>IF(INDEX('Shot Map'!$B$6:$V$26,CEILING($A7/5,1),CEILING(AF$2/5,1))=1,INDEX('Serial Reference'!$A$8:$W$8,1,FLOOR(($A7-1)/23,1)+1)&amp;INDEX('Serial Reference'!$A$8:$W$8,1,MOD($A7-1,23)+1)&amp;TEXT(AF$2+FLOOR((AF$2-1)/9,1),"000"),"")</f>
        <v/>
      </c>
      <c r="AG7" s="25" t="str">
        <f>IF(INDEX('Shot Map'!$B$6:$V$26,CEILING($A7/5,1),CEILING(AG$2/5,1))=1,INDEX('Serial Reference'!$A$8:$W$8,1,FLOOR(($A7-1)/23,1)+1)&amp;INDEX('Serial Reference'!$A$8:$W$8,1,MOD($A7-1,23)+1)&amp;TEXT(AG$2+FLOOR((AG$2-1)/9,1),"000"),"")</f>
        <v/>
      </c>
      <c r="AH7" s="25" t="str">
        <f>IF(INDEX('Shot Map'!$B$6:$V$26,CEILING($A7/5,1),CEILING(AH$2/5,1))=1,INDEX('Serial Reference'!$A$8:$W$8,1,FLOOR(($A7-1)/23,1)+1)&amp;INDEX('Serial Reference'!$A$8:$W$8,1,MOD($A7-1,23)+1)&amp;TEXT(AH$2+FLOOR((AH$2-1)/9,1),"000"),"")</f>
        <v/>
      </c>
      <c r="AI7" s="25" t="str">
        <f>IF(INDEX('Shot Map'!$B$6:$V$26,CEILING($A7/5,1),CEILING(AI$2/5,1))=1,INDEX('Serial Reference'!$A$8:$W$8,1,FLOOR(($A7-1)/23,1)+1)&amp;INDEX('Serial Reference'!$A$8:$W$8,1,MOD($A7-1,23)+1)&amp;TEXT(AI$2+FLOOR((AI$2-1)/9,1),"000"),"")</f>
        <v/>
      </c>
      <c r="AJ7" s="26" t="str">
        <f>IF(INDEX('Shot Map'!$B$6:$V$26,CEILING($A7/5,1),CEILING(AJ$2/5,1))=1,INDEX('Serial Reference'!$A$8:$W$8,1,FLOOR(($A7-1)/23,1)+1)&amp;INDEX('Serial Reference'!$A$8:$W$8,1,MOD($A7-1,23)+1)&amp;TEXT(AJ$2+FLOOR((AJ$2-1)/9,1),"000"),"")</f>
        <v/>
      </c>
      <c r="AK7" s="24" t="str">
        <f>IF(INDEX('Shot Map'!$B$6:$V$26,CEILING($A7/5,1),CEILING(AK$2/5,1))=1,INDEX('Serial Reference'!$A$8:$W$8,1,FLOOR(($A7-1)/23,1)+1)&amp;INDEX('Serial Reference'!$A$8:$W$8,1,MOD($A7-1,23)+1)&amp;TEXT(AK$2+FLOOR((AK$2-1)/9,1),"000"),"")</f>
        <v/>
      </c>
      <c r="AL7" s="25" t="str">
        <f>IF(INDEX('Shot Map'!$B$6:$V$26,CEILING($A7/5,1),CEILING(AL$2/5,1))=1,INDEX('Serial Reference'!$A$8:$W$8,1,FLOOR(($A7-1)/23,1)+1)&amp;INDEX('Serial Reference'!$A$8:$W$8,1,MOD($A7-1,23)+1)&amp;TEXT(AL$2+FLOOR((AL$2-1)/9,1),"000"),"")</f>
        <v/>
      </c>
      <c r="AM7" s="25" t="str">
        <f>IF(INDEX('Shot Map'!$B$6:$V$26,CEILING($A7/5,1),CEILING(AM$2/5,1))=1,INDEX('Serial Reference'!$A$8:$W$8,1,FLOOR(($A7-1)/23,1)+1)&amp;INDEX('Serial Reference'!$A$8:$W$8,1,MOD($A7-1,23)+1)&amp;TEXT(AM$2+FLOOR((AM$2-1)/9,1),"000"),"")</f>
        <v/>
      </c>
      <c r="AN7" s="25" t="str">
        <f>IF(INDEX('Shot Map'!$B$6:$V$26,CEILING($A7/5,1),CEILING(AN$2/5,1))=1,INDEX('Serial Reference'!$A$8:$W$8,1,FLOOR(($A7-1)/23,1)+1)&amp;INDEX('Serial Reference'!$A$8:$W$8,1,MOD($A7-1,23)+1)&amp;TEXT(AN$2+FLOOR((AN$2-1)/9,1),"000"),"")</f>
        <v/>
      </c>
      <c r="AO7" s="26" t="str">
        <f>IF(INDEX('Shot Map'!$B$6:$V$26,CEILING($A7/5,1),CEILING(AO$2/5,1))=1,INDEX('Serial Reference'!$A$8:$W$8,1,FLOOR(($A7-1)/23,1)+1)&amp;INDEX('Serial Reference'!$A$8:$W$8,1,MOD($A7-1,23)+1)&amp;TEXT(AO$2+FLOOR((AO$2-1)/9,1),"000"),"")</f>
        <v/>
      </c>
      <c r="AP7" s="24" t="str">
        <f>IF(INDEX('Shot Map'!$B$6:$V$26,CEILING($A7/5,1),CEILING(AP$2/5,1))=1,INDEX('Serial Reference'!$A$8:$W$8,1,FLOOR(($A7-1)/23,1)+1)&amp;INDEX('Serial Reference'!$A$8:$W$8,1,MOD($A7-1,23)+1)&amp;TEXT(AP$2+FLOOR((AP$2-1)/9,1),"000"),"")</f>
        <v/>
      </c>
      <c r="AQ7" s="25" t="str">
        <f>IF(INDEX('Shot Map'!$B$6:$V$26,CEILING($A7/5,1),CEILING(AQ$2/5,1))=1,INDEX('Serial Reference'!$A$8:$W$8,1,FLOOR(($A7-1)/23,1)+1)&amp;INDEX('Serial Reference'!$A$8:$W$8,1,MOD($A7-1,23)+1)&amp;TEXT(AQ$2+FLOOR((AQ$2-1)/9,1),"000"),"")</f>
        <v/>
      </c>
      <c r="AR7" s="25" t="str">
        <f>IF(INDEX('Shot Map'!$B$6:$V$26,CEILING($A7/5,1),CEILING(AR$2/5,1))=1,INDEX('Serial Reference'!$A$8:$W$8,1,FLOOR(($A7-1)/23,1)+1)&amp;INDEX('Serial Reference'!$A$8:$W$8,1,MOD($A7-1,23)+1)&amp;TEXT(AR$2+FLOOR((AR$2-1)/9,1),"000"),"")</f>
        <v/>
      </c>
      <c r="AS7" s="25" t="str">
        <f>IF(INDEX('Shot Map'!$B$6:$V$26,CEILING($A7/5,1),CEILING(AS$2/5,1))=1,INDEX('Serial Reference'!$A$8:$W$8,1,FLOOR(($A7-1)/23,1)+1)&amp;INDEX('Serial Reference'!$A$8:$W$8,1,MOD($A7-1,23)+1)&amp;TEXT(AS$2+FLOOR((AS$2-1)/9,1),"000"),"")</f>
        <v/>
      </c>
      <c r="AT7" s="26" t="str">
        <f>IF(INDEX('Shot Map'!$B$6:$V$26,CEILING($A7/5,1),CEILING(AT$2/5,1))=1,INDEX('Serial Reference'!$A$8:$W$8,1,FLOOR(($A7-1)/23,1)+1)&amp;INDEX('Serial Reference'!$A$8:$W$8,1,MOD($A7-1,23)+1)&amp;TEXT(AT$2+FLOOR((AT$2-1)/9,1),"000"),"")</f>
        <v/>
      </c>
      <c r="AU7" s="24" t="str">
        <f>IF(INDEX('Shot Map'!$B$6:$V$26,CEILING($A7/5,1),CEILING(AU$2/5,1))=1,INDEX('Serial Reference'!$A$8:$W$8,1,FLOOR(($A7-1)/23,1)+1)&amp;INDEX('Serial Reference'!$A$8:$W$8,1,MOD($A7-1,23)+1)&amp;TEXT(AU$2+FLOOR((AU$2-1)/9,1),"000"),"")</f>
        <v>AE051</v>
      </c>
      <c r="AV7" s="25" t="str">
        <f>IF(INDEX('Shot Map'!$B$6:$V$26,CEILING($A7/5,1),CEILING(AV$2/5,1))=1,INDEX('Serial Reference'!$A$8:$W$8,1,FLOOR(($A7-1)/23,1)+1)&amp;INDEX('Serial Reference'!$A$8:$W$8,1,MOD($A7-1,23)+1)&amp;TEXT(AV$2+FLOOR((AV$2-1)/9,1),"000"),"")</f>
        <v>AE052</v>
      </c>
      <c r="AW7" s="25" t="str">
        <f>IF(INDEX('Shot Map'!$B$6:$V$26,CEILING($A7/5,1),CEILING(AW$2/5,1))=1,INDEX('Serial Reference'!$A$8:$W$8,1,FLOOR(($A7-1)/23,1)+1)&amp;INDEX('Serial Reference'!$A$8:$W$8,1,MOD($A7-1,23)+1)&amp;TEXT(AW$2+FLOOR((AW$2-1)/9,1),"000"),"")</f>
        <v>AE053</v>
      </c>
      <c r="AX7" s="25" t="str">
        <f>IF(INDEX('Shot Map'!$B$6:$V$26,CEILING($A7/5,1),CEILING(AX$2/5,1))=1,INDEX('Serial Reference'!$A$8:$W$8,1,FLOOR(($A7-1)/23,1)+1)&amp;INDEX('Serial Reference'!$A$8:$W$8,1,MOD($A7-1,23)+1)&amp;TEXT(AX$2+FLOOR((AX$2-1)/9,1),"000"),"")</f>
        <v>AE054</v>
      </c>
      <c r="AY7" s="26" t="str">
        <f>IF(INDEX('Shot Map'!$B$6:$V$26,CEILING($A7/5,1),CEILING(AY$2/5,1))=1,INDEX('Serial Reference'!$A$8:$W$8,1,FLOOR(($A7-1)/23,1)+1)&amp;INDEX('Serial Reference'!$A$8:$W$8,1,MOD($A7-1,23)+1)&amp;TEXT(AY$2+FLOOR((AY$2-1)/9,1),"000"),"")</f>
        <v>AE055</v>
      </c>
      <c r="AZ7" s="24" t="str">
        <f>IF(INDEX('Shot Map'!$B$6:$V$26,CEILING($A7/5,1),CEILING(AZ$2/5,1))=1,INDEX('Serial Reference'!$A$8:$W$8,1,FLOOR(($A7-1)/23,1)+1)&amp;INDEX('Serial Reference'!$A$8:$W$8,1,MOD($A7-1,23)+1)&amp;TEXT(AZ$2+FLOOR((AZ$2-1)/9,1),"000"),"")</f>
        <v>AE056</v>
      </c>
      <c r="BA7" s="25" t="str">
        <f>IF(INDEX('Shot Map'!$B$6:$V$26,CEILING($A7/5,1),CEILING(BA$2/5,1))=1,INDEX('Serial Reference'!$A$8:$W$8,1,FLOOR(($A7-1)/23,1)+1)&amp;INDEX('Serial Reference'!$A$8:$W$8,1,MOD($A7-1,23)+1)&amp;TEXT(BA$2+FLOOR((BA$2-1)/9,1),"000"),"")</f>
        <v>AE057</v>
      </c>
      <c r="BB7" s="25" t="str">
        <f>IF(INDEX('Shot Map'!$B$6:$V$26,CEILING($A7/5,1),CEILING(BB$2/5,1))=1,INDEX('Serial Reference'!$A$8:$W$8,1,FLOOR(($A7-1)/23,1)+1)&amp;INDEX('Serial Reference'!$A$8:$W$8,1,MOD($A7-1,23)+1)&amp;TEXT(BB$2+FLOOR((BB$2-1)/9,1),"000"),"")</f>
        <v>AE058</v>
      </c>
      <c r="BC7" s="25" t="str">
        <f>IF(INDEX('Shot Map'!$B$6:$V$26,CEILING($A7/5,1),CEILING(BC$2/5,1))=1,INDEX('Serial Reference'!$A$8:$W$8,1,FLOOR(($A7-1)/23,1)+1)&amp;INDEX('Serial Reference'!$A$8:$W$8,1,MOD($A7-1,23)+1)&amp;TEXT(BC$2+FLOOR((BC$2-1)/9,1),"000"),"")</f>
        <v>AE059</v>
      </c>
      <c r="BD7" s="26" t="str">
        <f>IF(INDEX('Shot Map'!$B$6:$V$26,CEILING($A7/5,1),CEILING(BD$2/5,1))=1,INDEX('Serial Reference'!$A$8:$W$8,1,FLOOR(($A7-1)/23,1)+1)&amp;INDEX('Serial Reference'!$A$8:$W$8,1,MOD($A7-1,23)+1)&amp;TEXT(BD$2+FLOOR((BD$2-1)/9,1),"000"),"")</f>
        <v>AE061</v>
      </c>
      <c r="BE7" s="24" t="str">
        <f>IF(INDEX('Shot Map'!$B$6:$V$26,CEILING($A7/5,1),CEILING(BE$2/5,1))=1,INDEX('Serial Reference'!$A$8:$W$8,1,FLOOR(($A7-1)/23,1)+1)&amp;INDEX('Serial Reference'!$A$8:$W$8,1,MOD($A7-1,23)+1)&amp;TEXT(BE$2+FLOOR((BE$2-1)/9,1),"000"),"")</f>
        <v>AE062</v>
      </c>
      <c r="BF7" s="25" t="str">
        <f>IF(INDEX('Shot Map'!$B$6:$V$26,CEILING($A7/5,1),CEILING(BF$2/5,1))=1,INDEX('Serial Reference'!$A$8:$W$8,1,FLOOR(($A7-1)/23,1)+1)&amp;INDEX('Serial Reference'!$A$8:$W$8,1,MOD($A7-1,23)+1)&amp;TEXT(BF$2+FLOOR((BF$2-1)/9,1),"000"),"")</f>
        <v>AE063</v>
      </c>
      <c r="BG7" s="25" t="str">
        <f>IF(INDEX('Shot Map'!$B$6:$V$26,CEILING($A7/5,1),CEILING(BG$2/5,1))=1,INDEX('Serial Reference'!$A$8:$W$8,1,FLOOR(($A7-1)/23,1)+1)&amp;INDEX('Serial Reference'!$A$8:$W$8,1,MOD($A7-1,23)+1)&amp;TEXT(BG$2+FLOOR((BG$2-1)/9,1),"000"),"")</f>
        <v>AE064</v>
      </c>
      <c r="BH7" s="25" t="str">
        <f>IF(INDEX('Shot Map'!$B$6:$V$26,CEILING($A7/5,1),CEILING(BH$2/5,1))=1,INDEX('Serial Reference'!$A$8:$W$8,1,FLOOR(($A7-1)/23,1)+1)&amp;INDEX('Serial Reference'!$A$8:$W$8,1,MOD($A7-1,23)+1)&amp;TEXT(BH$2+FLOOR((BH$2-1)/9,1),"000"),"")</f>
        <v>AE065</v>
      </c>
      <c r="BI7" s="26" t="str">
        <f>IF(INDEX('Shot Map'!$B$6:$V$26,CEILING($A7/5,1),CEILING(BI$2/5,1))=1,INDEX('Serial Reference'!$A$8:$W$8,1,FLOOR(($A7-1)/23,1)+1)&amp;INDEX('Serial Reference'!$A$8:$W$8,1,MOD($A7-1,23)+1)&amp;TEXT(BI$2+FLOOR((BI$2-1)/9,1),"000"),"")</f>
        <v>AE066</v>
      </c>
      <c r="BJ7" s="24" t="str">
        <f>IF(INDEX('Shot Map'!$B$6:$V$26,CEILING($A7/5,1),CEILING(BJ$2/5,1))=1,INDEX('Serial Reference'!$A$8:$W$8,1,FLOOR(($A7-1)/23,1)+1)&amp;INDEX('Serial Reference'!$A$8:$W$8,1,MOD($A7-1,23)+1)&amp;TEXT(BJ$2+FLOOR((BJ$2-1)/9,1),"000"),"")</f>
        <v/>
      </c>
      <c r="BK7" s="25" t="str">
        <f>IF(INDEX('Shot Map'!$B$6:$V$26,CEILING($A7/5,1),CEILING(BK$2/5,1))=1,INDEX('Serial Reference'!$A$8:$W$8,1,FLOOR(($A7-1)/23,1)+1)&amp;INDEX('Serial Reference'!$A$8:$W$8,1,MOD($A7-1,23)+1)&amp;TEXT(BK$2+FLOOR((BK$2-1)/9,1),"000"),"")</f>
        <v/>
      </c>
      <c r="BL7" s="25" t="str">
        <f>IF(INDEX('Shot Map'!$B$6:$V$26,CEILING($A7/5,1),CEILING(BL$2/5,1))=1,INDEX('Serial Reference'!$A$8:$W$8,1,FLOOR(($A7-1)/23,1)+1)&amp;INDEX('Serial Reference'!$A$8:$W$8,1,MOD($A7-1,23)+1)&amp;TEXT(BL$2+FLOOR((BL$2-1)/9,1),"000"),"")</f>
        <v/>
      </c>
      <c r="BM7" s="25" t="str">
        <f>IF(INDEX('Shot Map'!$B$6:$V$26,CEILING($A7/5,1),CEILING(BM$2/5,1))=1,INDEX('Serial Reference'!$A$8:$W$8,1,FLOOR(($A7-1)/23,1)+1)&amp;INDEX('Serial Reference'!$A$8:$W$8,1,MOD($A7-1,23)+1)&amp;TEXT(BM$2+FLOOR((BM$2-1)/9,1),"000"),"")</f>
        <v/>
      </c>
      <c r="BN7" s="26" t="str">
        <f>IF(INDEX('Shot Map'!$B$6:$V$26,CEILING($A7/5,1),CEILING(BN$2/5,1))=1,INDEX('Serial Reference'!$A$8:$W$8,1,FLOOR(($A7-1)/23,1)+1)&amp;INDEX('Serial Reference'!$A$8:$W$8,1,MOD($A7-1,23)+1)&amp;TEXT(BN$2+FLOOR((BN$2-1)/9,1),"000"),"")</f>
        <v/>
      </c>
      <c r="BO7" s="24" t="str">
        <f>IF(INDEX('Shot Map'!$B$6:$V$26,CEILING($A7/5,1),CEILING(BO$2/5,1))=1,INDEX('Serial Reference'!$A$8:$W$8,1,FLOOR(($A7-1)/23,1)+1)&amp;INDEX('Serial Reference'!$A$8:$W$8,1,MOD($A7-1,23)+1)&amp;TEXT(BO$2+FLOOR((BO$2-1)/9,1),"000"),"")</f>
        <v/>
      </c>
      <c r="BP7" s="25" t="str">
        <f>IF(INDEX('Shot Map'!$B$6:$V$26,CEILING($A7/5,1),CEILING(BP$2/5,1))=1,INDEX('Serial Reference'!$A$8:$W$8,1,FLOOR(($A7-1)/23,1)+1)&amp;INDEX('Serial Reference'!$A$8:$W$8,1,MOD($A7-1,23)+1)&amp;TEXT(BP$2+FLOOR((BP$2-1)/9,1),"000"),"")</f>
        <v/>
      </c>
      <c r="BQ7" s="25" t="str">
        <f>IF(INDEX('Shot Map'!$B$6:$V$26,CEILING($A7/5,1),CEILING(BQ$2/5,1))=1,INDEX('Serial Reference'!$A$8:$W$8,1,FLOOR(($A7-1)/23,1)+1)&amp;INDEX('Serial Reference'!$A$8:$W$8,1,MOD($A7-1,23)+1)&amp;TEXT(BQ$2+FLOOR((BQ$2-1)/9,1),"000"),"")</f>
        <v/>
      </c>
      <c r="BR7" s="25" t="str">
        <f>IF(INDEX('Shot Map'!$B$6:$V$26,CEILING($A7/5,1),CEILING(BR$2/5,1))=1,INDEX('Serial Reference'!$A$8:$W$8,1,FLOOR(($A7-1)/23,1)+1)&amp;INDEX('Serial Reference'!$A$8:$W$8,1,MOD($A7-1,23)+1)&amp;TEXT(BR$2+FLOOR((BR$2-1)/9,1),"000"),"")</f>
        <v/>
      </c>
      <c r="BS7" s="26" t="str">
        <f>IF(INDEX('Shot Map'!$B$6:$V$26,CEILING($A7/5,1),CEILING(BS$2/5,1))=1,INDEX('Serial Reference'!$A$8:$W$8,1,FLOOR(($A7-1)/23,1)+1)&amp;INDEX('Serial Reference'!$A$8:$W$8,1,MOD($A7-1,23)+1)&amp;TEXT(BS$2+FLOOR((BS$2-1)/9,1),"000"),"")</f>
        <v/>
      </c>
      <c r="BT7" s="24" t="str">
        <f>IF(INDEX('Shot Map'!$B$6:$V$26,CEILING($A7/5,1),CEILING(BT$2/5,1))=1,INDEX('Serial Reference'!$A$8:$W$8,1,FLOOR(($A7-1)/23,1)+1)&amp;INDEX('Serial Reference'!$A$8:$W$8,1,MOD($A7-1,23)+1)&amp;TEXT(BT$2+FLOOR((BT$2-1)/9,1),"000"),"")</f>
        <v/>
      </c>
      <c r="BU7" s="25" t="str">
        <f>IF(INDEX('Shot Map'!$B$6:$V$26,CEILING($A7/5,1),CEILING(BU$2/5,1))=1,INDEX('Serial Reference'!$A$8:$W$8,1,FLOOR(($A7-1)/23,1)+1)&amp;INDEX('Serial Reference'!$A$8:$W$8,1,MOD($A7-1,23)+1)&amp;TEXT(BU$2+FLOOR((BU$2-1)/9,1),"000"),"")</f>
        <v/>
      </c>
      <c r="BV7" s="25" t="str">
        <f>IF(INDEX('Shot Map'!$B$6:$V$26,CEILING($A7/5,1),CEILING(BV$2/5,1))=1,INDEX('Serial Reference'!$A$8:$W$8,1,FLOOR(($A7-1)/23,1)+1)&amp;INDEX('Serial Reference'!$A$8:$W$8,1,MOD($A7-1,23)+1)&amp;TEXT(BV$2+FLOOR((BV$2-1)/9,1),"000"),"")</f>
        <v/>
      </c>
      <c r="BW7" s="25" t="str">
        <f>IF(INDEX('Shot Map'!$B$6:$V$26,CEILING($A7/5,1),CEILING(BW$2/5,1))=1,INDEX('Serial Reference'!$A$8:$W$8,1,FLOOR(($A7-1)/23,1)+1)&amp;INDEX('Serial Reference'!$A$8:$W$8,1,MOD($A7-1,23)+1)&amp;TEXT(BW$2+FLOOR((BW$2-1)/9,1),"000"),"")</f>
        <v/>
      </c>
      <c r="BX7" s="26" t="str">
        <f>IF(INDEX('Shot Map'!$B$6:$V$26,CEILING($A7/5,1),CEILING(BX$2/5,1))=1,INDEX('Serial Reference'!$A$8:$W$8,1,FLOOR(($A7-1)/23,1)+1)&amp;INDEX('Serial Reference'!$A$8:$W$8,1,MOD($A7-1,23)+1)&amp;TEXT(BX$2+FLOOR((BX$2-1)/9,1),"000"),"")</f>
        <v/>
      </c>
      <c r="BY7" s="24" t="str">
        <f>IF(INDEX('Shot Map'!$B$6:$V$26,CEILING($A7/5,1),CEILING(BY$2/5,1))=1,INDEX('Serial Reference'!$A$8:$W$8,1,FLOOR(($A7-1)/23,1)+1)&amp;INDEX('Serial Reference'!$A$8:$W$8,1,MOD($A7-1,23)+1)&amp;TEXT(BY$2+FLOOR((BY$2-1)/9,1),"000"),"")</f>
        <v/>
      </c>
      <c r="BZ7" s="25" t="str">
        <f>IF(INDEX('Shot Map'!$B$6:$V$26,CEILING($A7/5,1),CEILING(BZ$2/5,1))=1,INDEX('Serial Reference'!$A$8:$W$8,1,FLOOR(($A7-1)/23,1)+1)&amp;INDEX('Serial Reference'!$A$8:$W$8,1,MOD($A7-1,23)+1)&amp;TEXT(BZ$2+FLOOR((BZ$2-1)/9,1),"000"),"")</f>
        <v/>
      </c>
      <c r="CA7" s="25" t="str">
        <f>IF(INDEX('Shot Map'!$B$6:$V$26,CEILING($A7/5,1),CEILING(CA$2/5,1))=1,INDEX('Serial Reference'!$A$8:$W$8,1,FLOOR(($A7-1)/23,1)+1)&amp;INDEX('Serial Reference'!$A$8:$W$8,1,MOD($A7-1,23)+1)&amp;TEXT(CA$2+FLOOR((CA$2-1)/9,1),"000"),"")</f>
        <v/>
      </c>
      <c r="CB7" s="25" t="str">
        <f>IF(INDEX('Shot Map'!$B$6:$V$26,CEILING($A7/5,1),CEILING(CB$2/5,1))=1,INDEX('Serial Reference'!$A$8:$W$8,1,FLOOR(($A7-1)/23,1)+1)&amp;INDEX('Serial Reference'!$A$8:$W$8,1,MOD($A7-1,23)+1)&amp;TEXT(CB$2+FLOOR((CB$2-1)/9,1),"000"),"")</f>
        <v/>
      </c>
      <c r="CC7" s="26" t="str">
        <f>IF(INDEX('Shot Map'!$B$6:$V$26,CEILING($A7/5,1),CEILING(CC$2/5,1))=1,INDEX('Serial Reference'!$A$8:$W$8,1,FLOOR(($A7-1)/23,1)+1)&amp;INDEX('Serial Reference'!$A$8:$W$8,1,MOD($A7-1,23)+1)&amp;TEXT(CC$2+FLOOR((CC$2-1)/9,1),"000"),"")</f>
        <v/>
      </c>
      <c r="CD7" s="24" t="str">
        <f>IF(INDEX('Shot Map'!$B$6:$V$26,CEILING($A7/5,1),CEILING(CD$2/5,1))=1,INDEX('Serial Reference'!$A$8:$W$8,1,FLOOR(($A7-1)/23,1)+1)&amp;INDEX('Serial Reference'!$A$8:$W$8,1,MOD($A7-1,23)+1)&amp;TEXT(CD$2+FLOOR((CD$2-1)/9,1),"000"),"")</f>
        <v/>
      </c>
      <c r="CE7" s="25" t="str">
        <f>IF(INDEX('Shot Map'!$B$6:$V$26,CEILING($A7/5,1),CEILING(CE$2/5,1))=1,INDEX('Serial Reference'!$A$8:$W$8,1,FLOOR(($A7-1)/23,1)+1)&amp;INDEX('Serial Reference'!$A$8:$W$8,1,MOD($A7-1,23)+1)&amp;TEXT(CE$2+FLOOR((CE$2-1)/9,1),"000"),"")</f>
        <v/>
      </c>
      <c r="CF7" s="25" t="str">
        <f>IF(INDEX('Shot Map'!$B$6:$V$26,CEILING($A7/5,1),CEILING(CF$2/5,1))=1,INDEX('Serial Reference'!$A$8:$W$8,1,FLOOR(($A7-1)/23,1)+1)&amp;INDEX('Serial Reference'!$A$8:$W$8,1,MOD($A7-1,23)+1)&amp;TEXT(CF$2+FLOOR((CF$2-1)/9,1),"000"),"")</f>
        <v/>
      </c>
      <c r="CG7" s="25" t="str">
        <f>IF(INDEX('Shot Map'!$B$6:$V$26,CEILING($A7/5,1),CEILING(CG$2/5,1))=1,INDEX('Serial Reference'!$A$8:$W$8,1,FLOOR(($A7-1)/23,1)+1)&amp;INDEX('Serial Reference'!$A$8:$W$8,1,MOD($A7-1,23)+1)&amp;TEXT(CG$2+FLOOR((CG$2-1)/9,1),"000"),"")</f>
        <v/>
      </c>
      <c r="CH7" s="26" t="str">
        <f>IF(INDEX('Shot Map'!$B$6:$V$26,CEILING($A7/5,1),CEILING(CH$2/5,1))=1,INDEX('Serial Reference'!$A$8:$W$8,1,FLOOR(($A7-1)/23,1)+1)&amp;INDEX('Serial Reference'!$A$8:$W$8,1,MOD($A7-1,23)+1)&amp;TEXT(CH$2+FLOOR((CH$2-1)/9,1),"000"),"")</f>
        <v/>
      </c>
      <c r="CI7" s="24" t="str">
        <f>IF(INDEX('Shot Map'!$B$6:$V$26,CEILING($A7/5,1),CEILING(CI$2/5,1))=1,INDEX('Serial Reference'!$A$8:$W$8,1,FLOOR(($A7-1)/23,1)+1)&amp;INDEX('Serial Reference'!$A$8:$W$8,1,MOD($A7-1,23)+1)&amp;TEXT(CI$2+FLOOR((CI$2-1)/9,1),"000"),"")</f>
        <v/>
      </c>
      <c r="CJ7" s="25" t="str">
        <f>IF(INDEX('Shot Map'!$B$6:$V$26,CEILING($A7/5,1),CEILING(CJ$2/5,1))=1,INDEX('Serial Reference'!$A$8:$W$8,1,FLOOR(($A7-1)/23,1)+1)&amp;INDEX('Serial Reference'!$A$8:$W$8,1,MOD($A7-1,23)+1)&amp;TEXT(CJ$2+FLOOR((CJ$2-1)/9,1),"000"),"")</f>
        <v/>
      </c>
      <c r="CK7" s="25" t="str">
        <f>IF(INDEX('Shot Map'!$B$6:$V$26,CEILING($A7/5,1),CEILING(CK$2/5,1))=1,INDEX('Serial Reference'!$A$8:$W$8,1,FLOOR(($A7-1)/23,1)+1)&amp;INDEX('Serial Reference'!$A$8:$W$8,1,MOD($A7-1,23)+1)&amp;TEXT(CK$2+FLOOR((CK$2-1)/9,1),"000"),"")</f>
        <v/>
      </c>
      <c r="CL7" s="25" t="str">
        <f>IF(INDEX('Shot Map'!$B$6:$V$26,CEILING($A7/5,1),CEILING(CL$2/5,1))=1,INDEX('Serial Reference'!$A$8:$W$8,1,FLOOR(($A7-1)/23,1)+1)&amp;INDEX('Serial Reference'!$A$8:$W$8,1,MOD($A7-1,23)+1)&amp;TEXT(CL$2+FLOOR((CL$2-1)/9,1),"000"),"")</f>
        <v/>
      </c>
      <c r="CM7" s="26" t="str">
        <f>IF(INDEX('Shot Map'!$B$6:$V$26,CEILING($A7/5,1),CEILING(CM$2/5,1))=1,INDEX('Serial Reference'!$A$8:$W$8,1,FLOOR(($A7-1)/23,1)+1)&amp;INDEX('Serial Reference'!$A$8:$W$8,1,MOD($A7-1,23)+1)&amp;TEXT(CM$2+FLOOR((CM$2-1)/9,1),"000"),"")</f>
        <v/>
      </c>
      <c r="CN7" s="24" t="str">
        <f>IF(INDEX('Shot Map'!$B$6:$V$26,CEILING($A7/5,1),CEILING(CN$2/5,1))=1,INDEX('Serial Reference'!$A$8:$W$8,1,FLOOR(($A7-1)/23,1)+1)&amp;INDEX('Serial Reference'!$A$8:$W$8,1,MOD($A7-1,23)+1)&amp;TEXT(CN$2+FLOOR((CN$2-1)/9,1),"000"),"")</f>
        <v/>
      </c>
      <c r="CO7" s="25" t="str">
        <f>IF(INDEX('Shot Map'!$B$6:$V$26,CEILING($A7/5,1),CEILING(CO$2/5,1))=1,INDEX('Serial Reference'!$A$8:$W$8,1,FLOOR(($A7-1)/23,1)+1)&amp;INDEX('Serial Reference'!$A$8:$W$8,1,MOD($A7-1,23)+1)&amp;TEXT(CO$2+FLOOR((CO$2-1)/9,1),"000"),"")</f>
        <v/>
      </c>
      <c r="CP7" s="25" t="str">
        <f>IF(INDEX('Shot Map'!$B$6:$V$26,CEILING($A7/5,1),CEILING(CP$2/5,1))=1,INDEX('Serial Reference'!$A$8:$W$8,1,FLOOR(($A7-1)/23,1)+1)&amp;INDEX('Serial Reference'!$A$8:$W$8,1,MOD($A7-1,23)+1)&amp;TEXT(CP$2+FLOOR((CP$2-1)/9,1),"000"),"")</f>
        <v/>
      </c>
      <c r="CQ7" s="25" t="str">
        <f>IF(INDEX('Shot Map'!$B$6:$V$26,CEILING($A7/5,1),CEILING(CQ$2/5,1))=1,INDEX('Serial Reference'!$A$8:$W$8,1,FLOOR(($A7-1)/23,1)+1)&amp;INDEX('Serial Reference'!$A$8:$W$8,1,MOD($A7-1,23)+1)&amp;TEXT(CQ$2+FLOOR((CQ$2-1)/9,1),"000"),"")</f>
        <v/>
      </c>
      <c r="CR7" s="26" t="str">
        <f>IF(INDEX('Shot Map'!$B$6:$V$26,CEILING($A7/5,1),CEILING(CR$2/5,1))=1,INDEX('Serial Reference'!$A$8:$W$8,1,FLOOR(($A7-1)/23,1)+1)&amp;INDEX('Serial Reference'!$A$8:$W$8,1,MOD($A7-1,23)+1)&amp;TEXT(CR$2+FLOOR((CR$2-1)/9,1),"000"),"")</f>
        <v/>
      </c>
      <c r="CS7" s="24" t="str">
        <f>IF(INDEX('Shot Map'!$B$6:$V$26,CEILING($A7/5,1),CEILING(CS$2/5,1))=1,INDEX('Serial Reference'!$A$8:$W$8,1,FLOOR(($A7-1)/23,1)+1)&amp;INDEX('Serial Reference'!$A$8:$W$8,1,MOD($A7-1,23)+1)&amp;TEXT(CS$2+FLOOR((CS$2-1)/9,1),"000"),"")</f>
        <v/>
      </c>
      <c r="CT7" s="25" t="str">
        <f>IF(INDEX('Shot Map'!$B$6:$V$26,CEILING($A7/5,1),CEILING(CT$2/5,1))=1,INDEX('Serial Reference'!$A$8:$W$8,1,FLOOR(($A7-1)/23,1)+1)&amp;INDEX('Serial Reference'!$A$8:$W$8,1,MOD($A7-1,23)+1)&amp;TEXT(CT$2+FLOOR((CT$2-1)/9,1),"000"),"")</f>
        <v/>
      </c>
      <c r="CU7" s="25" t="str">
        <f>IF(INDEX('Shot Map'!$B$6:$V$26,CEILING($A7/5,1),CEILING(CU$2/5,1))=1,INDEX('Serial Reference'!$A$8:$W$8,1,FLOOR(($A7-1)/23,1)+1)&amp;INDEX('Serial Reference'!$A$8:$W$8,1,MOD($A7-1,23)+1)&amp;TEXT(CU$2+FLOOR((CU$2-1)/9,1),"000"),"")</f>
        <v/>
      </c>
      <c r="CV7" s="25" t="str">
        <f>IF(INDEX('Shot Map'!$B$6:$V$26,CEILING($A7/5,1),CEILING(CV$2/5,1))=1,INDEX('Serial Reference'!$A$8:$W$8,1,FLOOR(($A7-1)/23,1)+1)&amp;INDEX('Serial Reference'!$A$8:$W$8,1,MOD($A7-1,23)+1)&amp;TEXT(CV$2+FLOOR((CV$2-1)/9,1),"000"),"")</f>
        <v/>
      </c>
      <c r="CW7" s="26" t="str">
        <f>IF(INDEX('Shot Map'!$B$6:$V$26,CEILING($A7/5,1),CEILING(CW$2/5,1))=1,INDEX('Serial Reference'!$A$8:$W$8,1,FLOOR(($A7-1)/23,1)+1)&amp;INDEX('Serial Reference'!$A$8:$W$8,1,MOD($A7-1,23)+1)&amp;TEXT(CW$2+FLOOR((CW$2-1)/9,1),"000"),"")</f>
        <v/>
      </c>
      <c r="CX7" s="24" t="str">
        <f>IF(INDEX('Shot Map'!$B$6:$V$26,CEILING($A7/5,1),CEILING(CX$2/5,1))=1,INDEX('Serial Reference'!$A$8:$W$8,1,FLOOR(($A7-1)/23,1)+1)&amp;INDEX('Serial Reference'!$A$8:$W$8,1,MOD($A7-1,23)+1)&amp;TEXT(CX$2+FLOOR((CX$2-1)/9,1),"000"),"")</f>
        <v/>
      </c>
      <c r="CY7" s="25" t="str">
        <f>IF(INDEX('Shot Map'!$B$6:$V$26,CEILING($A7/5,1),CEILING(CY$2/5,1))=1,INDEX('Serial Reference'!$A$8:$W$8,1,FLOOR(($A7-1)/23,1)+1)&amp;INDEX('Serial Reference'!$A$8:$W$8,1,MOD($A7-1,23)+1)&amp;TEXT(CY$2+FLOOR((CY$2-1)/9,1),"000"),"")</f>
        <v/>
      </c>
      <c r="CZ7" s="25" t="str">
        <f>IF(INDEX('Shot Map'!$B$6:$V$26,CEILING($A7/5,1),CEILING(CZ$2/5,1))=1,INDEX('Serial Reference'!$A$8:$W$8,1,FLOOR(($A7-1)/23,1)+1)&amp;INDEX('Serial Reference'!$A$8:$W$8,1,MOD($A7-1,23)+1)&amp;TEXT(CZ$2+FLOOR((CZ$2-1)/9,1),"000"),"")</f>
        <v/>
      </c>
      <c r="DA7" s="25" t="str">
        <f>IF(INDEX('Shot Map'!$B$6:$V$26,CEILING($A7/5,1),CEILING(DA$2/5,1))=1,INDEX('Serial Reference'!$A$8:$W$8,1,FLOOR(($A7-1)/23,1)+1)&amp;INDEX('Serial Reference'!$A$8:$W$8,1,MOD($A7-1,23)+1)&amp;TEXT(DA$2+FLOOR((DA$2-1)/9,1),"000"),"")</f>
        <v/>
      </c>
      <c r="DB7" s="26" t="str">
        <f>IF(INDEX('Shot Map'!$B$6:$V$26,CEILING($A7/5,1),CEILING(DB$2/5,1))=1,INDEX('Serial Reference'!$A$8:$W$8,1,FLOOR(($A7-1)/23,1)+1)&amp;INDEX('Serial Reference'!$A$8:$W$8,1,MOD($A7-1,23)+1)&amp;TEXT(DB$2+FLOOR((DB$2-1)/9,1),"000"),"")</f>
        <v/>
      </c>
    </row>
    <row r="8" spans="1:106" ht="12.75" customHeight="1" x14ac:dyDescent="0.25">
      <c r="A8" s="17">
        <v>6</v>
      </c>
      <c r="B8" s="18" t="str">
        <f>IF(INDEX('Shot Map'!$B$6:$V$26,CEILING($A8/5,1),CEILING(B$2/5,1))=1,INDEX('Serial Reference'!$A$8:$W$8,1,FLOOR(($A8-1)/23,1)+1)&amp;INDEX('Serial Reference'!$A$8:$W$8,1,MOD($A8-1,23)+1)&amp;TEXT(B$2+FLOOR((B$2-1)/9,1),"000"),"")</f>
        <v/>
      </c>
      <c r="C8" s="19" t="str">
        <f>IF(INDEX('Shot Map'!$B$6:$V$26,CEILING($A8/5,1),CEILING(C$2/5,1))=1,INDEX('Serial Reference'!$A$8:$W$8,1,FLOOR(($A8-1)/23,1)+1)&amp;INDEX('Serial Reference'!$A$8:$W$8,1,MOD($A8-1,23)+1)&amp;TEXT(C$2+FLOOR((C$2-1)/9,1),"000"),"")</f>
        <v/>
      </c>
      <c r="D8" s="19" t="str">
        <f>IF(INDEX('Shot Map'!$B$6:$V$26,CEILING($A8/5,1),CEILING(D$2/5,1))=1,INDEX('Serial Reference'!$A$8:$W$8,1,FLOOR(($A8-1)/23,1)+1)&amp;INDEX('Serial Reference'!$A$8:$W$8,1,MOD($A8-1,23)+1)&amp;TEXT(D$2+FLOOR((D$2-1)/9,1),"000"),"")</f>
        <v/>
      </c>
      <c r="E8" s="19" t="str">
        <f>IF(INDEX('Shot Map'!$B$6:$V$26,CEILING($A8/5,1),CEILING(E$2/5,1))=1,INDEX('Serial Reference'!$A$8:$W$8,1,FLOOR(($A8-1)/23,1)+1)&amp;INDEX('Serial Reference'!$A$8:$W$8,1,MOD($A8-1,23)+1)&amp;TEXT(E$2+FLOOR((E$2-1)/9,1),"000"),"")</f>
        <v/>
      </c>
      <c r="F8" s="20" t="str">
        <f>IF(INDEX('Shot Map'!$B$6:$V$26,CEILING($A8/5,1),CEILING(F$2/5,1))=1,INDEX('Serial Reference'!$A$8:$W$8,1,FLOOR(($A8-1)/23,1)+1)&amp;INDEX('Serial Reference'!$A$8:$W$8,1,MOD($A8-1,23)+1)&amp;TEXT(F$2+FLOOR((F$2-1)/9,1),"000"),"")</f>
        <v/>
      </c>
      <c r="G8" s="18" t="str">
        <f>IF(INDEX('Shot Map'!$B$6:$V$26,CEILING($A8/5,1),CEILING(G$2/5,1))=1,INDEX('Serial Reference'!$A$8:$W$8,1,FLOOR(($A8-1)/23,1)+1)&amp;INDEX('Serial Reference'!$A$8:$W$8,1,MOD($A8-1,23)+1)&amp;TEXT(G$2+FLOOR((G$2-1)/9,1),"000"),"")</f>
        <v/>
      </c>
      <c r="H8" s="19" t="str">
        <f>IF(INDEX('Shot Map'!$B$6:$V$26,CEILING($A8/5,1),CEILING(H$2/5,1))=1,INDEX('Serial Reference'!$A$8:$W$8,1,FLOOR(($A8-1)/23,1)+1)&amp;INDEX('Serial Reference'!$A$8:$W$8,1,MOD($A8-1,23)+1)&amp;TEXT(H$2+FLOOR((H$2-1)/9,1),"000"),"")</f>
        <v/>
      </c>
      <c r="I8" s="19" t="str">
        <f>IF(INDEX('Shot Map'!$B$6:$V$26,CEILING($A8/5,1),CEILING(I$2/5,1))=1,INDEX('Serial Reference'!$A$8:$W$8,1,FLOOR(($A8-1)/23,1)+1)&amp;INDEX('Serial Reference'!$A$8:$W$8,1,MOD($A8-1,23)+1)&amp;TEXT(I$2+FLOOR((I$2-1)/9,1),"000"),"")</f>
        <v/>
      </c>
      <c r="J8" s="19" t="str">
        <f>IF(INDEX('Shot Map'!$B$6:$V$26,CEILING($A8/5,1),CEILING(J$2/5,1))=1,INDEX('Serial Reference'!$A$8:$W$8,1,FLOOR(($A8-1)/23,1)+1)&amp;INDEX('Serial Reference'!$A$8:$W$8,1,MOD($A8-1,23)+1)&amp;TEXT(J$2+FLOOR((J$2-1)/9,1),"000"),"")</f>
        <v/>
      </c>
      <c r="K8" s="20" t="str">
        <f>IF(INDEX('Shot Map'!$B$6:$V$26,CEILING($A8/5,1),CEILING(K$2/5,1))=1,INDEX('Serial Reference'!$A$8:$W$8,1,FLOOR(($A8-1)/23,1)+1)&amp;INDEX('Serial Reference'!$A$8:$W$8,1,MOD($A8-1,23)+1)&amp;TEXT(K$2+FLOOR((K$2-1)/9,1),"000"),"")</f>
        <v/>
      </c>
      <c r="L8" s="18" t="str">
        <f>IF(INDEX('Shot Map'!$B$6:$V$26,CEILING($A8/5,1),CEILING(L$2/5,1))=1,INDEX('Serial Reference'!$A$8:$W$8,1,FLOOR(($A8-1)/23,1)+1)&amp;INDEX('Serial Reference'!$A$8:$W$8,1,MOD($A8-1,23)+1)&amp;TEXT(L$2+FLOOR((L$2-1)/9,1),"000"),"")</f>
        <v/>
      </c>
      <c r="M8" s="19" t="str">
        <f>IF(INDEX('Shot Map'!$B$6:$V$26,CEILING($A8/5,1),CEILING(M$2/5,1))=1,INDEX('Serial Reference'!$A$8:$W$8,1,FLOOR(($A8-1)/23,1)+1)&amp;INDEX('Serial Reference'!$A$8:$W$8,1,MOD($A8-1,23)+1)&amp;TEXT(M$2+FLOOR((M$2-1)/9,1),"000"),"")</f>
        <v/>
      </c>
      <c r="N8" s="19" t="str">
        <f>IF(INDEX('Shot Map'!$B$6:$V$26,CEILING($A8/5,1),CEILING(N$2/5,1))=1,INDEX('Serial Reference'!$A$8:$W$8,1,FLOOR(($A8-1)/23,1)+1)&amp;INDEX('Serial Reference'!$A$8:$W$8,1,MOD($A8-1,23)+1)&amp;TEXT(N$2+FLOOR((N$2-1)/9,1),"000"),"")</f>
        <v/>
      </c>
      <c r="O8" s="19" t="str">
        <f>IF(INDEX('Shot Map'!$B$6:$V$26,CEILING($A8/5,1),CEILING(O$2/5,1))=1,INDEX('Serial Reference'!$A$8:$W$8,1,FLOOR(($A8-1)/23,1)+1)&amp;INDEX('Serial Reference'!$A$8:$W$8,1,MOD($A8-1,23)+1)&amp;TEXT(O$2+FLOOR((O$2-1)/9,1),"000"),"")</f>
        <v/>
      </c>
      <c r="P8" s="20" t="str">
        <f>IF(INDEX('Shot Map'!$B$6:$V$26,CEILING($A8/5,1),CEILING(P$2/5,1))=1,INDEX('Serial Reference'!$A$8:$W$8,1,FLOOR(($A8-1)/23,1)+1)&amp;INDEX('Serial Reference'!$A$8:$W$8,1,MOD($A8-1,23)+1)&amp;TEXT(P$2+FLOOR((P$2-1)/9,1),"000"),"")</f>
        <v/>
      </c>
      <c r="Q8" s="18" t="str">
        <f>IF(INDEX('Shot Map'!$B$6:$V$26,CEILING($A8/5,1),CEILING(Q$2/5,1))=1,INDEX('Serial Reference'!$A$8:$W$8,1,FLOOR(($A8-1)/23,1)+1)&amp;INDEX('Serial Reference'!$A$8:$W$8,1,MOD($A8-1,23)+1)&amp;TEXT(Q$2+FLOOR((Q$2-1)/9,1),"000"),"")</f>
        <v/>
      </c>
      <c r="R8" s="19" t="str">
        <f>IF(INDEX('Shot Map'!$B$6:$V$26,CEILING($A8/5,1),CEILING(R$2/5,1))=1,INDEX('Serial Reference'!$A$8:$W$8,1,FLOOR(($A8-1)/23,1)+1)&amp;INDEX('Serial Reference'!$A$8:$W$8,1,MOD($A8-1,23)+1)&amp;TEXT(R$2+FLOOR((R$2-1)/9,1),"000"),"")</f>
        <v/>
      </c>
      <c r="S8" s="19" t="str">
        <f>IF(INDEX('Shot Map'!$B$6:$V$26,CEILING($A8/5,1),CEILING(S$2/5,1))=1,INDEX('Serial Reference'!$A$8:$W$8,1,FLOOR(($A8-1)/23,1)+1)&amp;INDEX('Serial Reference'!$A$8:$W$8,1,MOD($A8-1,23)+1)&amp;TEXT(S$2+FLOOR((S$2-1)/9,1),"000"),"")</f>
        <v/>
      </c>
      <c r="T8" s="19" t="str">
        <f>IF(INDEX('Shot Map'!$B$6:$V$26,CEILING($A8/5,1),CEILING(T$2/5,1))=1,INDEX('Serial Reference'!$A$8:$W$8,1,FLOOR(($A8-1)/23,1)+1)&amp;INDEX('Serial Reference'!$A$8:$W$8,1,MOD($A8-1,23)+1)&amp;TEXT(T$2+FLOOR((T$2-1)/9,1),"000"),"")</f>
        <v/>
      </c>
      <c r="U8" s="20" t="str">
        <f>IF(INDEX('Shot Map'!$B$6:$V$26,CEILING($A8/5,1),CEILING(U$2/5,1))=1,INDEX('Serial Reference'!$A$8:$W$8,1,FLOOR(($A8-1)/23,1)+1)&amp;INDEX('Serial Reference'!$A$8:$W$8,1,MOD($A8-1,23)+1)&amp;TEXT(U$2+FLOOR((U$2-1)/9,1),"000"),"")</f>
        <v/>
      </c>
      <c r="V8" s="18" t="str">
        <f>IF(INDEX('Shot Map'!$B$6:$V$26,CEILING($A8/5,1),CEILING(V$2/5,1))=1,INDEX('Serial Reference'!$A$8:$W$8,1,FLOOR(($A8-1)/23,1)+1)&amp;INDEX('Serial Reference'!$A$8:$W$8,1,MOD($A8-1,23)+1)&amp;TEXT(V$2+FLOOR((V$2-1)/9,1),"000"),"")</f>
        <v/>
      </c>
      <c r="W8" s="19" t="str">
        <f>IF(INDEX('Shot Map'!$B$6:$V$26,CEILING($A8/5,1),CEILING(W$2/5,1))=1,INDEX('Serial Reference'!$A$8:$W$8,1,FLOOR(($A8-1)/23,1)+1)&amp;INDEX('Serial Reference'!$A$8:$W$8,1,MOD($A8-1,23)+1)&amp;TEXT(W$2+FLOOR((W$2-1)/9,1),"000"),"")</f>
        <v/>
      </c>
      <c r="X8" s="19" t="str">
        <f>IF(INDEX('Shot Map'!$B$6:$V$26,CEILING($A8/5,1),CEILING(X$2/5,1))=1,INDEX('Serial Reference'!$A$8:$W$8,1,FLOOR(($A8-1)/23,1)+1)&amp;INDEX('Serial Reference'!$A$8:$W$8,1,MOD($A8-1,23)+1)&amp;TEXT(X$2+FLOOR((X$2-1)/9,1),"000"),"")</f>
        <v/>
      </c>
      <c r="Y8" s="19" t="str">
        <f>IF(INDEX('Shot Map'!$B$6:$V$26,CEILING($A8/5,1),CEILING(Y$2/5,1))=1,INDEX('Serial Reference'!$A$8:$W$8,1,FLOOR(($A8-1)/23,1)+1)&amp;INDEX('Serial Reference'!$A$8:$W$8,1,MOD($A8-1,23)+1)&amp;TEXT(Y$2+FLOOR((Y$2-1)/9,1),"000"),"")</f>
        <v/>
      </c>
      <c r="Z8" s="20" t="str">
        <f>IF(INDEX('Shot Map'!$B$6:$V$26,CEILING($A8/5,1),CEILING(Z$2/5,1))=1,INDEX('Serial Reference'!$A$8:$W$8,1,FLOOR(($A8-1)/23,1)+1)&amp;INDEX('Serial Reference'!$A$8:$W$8,1,MOD($A8-1,23)+1)&amp;TEXT(Z$2+FLOOR((Z$2-1)/9,1),"000"),"")</f>
        <v/>
      </c>
      <c r="AA8" s="18" t="str">
        <f>IF(INDEX('Shot Map'!$B$6:$V$26,CEILING($A8/5,1),CEILING(AA$2/5,1))=1,INDEX('Serial Reference'!$A$8:$W$8,1,FLOOR(($A8-1)/23,1)+1)&amp;INDEX('Serial Reference'!$A$8:$W$8,1,MOD($A8-1,23)+1)&amp;TEXT(AA$2+FLOOR((AA$2-1)/9,1),"000"),"")</f>
        <v/>
      </c>
      <c r="AB8" s="19" t="str">
        <f>IF(INDEX('Shot Map'!$B$6:$V$26,CEILING($A8/5,1),CEILING(AB$2/5,1))=1,INDEX('Serial Reference'!$A$8:$W$8,1,FLOOR(($A8-1)/23,1)+1)&amp;INDEX('Serial Reference'!$A$8:$W$8,1,MOD($A8-1,23)+1)&amp;TEXT(AB$2+FLOOR((AB$2-1)/9,1),"000"),"")</f>
        <v/>
      </c>
      <c r="AC8" s="19" t="str">
        <f>IF(INDEX('Shot Map'!$B$6:$V$26,CEILING($A8/5,1),CEILING(AC$2/5,1))=1,INDEX('Serial Reference'!$A$8:$W$8,1,FLOOR(($A8-1)/23,1)+1)&amp;INDEX('Serial Reference'!$A$8:$W$8,1,MOD($A8-1,23)+1)&amp;TEXT(AC$2+FLOOR((AC$2-1)/9,1),"000"),"")</f>
        <v/>
      </c>
      <c r="AD8" s="19" t="str">
        <f>IF(INDEX('Shot Map'!$B$6:$V$26,CEILING($A8/5,1),CEILING(AD$2/5,1))=1,INDEX('Serial Reference'!$A$8:$W$8,1,FLOOR(($A8-1)/23,1)+1)&amp;INDEX('Serial Reference'!$A$8:$W$8,1,MOD($A8-1,23)+1)&amp;TEXT(AD$2+FLOOR((AD$2-1)/9,1),"000"),"")</f>
        <v/>
      </c>
      <c r="AE8" s="20" t="str">
        <f>IF(INDEX('Shot Map'!$B$6:$V$26,CEILING($A8/5,1),CEILING(AE$2/5,1))=1,INDEX('Serial Reference'!$A$8:$W$8,1,FLOOR(($A8-1)/23,1)+1)&amp;INDEX('Serial Reference'!$A$8:$W$8,1,MOD($A8-1,23)+1)&amp;TEXT(AE$2+FLOOR((AE$2-1)/9,1),"000"),"")</f>
        <v/>
      </c>
      <c r="AF8" s="18" t="str">
        <f>IF(INDEX('Shot Map'!$B$6:$V$26,CEILING($A8/5,1),CEILING(AF$2/5,1))=1,INDEX('Serial Reference'!$A$8:$W$8,1,FLOOR(($A8-1)/23,1)+1)&amp;INDEX('Serial Reference'!$A$8:$W$8,1,MOD($A8-1,23)+1)&amp;TEXT(AF$2+FLOOR((AF$2-1)/9,1),"000"),"")</f>
        <v>AF034</v>
      </c>
      <c r="AG8" s="19" t="str">
        <f>IF(INDEX('Shot Map'!$B$6:$V$26,CEILING($A8/5,1),CEILING(AG$2/5,1))=1,INDEX('Serial Reference'!$A$8:$W$8,1,FLOOR(($A8-1)/23,1)+1)&amp;INDEX('Serial Reference'!$A$8:$W$8,1,MOD($A8-1,23)+1)&amp;TEXT(AG$2+FLOOR((AG$2-1)/9,1),"000"),"")</f>
        <v>AF035</v>
      </c>
      <c r="AH8" s="19" t="str">
        <f>IF(INDEX('Shot Map'!$B$6:$V$26,CEILING($A8/5,1),CEILING(AH$2/5,1))=1,INDEX('Serial Reference'!$A$8:$W$8,1,FLOOR(($A8-1)/23,1)+1)&amp;INDEX('Serial Reference'!$A$8:$W$8,1,MOD($A8-1,23)+1)&amp;TEXT(AH$2+FLOOR((AH$2-1)/9,1),"000"),"")</f>
        <v>AF036</v>
      </c>
      <c r="AI8" s="19" t="str">
        <f>IF(INDEX('Shot Map'!$B$6:$V$26,CEILING($A8/5,1),CEILING(AI$2/5,1))=1,INDEX('Serial Reference'!$A$8:$W$8,1,FLOOR(($A8-1)/23,1)+1)&amp;INDEX('Serial Reference'!$A$8:$W$8,1,MOD($A8-1,23)+1)&amp;TEXT(AI$2+FLOOR((AI$2-1)/9,1),"000"),"")</f>
        <v>AF037</v>
      </c>
      <c r="AJ8" s="20" t="str">
        <f>IF(INDEX('Shot Map'!$B$6:$V$26,CEILING($A8/5,1),CEILING(AJ$2/5,1))=1,INDEX('Serial Reference'!$A$8:$W$8,1,FLOOR(($A8-1)/23,1)+1)&amp;INDEX('Serial Reference'!$A$8:$W$8,1,MOD($A8-1,23)+1)&amp;TEXT(AJ$2+FLOOR((AJ$2-1)/9,1),"000"),"")</f>
        <v>AF038</v>
      </c>
      <c r="AK8" s="18" t="str">
        <f>IF(INDEX('Shot Map'!$B$6:$V$26,CEILING($A8/5,1),CEILING(AK$2/5,1))=1,INDEX('Serial Reference'!$A$8:$W$8,1,FLOOR(($A8-1)/23,1)+1)&amp;INDEX('Serial Reference'!$A$8:$W$8,1,MOD($A8-1,23)+1)&amp;TEXT(AK$2+FLOOR((AK$2-1)/9,1),"000"),"")</f>
        <v>AF039</v>
      </c>
      <c r="AL8" s="19" t="str">
        <f>IF(INDEX('Shot Map'!$B$6:$V$26,CEILING($A8/5,1),CEILING(AL$2/5,1))=1,INDEX('Serial Reference'!$A$8:$W$8,1,FLOOR(($A8-1)/23,1)+1)&amp;INDEX('Serial Reference'!$A$8:$W$8,1,MOD($A8-1,23)+1)&amp;TEXT(AL$2+FLOOR((AL$2-1)/9,1),"000"),"")</f>
        <v>AF041</v>
      </c>
      <c r="AM8" s="19" t="str">
        <f>IF(INDEX('Shot Map'!$B$6:$V$26,CEILING($A8/5,1),CEILING(AM$2/5,1))=1,INDEX('Serial Reference'!$A$8:$W$8,1,FLOOR(($A8-1)/23,1)+1)&amp;INDEX('Serial Reference'!$A$8:$W$8,1,MOD($A8-1,23)+1)&amp;TEXT(AM$2+FLOOR((AM$2-1)/9,1),"000"),"")</f>
        <v>AF042</v>
      </c>
      <c r="AN8" s="19" t="str">
        <f>IF(INDEX('Shot Map'!$B$6:$V$26,CEILING($A8/5,1),CEILING(AN$2/5,1))=1,INDEX('Serial Reference'!$A$8:$W$8,1,FLOOR(($A8-1)/23,1)+1)&amp;INDEX('Serial Reference'!$A$8:$W$8,1,MOD($A8-1,23)+1)&amp;TEXT(AN$2+FLOOR((AN$2-1)/9,1),"000"),"")</f>
        <v>AF043</v>
      </c>
      <c r="AO8" s="20" t="str">
        <f>IF(INDEX('Shot Map'!$B$6:$V$26,CEILING($A8/5,1),CEILING(AO$2/5,1))=1,INDEX('Serial Reference'!$A$8:$W$8,1,FLOOR(($A8-1)/23,1)+1)&amp;INDEX('Serial Reference'!$A$8:$W$8,1,MOD($A8-1,23)+1)&amp;TEXT(AO$2+FLOOR((AO$2-1)/9,1),"000"),"")</f>
        <v>AF044</v>
      </c>
      <c r="AP8" s="18" t="str">
        <f>IF(INDEX('Shot Map'!$B$6:$V$26,CEILING($A8/5,1),CEILING(AP$2/5,1))=1,INDEX('Serial Reference'!$A$8:$W$8,1,FLOOR(($A8-1)/23,1)+1)&amp;INDEX('Serial Reference'!$A$8:$W$8,1,MOD($A8-1,23)+1)&amp;TEXT(AP$2+FLOOR((AP$2-1)/9,1),"000"),"")</f>
        <v>AF045</v>
      </c>
      <c r="AQ8" s="19" t="str">
        <f>IF(INDEX('Shot Map'!$B$6:$V$26,CEILING($A8/5,1),CEILING(AQ$2/5,1))=1,INDEX('Serial Reference'!$A$8:$W$8,1,FLOOR(($A8-1)/23,1)+1)&amp;INDEX('Serial Reference'!$A$8:$W$8,1,MOD($A8-1,23)+1)&amp;TEXT(AQ$2+FLOOR((AQ$2-1)/9,1),"000"),"")</f>
        <v>AF046</v>
      </c>
      <c r="AR8" s="19" t="str">
        <f>IF(INDEX('Shot Map'!$B$6:$V$26,CEILING($A8/5,1),CEILING(AR$2/5,1))=1,INDEX('Serial Reference'!$A$8:$W$8,1,FLOOR(($A8-1)/23,1)+1)&amp;INDEX('Serial Reference'!$A$8:$W$8,1,MOD($A8-1,23)+1)&amp;TEXT(AR$2+FLOOR((AR$2-1)/9,1),"000"),"")</f>
        <v>AF047</v>
      </c>
      <c r="AS8" s="19" t="str">
        <f>IF(INDEX('Shot Map'!$B$6:$V$26,CEILING($A8/5,1),CEILING(AS$2/5,1))=1,INDEX('Serial Reference'!$A$8:$W$8,1,FLOOR(($A8-1)/23,1)+1)&amp;INDEX('Serial Reference'!$A$8:$W$8,1,MOD($A8-1,23)+1)&amp;TEXT(AS$2+FLOOR((AS$2-1)/9,1),"000"),"")</f>
        <v>AF048</v>
      </c>
      <c r="AT8" s="20" t="str">
        <f>IF(INDEX('Shot Map'!$B$6:$V$26,CEILING($A8/5,1),CEILING(AT$2/5,1))=1,INDEX('Serial Reference'!$A$8:$W$8,1,FLOOR(($A8-1)/23,1)+1)&amp;INDEX('Serial Reference'!$A$8:$W$8,1,MOD($A8-1,23)+1)&amp;TEXT(AT$2+FLOOR((AT$2-1)/9,1),"000"),"")</f>
        <v>AF049</v>
      </c>
      <c r="AU8" s="18" t="str">
        <f>IF(INDEX('Shot Map'!$B$6:$V$26,CEILING($A8/5,1),CEILING(AU$2/5,1))=1,INDEX('Serial Reference'!$A$8:$W$8,1,FLOOR(($A8-1)/23,1)+1)&amp;INDEX('Serial Reference'!$A$8:$W$8,1,MOD($A8-1,23)+1)&amp;TEXT(AU$2+FLOOR((AU$2-1)/9,1),"000"),"")</f>
        <v>AF051</v>
      </c>
      <c r="AV8" s="19" t="str">
        <f>IF(INDEX('Shot Map'!$B$6:$V$26,CEILING($A8/5,1),CEILING(AV$2/5,1))=1,INDEX('Serial Reference'!$A$8:$W$8,1,FLOOR(($A8-1)/23,1)+1)&amp;INDEX('Serial Reference'!$A$8:$W$8,1,MOD($A8-1,23)+1)&amp;TEXT(AV$2+FLOOR((AV$2-1)/9,1),"000"),"")</f>
        <v>AF052</v>
      </c>
      <c r="AW8" s="19" t="str">
        <f>IF(INDEX('Shot Map'!$B$6:$V$26,CEILING($A8/5,1),CEILING(AW$2/5,1))=1,INDEX('Serial Reference'!$A$8:$W$8,1,FLOOR(($A8-1)/23,1)+1)&amp;INDEX('Serial Reference'!$A$8:$W$8,1,MOD($A8-1,23)+1)&amp;TEXT(AW$2+FLOOR((AW$2-1)/9,1),"000"),"")</f>
        <v>AF053</v>
      </c>
      <c r="AX8" s="19" t="str">
        <f>IF(INDEX('Shot Map'!$B$6:$V$26,CEILING($A8/5,1),CEILING(AX$2/5,1))=1,INDEX('Serial Reference'!$A$8:$W$8,1,FLOOR(($A8-1)/23,1)+1)&amp;INDEX('Serial Reference'!$A$8:$W$8,1,MOD($A8-1,23)+1)&amp;TEXT(AX$2+FLOOR((AX$2-1)/9,1),"000"),"")</f>
        <v>AF054</v>
      </c>
      <c r="AY8" s="20" t="str">
        <f>IF(INDEX('Shot Map'!$B$6:$V$26,CEILING($A8/5,1),CEILING(AY$2/5,1))=1,INDEX('Serial Reference'!$A$8:$W$8,1,FLOOR(($A8-1)/23,1)+1)&amp;INDEX('Serial Reference'!$A$8:$W$8,1,MOD($A8-1,23)+1)&amp;TEXT(AY$2+FLOOR((AY$2-1)/9,1),"000"),"")</f>
        <v>AF055</v>
      </c>
      <c r="AZ8" s="18" t="str">
        <f>IF(INDEX('Shot Map'!$B$6:$V$26,CEILING($A8/5,1),CEILING(AZ$2/5,1))=1,INDEX('Serial Reference'!$A$8:$W$8,1,FLOOR(($A8-1)/23,1)+1)&amp;INDEX('Serial Reference'!$A$8:$W$8,1,MOD($A8-1,23)+1)&amp;TEXT(AZ$2+FLOOR((AZ$2-1)/9,1),"000"),"")</f>
        <v>AF056</v>
      </c>
      <c r="BA8" s="19" t="str">
        <f>IF(INDEX('Shot Map'!$B$6:$V$26,CEILING($A8/5,1),CEILING(BA$2/5,1))=1,INDEX('Serial Reference'!$A$8:$W$8,1,FLOOR(($A8-1)/23,1)+1)&amp;INDEX('Serial Reference'!$A$8:$W$8,1,MOD($A8-1,23)+1)&amp;TEXT(BA$2+FLOOR((BA$2-1)/9,1),"000"),"")</f>
        <v>AF057</v>
      </c>
      <c r="BB8" s="19" t="str">
        <f>IF(INDEX('Shot Map'!$B$6:$V$26,CEILING($A8/5,1),CEILING(BB$2/5,1))=1,INDEX('Serial Reference'!$A$8:$W$8,1,FLOOR(($A8-1)/23,1)+1)&amp;INDEX('Serial Reference'!$A$8:$W$8,1,MOD($A8-1,23)+1)&amp;TEXT(BB$2+FLOOR((BB$2-1)/9,1),"000"),"")</f>
        <v>AF058</v>
      </c>
      <c r="BC8" s="19" t="str">
        <f>IF(INDEX('Shot Map'!$B$6:$V$26,CEILING($A8/5,1),CEILING(BC$2/5,1))=1,INDEX('Serial Reference'!$A$8:$W$8,1,FLOOR(($A8-1)/23,1)+1)&amp;INDEX('Serial Reference'!$A$8:$W$8,1,MOD($A8-1,23)+1)&amp;TEXT(BC$2+FLOOR((BC$2-1)/9,1),"000"),"")</f>
        <v>AF059</v>
      </c>
      <c r="BD8" s="20" t="str">
        <f>IF(INDEX('Shot Map'!$B$6:$V$26,CEILING($A8/5,1),CEILING(BD$2/5,1))=1,INDEX('Serial Reference'!$A$8:$W$8,1,FLOOR(($A8-1)/23,1)+1)&amp;INDEX('Serial Reference'!$A$8:$W$8,1,MOD($A8-1,23)+1)&amp;TEXT(BD$2+FLOOR((BD$2-1)/9,1),"000"),"")</f>
        <v>AF061</v>
      </c>
      <c r="BE8" s="18" t="str">
        <f>IF(INDEX('Shot Map'!$B$6:$V$26,CEILING($A8/5,1),CEILING(BE$2/5,1))=1,INDEX('Serial Reference'!$A$8:$W$8,1,FLOOR(($A8-1)/23,1)+1)&amp;INDEX('Serial Reference'!$A$8:$W$8,1,MOD($A8-1,23)+1)&amp;TEXT(BE$2+FLOOR((BE$2-1)/9,1),"000"),"")</f>
        <v>AF062</v>
      </c>
      <c r="BF8" s="19" t="str">
        <f>IF(INDEX('Shot Map'!$B$6:$V$26,CEILING($A8/5,1),CEILING(BF$2/5,1))=1,INDEX('Serial Reference'!$A$8:$W$8,1,FLOOR(($A8-1)/23,1)+1)&amp;INDEX('Serial Reference'!$A$8:$W$8,1,MOD($A8-1,23)+1)&amp;TEXT(BF$2+FLOOR((BF$2-1)/9,1),"000"),"")</f>
        <v>AF063</v>
      </c>
      <c r="BG8" s="19" t="str">
        <f>IF(INDEX('Shot Map'!$B$6:$V$26,CEILING($A8/5,1),CEILING(BG$2/5,1))=1,INDEX('Serial Reference'!$A$8:$W$8,1,FLOOR(($A8-1)/23,1)+1)&amp;INDEX('Serial Reference'!$A$8:$W$8,1,MOD($A8-1,23)+1)&amp;TEXT(BG$2+FLOOR((BG$2-1)/9,1),"000"),"")</f>
        <v>AF064</v>
      </c>
      <c r="BH8" s="19" t="str">
        <f>IF(INDEX('Shot Map'!$B$6:$V$26,CEILING($A8/5,1),CEILING(BH$2/5,1))=1,INDEX('Serial Reference'!$A$8:$W$8,1,FLOOR(($A8-1)/23,1)+1)&amp;INDEX('Serial Reference'!$A$8:$W$8,1,MOD($A8-1,23)+1)&amp;TEXT(BH$2+FLOOR((BH$2-1)/9,1),"000"),"")</f>
        <v>AF065</v>
      </c>
      <c r="BI8" s="20" t="str">
        <f>IF(INDEX('Shot Map'!$B$6:$V$26,CEILING($A8/5,1),CEILING(BI$2/5,1))=1,INDEX('Serial Reference'!$A$8:$W$8,1,FLOOR(($A8-1)/23,1)+1)&amp;INDEX('Serial Reference'!$A$8:$W$8,1,MOD($A8-1,23)+1)&amp;TEXT(BI$2+FLOOR((BI$2-1)/9,1),"000"),"")</f>
        <v>AF066</v>
      </c>
      <c r="BJ8" s="18" t="str">
        <f>IF(INDEX('Shot Map'!$B$6:$V$26,CEILING($A8/5,1),CEILING(BJ$2/5,1))=1,INDEX('Serial Reference'!$A$8:$W$8,1,FLOOR(($A8-1)/23,1)+1)&amp;INDEX('Serial Reference'!$A$8:$W$8,1,MOD($A8-1,23)+1)&amp;TEXT(BJ$2+FLOOR((BJ$2-1)/9,1),"000"),"")</f>
        <v>AF067</v>
      </c>
      <c r="BK8" s="19" t="str">
        <f>IF(INDEX('Shot Map'!$B$6:$V$26,CEILING($A8/5,1),CEILING(BK$2/5,1))=1,INDEX('Serial Reference'!$A$8:$W$8,1,FLOOR(($A8-1)/23,1)+1)&amp;INDEX('Serial Reference'!$A$8:$W$8,1,MOD($A8-1,23)+1)&amp;TEXT(BK$2+FLOOR((BK$2-1)/9,1),"000"),"")</f>
        <v>AF068</v>
      </c>
      <c r="BL8" s="19" t="str">
        <f>IF(INDEX('Shot Map'!$B$6:$V$26,CEILING($A8/5,1),CEILING(BL$2/5,1))=1,INDEX('Serial Reference'!$A$8:$W$8,1,FLOOR(($A8-1)/23,1)+1)&amp;INDEX('Serial Reference'!$A$8:$W$8,1,MOD($A8-1,23)+1)&amp;TEXT(BL$2+FLOOR((BL$2-1)/9,1),"000"),"")</f>
        <v>AF069</v>
      </c>
      <c r="BM8" s="19" t="str">
        <f>IF(INDEX('Shot Map'!$B$6:$V$26,CEILING($A8/5,1),CEILING(BM$2/5,1))=1,INDEX('Serial Reference'!$A$8:$W$8,1,FLOOR(($A8-1)/23,1)+1)&amp;INDEX('Serial Reference'!$A$8:$W$8,1,MOD($A8-1,23)+1)&amp;TEXT(BM$2+FLOOR((BM$2-1)/9,1),"000"),"")</f>
        <v>AF071</v>
      </c>
      <c r="BN8" s="20" t="str">
        <f>IF(INDEX('Shot Map'!$B$6:$V$26,CEILING($A8/5,1),CEILING(BN$2/5,1))=1,INDEX('Serial Reference'!$A$8:$W$8,1,FLOOR(($A8-1)/23,1)+1)&amp;INDEX('Serial Reference'!$A$8:$W$8,1,MOD($A8-1,23)+1)&amp;TEXT(BN$2+FLOOR((BN$2-1)/9,1),"000"),"")</f>
        <v>AF072</v>
      </c>
      <c r="BO8" s="18" t="str">
        <f>IF(INDEX('Shot Map'!$B$6:$V$26,CEILING($A8/5,1),CEILING(BO$2/5,1))=1,INDEX('Serial Reference'!$A$8:$W$8,1,FLOOR(($A8-1)/23,1)+1)&amp;INDEX('Serial Reference'!$A$8:$W$8,1,MOD($A8-1,23)+1)&amp;TEXT(BO$2+FLOOR((BO$2-1)/9,1),"000"),"")</f>
        <v>AF073</v>
      </c>
      <c r="BP8" s="19" t="str">
        <f>IF(INDEX('Shot Map'!$B$6:$V$26,CEILING($A8/5,1),CEILING(BP$2/5,1))=1,INDEX('Serial Reference'!$A$8:$W$8,1,FLOOR(($A8-1)/23,1)+1)&amp;INDEX('Serial Reference'!$A$8:$W$8,1,MOD($A8-1,23)+1)&amp;TEXT(BP$2+FLOOR((BP$2-1)/9,1),"000"),"")</f>
        <v>AF074</v>
      </c>
      <c r="BQ8" s="19" t="str">
        <f>IF(INDEX('Shot Map'!$B$6:$V$26,CEILING($A8/5,1),CEILING(BQ$2/5,1))=1,INDEX('Serial Reference'!$A$8:$W$8,1,FLOOR(($A8-1)/23,1)+1)&amp;INDEX('Serial Reference'!$A$8:$W$8,1,MOD($A8-1,23)+1)&amp;TEXT(BQ$2+FLOOR((BQ$2-1)/9,1),"000"),"")</f>
        <v>AF075</v>
      </c>
      <c r="BR8" s="19" t="str">
        <f>IF(INDEX('Shot Map'!$B$6:$V$26,CEILING($A8/5,1),CEILING(BR$2/5,1))=1,INDEX('Serial Reference'!$A$8:$W$8,1,FLOOR(($A8-1)/23,1)+1)&amp;INDEX('Serial Reference'!$A$8:$W$8,1,MOD($A8-1,23)+1)&amp;TEXT(BR$2+FLOOR((BR$2-1)/9,1),"000"),"")</f>
        <v>AF076</v>
      </c>
      <c r="BS8" s="20" t="str">
        <f>IF(INDEX('Shot Map'!$B$6:$V$26,CEILING($A8/5,1),CEILING(BS$2/5,1))=1,INDEX('Serial Reference'!$A$8:$W$8,1,FLOOR(($A8-1)/23,1)+1)&amp;INDEX('Serial Reference'!$A$8:$W$8,1,MOD($A8-1,23)+1)&amp;TEXT(BS$2+FLOOR((BS$2-1)/9,1),"000"),"")</f>
        <v>AF077</v>
      </c>
      <c r="BT8" s="18" t="str">
        <f>IF(INDEX('Shot Map'!$B$6:$V$26,CEILING($A8/5,1),CEILING(BT$2/5,1))=1,INDEX('Serial Reference'!$A$8:$W$8,1,FLOOR(($A8-1)/23,1)+1)&amp;INDEX('Serial Reference'!$A$8:$W$8,1,MOD($A8-1,23)+1)&amp;TEXT(BT$2+FLOOR((BT$2-1)/9,1),"000"),"")</f>
        <v>AF078</v>
      </c>
      <c r="BU8" s="19" t="str">
        <f>IF(INDEX('Shot Map'!$B$6:$V$26,CEILING($A8/5,1),CEILING(BU$2/5,1))=1,INDEX('Serial Reference'!$A$8:$W$8,1,FLOOR(($A8-1)/23,1)+1)&amp;INDEX('Serial Reference'!$A$8:$W$8,1,MOD($A8-1,23)+1)&amp;TEXT(BU$2+FLOOR((BU$2-1)/9,1),"000"),"")</f>
        <v>AF079</v>
      </c>
      <c r="BV8" s="19" t="str">
        <f>IF(INDEX('Shot Map'!$B$6:$V$26,CEILING($A8/5,1),CEILING(BV$2/5,1))=1,INDEX('Serial Reference'!$A$8:$W$8,1,FLOOR(($A8-1)/23,1)+1)&amp;INDEX('Serial Reference'!$A$8:$W$8,1,MOD($A8-1,23)+1)&amp;TEXT(BV$2+FLOOR((BV$2-1)/9,1),"000"),"")</f>
        <v>AF081</v>
      </c>
      <c r="BW8" s="19" t="str">
        <f>IF(INDEX('Shot Map'!$B$6:$V$26,CEILING($A8/5,1),CEILING(BW$2/5,1))=1,INDEX('Serial Reference'!$A$8:$W$8,1,FLOOR(($A8-1)/23,1)+1)&amp;INDEX('Serial Reference'!$A$8:$W$8,1,MOD($A8-1,23)+1)&amp;TEXT(BW$2+FLOOR((BW$2-1)/9,1),"000"),"")</f>
        <v>AF082</v>
      </c>
      <c r="BX8" s="20" t="str">
        <f>IF(INDEX('Shot Map'!$B$6:$V$26,CEILING($A8/5,1),CEILING(BX$2/5,1))=1,INDEX('Serial Reference'!$A$8:$W$8,1,FLOOR(($A8-1)/23,1)+1)&amp;INDEX('Serial Reference'!$A$8:$W$8,1,MOD($A8-1,23)+1)&amp;TEXT(BX$2+FLOOR((BX$2-1)/9,1),"000"),"")</f>
        <v>AF083</v>
      </c>
      <c r="BY8" s="18" t="str">
        <f>IF(INDEX('Shot Map'!$B$6:$V$26,CEILING($A8/5,1),CEILING(BY$2/5,1))=1,INDEX('Serial Reference'!$A$8:$W$8,1,FLOOR(($A8-1)/23,1)+1)&amp;INDEX('Serial Reference'!$A$8:$W$8,1,MOD($A8-1,23)+1)&amp;TEXT(BY$2+FLOOR((BY$2-1)/9,1),"000"),"")</f>
        <v/>
      </c>
      <c r="BZ8" s="19" t="str">
        <f>IF(INDEX('Shot Map'!$B$6:$V$26,CEILING($A8/5,1),CEILING(BZ$2/5,1))=1,INDEX('Serial Reference'!$A$8:$W$8,1,FLOOR(($A8-1)/23,1)+1)&amp;INDEX('Serial Reference'!$A$8:$W$8,1,MOD($A8-1,23)+1)&amp;TEXT(BZ$2+FLOOR((BZ$2-1)/9,1),"000"),"")</f>
        <v/>
      </c>
      <c r="CA8" s="19" t="str">
        <f>IF(INDEX('Shot Map'!$B$6:$V$26,CEILING($A8/5,1),CEILING(CA$2/5,1))=1,INDEX('Serial Reference'!$A$8:$W$8,1,FLOOR(($A8-1)/23,1)+1)&amp;INDEX('Serial Reference'!$A$8:$W$8,1,MOD($A8-1,23)+1)&amp;TEXT(CA$2+FLOOR((CA$2-1)/9,1),"000"),"")</f>
        <v/>
      </c>
      <c r="CB8" s="19" t="str">
        <f>IF(INDEX('Shot Map'!$B$6:$V$26,CEILING($A8/5,1),CEILING(CB$2/5,1))=1,INDEX('Serial Reference'!$A$8:$W$8,1,FLOOR(($A8-1)/23,1)+1)&amp;INDEX('Serial Reference'!$A$8:$W$8,1,MOD($A8-1,23)+1)&amp;TEXT(CB$2+FLOOR((CB$2-1)/9,1),"000"),"")</f>
        <v/>
      </c>
      <c r="CC8" s="20" t="str">
        <f>IF(INDEX('Shot Map'!$B$6:$V$26,CEILING($A8/5,1),CEILING(CC$2/5,1))=1,INDEX('Serial Reference'!$A$8:$W$8,1,FLOOR(($A8-1)/23,1)+1)&amp;INDEX('Serial Reference'!$A$8:$W$8,1,MOD($A8-1,23)+1)&amp;TEXT(CC$2+FLOOR((CC$2-1)/9,1),"000"),"")</f>
        <v/>
      </c>
      <c r="CD8" s="18" t="str">
        <f>IF(INDEX('Shot Map'!$B$6:$V$26,CEILING($A8/5,1),CEILING(CD$2/5,1))=1,INDEX('Serial Reference'!$A$8:$W$8,1,FLOOR(($A8-1)/23,1)+1)&amp;INDEX('Serial Reference'!$A$8:$W$8,1,MOD($A8-1,23)+1)&amp;TEXT(CD$2+FLOOR((CD$2-1)/9,1),"000"),"")</f>
        <v/>
      </c>
      <c r="CE8" s="19" t="str">
        <f>IF(INDEX('Shot Map'!$B$6:$V$26,CEILING($A8/5,1),CEILING(CE$2/5,1))=1,INDEX('Serial Reference'!$A$8:$W$8,1,FLOOR(($A8-1)/23,1)+1)&amp;INDEX('Serial Reference'!$A$8:$W$8,1,MOD($A8-1,23)+1)&amp;TEXT(CE$2+FLOOR((CE$2-1)/9,1),"000"),"")</f>
        <v/>
      </c>
      <c r="CF8" s="19" t="str">
        <f>IF(INDEX('Shot Map'!$B$6:$V$26,CEILING($A8/5,1),CEILING(CF$2/5,1))=1,INDEX('Serial Reference'!$A$8:$W$8,1,FLOOR(($A8-1)/23,1)+1)&amp;INDEX('Serial Reference'!$A$8:$W$8,1,MOD($A8-1,23)+1)&amp;TEXT(CF$2+FLOOR((CF$2-1)/9,1),"000"),"")</f>
        <v/>
      </c>
      <c r="CG8" s="19" t="str">
        <f>IF(INDEX('Shot Map'!$B$6:$V$26,CEILING($A8/5,1),CEILING(CG$2/5,1))=1,INDEX('Serial Reference'!$A$8:$W$8,1,FLOOR(($A8-1)/23,1)+1)&amp;INDEX('Serial Reference'!$A$8:$W$8,1,MOD($A8-1,23)+1)&amp;TEXT(CG$2+FLOOR((CG$2-1)/9,1),"000"),"")</f>
        <v/>
      </c>
      <c r="CH8" s="20" t="str">
        <f>IF(INDEX('Shot Map'!$B$6:$V$26,CEILING($A8/5,1),CEILING(CH$2/5,1))=1,INDEX('Serial Reference'!$A$8:$W$8,1,FLOOR(($A8-1)/23,1)+1)&amp;INDEX('Serial Reference'!$A$8:$W$8,1,MOD($A8-1,23)+1)&amp;TEXT(CH$2+FLOOR((CH$2-1)/9,1),"000"),"")</f>
        <v/>
      </c>
      <c r="CI8" s="18" t="str">
        <f>IF(INDEX('Shot Map'!$B$6:$V$26,CEILING($A8/5,1),CEILING(CI$2/5,1))=1,INDEX('Serial Reference'!$A$8:$W$8,1,FLOOR(($A8-1)/23,1)+1)&amp;INDEX('Serial Reference'!$A$8:$W$8,1,MOD($A8-1,23)+1)&amp;TEXT(CI$2+FLOOR((CI$2-1)/9,1),"000"),"")</f>
        <v/>
      </c>
      <c r="CJ8" s="19" t="str">
        <f>IF(INDEX('Shot Map'!$B$6:$V$26,CEILING($A8/5,1),CEILING(CJ$2/5,1))=1,INDEX('Serial Reference'!$A$8:$W$8,1,FLOOR(($A8-1)/23,1)+1)&amp;INDEX('Serial Reference'!$A$8:$W$8,1,MOD($A8-1,23)+1)&amp;TEXT(CJ$2+FLOOR((CJ$2-1)/9,1),"000"),"")</f>
        <v/>
      </c>
      <c r="CK8" s="19" t="str">
        <f>IF(INDEX('Shot Map'!$B$6:$V$26,CEILING($A8/5,1),CEILING(CK$2/5,1))=1,INDEX('Serial Reference'!$A$8:$W$8,1,FLOOR(($A8-1)/23,1)+1)&amp;INDEX('Serial Reference'!$A$8:$W$8,1,MOD($A8-1,23)+1)&amp;TEXT(CK$2+FLOOR((CK$2-1)/9,1),"000"),"")</f>
        <v/>
      </c>
      <c r="CL8" s="19" t="str">
        <f>IF(INDEX('Shot Map'!$B$6:$V$26,CEILING($A8/5,1),CEILING(CL$2/5,1))=1,INDEX('Serial Reference'!$A$8:$W$8,1,FLOOR(($A8-1)/23,1)+1)&amp;INDEX('Serial Reference'!$A$8:$W$8,1,MOD($A8-1,23)+1)&amp;TEXT(CL$2+FLOOR((CL$2-1)/9,1),"000"),"")</f>
        <v/>
      </c>
      <c r="CM8" s="20" t="str">
        <f>IF(INDEX('Shot Map'!$B$6:$V$26,CEILING($A8/5,1),CEILING(CM$2/5,1))=1,INDEX('Serial Reference'!$A$8:$W$8,1,FLOOR(($A8-1)/23,1)+1)&amp;INDEX('Serial Reference'!$A$8:$W$8,1,MOD($A8-1,23)+1)&amp;TEXT(CM$2+FLOOR((CM$2-1)/9,1),"000"),"")</f>
        <v/>
      </c>
      <c r="CN8" s="18" t="str">
        <f>IF(INDEX('Shot Map'!$B$6:$V$26,CEILING($A8/5,1),CEILING(CN$2/5,1))=1,INDEX('Serial Reference'!$A$8:$W$8,1,FLOOR(($A8-1)/23,1)+1)&amp;INDEX('Serial Reference'!$A$8:$W$8,1,MOD($A8-1,23)+1)&amp;TEXT(CN$2+FLOOR((CN$2-1)/9,1),"000"),"")</f>
        <v/>
      </c>
      <c r="CO8" s="19" t="str">
        <f>IF(INDEX('Shot Map'!$B$6:$V$26,CEILING($A8/5,1),CEILING(CO$2/5,1))=1,INDEX('Serial Reference'!$A$8:$W$8,1,FLOOR(($A8-1)/23,1)+1)&amp;INDEX('Serial Reference'!$A$8:$W$8,1,MOD($A8-1,23)+1)&amp;TEXT(CO$2+FLOOR((CO$2-1)/9,1),"000"),"")</f>
        <v/>
      </c>
      <c r="CP8" s="19" t="str">
        <f>IF(INDEX('Shot Map'!$B$6:$V$26,CEILING($A8/5,1),CEILING(CP$2/5,1))=1,INDEX('Serial Reference'!$A$8:$W$8,1,FLOOR(($A8-1)/23,1)+1)&amp;INDEX('Serial Reference'!$A$8:$W$8,1,MOD($A8-1,23)+1)&amp;TEXT(CP$2+FLOOR((CP$2-1)/9,1),"000"),"")</f>
        <v/>
      </c>
      <c r="CQ8" s="19" t="str">
        <f>IF(INDEX('Shot Map'!$B$6:$V$26,CEILING($A8/5,1),CEILING(CQ$2/5,1))=1,INDEX('Serial Reference'!$A$8:$W$8,1,FLOOR(($A8-1)/23,1)+1)&amp;INDEX('Serial Reference'!$A$8:$W$8,1,MOD($A8-1,23)+1)&amp;TEXT(CQ$2+FLOOR((CQ$2-1)/9,1),"000"),"")</f>
        <v/>
      </c>
      <c r="CR8" s="20" t="str">
        <f>IF(INDEX('Shot Map'!$B$6:$V$26,CEILING($A8/5,1),CEILING(CR$2/5,1))=1,INDEX('Serial Reference'!$A$8:$W$8,1,FLOOR(($A8-1)/23,1)+1)&amp;INDEX('Serial Reference'!$A$8:$W$8,1,MOD($A8-1,23)+1)&amp;TEXT(CR$2+FLOOR((CR$2-1)/9,1),"000"),"")</f>
        <v/>
      </c>
      <c r="CS8" s="18" t="str">
        <f>IF(INDEX('Shot Map'!$B$6:$V$26,CEILING($A8/5,1),CEILING(CS$2/5,1))=1,INDEX('Serial Reference'!$A$8:$W$8,1,FLOOR(($A8-1)/23,1)+1)&amp;INDEX('Serial Reference'!$A$8:$W$8,1,MOD($A8-1,23)+1)&amp;TEXT(CS$2+FLOOR((CS$2-1)/9,1),"000"),"")</f>
        <v/>
      </c>
      <c r="CT8" s="19" t="str">
        <f>IF(INDEX('Shot Map'!$B$6:$V$26,CEILING($A8/5,1),CEILING(CT$2/5,1))=1,INDEX('Serial Reference'!$A$8:$W$8,1,FLOOR(($A8-1)/23,1)+1)&amp;INDEX('Serial Reference'!$A$8:$W$8,1,MOD($A8-1,23)+1)&amp;TEXT(CT$2+FLOOR((CT$2-1)/9,1),"000"),"")</f>
        <v/>
      </c>
      <c r="CU8" s="19" t="str">
        <f>IF(INDEX('Shot Map'!$B$6:$V$26,CEILING($A8/5,1),CEILING(CU$2/5,1))=1,INDEX('Serial Reference'!$A$8:$W$8,1,FLOOR(($A8-1)/23,1)+1)&amp;INDEX('Serial Reference'!$A$8:$W$8,1,MOD($A8-1,23)+1)&amp;TEXT(CU$2+FLOOR((CU$2-1)/9,1),"000"),"")</f>
        <v/>
      </c>
      <c r="CV8" s="19" t="str">
        <f>IF(INDEX('Shot Map'!$B$6:$V$26,CEILING($A8/5,1),CEILING(CV$2/5,1))=1,INDEX('Serial Reference'!$A$8:$W$8,1,FLOOR(($A8-1)/23,1)+1)&amp;INDEX('Serial Reference'!$A$8:$W$8,1,MOD($A8-1,23)+1)&amp;TEXT(CV$2+FLOOR((CV$2-1)/9,1),"000"),"")</f>
        <v/>
      </c>
      <c r="CW8" s="20" t="str">
        <f>IF(INDEX('Shot Map'!$B$6:$V$26,CEILING($A8/5,1),CEILING(CW$2/5,1))=1,INDEX('Serial Reference'!$A$8:$W$8,1,FLOOR(($A8-1)/23,1)+1)&amp;INDEX('Serial Reference'!$A$8:$W$8,1,MOD($A8-1,23)+1)&amp;TEXT(CW$2+FLOOR((CW$2-1)/9,1),"000"),"")</f>
        <v/>
      </c>
      <c r="CX8" s="18" t="str">
        <f>IF(INDEX('Shot Map'!$B$6:$V$26,CEILING($A8/5,1),CEILING(CX$2/5,1))=1,INDEX('Serial Reference'!$A$8:$W$8,1,FLOOR(($A8-1)/23,1)+1)&amp;INDEX('Serial Reference'!$A$8:$W$8,1,MOD($A8-1,23)+1)&amp;TEXT(CX$2+FLOOR((CX$2-1)/9,1),"000"),"")</f>
        <v/>
      </c>
      <c r="CY8" s="19" t="str">
        <f>IF(INDEX('Shot Map'!$B$6:$V$26,CEILING($A8/5,1),CEILING(CY$2/5,1))=1,INDEX('Serial Reference'!$A$8:$W$8,1,FLOOR(($A8-1)/23,1)+1)&amp;INDEX('Serial Reference'!$A$8:$W$8,1,MOD($A8-1,23)+1)&amp;TEXT(CY$2+FLOOR((CY$2-1)/9,1),"000"),"")</f>
        <v/>
      </c>
      <c r="CZ8" s="19" t="str">
        <f>IF(INDEX('Shot Map'!$B$6:$V$26,CEILING($A8/5,1),CEILING(CZ$2/5,1))=1,INDEX('Serial Reference'!$A$8:$W$8,1,FLOOR(($A8-1)/23,1)+1)&amp;INDEX('Serial Reference'!$A$8:$W$8,1,MOD($A8-1,23)+1)&amp;TEXT(CZ$2+FLOOR((CZ$2-1)/9,1),"000"),"")</f>
        <v/>
      </c>
      <c r="DA8" s="19" t="str">
        <f>IF(INDEX('Shot Map'!$B$6:$V$26,CEILING($A8/5,1),CEILING(DA$2/5,1))=1,INDEX('Serial Reference'!$A$8:$W$8,1,FLOOR(($A8-1)/23,1)+1)&amp;INDEX('Serial Reference'!$A$8:$W$8,1,MOD($A8-1,23)+1)&amp;TEXT(DA$2+FLOOR((DA$2-1)/9,1),"000"),"")</f>
        <v/>
      </c>
      <c r="DB8" s="20" t="str">
        <f>IF(INDEX('Shot Map'!$B$6:$V$26,CEILING($A8/5,1),CEILING(DB$2/5,1))=1,INDEX('Serial Reference'!$A$8:$W$8,1,FLOOR(($A8-1)/23,1)+1)&amp;INDEX('Serial Reference'!$A$8:$W$8,1,MOD($A8-1,23)+1)&amp;TEXT(DB$2+FLOOR((DB$2-1)/9,1),"000"),"")</f>
        <v/>
      </c>
    </row>
    <row r="9" spans="1:106" ht="12.75" customHeight="1" x14ac:dyDescent="0.25">
      <c r="A9" s="17">
        <v>7</v>
      </c>
      <c r="B9" s="21" t="str">
        <f>IF(INDEX('Shot Map'!$B$6:$V$26,CEILING($A9/5,1),CEILING(B$2/5,1))=1,INDEX('Serial Reference'!$A$8:$W$8,1,FLOOR(($A9-1)/23,1)+1)&amp;INDEX('Serial Reference'!$A$8:$W$8,1,MOD($A9-1,23)+1)&amp;TEXT(B$2+FLOOR((B$2-1)/9,1),"000"),"")</f>
        <v/>
      </c>
      <c r="C9" s="22" t="str">
        <f>IF(INDEX('Shot Map'!$B$6:$V$26,CEILING($A9/5,1),CEILING(C$2/5,1))=1,INDEX('Serial Reference'!$A$8:$W$8,1,FLOOR(($A9-1)/23,1)+1)&amp;INDEX('Serial Reference'!$A$8:$W$8,1,MOD($A9-1,23)+1)&amp;TEXT(C$2+FLOOR((C$2-1)/9,1),"000"),"")</f>
        <v/>
      </c>
      <c r="D9" s="22" t="str">
        <f>IF(INDEX('Shot Map'!$B$6:$V$26,CEILING($A9/5,1),CEILING(D$2/5,1))=1,INDEX('Serial Reference'!$A$8:$W$8,1,FLOOR(($A9-1)/23,1)+1)&amp;INDEX('Serial Reference'!$A$8:$W$8,1,MOD($A9-1,23)+1)&amp;TEXT(D$2+FLOOR((D$2-1)/9,1),"000"),"")</f>
        <v/>
      </c>
      <c r="E9" s="22" t="str">
        <f>IF(INDEX('Shot Map'!$B$6:$V$26,CEILING($A9/5,1),CEILING(E$2/5,1))=1,INDEX('Serial Reference'!$A$8:$W$8,1,FLOOR(($A9-1)/23,1)+1)&amp;INDEX('Serial Reference'!$A$8:$W$8,1,MOD($A9-1,23)+1)&amp;TEXT(E$2+FLOOR((E$2-1)/9,1),"000"),"")</f>
        <v/>
      </c>
      <c r="F9" s="23" t="str">
        <f>IF(INDEX('Shot Map'!$B$6:$V$26,CEILING($A9/5,1),CEILING(F$2/5,1))=1,INDEX('Serial Reference'!$A$8:$W$8,1,FLOOR(($A9-1)/23,1)+1)&amp;INDEX('Serial Reference'!$A$8:$W$8,1,MOD($A9-1,23)+1)&amp;TEXT(F$2+FLOOR((F$2-1)/9,1),"000"),"")</f>
        <v/>
      </c>
      <c r="G9" s="21" t="str">
        <f>IF(INDEX('Shot Map'!$B$6:$V$26,CEILING($A9/5,1),CEILING(G$2/5,1))=1,INDEX('Serial Reference'!$A$8:$W$8,1,FLOOR(($A9-1)/23,1)+1)&amp;INDEX('Serial Reference'!$A$8:$W$8,1,MOD($A9-1,23)+1)&amp;TEXT(G$2+FLOOR((G$2-1)/9,1),"000"),"")</f>
        <v/>
      </c>
      <c r="H9" s="22" t="str">
        <f>IF(INDEX('Shot Map'!$B$6:$V$26,CEILING($A9/5,1),CEILING(H$2/5,1))=1,INDEX('Serial Reference'!$A$8:$W$8,1,FLOOR(($A9-1)/23,1)+1)&amp;INDEX('Serial Reference'!$A$8:$W$8,1,MOD($A9-1,23)+1)&amp;TEXT(H$2+FLOOR((H$2-1)/9,1),"000"),"")</f>
        <v/>
      </c>
      <c r="I9" s="22" t="str">
        <f>IF(INDEX('Shot Map'!$B$6:$V$26,CEILING($A9/5,1),CEILING(I$2/5,1))=1,INDEX('Serial Reference'!$A$8:$W$8,1,FLOOR(($A9-1)/23,1)+1)&amp;INDEX('Serial Reference'!$A$8:$W$8,1,MOD($A9-1,23)+1)&amp;TEXT(I$2+FLOOR((I$2-1)/9,1),"000"),"")</f>
        <v/>
      </c>
      <c r="J9" s="22" t="str">
        <f>IF(INDEX('Shot Map'!$B$6:$V$26,CEILING($A9/5,1),CEILING(J$2/5,1))=1,INDEX('Serial Reference'!$A$8:$W$8,1,FLOOR(($A9-1)/23,1)+1)&amp;INDEX('Serial Reference'!$A$8:$W$8,1,MOD($A9-1,23)+1)&amp;TEXT(J$2+FLOOR((J$2-1)/9,1),"000"),"")</f>
        <v/>
      </c>
      <c r="K9" s="23" t="str">
        <f>IF(INDEX('Shot Map'!$B$6:$V$26,CEILING($A9/5,1),CEILING(K$2/5,1))=1,INDEX('Serial Reference'!$A$8:$W$8,1,FLOOR(($A9-1)/23,1)+1)&amp;INDEX('Serial Reference'!$A$8:$W$8,1,MOD($A9-1,23)+1)&amp;TEXT(K$2+FLOOR((K$2-1)/9,1),"000"),"")</f>
        <v/>
      </c>
      <c r="L9" s="21" t="str">
        <f>IF(INDEX('Shot Map'!$B$6:$V$26,CEILING($A9/5,1),CEILING(L$2/5,1))=1,INDEX('Serial Reference'!$A$8:$W$8,1,FLOOR(($A9-1)/23,1)+1)&amp;INDEX('Serial Reference'!$A$8:$W$8,1,MOD($A9-1,23)+1)&amp;TEXT(L$2+FLOOR((L$2-1)/9,1),"000"),"")</f>
        <v/>
      </c>
      <c r="M9" s="22" t="str">
        <f>IF(INDEX('Shot Map'!$B$6:$V$26,CEILING($A9/5,1),CEILING(M$2/5,1))=1,INDEX('Serial Reference'!$A$8:$W$8,1,FLOOR(($A9-1)/23,1)+1)&amp;INDEX('Serial Reference'!$A$8:$W$8,1,MOD($A9-1,23)+1)&amp;TEXT(M$2+FLOOR((M$2-1)/9,1),"000"),"")</f>
        <v/>
      </c>
      <c r="N9" s="22" t="str">
        <f>IF(INDEX('Shot Map'!$B$6:$V$26,CEILING($A9/5,1),CEILING(N$2/5,1))=1,INDEX('Serial Reference'!$A$8:$W$8,1,FLOOR(($A9-1)/23,1)+1)&amp;INDEX('Serial Reference'!$A$8:$W$8,1,MOD($A9-1,23)+1)&amp;TEXT(N$2+FLOOR((N$2-1)/9,1),"000"),"")</f>
        <v/>
      </c>
      <c r="O9" s="22" t="str">
        <f>IF(INDEX('Shot Map'!$B$6:$V$26,CEILING($A9/5,1),CEILING(O$2/5,1))=1,INDEX('Serial Reference'!$A$8:$W$8,1,FLOOR(($A9-1)/23,1)+1)&amp;INDEX('Serial Reference'!$A$8:$W$8,1,MOD($A9-1,23)+1)&amp;TEXT(O$2+FLOOR((O$2-1)/9,1),"000"),"")</f>
        <v/>
      </c>
      <c r="P9" s="23" t="str">
        <f>IF(INDEX('Shot Map'!$B$6:$V$26,CEILING($A9/5,1),CEILING(P$2/5,1))=1,INDEX('Serial Reference'!$A$8:$W$8,1,FLOOR(($A9-1)/23,1)+1)&amp;INDEX('Serial Reference'!$A$8:$W$8,1,MOD($A9-1,23)+1)&amp;TEXT(P$2+FLOOR((P$2-1)/9,1),"000"),"")</f>
        <v/>
      </c>
      <c r="Q9" s="21" t="str">
        <f>IF(INDEX('Shot Map'!$B$6:$V$26,CEILING($A9/5,1),CEILING(Q$2/5,1))=1,INDEX('Serial Reference'!$A$8:$W$8,1,FLOOR(($A9-1)/23,1)+1)&amp;INDEX('Serial Reference'!$A$8:$W$8,1,MOD($A9-1,23)+1)&amp;TEXT(Q$2+FLOOR((Q$2-1)/9,1),"000"),"")</f>
        <v/>
      </c>
      <c r="R9" s="22" t="str">
        <f>IF(INDEX('Shot Map'!$B$6:$V$26,CEILING($A9/5,1),CEILING(R$2/5,1))=1,INDEX('Serial Reference'!$A$8:$W$8,1,FLOOR(($A9-1)/23,1)+1)&amp;INDEX('Serial Reference'!$A$8:$W$8,1,MOD($A9-1,23)+1)&amp;TEXT(R$2+FLOOR((R$2-1)/9,1),"000"),"")</f>
        <v/>
      </c>
      <c r="S9" s="22" t="str">
        <f>IF(INDEX('Shot Map'!$B$6:$V$26,CEILING($A9/5,1),CEILING(S$2/5,1))=1,INDEX('Serial Reference'!$A$8:$W$8,1,FLOOR(($A9-1)/23,1)+1)&amp;INDEX('Serial Reference'!$A$8:$W$8,1,MOD($A9-1,23)+1)&amp;TEXT(S$2+FLOOR((S$2-1)/9,1),"000"),"")</f>
        <v/>
      </c>
      <c r="T9" s="22" t="str">
        <f>IF(INDEX('Shot Map'!$B$6:$V$26,CEILING($A9/5,1),CEILING(T$2/5,1))=1,INDEX('Serial Reference'!$A$8:$W$8,1,FLOOR(($A9-1)/23,1)+1)&amp;INDEX('Serial Reference'!$A$8:$W$8,1,MOD($A9-1,23)+1)&amp;TEXT(T$2+FLOOR((T$2-1)/9,1),"000"),"")</f>
        <v/>
      </c>
      <c r="U9" s="23" t="str">
        <f>IF(INDEX('Shot Map'!$B$6:$V$26,CEILING($A9/5,1),CEILING(U$2/5,1))=1,INDEX('Serial Reference'!$A$8:$W$8,1,FLOOR(($A9-1)/23,1)+1)&amp;INDEX('Serial Reference'!$A$8:$W$8,1,MOD($A9-1,23)+1)&amp;TEXT(U$2+FLOOR((U$2-1)/9,1),"000"),"")</f>
        <v/>
      </c>
      <c r="V9" s="21" t="str">
        <f>IF(INDEX('Shot Map'!$B$6:$V$26,CEILING($A9/5,1),CEILING(V$2/5,1))=1,INDEX('Serial Reference'!$A$8:$W$8,1,FLOOR(($A9-1)/23,1)+1)&amp;INDEX('Serial Reference'!$A$8:$W$8,1,MOD($A9-1,23)+1)&amp;TEXT(V$2+FLOOR((V$2-1)/9,1),"000"),"")</f>
        <v/>
      </c>
      <c r="W9" s="22" t="str">
        <f>IF(INDEX('Shot Map'!$B$6:$V$26,CEILING($A9/5,1),CEILING(W$2/5,1))=1,INDEX('Serial Reference'!$A$8:$W$8,1,FLOOR(($A9-1)/23,1)+1)&amp;INDEX('Serial Reference'!$A$8:$W$8,1,MOD($A9-1,23)+1)&amp;TEXT(W$2+FLOOR((W$2-1)/9,1),"000"),"")</f>
        <v/>
      </c>
      <c r="X9" s="22" t="str">
        <f>IF(INDEX('Shot Map'!$B$6:$V$26,CEILING($A9/5,1),CEILING(X$2/5,1))=1,INDEX('Serial Reference'!$A$8:$W$8,1,FLOOR(($A9-1)/23,1)+1)&amp;INDEX('Serial Reference'!$A$8:$W$8,1,MOD($A9-1,23)+1)&amp;TEXT(X$2+FLOOR((X$2-1)/9,1),"000"),"")</f>
        <v/>
      </c>
      <c r="Y9" s="22" t="str">
        <f>IF(INDEX('Shot Map'!$B$6:$V$26,CEILING($A9/5,1),CEILING(Y$2/5,1))=1,INDEX('Serial Reference'!$A$8:$W$8,1,FLOOR(($A9-1)/23,1)+1)&amp;INDEX('Serial Reference'!$A$8:$W$8,1,MOD($A9-1,23)+1)&amp;TEXT(Y$2+FLOOR((Y$2-1)/9,1),"000"),"")</f>
        <v/>
      </c>
      <c r="Z9" s="23" t="str">
        <f>IF(INDEX('Shot Map'!$B$6:$V$26,CEILING($A9/5,1),CEILING(Z$2/5,1))=1,INDEX('Serial Reference'!$A$8:$W$8,1,FLOOR(($A9-1)/23,1)+1)&amp;INDEX('Serial Reference'!$A$8:$W$8,1,MOD($A9-1,23)+1)&amp;TEXT(Z$2+FLOOR((Z$2-1)/9,1),"000"),"")</f>
        <v/>
      </c>
      <c r="AA9" s="21" t="str">
        <f>IF(INDEX('Shot Map'!$B$6:$V$26,CEILING($A9/5,1),CEILING(AA$2/5,1))=1,INDEX('Serial Reference'!$A$8:$W$8,1,FLOOR(($A9-1)/23,1)+1)&amp;INDEX('Serial Reference'!$A$8:$W$8,1,MOD($A9-1,23)+1)&amp;TEXT(AA$2+FLOOR((AA$2-1)/9,1),"000"),"")</f>
        <v/>
      </c>
      <c r="AB9" s="22" t="str">
        <f>IF(INDEX('Shot Map'!$B$6:$V$26,CEILING($A9/5,1),CEILING(AB$2/5,1))=1,INDEX('Serial Reference'!$A$8:$W$8,1,FLOOR(($A9-1)/23,1)+1)&amp;INDEX('Serial Reference'!$A$8:$W$8,1,MOD($A9-1,23)+1)&amp;TEXT(AB$2+FLOOR((AB$2-1)/9,1),"000"),"")</f>
        <v/>
      </c>
      <c r="AC9" s="22" t="str">
        <f>IF(INDEX('Shot Map'!$B$6:$V$26,CEILING($A9/5,1),CEILING(AC$2/5,1))=1,INDEX('Serial Reference'!$A$8:$W$8,1,FLOOR(($A9-1)/23,1)+1)&amp;INDEX('Serial Reference'!$A$8:$W$8,1,MOD($A9-1,23)+1)&amp;TEXT(AC$2+FLOOR((AC$2-1)/9,1),"000"),"")</f>
        <v/>
      </c>
      <c r="AD9" s="22" t="str">
        <f>IF(INDEX('Shot Map'!$B$6:$V$26,CEILING($A9/5,1),CEILING(AD$2/5,1))=1,INDEX('Serial Reference'!$A$8:$W$8,1,FLOOR(($A9-1)/23,1)+1)&amp;INDEX('Serial Reference'!$A$8:$W$8,1,MOD($A9-1,23)+1)&amp;TEXT(AD$2+FLOOR((AD$2-1)/9,1),"000"),"")</f>
        <v/>
      </c>
      <c r="AE9" s="23" t="str">
        <f>IF(INDEX('Shot Map'!$B$6:$V$26,CEILING($A9/5,1),CEILING(AE$2/5,1))=1,INDEX('Serial Reference'!$A$8:$W$8,1,FLOOR(($A9-1)/23,1)+1)&amp;INDEX('Serial Reference'!$A$8:$W$8,1,MOD($A9-1,23)+1)&amp;TEXT(AE$2+FLOOR((AE$2-1)/9,1),"000"),"")</f>
        <v/>
      </c>
      <c r="AF9" s="21" t="str">
        <f>IF(INDEX('Shot Map'!$B$6:$V$26,CEILING($A9/5,1),CEILING(AF$2/5,1))=1,INDEX('Serial Reference'!$A$8:$W$8,1,FLOOR(($A9-1)/23,1)+1)&amp;INDEX('Serial Reference'!$A$8:$W$8,1,MOD($A9-1,23)+1)&amp;TEXT(AF$2+FLOOR((AF$2-1)/9,1),"000"),"")</f>
        <v>AG034</v>
      </c>
      <c r="AG9" s="22" t="str">
        <f>IF(INDEX('Shot Map'!$B$6:$V$26,CEILING($A9/5,1),CEILING(AG$2/5,1))=1,INDEX('Serial Reference'!$A$8:$W$8,1,FLOOR(($A9-1)/23,1)+1)&amp;INDEX('Serial Reference'!$A$8:$W$8,1,MOD($A9-1,23)+1)&amp;TEXT(AG$2+FLOOR((AG$2-1)/9,1),"000"),"")</f>
        <v>AG035</v>
      </c>
      <c r="AH9" s="22" t="str">
        <f>IF(INDEX('Shot Map'!$B$6:$V$26,CEILING($A9/5,1),CEILING(AH$2/5,1))=1,INDEX('Serial Reference'!$A$8:$W$8,1,FLOOR(($A9-1)/23,1)+1)&amp;INDEX('Serial Reference'!$A$8:$W$8,1,MOD($A9-1,23)+1)&amp;TEXT(AH$2+FLOOR((AH$2-1)/9,1),"000"),"")</f>
        <v>AG036</v>
      </c>
      <c r="AI9" s="22" t="str">
        <f>IF(INDEX('Shot Map'!$B$6:$V$26,CEILING($A9/5,1),CEILING(AI$2/5,1))=1,INDEX('Serial Reference'!$A$8:$W$8,1,FLOOR(($A9-1)/23,1)+1)&amp;INDEX('Serial Reference'!$A$8:$W$8,1,MOD($A9-1,23)+1)&amp;TEXT(AI$2+FLOOR((AI$2-1)/9,1),"000"),"")</f>
        <v>AG037</v>
      </c>
      <c r="AJ9" s="23" t="str">
        <f>IF(INDEX('Shot Map'!$B$6:$V$26,CEILING($A9/5,1),CEILING(AJ$2/5,1))=1,INDEX('Serial Reference'!$A$8:$W$8,1,FLOOR(($A9-1)/23,1)+1)&amp;INDEX('Serial Reference'!$A$8:$W$8,1,MOD($A9-1,23)+1)&amp;TEXT(AJ$2+FLOOR((AJ$2-1)/9,1),"000"),"")</f>
        <v>AG038</v>
      </c>
      <c r="AK9" s="21" t="str">
        <f>IF(INDEX('Shot Map'!$B$6:$V$26,CEILING($A9/5,1),CEILING(AK$2/5,1))=1,INDEX('Serial Reference'!$A$8:$W$8,1,FLOOR(($A9-1)/23,1)+1)&amp;INDEX('Serial Reference'!$A$8:$W$8,1,MOD($A9-1,23)+1)&amp;TEXT(AK$2+FLOOR((AK$2-1)/9,1),"000"),"")</f>
        <v>AG039</v>
      </c>
      <c r="AL9" s="22" t="str">
        <f>IF(INDEX('Shot Map'!$B$6:$V$26,CEILING($A9/5,1),CEILING(AL$2/5,1))=1,INDEX('Serial Reference'!$A$8:$W$8,1,FLOOR(($A9-1)/23,1)+1)&amp;INDEX('Serial Reference'!$A$8:$W$8,1,MOD($A9-1,23)+1)&amp;TEXT(AL$2+FLOOR((AL$2-1)/9,1),"000"),"")</f>
        <v>AG041</v>
      </c>
      <c r="AM9" s="22" t="str">
        <f>IF(INDEX('Shot Map'!$B$6:$V$26,CEILING($A9/5,1),CEILING(AM$2/5,1))=1,INDEX('Serial Reference'!$A$8:$W$8,1,FLOOR(($A9-1)/23,1)+1)&amp;INDEX('Serial Reference'!$A$8:$W$8,1,MOD($A9-1,23)+1)&amp;TEXT(AM$2+FLOOR((AM$2-1)/9,1),"000"),"")</f>
        <v>AG042</v>
      </c>
      <c r="AN9" s="22" t="str">
        <f>IF(INDEX('Shot Map'!$B$6:$V$26,CEILING($A9/5,1),CEILING(AN$2/5,1))=1,INDEX('Serial Reference'!$A$8:$W$8,1,FLOOR(($A9-1)/23,1)+1)&amp;INDEX('Serial Reference'!$A$8:$W$8,1,MOD($A9-1,23)+1)&amp;TEXT(AN$2+FLOOR((AN$2-1)/9,1),"000"),"")</f>
        <v>AG043</v>
      </c>
      <c r="AO9" s="23" t="str">
        <f>IF(INDEX('Shot Map'!$B$6:$V$26,CEILING($A9/5,1),CEILING(AO$2/5,1))=1,INDEX('Serial Reference'!$A$8:$W$8,1,FLOOR(($A9-1)/23,1)+1)&amp;INDEX('Serial Reference'!$A$8:$W$8,1,MOD($A9-1,23)+1)&amp;TEXT(AO$2+FLOOR((AO$2-1)/9,1),"000"),"")</f>
        <v>AG044</v>
      </c>
      <c r="AP9" s="21" t="str">
        <f>IF(INDEX('Shot Map'!$B$6:$V$26,CEILING($A9/5,1),CEILING(AP$2/5,1))=1,INDEX('Serial Reference'!$A$8:$W$8,1,FLOOR(($A9-1)/23,1)+1)&amp;INDEX('Serial Reference'!$A$8:$W$8,1,MOD($A9-1,23)+1)&amp;TEXT(AP$2+FLOOR((AP$2-1)/9,1),"000"),"")</f>
        <v>AG045</v>
      </c>
      <c r="AQ9" s="22" t="str">
        <f>IF(INDEX('Shot Map'!$B$6:$V$26,CEILING($A9/5,1),CEILING(AQ$2/5,1))=1,INDEX('Serial Reference'!$A$8:$W$8,1,FLOOR(($A9-1)/23,1)+1)&amp;INDEX('Serial Reference'!$A$8:$W$8,1,MOD($A9-1,23)+1)&amp;TEXT(AQ$2+FLOOR((AQ$2-1)/9,1),"000"),"")</f>
        <v>AG046</v>
      </c>
      <c r="AR9" s="22" t="str">
        <f>IF(INDEX('Shot Map'!$B$6:$V$26,CEILING($A9/5,1),CEILING(AR$2/5,1))=1,INDEX('Serial Reference'!$A$8:$W$8,1,FLOOR(($A9-1)/23,1)+1)&amp;INDEX('Serial Reference'!$A$8:$W$8,1,MOD($A9-1,23)+1)&amp;TEXT(AR$2+FLOOR((AR$2-1)/9,1),"000"),"")</f>
        <v>AG047</v>
      </c>
      <c r="AS9" s="22" t="str">
        <f>IF(INDEX('Shot Map'!$B$6:$V$26,CEILING($A9/5,1),CEILING(AS$2/5,1))=1,INDEX('Serial Reference'!$A$8:$W$8,1,FLOOR(($A9-1)/23,1)+1)&amp;INDEX('Serial Reference'!$A$8:$W$8,1,MOD($A9-1,23)+1)&amp;TEXT(AS$2+FLOOR((AS$2-1)/9,1),"000"),"")</f>
        <v>AG048</v>
      </c>
      <c r="AT9" s="23" t="str">
        <f>IF(INDEX('Shot Map'!$B$6:$V$26,CEILING($A9/5,1),CEILING(AT$2/5,1))=1,INDEX('Serial Reference'!$A$8:$W$8,1,FLOOR(($A9-1)/23,1)+1)&amp;INDEX('Serial Reference'!$A$8:$W$8,1,MOD($A9-1,23)+1)&amp;TEXT(AT$2+FLOOR((AT$2-1)/9,1),"000"),"")</f>
        <v>AG049</v>
      </c>
      <c r="AU9" s="21" t="str">
        <f>IF(INDEX('Shot Map'!$B$6:$V$26,CEILING($A9/5,1),CEILING(AU$2/5,1))=1,INDEX('Serial Reference'!$A$8:$W$8,1,FLOOR(($A9-1)/23,1)+1)&amp;INDEX('Serial Reference'!$A$8:$W$8,1,MOD($A9-1,23)+1)&amp;TEXT(AU$2+FLOOR((AU$2-1)/9,1),"000"),"")</f>
        <v>AG051</v>
      </c>
      <c r="AV9" s="22" t="str">
        <f>IF(INDEX('Shot Map'!$B$6:$V$26,CEILING($A9/5,1),CEILING(AV$2/5,1))=1,INDEX('Serial Reference'!$A$8:$W$8,1,FLOOR(($A9-1)/23,1)+1)&amp;INDEX('Serial Reference'!$A$8:$W$8,1,MOD($A9-1,23)+1)&amp;TEXT(AV$2+FLOOR((AV$2-1)/9,1),"000"),"")</f>
        <v>AG052</v>
      </c>
      <c r="AW9" s="22" t="str">
        <f>IF(INDEX('Shot Map'!$B$6:$V$26,CEILING($A9/5,1),CEILING(AW$2/5,1))=1,INDEX('Serial Reference'!$A$8:$W$8,1,FLOOR(($A9-1)/23,1)+1)&amp;INDEX('Serial Reference'!$A$8:$W$8,1,MOD($A9-1,23)+1)&amp;TEXT(AW$2+FLOOR((AW$2-1)/9,1),"000"),"")</f>
        <v>AG053</v>
      </c>
      <c r="AX9" s="22" t="str">
        <f>IF(INDEX('Shot Map'!$B$6:$V$26,CEILING($A9/5,1),CEILING(AX$2/5,1))=1,INDEX('Serial Reference'!$A$8:$W$8,1,FLOOR(($A9-1)/23,1)+1)&amp;INDEX('Serial Reference'!$A$8:$W$8,1,MOD($A9-1,23)+1)&amp;TEXT(AX$2+FLOOR((AX$2-1)/9,1),"000"),"")</f>
        <v>AG054</v>
      </c>
      <c r="AY9" s="23" t="str">
        <f>IF(INDEX('Shot Map'!$B$6:$V$26,CEILING($A9/5,1),CEILING(AY$2/5,1))=1,INDEX('Serial Reference'!$A$8:$W$8,1,FLOOR(($A9-1)/23,1)+1)&amp;INDEX('Serial Reference'!$A$8:$W$8,1,MOD($A9-1,23)+1)&amp;TEXT(AY$2+FLOOR((AY$2-1)/9,1),"000"),"")</f>
        <v>AG055</v>
      </c>
      <c r="AZ9" s="21" t="str">
        <f>IF(INDEX('Shot Map'!$B$6:$V$26,CEILING($A9/5,1),CEILING(AZ$2/5,1))=1,INDEX('Serial Reference'!$A$8:$W$8,1,FLOOR(($A9-1)/23,1)+1)&amp;INDEX('Serial Reference'!$A$8:$W$8,1,MOD($A9-1,23)+1)&amp;TEXT(AZ$2+FLOOR((AZ$2-1)/9,1),"000"),"")</f>
        <v>AG056</v>
      </c>
      <c r="BA9" s="22" t="str">
        <f>IF(INDEX('Shot Map'!$B$6:$V$26,CEILING($A9/5,1),CEILING(BA$2/5,1))=1,INDEX('Serial Reference'!$A$8:$W$8,1,FLOOR(($A9-1)/23,1)+1)&amp;INDEX('Serial Reference'!$A$8:$W$8,1,MOD($A9-1,23)+1)&amp;TEXT(BA$2+FLOOR((BA$2-1)/9,1),"000"),"")</f>
        <v>AG057</v>
      </c>
      <c r="BB9" s="22" t="str">
        <f>IF(INDEX('Shot Map'!$B$6:$V$26,CEILING($A9/5,1),CEILING(BB$2/5,1))=1,INDEX('Serial Reference'!$A$8:$W$8,1,FLOOR(($A9-1)/23,1)+1)&amp;INDEX('Serial Reference'!$A$8:$W$8,1,MOD($A9-1,23)+1)&amp;TEXT(BB$2+FLOOR((BB$2-1)/9,1),"000"),"")</f>
        <v>AG058</v>
      </c>
      <c r="BC9" s="22" t="str">
        <f>IF(INDEX('Shot Map'!$B$6:$V$26,CEILING($A9/5,1),CEILING(BC$2/5,1))=1,INDEX('Serial Reference'!$A$8:$W$8,1,FLOOR(($A9-1)/23,1)+1)&amp;INDEX('Serial Reference'!$A$8:$W$8,1,MOD($A9-1,23)+1)&amp;TEXT(BC$2+FLOOR((BC$2-1)/9,1),"000"),"")</f>
        <v>AG059</v>
      </c>
      <c r="BD9" s="23" t="str">
        <f>IF(INDEX('Shot Map'!$B$6:$V$26,CEILING($A9/5,1),CEILING(BD$2/5,1))=1,INDEX('Serial Reference'!$A$8:$W$8,1,FLOOR(($A9-1)/23,1)+1)&amp;INDEX('Serial Reference'!$A$8:$W$8,1,MOD($A9-1,23)+1)&amp;TEXT(BD$2+FLOOR((BD$2-1)/9,1),"000"),"")</f>
        <v>AG061</v>
      </c>
      <c r="BE9" s="21" t="str">
        <f>IF(INDEX('Shot Map'!$B$6:$V$26,CEILING($A9/5,1),CEILING(BE$2/5,1))=1,INDEX('Serial Reference'!$A$8:$W$8,1,FLOOR(($A9-1)/23,1)+1)&amp;INDEX('Serial Reference'!$A$8:$W$8,1,MOD($A9-1,23)+1)&amp;TEXT(BE$2+FLOOR((BE$2-1)/9,1),"000"),"")</f>
        <v>AG062</v>
      </c>
      <c r="BF9" s="22" t="str">
        <f>IF(INDEX('Shot Map'!$B$6:$V$26,CEILING($A9/5,1),CEILING(BF$2/5,1))=1,INDEX('Serial Reference'!$A$8:$W$8,1,FLOOR(($A9-1)/23,1)+1)&amp;INDEX('Serial Reference'!$A$8:$W$8,1,MOD($A9-1,23)+1)&amp;TEXT(BF$2+FLOOR((BF$2-1)/9,1),"000"),"")</f>
        <v>AG063</v>
      </c>
      <c r="BG9" s="22" t="str">
        <f>IF(INDEX('Shot Map'!$B$6:$V$26,CEILING($A9/5,1),CEILING(BG$2/5,1))=1,INDEX('Serial Reference'!$A$8:$W$8,1,FLOOR(($A9-1)/23,1)+1)&amp;INDEX('Serial Reference'!$A$8:$W$8,1,MOD($A9-1,23)+1)&amp;TEXT(BG$2+FLOOR((BG$2-1)/9,1),"000"),"")</f>
        <v>AG064</v>
      </c>
      <c r="BH9" s="22" t="str">
        <f>IF(INDEX('Shot Map'!$B$6:$V$26,CEILING($A9/5,1),CEILING(BH$2/5,1))=1,INDEX('Serial Reference'!$A$8:$W$8,1,FLOOR(($A9-1)/23,1)+1)&amp;INDEX('Serial Reference'!$A$8:$W$8,1,MOD($A9-1,23)+1)&amp;TEXT(BH$2+FLOOR((BH$2-1)/9,1),"000"),"")</f>
        <v>AG065</v>
      </c>
      <c r="BI9" s="23" t="str">
        <f>IF(INDEX('Shot Map'!$B$6:$V$26,CEILING($A9/5,1),CEILING(BI$2/5,1))=1,INDEX('Serial Reference'!$A$8:$W$8,1,FLOOR(($A9-1)/23,1)+1)&amp;INDEX('Serial Reference'!$A$8:$W$8,1,MOD($A9-1,23)+1)&amp;TEXT(BI$2+FLOOR((BI$2-1)/9,1),"000"),"")</f>
        <v>AG066</v>
      </c>
      <c r="BJ9" s="21" t="str">
        <f>IF(INDEX('Shot Map'!$B$6:$V$26,CEILING($A9/5,1),CEILING(BJ$2/5,1))=1,INDEX('Serial Reference'!$A$8:$W$8,1,FLOOR(($A9-1)/23,1)+1)&amp;INDEX('Serial Reference'!$A$8:$W$8,1,MOD($A9-1,23)+1)&amp;TEXT(BJ$2+FLOOR((BJ$2-1)/9,1),"000"),"")</f>
        <v>AG067</v>
      </c>
      <c r="BK9" s="22" t="str">
        <f>IF(INDEX('Shot Map'!$B$6:$V$26,CEILING($A9/5,1),CEILING(BK$2/5,1))=1,INDEX('Serial Reference'!$A$8:$W$8,1,FLOOR(($A9-1)/23,1)+1)&amp;INDEX('Serial Reference'!$A$8:$W$8,1,MOD($A9-1,23)+1)&amp;TEXT(BK$2+FLOOR((BK$2-1)/9,1),"000"),"")</f>
        <v>AG068</v>
      </c>
      <c r="BL9" s="22" t="str">
        <f>IF(INDEX('Shot Map'!$B$6:$V$26,CEILING($A9/5,1),CEILING(BL$2/5,1))=1,INDEX('Serial Reference'!$A$8:$W$8,1,FLOOR(($A9-1)/23,1)+1)&amp;INDEX('Serial Reference'!$A$8:$W$8,1,MOD($A9-1,23)+1)&amp;TEXT(BL$2+FLOOR((BL$2-1)/9,1),"000"),"")</f>
        <v>AG069</v>
      </c>
      <c r="BM9" s="22" t="str">
        <f>IF(INDEX('Shot Map'!$B$6:$V$26,CEILING($A9/5,1),CEILING(BM$2/5,1))=1,INDEX('Serial Reference'!$A$8:$W$8,1,FLOOR(($A9-1)/23,1)+1)&amp;INDEX('Serial Reference'!$A$8:$W$8,1,MOD($A9-1,23)+1)&amp;TEXT(BM$2+FLOOR((BM$2-1)/9,1),"000"),"")</f>
        <v>AG071</v>
      </c>
      <c r="BN9" s="23" t="str">
        <f>IF(INDEX('Shot Map'!$B$6:$V$26,CEILING($A9/5,1),CEILING(BN$2/5,1))=1,INDEX('Serial Reference'!$A$8:$W$8,1,FLOOR(($A9-1)/23,1)+1)&amp;INDEX('Serial Reference'!$A$8:$W$8,1,MOD($A9-1,23)+1)&amp;TEXT(BN$2+FLOOR((BN$2-1)/9,1),"000"),"")</f>
        <v>AG072</v>
      </c>
      <c r="BO9" s="21" t="str">
        <f>IF(INDEX('Shot Map'!$B$6:$V$26,CEILING($A9/5,1),CEILING(BO$2/5,1))=1,INDEX('Serial Reference'!$A$8:$W$8,1,FLOOR(($A9-1)/23,1)+1)&amp;INDEX('Serial Reference'!$A$8:$W$8,1,MOD($A9-1,23)+1)&amp;TEXT(BO$2+FLOOR((BO$2-1)/9,1),"000"),"")</f>
        <v>AG073</v>
      </c>
      <c r="BP9" s="22" t="str">
        <f>IF(INDEX('Shot Map'!$B$6:$V$26,CEILING($A9/5,1),CEILING(BP$2/5,1))=1,INDEX('Serial Reference'!$A$8:$W$8,1,FLOOR(($A9-1)/23,1)+1)&amp;INDEX('Serial Reference'!$A$8:$W$8,1,MOD($A9-1,23)+1)&amp;TEXT(BP$2+FLOOR((BP$2-1)/9,1),"000"),"")</f>
        <v>AG074</v>
      </c>
      <c r="BQ9" s="22" t="str">
        <f>IF(INDEX('Shot Map'!$B$6:$V$26,CEILING($A9/5,1),CEILING(BQ$2/5,1))=1,INDEX('Serial Reference'!$A$8:$W$8,1,FLOOR(($A9-1)/23,1)+1)&amp;INDEX('Serial Reference'!$A$8:$W$8,1,MOD($A9-1,23)+1)&amp;TEXT(BQ$2+FLOOR((BQ$2-1)/9,1),"000"),"")</f>
        <v>AG075</v>
      </c>
      <c r="BR9" s="22" t="str">
        <f>IF(INDEX('Shot Map'!$B$6:$V$26,CEILING($A9/5,1),CEILING(BR$2/5,1))=1,INDEX('Serial Reference'!$A$8:$W$8,1,FLOOR(($A9-1)/23,1)+1)&amp;INDEX('Serial Reference'!$A$8:$W$8,1,MOD($A9-1,23)+1)&amp;TEXT(BR$2+FLOOR((BR$2-1)/9,1),"000"),"")</f>
        <v>AG076</v>
      </c>
      <c r="BS9" s="23" t="str">
        <f>IF(INDEX('Shot Map'!$B$6:$V$26,CEILING($A9/5,1),CEILING(BS$2/5,1))=1,INDEX('Serial Reference'!$A$8:$W$8,1,FLOOR(($A9-1)/23,1)+1)&amp;INDEX('Serial Reference'!$A$8:$W$8,1,MOD($A9-1,23)+1)&amp;TEXT(BS$2+FLOOR((BS$2-1)/9,1),"000"),"")</f>
        <v>AG077</v>
      </c>
      <c r="BT9" s="21" t="str">
        <f>IF(INDEX('Shot Map'!$B$6:$V$26,CEILING($A9/5,1),CEILING(BT$2/5,1))=1,INDEX('Serial Reference'!$A$8:$W$8,1,FLOOR(($A9-1)/23,1)+1)&amp;INDEX('Serial Reference'!$A$8:$W$8,1,MOD($A9-1,23)+1)&amp;TEXT(BT$2+FLOOR((BT$2-1)/9,1),"000"),"")</f>
        <v>AG078</v>
      </c>
      <c r="BU9" s="22" t="str">
        <f>IF(INDEX('Shot Map'!$B$6:$V$26,CEILING($A9/5,1),CEILING(BU$2/5,1))=1,INDEX('Serial Reference'!$A$8:$W$8,1,FLOOR(($A9-1)/23,1)+1)&amp;INDEX('Serial Reference'!$A$8:$W$8,1,MOD($A9-1,23)+1)&amp;TEXT(BU$2+FLOOR((BU$2-1)/9,1),"000"),"")</f>
        <v>AG079</v>
      </c>
      <c r="BV9" s="22" t="str">
        <f>IF(INDEX('Shot Map'!$B$6:$V$26,CEILING($A9/5,1),CEILING(BV$2/5,1))=1,INDEX('Serial Reference'!$A$8:$W$8,1,FLOOR(($A9-1)/23,1)+1)&amp;INDEX('Serial Reference'!$A$8:$W$8,1,MOD($A9-1,23)+1)&amp;TEXT(BV$2+FLOOR((BV$2-1)/9,1),"000"),"")</f>
        <v>AG081</v>
      </c>
      <c r="BW9" s="22" t="str">
        <f>IF(INDEX('Shot Map'!$B$6:$V$26,CEILING($A9/5,1),CEILING(BW$2/5,1))=1,INDEX('Serial Reference'!$A$8:$W$8,1,FLOOR(($A9-1)/23,1)+1)&amp;INDEX('Serial Reference'!$A$8:$W$8,1,MOD($A9-1,23)+1)&amp;TEXT(BW$2+FLOOR((BW$2-1)/9,1),"000"),"")</f>
        <v>AG082</v>
      </c>
      <c r="BX9" s="23" t="str">
        <f>IF(INDEX('Shot Map'!$B$6:$V$26,CEILING($A9/5,1),CEILING(BX$2/5,1))=1,INDEX('Serial Reference'!$A$8:$W$8,1,FLOOR(($A9-1)/23,1)+1)&amp;INDEX('Serial Reference'!$A$8:$W$8,1,MOD($A9-1,23)+1)&amp;TEXT(BX$2+FLOOR((BX$2-1)/9,1),"000"),"")</f>
        <v>AG083</v>
      </c>
      <c r="BY9" s="21" t="str">
        <f>IF(INDEX('Shot Map'!$B$6:$V$26,CEILING($A9/5,1),CEILING(BY$2/5,1))=1,INDEX('Serial Reference'!$A$8:$W$8,1,FLOOR(($A9-1)/23,1)+1)&amp;INDEX('Serial Reference'!$A$8:$W$8,1,MOD($A9-1,23)+1)&amp;TEXT(BY$2+FLOOR((BY$2-1)/9,1),"000"),"")</f>
        <v/>
      </c>
      <c r="BZ9" s="22" t="str">
        <f>IF(INDEX('Shot Map'!$B$6:$V$26,CEILING($A9/5,1),CEILING(BZ$2/5,1))=1,INDEX('Serial Reference'!$A$8:$W$8,1,FLOOR(($A9-1)/23,1)+1)&amp;INDEX('Serial Reference'!$A$8:$W$8,1,MOD($A9-1,23)+1)&amp;TEXT(BZ$2+FLOOR((BZ$2-1)/9,1),"000"),"")</f>
        <v/>
      </c>
      <c r="CA9" s="22" t="str">
        <f>IF(INDEX('Shot Map'!$B$6:$V$26,CEILING($A9/5,1),CEILING(CA$2/5,1))=1,INDEX('Serial Reference'!$A$8:$W$8,1,FLOOR(($A9-1)/23,1)+1)&amp;INDEX('Serial Reference'!$A$8:$W$8,1,MOD($A9-1,23)+1)&amp;TEXT(CA$2+FLOOR((CA$2-1)/9,1),"000"),"")</f>
        <v/>
      </c>
      <c r="CB9" s="22" t="str">
        <f>IF(INDEX('Shot Map'!$B$6:$V$26,CEILING($A9/5,1),CEILING(CB$2/5,1))=1,INDEX('Serial Reference'!$A$8:$W$8,1,FLOOR(($A9-1)/23,1)+1)&amp;INDEX('Serial Reference'!$A$8:$W$8,1,MOD($A9-1,23)+1)&amp;TEXT(CB$2+FLOOR((CB$2-1)/9,1),"000"),"")</f>
        <v/>
      </c>
      <c r="CC9" s="23" t="str">
        <f>IF(INDEX('Shot Map'!$B$6:$V$26,CEILING($A9/5,1),CEILING(CC$2/5,1))=1,INDEX('Serial Reference'!$A$8:$W$8,1,FLOOR(($A9-1)/23,1)+1)&amp;INDEX('Serial Reference'!$A$8:$W$8,1,MOD($A9-1,23)+1)&amp;TEXT(CC$2+FLOOR((CC$2-1)/9,1),"000"),"")</f>
        <v/>
      </c>
      <c r="CD9" s="21" t="str">
        <f>IF(INDEX('Shot Map'!$B$6:$V$26,CEILING($A9/5,1),CEILING(CD$2/5,1))=1,INDEX('Serial Reference'!$A$8:$W$8,1,FLOOR(($A9-1)/23,1)+1)&amp;INDEX('Serial Reference'!$A$8:$W$8,1,MOD($A9-1,23)+1)&amp;TEXT(CD$2+FLOOR((CD$2-1)/9,1),"000"),"")</f>
        <v/>
      </c>
      <c r="CE9" s="22" t="str">
        <f>IF(INDEX('Shot Map'!$B$6:$V$26,CEILING($A9/5,1),CEILING(CE$2/5,1))=1,INDEX('Serial Reference'!$A$8:$W$8,1,FLOOR(($A9-1)/23,1)+1)&amp;INDEX('Serial Reference'!$A$8:$W$8,1,MOD($A9-1,23)+1)&amp;TEXT(CE$2+FLOOR((CE$2-1)/9,1),"000"),"")</f>
        <v/>
      </c>
      <c r="CF9" s="22" t="str">
        <f>IF(INDEX('Shot Map'!$B$6:$V$26,CEILING($A9/5,1),CEILING(CF$2/5,1))=1,INDEX('Serial Reference'!$A$8:$W$8,1,FLOOR(($A9-1)/23,1)+1)&amp;INDEX('Serial Reference'!$A$8:$W$8,1,MOD($A9-1,23)+1)&amp;TEXT(CF$2+FLOOR((CF$2-1)/9,1),"000"),"")</f>
        <v/>
      </c>
      <c r="CG9" s="22" t="str">
        <f>IF(INDEX('Shot Map'!$B$6:$V$26,CEILING($A9/5,1),CEILING(CG$2/5,1))=1,INDEX('Serial Reference'!$A$8:$W$8,1,FLOOR(($A9-1)/23,1)+1)&amp;INDEX('Serial Reference'!$A$8:$W$8,1,MOD($A9-1,23)+1)&amp;TEXT(CG$2+FLOOR((CG$2-1)/9,1),"000"),"")</f>
        <v/>
      </c>
      <c r="CH9" s="23" t="str">
        <f>IF(INDEX('Shot Map'!$B$6:$V$26,CEILING($A9/5,1),CEILING(CH$2/5,1))=1,INDEX('Serial Reference'!$A$8:$W$8,1,FLOOR(($A9-1)/23,1)+1)&amp;INDEX('Serial Reference'!$A$8:$W$8,1,MOD($A9-1,23)+1)&amp;TEXT(CH$2+FLOOR((CH$2-1)/9,1),"000"),"")</f>
        <v/>
      </c>
      <c r="CI9" s="21" t="str">
        <f>IF(INDEX('Shot Map'!$B$6:$V$26,CEILING($A9/5,1),CEILING(CI$2/5,1))=1,INDEX('Serial Reference'!$A$8:$W$8,1,FLOOR(($A9-1)/23,1)+1)&amp;INDEX('Serial Reference'!$A$8:$W$8,1,MOD($A9-1,23)+1)&amp;TEXT(CI$2+FLOOR((CI$2-1)/9,1),"000"),"")</f>
        <v/>
      </c>
      <c r="CJ9" s="22" t="str">
        <f>IF(INDEX('Shot Map'!$B$6:$V$26,CEILING($A9/5,1),CEILING(CJ$2/5,1))=1,INDEX('Serial Reference'!$A$8:$W$8,1,FLOOR(($A9-1)/23,1)+1)&amp;INDEX('Serial Reference'!$A$8:$W$8,1,MOD($A9-1,23)+1)&amp;TEXT(CJ$2+FLOOR((CJ$2-1)/9,1),"000"),"")</f>
        <v/>
      </c>
      <c r="CK9" s="22" t="str">
        <f>IF(INDEX('Shot Map'!$B$6:$V$26,CEILING($A9/5,1),CEILING(CK$2/5,1))=1,INDEX('Serial Reference'!$A$8:$W$8,1,FLOOR(($A9-1)/23,1)+1)&amp;INDEX('Serial Reference'!$A$8:$W$8,1,MOD($A9-1,23)+1)&amp;TEXT(CK$2+FLOOR((CK$2-1)/9,1),"000"),"")</f>
        <v/>
      </c>
      <c r="CL9" s="22" t="str">
        <f>IF(INDEX('Shot Map'!$B$6:$V$26,CEILING($A9/5,1),CEILING(CL$2/5,1))=1,INDEX('Serial Reference'!$A$8:$W$8,1,FLOOR(($A9-1)/23,1)+1)&amp;INDEX('Serial Reference'!$A$8:$W$8,1,MOD($A9-1,23)+1)&amp;TEXT(CL$2+FLOOR((CL$2-1)/9,1),"000"),"")</f>
        <v/>
      </c>
      <c r="CM9" s="23" t="str">
        <f>IF(INDEX('Shot Map'!$B$6:$V$26,CEILING($A9/5,1),CEILING(CM$2/5,1))=1,INDEX('Serial Reference'!$A$8:$W$8,1,FLOOR(($A9-1)/23,1)+1)&amp;INDEX('Serial Reference'!$A$8:$W$8,1,MOD($A9-1,23)+1)&amp;TEXT(CM$2+FLOOR((CM$2-1)/9,1),"000"),"")</f>
        <v/>
      </c>
      <c r="CN9" s="21" t="str">
        <f>IF(INDEX('Shot Map'!$B$6:$V$26,CEILING($A9/5,1),CEILING(CN$2/5,1))=1,INDEX('Serial Reference'!$A$8:$W$8,1,FLOOR(($A9-1)/23,1)+1)&amp;INDEX('Serial Reference'!$A$8:$W$8,1,MOD($A9-1,23)+1)&amp;TEXT(CN$2+FLOOR((CN$2-1)/9,1),"000"),"")</f>
        <v/>
      </c>
      <c r="CO9" s="22" t="str">
        <f>IF(INDEX('Shot Map'!$B$6:$V$26,CEILING($A9/5,1),CEILING(CO$2/5,1))=1,INDEX('Serial Reference'!$A$8:$W$8,1,FLOOR(($A9-1)/23,1)+1)&amp;INDEX('Serial Reference'!$A$8:$W$8,1,MOD($A9-1,23)+1)&amp;TEXT(CO$2+FLOOR((CO$2-1)/9,1),"000"),"")</f>
        <v/>
      </c>
      <c r="CP9" s="22" t="str">
        <f>IF(INDEX('Shot Map'!$B$6:$V$26,CEILING($A9/5,1),CEILING(CP$2/5,1))=1,INDEX('Serial Reference'!$A$8:$W$8,1,FLOOR(($A9-1)/23,1)+1)&amp;INDEX('Serial Reference'!$A$8:$W$8,1,MOD($A9-1,23)+1)&amp;TEXT(CP$2+FLOOR((CP$2-1)/9,1),"000"),"")</f>
        <v/>
      </c>
      <c r="CQ9" s="22" t="str">
        <f>IF(INDEX('Shot Map'!$B$6:$V$26,CEILING($A9/5,1),CEILING(CQ$2/5,1))=1,INDEX('Serial Reference'!$A$8:$W$8,1,FLOOR(($A9-1)/23,1)+1)&amp;INDEX('Serial Reference'!$A$8:$W$8,1,MOD($A9-1,23)+1)&amp;TEXT(CQ$2+FLOOR((CQ$2-1)/9,1),"000"),"")</f>
        <v/>
      </c>
      <c r="CR9" s="23" t="str">
        <f>IF(INDEX('Shot Map'!$B$6:$V$26,CEILING($A9/5,1),CEILING(CR$2/5,1))=1,INDEX('Serial Reference'!$A$8:$W$8,1,FLOOR(($A9-1)/23,1)+1)&amp;INDEX('Serial Reference'!$A$8:$W$8,1,MOD($A9-1,23)+1)&amp;TEXT(CR$2+FLOOR((CR$2-1)/9,1),"000"),"")</f>
        <v/>
      </c>
      <c r="CS9" s="21" t="str">
        <f>IF(INDEX('Shot Map'!$B$6:$V$26,CEILING($A9/5,1),CEILING(CS$2/5,1))=1,INDEX('Serial Reference'!$A$8:$W$8,1,FLOOR(($A9-1)/23,1)+1)&amp;INDEX('Serial Reference'!$A$8:$W$8,1,MOD($A9-1,23)+1)&amp;TEXT(CS$2+FLOOR((CS$2-1)/9,1),"000"),"")</f>
        <v/>
      </c>
      <c r="CT9" s="22" t="str">
        <f>IF(INDEX('Shot Map'!$B$6:$V$26,CEILING($A9/5,1),CEILING(CT$2/5,1))=1,INDEX('Serial Reference'!$A$8:$W$8,1,FLOOR(($A9-1)/23,1)+1)&amp;INDEX('Serial Reference'!$A$8:$W$8,1,MOD($A9-1,23)+1)&amp;TEXT(CT$2+FLOOR((CT$2-1)/9,1),"000"),"")</f>
        <v/>
      </c>
      <c r="CU9" s="22" t="str">
        <f>IF(INDEX('Shot Map'!$B$6:$V$26,CEILING($A9/5,1),CEILING(CU$2/5,1))=1,INDEX('Serial Reference'!$A$8:$W$8,1,FLOOR(($A9-1)/23,1)+1)&amp;INDEX('Serial Reference'!$A$8:$W$8,1,MOD($A9-1,23)+1)&amp;TEXT(CU$2+FLOOR((CU$2-1)/9,1),"000"),"")</f>
        <v/>
      </c>
      <c r="CV9" s="22" t="str">
        <f>IF(INDEX('Shot Map'!$B$6:$V$26,CEILING($A9/5,1),CEILING(CV$2/5,1))=1,INDEX('Serial Reference'!$A$8:$W$8,1,FLOOR(($A9-1)/23,1)+1)&amp;INDEX('Serial Reference'!$A$8:$W$8,1,MOD($A9-1,23)+1)&amp;TEXT(CV$2+FLOOR((CV$2-1)/9,1),"000"),"")</f>
        <v/>
      </c>
      <c r="CW9" s="23" t="str">
        <f>IF(INDEX('Shot Map'!$B$6:$V$26,CEILING($A9/5,1),CEILING(CW$2/5,1))=1,INDEX('Serial Reference'!$A$8:$W$8,1,FLOOR(($A9-1)/23,1)+1)&amp;INDEX('Serial Reference'!$A$8:$W$8,1,MOD($A9-1,23)+1)&amp;TEXT(CW$2+FLOOR((CW$2-1)/9,1),"000"),"")</f>
        <v/>
      </c>
      <c r="CX9" s="21" t="str">
        <f>IF(INDEX('Shot Map'!$B$6:$V$26,CEILING($A9/5,1),CEILING(CX$2/5,1))=1,INDEX('Serial Reference'!$A$8:$W$8,1,FLOOR(($A9-1)/23,1)+1)&amp;INDEX('Serial Reference'!$A$8:$W$8,1,MOD($A9-1,23)+1)&amp;TEXT(CX$2+FLOOR((CX$2-1)/9,1),"000"),"")</f>
        <v/>
      </c>
      <c r="CY9" s="22" t="str">
        <f>IF(INDEX('Shot Map'!$B$6:$V$26,CEILING($A9/5,1),CEILING(CY$2/5,1))=1,INDEX('Serial Reference'!$A$8:$W$8,1,FLOOR(($A9-1)/23,1)+1)&amp;INDEX('Serial Reference'!$A$8:$W$8,1,MOD($A9-1,23)+1)&amp;TEXT(CY$2+FLOOR((CY$2-1)/9,1),"000"),"")</f>
        <v/>
      </c>
      <c r="CZ9" s="22" t="str">
        <f>IF(INDEX('Shot Map'!$B$6:$V$26,CEILING($A9/5,1),CEILING(CZ$2/5,1))=1,INDEX('Serial Reference'!$A$8:$W$8,1,FLOOR(($A9-1)/23,1)+1)&amp;INDEX('Serial Reference'!$A$8:$W$8,1,MOD($A9-1,23)+1)&amp;TEXT(CZ$2+FLOOR((CZ$2-1)/9,1),"000"),"")</f>
        <v/>
      </c>
      <c r="DA9" s="22" t="str">
        <f>IF(INDEX('Shot Map'!$B$6:$V$26,CEILING($A9/5,1),CEILING(DA$2/5,1))=1,INDEX('Serial Reference'!$A$8:$W$8,1,FLOOR(($A9-1)/23,1)+1)&amp;INDEX('Serial Reference'!$A$8:$W$8,1,MOD($A9-1,23)+1)&amp;TEXT(DA$2+FLOOR((DA$2-1)/9,1),"000"),"")</f>
        <v/>
      </c>
      <c r="DB9" s="23" t="str">
        <f>IF(INDEX('Shot Map'!$B$6:$V$26,CEILING($A9/5,1),CEILING(DB$2/5,1))=1,INDEX('Serial Reference'!$A$8:$W$8,1,FLOOR(($A9-1)/23,1)+1)&amp;INDEX('Serial Reference'!$A$8:$W$8,1,MOD($A9-1,23)+1)&amp;TEXT(DB$2+FLOOR((DB$2-1)/9,1),"000"),"")</f>
        <v/>
      </c>
    </row>
    <row r="10" spans="1:106" ht="12.75" customHeight="1" x14ac:dyDescent="0.25">
      <c r="A10" s="17">
        <v>8</v>
      </c>
      <c r="B10" s="21" t="str">
        <f>IF(INDEX('Shot Map'!$B$6:$V$26,CEILING($A10/5,1),CEILING(B$2/5,1))=1,INDEX('Serial Reference'!$A$8:$W$8,1,FLOOR(($A10-1)/23,1)+1)&amp;INDEX('Serial Reference'!$A$8:$W$8,1,MOD($A10-1,23)+1)&amp;TEXT(B$2+FLOOR((B$2-1)/9,1),"000"),"")</f>
        <v/>
      </c>
      <c r="C10" s="22" t="str">
        <f>IF(INDEX('Shot Map'!$B$6:$V$26,CEILING($A10/5,1),CEILING(C$2/5,1))=1,INDEX('Serial Reference'!$A$8:$W$8,1,FLOOR(($A10-1)/23,1)+1)&amp;INDEX('Serial Reference'!$A$8:$W$8,1,MOD($A10-1,23)+1)&amp;TEXT(C$2+FLOOR((C$2-1)/9,1),"000"),"")</f>
        <v/>
      </c>
      <c r="D10" s="22" t="str">
        <f>IF(INDEX('Shot Map'!$B$6:$V$26,CEILING($A10/5,1),CEILING(D$2/5,1))=1,INDEX('Serial Reference'!$A$8:$W$8,1,FLOOR(($A10-1)/23,1)+1)&amp;INDEX('Serial Reference'!$A$8:$W$8,1,MOD($A10-1,23)+1)&amp;TEXT(D$2+FLOOR((D$2-1)/9,1),"000"),"")</f>
        <v/>
      </c>
      <c r="E10" s="22" t="str">
        <f>IF(INDEX('Shot Map'!$B$6:$V$26,CEILING($A10/5,1),CEILING(E$2/5,1))=1,INDEX('Serial Reference'!$A$8:$W$8,1,FLOOR(($A10-1)/23,1)+1)&amp;INDEX('Serial Reference'!$A$8:$W$8,1,MOD($A10-1,23)+1)&amp;TEXT(E$2+FLOOR((E$2-1)/9,1),"000"),"")</f>
        <v/>
      </c>
      <c r="F10" s="23" t="str">
        <f>IF(INDEX('Shot Map'!$B$6:$V$26,CEILING($A10/5,1),CEILING(F$2/5,1))=1,INDEX('Serial Reference'!$A$8:$W$8,1,FLOOR(($A10-1)/23,1)+1)&amp;INDEX('Serial Reference'!$A$8:$W$8,1,MOD($A10-1,23)+1)&amp;TEXT(F$2+FLOOR((F$2-1)/9,1),"000"),"")</f>
        <v/>
      </c>
      <c r="G10" s="21" t="str">
        <f>IF(INDEX('Shot Map'!$B$6:$V$26,CEILING($A10/5,1),CEILING(G$2/5,1))=1,INDEX('Serial Reference'!$A$8:$W$8,1,FLOOR(($A10-1)/23,1)+1)&amp;INDEX('Serial Reference'!$A$8:$W$8,1,MOD($A10-1,23)+1)&amp;TEXT(G$2+FLOOR((G$2-1)/9,1),"000"),"")</f>
        <v/>
      </c>
      <c r="H10" s="22" t="str">
        <f>IF(INDEX('Shot Map'!$B$6:$V$26,CEILING($A10/5,1),CEILING(H$2/5,1))=1,INDEX('Serial Reference'!$A$8:$W$8,1,FLOOR(($A10-1)/23,1)+1)&amp;INDEX('Serial Reference'!$A$8:$W$8,1,MOD($A10-1,23)+1)&amp;TEXT(H$2+FLOOR((H$2-1)/9,1),"000"),"")</f>
        <v/>
      </c>
      <c r="I10" s="22" t="str">
        <f>IF(INDEX('Shot Map'!$B$6:$V$26,CEILING($A10/5,1),CEILING(I$2/5,1))=1,INDEX('Serial Reference'!$A$8:$W$8,1,FLOOR(($A10-1)/23,1)+1)&amp;INDEX('Serial Reference'!$A$8:$W$8,1,MOD($A10-1,23)+1)&amp;TEXT(I$2+FLOOR((I$2-1)/9,1),"000"),"")</f>
        <v/>
      </c>
      <c r="J10" s="22" t="str">
        <f>IF(INDEX('Shot Map'!$B$6:$V$26,CEILING($A10/5,1),CEILING(J$2/5,1))=1,INDEX('Serial Reference'!$A$8:$W$8,1,FLOOR(($A10-1)/23,1)+1)&amp;INDEX('Serial Reference'!$A$8:$W$8,1,MOD($A10-1,23)+1)&amp;TEXT(J$2+FLOOR((J$2-1)/9,1),"000"),"")</f>
        <v/>
      </c>
      <c r="K10" s="23" t="str">
        <f>IF(INDEX('Shot Map'!$B$6:$V$26,CEILING($A10/5,1),CEILING(K$2/5,1))=1,INDEX('Serial Reference'!$A$8:$W$8,1,FLOOR(($A10-1)/23,1)+1)&amp;INDEX('Serial Reference'!$A$8:$W$8,1,MOD($A10-1,23)+1)&amp;TEXT(K$2+FLOOR((K$2-1)/9,1),"000"),"")</f>
        <v/>
      </c>
      <c r="L10" s="21" t="str">
        <f>IF(INDEX('Shot Map'!$B$6:$V$26,CEILING($A10/5,1),CEILING(L$2/5,1))=1,INDEX('Serial Reference'!$A$8:$W$8,1,FLOOR(($A10-1)/23,1)+1)&amp;INDEX('Serial Reference'!$A$8:$W$8,1,MOD($A10-1,23)+1)&amp;TEXT(L$2+FLOOR((L$2-1)/9,1),"000"),"")</f>
        <v/>
      </c>
      <c r="M10" s="22" t="str">
        <f>IF(INDEX('Shot Map'!$B$6:$V$26,CEILING($A10/5,1),CEILING(M$2/5,1))=1,INDEX('Serial Reference'!$A$8:$W$8,1,FLOOR(($A10-1)/23,1)+1)&amp;INDEX('Serial Reference'!$A$8:$W$8,1,MOD($A10-1,23)+1)&amp;TEXT(M$2+FLOOR((M$2-1)/9,1),"000"),"")</f>
        <v/>
      </c>
      <c r="N10" s="22" t="str">
        <f>IF(INDEX('Shot Map'!$B$6:$V$26,CEILING($A10/5,1),CEILING(N$2/5,1))=1,INDEX('Serial Reference'!$A$8:$W$8,1,FLOOR(($A10-1)/23,1)+1)&amp;INDEX('Serial Reference'!$A$8:$W$8,1,MOD($A10-1,23)+1)&amp;TEXT(N$2+FLOOR((N$2-1)/9,1),"000"),"")</f>
        <v/>
      </c>
      <c r="O10" s="22" t="str">
        <f>IF(INDEX('Shot Map'!$B$6:$V$26,CEILING($A10/5,1),CEILING(O$2/5,1))=1,INDEX('Serial Reference'!$A$8:$W$8,1,FLOOR(($A10-1)/23,1)+1)&amp;INDEX('Serial Reference'!$A$8:$W$8,1,MOD($A10-1,23)+1)&amp;TEXT(O$2+FLOOR((O$2-1)/9,1),"000"),"")</f>
        <v/>
      </c>
      <c r="P10" s="23" t="str">
        <f>IF(INDEX('Shot Map'!$B$6:$V$26,CEILING($A10/5,1),CEILING(P$2/5,1))=1,INDEX('Serial Reference'!$A$8:$W$8,1,FLOOR(($A10-1)/23,1)+1)&amp;INDEX('Serial Reference'!$A$8:$W$8,1,MOD($A10-1,23)+1)&amp;TEXT(P$2+FLOOR((P$2-1)/9,1),"000"),"")</f>
        <v/>
      </c>
      <c r="Q10" s="21" t="str">
        <f>IF(INDEX('Shot Map'!$B$6:$V$26,CEILING($A10/5,1),CEILING(Q$2/5,1))=1,INDEX('Serial Reference'!$A$8:$W$8,1,FLOOR(($A10-1)/23,1)+1)&amp;INDEX('Serial Reference'!$A$8:$W$8,1,MOD($A10-1,23)+1)&amp;TEXT(Q$2+FLOOR((Q$2-1)/9,1),"000"),"")</f>
        <v/>
      </c>
      <c r="R10" s="22" t="str">
        <f>IF(INDEX('Shot Map'!$B$6:$V$26,CEILING($A10/5,1),CEILING(R$2/5,1))=1,INDEX('Serial Reference'!$A$8:$W$8,1,FLOOR(($A10-1)/23,1)+1)&amp;INDEX('Serial Reference'!$A$8:$W$8,1,MOD($A10-1,23)+1)&amp;TEXT(R$2+FLOOR((R$2-1)/9,1),"000"),"")</f>
        <v/>
      </c>
      <c r="S10" s="22" t="str">
        <f>IF(INDEX('Shot Map'!$B$6:$V$26,CEILING($A10/5,1),CEILING(S$2/5,1))=1,INDEX('Serial Reference'!$A$8:$W$8,1,FLOOR(($A10-1)/23,1)+1)&amp;INDEX('Serial Reference'!$A$8:$W$8,1,MOD($A10-1,23)+1)&amp;TEXT(S$2+FLOOR((S$2-1)/9,1),"000"),"")</f>
        <v/>
      </c>
      <c r="T10" s="22" t="str">
        <f>IF(INDEX('Shot Map'!$B$6:$V$26,CEILING($A10/5,1),CEILING(T$2/5,1))=1,INDEX('Serial Reference'!$A$8:$W$8,1,FLOOR(($A10-1)/23,1)+1)&amp;INDEX('Serial Reference'!$A$8:$W$8,1,MOD($A10-1,23)+1)&amp;TEXT(T$2+FLOOR((T$2-1)/9,1),"000"),"")</f>
        <v/>
      </c>
      <c r="U10" s="23" t="str">
        <f>IF(INDEX('Shot Map'!$B$6:$V$26,CEILING($A10/5,1),CEILING(U$2/5,1))=1,INDEX('Serial Reference'!$A$8:$W$8,1,FLOOR(($A10-1)/23,1)+1)&amp;INDEX('Serial Reference'!$A$8:$W$8,1,MOD($A10-1,23)+1)&amp;TEXT(U$2+FLOOR((U$2-1)/9,1),"000"),"")</f>
        <v/>
      </c>
      <c r="V10" s="21" t="str">
        <f>IF(INDEX('Shot Map'!$B$6:$V$26,CEILING($A10/5,1),CEILING(V$2/5,1))=1,INDEX('Serial Reference'!$A$8:$W$8,1,FLOOR(($A10-1)/23,1)+1)&amp;INDEX('Serial Reference'!$A$8:$W$8,1,MOD($A10-1,23)+1)&amp;TEXT(V$2+FLOOR((V$2-1)/9,1),"000"),"")</f>
        <v/>
      </c>
      <c r="W10" s="22" t="str">
        <f>IF(INDEX('Shot Map'!$B$6:$V$26,CEILING($A10/5,1),CEILING(W$2/5,1))=1,INDEX('Serial Reference'!$A$8:$W$8,1,FLOOR(($A10-1)/23,1)+1)&amp;INDEX('Serial Reference'!$A$8:$W$8,1,MOD($A10-1,23)+1)&amp;TEXT(W$2+FLOOR((W$2-1)/9,1),"000"),"")</f>
        <v/>
      </c>
      <c r="X10" s="22" t="str">
        <f>IF(INDEX('Shot Map'!$B$6:$V$26,CEILING($A10/5,1),CEILING(X$2/5,1))=1,INDEX('Serial Reference'!$A$8:$W$8,1,FLOOR(($A10-1)/23,1)+1)&amp;INDEX('Serial Reference'!$A$8:$W$8,1,MOD($A10-1,23)+1)&amp;TEXT(X$2+FLOOR((X$2-1)/9,1),"000"),"")</f>
        <v/>
      </c>
      <c r="Y10" s="22" t="str">
        <f>IF(INDEX('Shot Map'!$B$6:$V$26,CEILING($A10/5,1),CEILING(Y$2/5,1))=1,INDEX('Serial Reference'!$A$8:$W$8,1,FLOOR(($A10-1)/23,1)+1)&amp;INDEX('Serial Reference'!$A$8:$W$8,1,MOD($A10-1,23)+1)&amp;TEXT(Y$2+FLOOR((Y$2-1)/9,1),"000"),"")</f>
        <v/>
      </c>
      <c r="Z10" s="23" t="str">
        <f>IF(INDEX('Shot Map'!$B$6:$V$26,CEILING($A10/5,1),CEILING(Z$2/5,1))=1,INDEX('Serial Reference'!$A$8:$W$8,1,FLOOR(($A10-1)/23,1)+1)&amp;INDEX('Serial Reference'!$A$8:$W$8,1,MOD($A10-1,23)+1)&amp;TEXT(Z$2+FLOOR((Z$2-1)/9,1),"000"),"")</f>
        <v/>
      </c>
      <c r="AA10" s="21" t="str">
        <f>IF(INDEX('Shot Map'!$B$6:$V$26,CEILING($A10/5,1),CEILING(AA$2/5,1))=1,INDEX('Serial Reference'!$A$8:$W$8,1,FLOOR(($A10-1)/23,1)+1)&amp;INDEX('Serial Reference'!$A$8:$W$8,1,MOD($A10-1,23)+1)&amp;TEXT(AA$2+FLOOR((AA$2-1)/9,1),"000"),"")</f>
        <v/>
      </c>
      <c r="AB10" s="22" t="str">
        <f>IF(INDEX('Shot Map'!$B$6:$V$26,CEILING($A10/5,1),CEILING(AB$2/5,1))=1,INDEX('Serial Reference'!$A$8:$W$8,1,FLOOR(($A10-1)/23,1)+1)&amp;INDEX('Serial Reference'!$A$8:$W$8,1,MOD($A10-1,23)+1)&amp;TEXT(AB$2+FLOOR((AB$2-1)/9,1),"000"),"")</f>
        <v/>
      </c>
      <c r="AC10" s="22" t="str">
        <f>IF(INDEX('Shot Map'!$B$6:$V$26,CEILING($A10/5,1),CEILING(AC$2/5,1))=1,INDEX('Serial Reference'!$A$8:$W$8,1,FLOOR(($A10-1)/23,1)+1)&amp;INDEX('Serial Reference'!$A$8:$W$8,1,MOD($A10-1,23)+1)&amp;TEXT(AC$2+FLOOR((AC$2-1)/9,1),"000"),"")</f>
        <v/>
      </c>
      <c r="AD10" s="22" t="str">
        <f>IF(INDEX('Shot Map'!$B$6:$V$26,CEILING($A10/5,1),CEILING(AD$2/5,1))=1,INDEX('Serial Reference'!$A$8:$W$8,1,FLOOR(($A10-1)/23,1)+1)&amp;INDEX('Serial Reference'!$A$8:$W$8,1,MOD($A10-1,23)+1)&amp;TEXT(AD$2+FLOOR((AD$2-1)/9,1),"000"),"")</f>
        <v/>
      </c>
      <c r="AE10" s="23" t="str">
        <f>IF(INDEX('Shot Map'!$B$6:$V$26,CEILING($A10/5,1),CEILING(AE$2/5,1))=1,INDEX('Serial Reference'!$A$8:$W$8,1,FLOOR(($A10-1)/23,1)+1)&amp;INDEX('Serial Reference'!$A$8:$W$8,1,MOD($A10-1,23)+1)&amp;TEXT(AE$2+FLOOR((AE$2-1)/9,1),"000"),"")</f>
        <v/>
      </c>
      <c r="AF10" s="21" t="str">
        <f>IF(INDEX('Shot Map'!$B$6:$V$26,CEILING($A10/5,1),CEILING(AF$2/5,1))=1,INDEX('Serial Reference'!$A$8:$W$8,1,FLOOR(($A10-1)/23,1)+1)&amp;INDEX('Serial Reference'!$A$8:$W$8,1,MOD($A10-1,23)+1)&amp;TEXT(AF$2+FLOOR((AF$2-1)/9,1),"000"),"")</f>
        <v>AH034</v>
      </c>
      <c r="AG10" s="22" t="str">
        <f>IF(INDEX('Shot Map'!$B$6:$V$26,CEILING($A10/5,1),CEILING(AG$2/5,1))=1,INDEX('Serial Reference'!$A$8:$W$8,1,FLOOR(($A10-1)/23,1)+1)&amp;INDEX('Serial Reference'!$A$8:$W$8,1,MOD($A10-1,23)+1)&amp;TEXT(AG$2+FLOOR((AG$2-1)/9,1),"000"),"")</f>
        <v>AH035</v>
      </c>
      <c r="AH10" s="22" t="str">
        <f>IF(INDEX('Shot Map'!$B$6:$V$26,CEILING($A10/5,1),CEILING(AH$2/5,1))=1,INDEX('Serial Reference'!$A$8:$W$8,1,FLOOR(($A10-1)/23,1)+1)&amp;INDEX('Serial Reference'!$A$8:$W$8,1,MOD($A10-1,23)+1)&amp;TEXT(AH$2+FLOOR((AH$2-1)/9,1),"000"),"")</f>
        <v>AH036</v>
      </c>
      <c r="AI10" s="22" t="str">
        <f>IF(INDEX('Shot Map'!$B$6:$V$26,CEILING($A10/5,1),CEILING(AI$2/5,1))=1,INDEX('Serial Reference'!$A$8:$W$8,1,FLOOR(($A10-1)/23,1)+1)&amp;INDEX('Serial Reference'!$A$8:$W$8,1,MOD($A10-1,23)+1)&amp;TEXT(AI$2+FLOOR((AI$2-1)/9,1),"000"),"")</f>
        <v>AH037</v>
      </c>
      <c r="AJ10" s="23" t="str">
        <f>IF(INDEX('Shot Map'!$B$6:$V$26,CEILING($A10/5,1),CEILING(AJ$2/5,1))=1,INDEX('Serial Reference'!$A$8:$W$8,1,FLOOR(($A10-1)/23,1)+1)&amp;INDEX('Serial Reference'!$A$8:$W$8,1,MOD($A10-1,23)+1)&amp;TEXT(AJ$2+FLOOR((AJ$2-1)/9,1),"000"),"")</f>
        <v>AH038</v>
      </c>
      <c r="AK10" s="21" t="str">
        <f>IF(INDEX('Shot Map'!$B$6:$V$26,CEILING($A10/5,1),CEILING(AK$2/5,1))=1,INDEX('Serial Reference'!$A$8:$W$8,1,FLOOR(($A10-1)/23,1)+1)&amp;INDEX('Serial Reference'!$A$8:$W$8,1,MOD($A10-1,23)+1)&amp;TEXT(AK$2+FLOOR((AK$2-1)/9,1),"000"),"")</f>
        <v>AH039</v>
      </c>
      <c r="AL10" s="22" t="str">
        <f>IF(INDEX('Shot Map'!$B$6:$V$26,CEILING($A10/5,1),CEILING(AL$2/5,1))=1,INDEX('Serial Reference'!$A$8:$W$8,1,FLOOR(($A10-1)/23,1)+1)&amp;INDEX('Serial Reference'!$A$8:$W$8,1,MOD($A10-1,23)+1)&amp;TEXT(AL$2+FLOOR((AL$2-1)/9,1),"000"),"")</f>
        <v>AH041</v>
      </c>
      <c r="AM10" s="22" t="str">
        <f>IF(INDEX('Shot Map'!$B$6:$V$26,CEILING($A10/5,1),CEILING(AM$2/5,1))=1,INDEX('Serial Reference'!$A$8:$W$8,1,FLOOR(($A10-1)/23,1)+1)&amp;INDEX('Serial Reference'!$A$8:$W$8,1,MOD($A10-1,23)+1)&amp;TEXT(AM$2+FLOOR((AM$2-1)/9,1),"000"),"")</f>
        <v>AH042</v>
      </c>
      <c r="AN10" s="22" t="str">
        <f>IF(INDEX('Shot Map'!$B$6:$V$26,CEILING($A10/5,1),CEILING(AN$2/5,1))=1,INDEX('Serial Reference'!$A$8:$W$8,1,FLOOR(($A10-1)/23,1)+1)&amp;INDEX('Serial Reference'!$A$8:$W$8,1,MOD($A10-1,23)+1)&amp;TEXT(AN$2+FLOOR((AN$2-1)/9,1),"000"),"")</f>
        <v>AH043</v>
      </c>
      <c r="AO10" s="23" t="str">
        <f>IF(INDEX('Shot Map'!$B$6:$V$26,CEILING($A10/5,1),CEILING(AO$2/5,1))=1,INDEX('Serial Reference'!$A$8:$W$8,1,FLOOR(($A10-1)/23,1)+1)&amp;INDEX('Serial Reference'!$A$8:$W$8,1,MOD($A10-1,23)+1)&amp;TEXT(AO$2+FLOOR((AO$2-1)/9,1),"000"),"")</f>
        <v>AH044</v>
      </c>
      <c r="AP10" s="21" t="str">
        <f>IF(INDEX('Shot Map'!$B$6:$V$26,CEILING($A10/5,1),CEILING(AP$2/5,1))=1,INDEX('Serial Reference'!$A$8:$W$8,1,FLOOR(($A10-1)/23,1)+1)&amp;INDEX('Serial Reference'!$A$8:$W$8,1,MOD($A10-1,23)+1)&amp;TEXT(AP$2+FLOOR((AP$2-1)/9,1),"000"),"")</f>
        <v>AH045</v>
      </c>
      <c r="AQ10" s="22" t="str">
        <f>IF(INDEX('Shot Map'!$B$6:$V$26,CEILING($A10/5,1),CEILING(AQ$2/5,1))=1,INDEX('Serial Reference'!$A$8:$W$8,1,FLOOR(($A10-1)/23,1)+1)&amp;INDEX('Serial Reference'!$A$8:$W$8,1,MOD($A10-1,23)+1)&amp;TEXT(AQ$2+FLOOR((AQ$2-1)/9,1),"000"),"")</f>
        <v>AH046</v>
      </c>
      <c r="AR10" s="22" t="str">
        <f>IF(INDEX('Shot Map'!$B$6:$V$26,CEILING($A10/5,1),CEILING(AR$2/5,1))=1,INDEX('Serial Reference'!$A$8:$W$8,1,FLOOR(($A10-1)/23,1)+1)&amp;INDEX('Serial Reference'!$A$8:$W$8,1,MOD($A10-1,23)+1)&amp;TEXT(AR$2+FLOOR((AR$2-1)/9,1),"000"),"")</f>
        <v>AH047</v>
      </c>
      <c r="AS10" s="22" t="str">
        <f>IF(INDEX('Shot Map'!$B$6:$V$26,CEILING($A10/5,1),CEILING(AS$2/5,1))=1,INDEX('Serial Reference'!$A$8:$W$8,1,FLOOR(($A10-1)/23,1)+1)&amp;INDEX('Serial Reference'!$A$8:$W$8,1,MOD($A10-1,23)+1)&amp;TEXT(AS$2+FLOOR((AS$2-1)/9,1),"000"),"")</f>
        <v>AH048</v>
      </c>
      <c r="AT10" s="23" t="str">
        <f>IF(INDEX('Shot Map'!$B$6:$V$26,CEILING($A10/5,1),CEILING(AT$2/5,1))=1,INDEX('Serial Reference'!$A$8:$W$8,1,FLOOR(($A10-1)/23,1)+1)&amp;INDEX('Serial Reference'!$A$8:$W$8,1,MOD($A10-1,23)+1)&amp;TEXT(AT$2+FLOOR((AT$2-1)/9,1),"000"),"")</f>
        <v>AH049</v>
      </c>
      <c r="AU10" s="21" t="str">
        <f>IF(INDEX('Shot Map'!$B$6:$V$26,CEILING($A10/5,1),CEILING(AU$2/5,1))=1,INDEX('Serial Reference'!$A$8:$W$8,1,FLOOR(($A10-1)/23,1)+1)&amp;INDEX('Serial Reference'!$A$8:$W$8,1,MOD($A10-1,23)+1)&amp;TEXT(AU$2+FLOOR((AU$2-1)/9,1),"000"),"")</f>
        <v>AH051</v>
      </c>
      <c r="AV10" s="22" t="str">
        <f>IF(INDEX('Shot Map'!$B$6:$V$26,CEILING($A10/5,1),CEILING(AV$2/5,1))=1,INDEX('Serial Reference'!$A$8:$W$8,1,FLOOR(($A10-1)/23,1)+1)&amp;INDEX('Serial Reference'!$A$8:$W$8,1,MOD($A10-1,23)+1)&amp;TEXT(AV$2+FLOOR((AV$2-1)/9,1),"000"),"")</f>
        <v>AH052</v>
      </c>
      <c r="AW10" s="22" t="str">
        <f>IF(INDEX('Shot Map'!$B$6:$V$26,CEILING($A10/5,1),CEILING(AW$2/5,1))=1,INDEX('Serial Reference'!$A$8:$W$8,1,FLOOR(($A10-1)/23,1)+1)&amp;INDEX('Serial Reference'!$A$8:$W$8,1,MOD($A10-1,23)+1)&amp;TEXT(AW$2+FLOOR((AW$2-1)/9,1),"000"),"")</f>
        <v>AH053</v>
      </c>
      <c r="AX10" s="22" t="str">
        <f>IF(INDEX('Shot Map'!$B$6:$V$26,CEILING($A10/5,1),CEILING(AX$2/5,1))=1,INDEX('Serial Reference'!$A$8:$W$8,1,FLOOR(($A10-1)/23,1)+1)&amp;INDEX('Serial Reference'!$A$8:$W$8,1,MOD($A10-1,23)+1)&amp;TEXT(AX$2+FLOOR((AX$2-1)/9,1),"000"),"")</f>
        <v>AH054</v>
      </c>
      <c r="AY10" s="23" t="str">
        <f>IF(INDEX('Shot Map'!$B$6:$V$26,CEILING($A10/5,1),CEILING(AY$2/5,1))=1,INDEX('Serial Reference'!$A$8:$W$8,1,FLOOR(($A10-1)/23,1)+1)&amp;INDEX('Serial Reference'!$A$8:$W$8,1,MOD($A10-1,23)+1)&amp;TEXT(AY$2+FLOOR((AY$2-1)/9,1),"000"),"")</f>
        <v>AH055</v>
      </c>
      <c r="AZ10" s="21" t="str">
        <f>IF(INDEX('Shot Map'!$B$6:$V$26,CEILING($A10/5,1),CEILING(AZ$2/5,1))=1,INDEX('Serial Reference'!$A$8:$W$8,1,FLOOR(($A10-1)/23,1)+1)&amp;INDEX('Serial Reference'!$A$8:$W$8,1,MOD($A10-1,23)+1)&amp;TEXT(AZ$2+FLOOR((AZ$2-1)/9,1),"000"),"")</f>
        <v>AH056</v>
      </c>
      <c r="BA10" s="22" t="str">
        <f>IF(INDEX('Shot Map'!$B$6:$V$26,CEILING($A10/5,1),CEILING(BA$2/5,1))=1,INDEX('Serial Reference'!$A$8:$W$8,1,FLOOR(($A10-1)/23,1)+1)&amp;INDEX('Serial Reference'!$A$8:$W$8,1,MOD($A10-1,23)+1)&amp;TEXT(BA$2+FLOOR((BA$2-1)/9,1),"000"),"")</f>
        <v>AH057</v>
      </c>
      <c r="BB10" s="22" t="str">
        <f>IF(INDEX('Shot Map'!$B$6:$V$26,CEILING($A10/5,1),CEILING(BB$2/5,1))=1,INDEX('Serial Reference'!$A$8:$W$8,1,FLOOR(($A10-1)/23,1)+1)&amp;INDEX('Serial Reference'!$A$8:$W$8,1,MOD($A10-1,23)+1)&amp;TEXT(BB$2+FLOOR((BB$2-1)/9,1),"000"),"")</f>
        <v>AH058</v>
      </c>
      <c r="BC10" s="22" t="str">
        <f>IF(INDEX('Shot Map'!$B$6:$V$26,CEILING($A10/5,1),CEILING(BC$2/5,1))=1,INDEX('Serial Reference'!$A$8:$W$8,1,FLOOR(($A10-1)/23,1)+1)&amp;INDEX('Serial Reference'!$A$8:$W$8,1,MOD($A10-1,23)+1)&amp;TEXT(BC$2+FLOOR((BC$2-1)/9,1),"000"),"")</f>
        <v>AH059</v>
      </c>
      <c r="BD10" s="23" t="str">
        <f>IF(INDEX('Shot Map'!$B$6:$V$26,CEILING($A10/5,1),CEILING(BD$2/5,1))=1,INDEX('Serial Reference'!$A$8:$W$8,1,FLOOR(($A10-1)/23,1)+1)&amp;INDEX('Serial Reference'!$A$8:$W$8,1,MOD($A10-1,23)+1)&amp;TEXT(BD$2+FLOOR((BD$2-1)/9,1),"000"),"")</f>
        <v>AH061</v>
      </c>
      <c r="BE10" s="21" t="str">
        <f>IF(INDEX('Shot Map'!$B$6:$V$26,CEILING($A10/5,1),CEILING(BE$2/5,1))=1,INDEX('Serial Reference'!$A$8:$W$8,1,FLOOR(($A10-1)/23,1)+1)&amp;INDEX('Serial Reference'!$A$8:$W$8,1,MOD($A10-1,23)+1)&amp;TEXT(BE$2+FLOOR((BE$2-1)/9,1),"000"),"")</f>
        <v>AH062</v>
      </c>
      <c r="BF10" s="22" t="str">
        <f>IF(INDEX('Shot Map'!$B$6:$V$26,CEILING($A10/5,1),CEILING(BF$2/5,1))=1,INDEX('Serial Reference'!$A$8:$W$8,1,FLOOR(($A10-1)/23,1)+1)&amp;INDEX('Serial Reference'!$A$8:$W$8,1,MOD($A10-1,23)+1)&amp;TEXT(BF$2+FLOOR((BF$2-1)/9,1),"000"),"")</f>
        <v>AH063</v>
      </c>
      <c r="BG10" s="22" t="str">
        <f>IF(INDEX('Shot Map'!$B$6:$V$26,CEILING($A10/5,1),CEILING(BG$2/5,1))=1,INDEX('Serial Reference'!$A$8:$W$8,1,FLOOR(($A10-1)/23,1)+1)&amp;INDEX('Serial Reference'!$A$8:$W$8,1,MOD($A10-1,23)+1)&amp;TEXT(BG$2+FLOOR((BG$2-1)/9,1),"000"),"")</f>
        <v>AH064</v>
      </c>
      <c r="BH10" s="22" t="str">
        <f>IF(INDEX('Shot Map'!$B$6:$V$26,CEILING($A10/5,1),CEILING(BH$2/5,1))=1,INDEX('Serial Reference'!$A$8:$W$8,1,FLOOR(($A10-1)/23,1)+1)&amp;INDEX('Serial Reference'!$A$8:$W$8,1,MOD($A10-1,23)+1)&amp;TEXT(BH$2+FLOOR((BH$2-1)/9,1),"000"),"")</f>
        <v>AH065</v>
      </c>
      <c r="BI10" s="23" t="str">
        <f>IF(INDEX('Shot Map'!$B$6:$V$26,CEILING($A10/5,1),CEILING(BI$2/5,1))=1,INDEX('Serial Reference'!$A$8:$W$8,1,FLOOR(($A10-1)/23,1)+1)&amp;INDEX('Serial Reference'!$A$8:$W$8,1,MOD($A10-1,23)+1)&amp;TEXT(BI$2+FLOOR((BI$2-1)/9,1),"000"),"")</f>
        <v>AH066</v>
      </c>
      <c r="BJ10" s="21" t="str">
        <f>IF(INDEX('Shot Map'!$B$6:$V$26,CEILING($A10/5,1),CEILING(BJ$2/5,1))=1,INDEX('Serial Reference'!$A$8:$W$8,1,FLOOR(($A10-1)/23,1)+1)&amp;INDEX('Serial Reference'!$A$8:$W$8,1,MOD($A10-1,23)+1)&amp;TEXT(BJ$2+FLOOR((BJ$2-1)/9,1),"000"),"")</f>
        <v>AH067</v>
      </c>
      <c r="BK10" s="22" t="str">
        <f>IF(INDEX('Shot Map'!$B$6:$V$26,CEILING($A10/5,1),CEILING(BK$2/5,1))=1,INDEX('Serial Reference'!$A$8:$W$8,1,FLOOR(($A10-1)/23,1)+1)&amp;INDEX('Serial Reference'!$A$8:$W$8,1,MOD($A10-1,23)+1)&amp;TEXT(BK$2+FLOOR((BK$2-1)/9,1),"000"),"")</f>
        <v>AH068</v>
      </c>
      <c r="BL10" s="22" t="str">
        <f>IF(INDEX('Shot Map'!$B$6:$V$26,CEILING($A10/5,1),CEILING(BL$2/5,1))=1,INDEX('Serial Reference'!$A$8:$W$8,1,FLOOR(($A10-1)/23,1)+1)&amp;INDEX('Serial Reference'!$A$8:$W$8,1,MOD($A10-1,23)+1)&amp;TEXT(BL$2+FLOOR((BL$2-1)/9,1),"000"),"")</f>
        <v>AH069</v>
      </c>
      <c r="BM10" s="22" t="str">
        <f>IF(INDEX('Shot Map'!$B$6:$V$26,CEILING($A10/5,1),CEILING(BM$2/5,1))=1,INDEX('Serial Reference'!$A$8:$W$8,1,FLOOR(($A10-1)/23,1)+1)&amp;INDEX('Serial Reference'!$A$8:$W$8,1,MOD($A10-1,23)+1)&amp;TEXT(BM$2+FLOOR((BM$2-1)/9,1),"000"),"")</f>
        <v>AH071</v>
      </c>
      <c r="BN10" s="23" t="str">
        <f>IF(INDEX('Shot Map'!$B$6:$V$26,CEILING($A10/5,1),CEILING(BN$2/5,1))=1,INDEX('Serial Reference'!$A$8:$W$8,1,FLOOR(($A10-1)/23,1)+1)&amp;INDEX('Serial Reference'!$A$8:$W$8,1,MOD($A10-1,23)+1)&amp;TEXT(BN$2+FLOOR((BN$2-1)/9,1),"000"),"")</f>
        <v>AH072</v>
      </c>
      <c r="BO10" s="21" t="str">
        <f>IF(INDEX('Shot Map'!$B$6:$V$26,CEILING($A10/5,1),CEILING(BO$2/5,1))=1,INDEX('Serial Reference'!$A$8:$W$8,1,FLOOR(($A10-1)/23,1)+1)&amp;INDEX('Serial Reference'!$A$8:$W$8,1,MOD($A10-1,23)+1)&amp;TEXT(BO$2+FLOOR((BO$2-1)/9,1),"000"),"")</f>
        <v>AH073</v>
      </c>
      <c r="BP10" s="22" t="str">
        <f>IF(INDEX('Shot Map'!$B$6:$V$26,CEILING($A10/5,1),CEILING(BP$2/5,1))=1,INDEX('Serial Reference'!$A$8:$W$8,1,FLOOR(($A10-1)/23,1)+1)&amp;INDEX('Serial Reference'!$A$8:$W$8,1,MOD($A10-1,23)+1)&amp;TEXT(BP$2+FLOOR((BP$2-1)/9,1),"000"),"")</f>
        <v>AH074</v>
      </c>
      <c r="BQ10" s="22" t="str">
        <f>IF(INDEX('Shot Map'!$B$6:$V$26,CEILING($A10/5,1),CEILING(BQ$2/5,1))=1,INDEX('Serial Reference'!$A$8:$W$8,1,FLOOR(($A10-1)/23,1)+1)&amp;INDEX('Serial Reference'!$A$8:$W$8,1,MOD($A10-1,23)+1)&amp;TEXT(BQ$2+FLOOR((BQ$2-1)/9,1),"000"),"")</f>
        <v>AH075</v>
      </c>
      <c r="BR10" s="22" t="str">
        <f>IF(INDEX('Shot Map'!$B$6:$V$26,CEILING($A10/5,1),CEILING(BR$2/5,1))=1,INDEX('Serial Reference'!$A$8:$W$8,1,FLOOR(($A10-1)/23,1)+1)&amp;INDEX('Serial Reference'!$A$8:$W$8,1,MOD($A10-1,23)+1)&amp;TEXT(BR$2+FLOOR((BR$2-1)/9,1),"000"),"")</f>
        <v>AH076</v>
      </c>
      <c r="BS10" s="23" t="str">
        <f>IF(INDEX('Shot Map'!$B$6:$V$26,CEILING($A10/5,1),CEILING(BS$2/5,1))=1,INDEX('Serial Reference'!$A$8:$W$8,1,FLOOR(($A10-1)/23,1)+1)&amp;INDEX('Serial Reference'!$A$8:$W$8,1,MOD($A10-1,23)+1)&amp;TEXT(BS$2+FLOOR((BS$2-1)/9,1),"000"),"")</f>
        <v>AH077</v>
      </c>
      <c r="BT10" s="21" t="str">
        <f>IF(INDEX('Shot Map'!$B$6:$V$26,CEILING($A10/5,1),CEILING(BT$2/5,1))=1,INDEX('Serial Reference'!$A$8:$W$8,1,FLOOR(($A10-1)/23,1)+1)&amp;INDEX('Serial Reference'!$A$8:$W$8,1,MOD($A10-1,23)+1)&amp;TEXT(BT$2+FLOOR((BT$2-1)/9,1),"000"),"")</f>
        <v>AH078</v>
      </c>
      <c r="BU10" s="22" t="str">
        <f>IF(INDEX('Shot Map'!$B$6:$V$26,CEILING($A10/5,1),CEILING(BU$2/5,1))=1,INDEX('Serial Reference'!$A$8:$W$8,1,FLOOR(($A10-1)/23,1)+1)&amp;INDEX('Serial Reference'!$A$8:$W$8,1,MOD($A10-1,23)+1)&amp;TEXT(BU$2+FLOOR((BU$2-1)/9,1),"000"),"")</f>
        <v>AH079</v>
      </c>
      <c r="BV10" s="22" t="str">
        <f>IF(INDEX('Shot Map'!$B$6:$V$26,CEILING($A10/5,1),CEILING(BV$2/5,1))=1,INDEX('Serial Reference'!$A$8:$W$8,1,FLOOR(($A10-1)/23,1)+1)&amp;INDEX('Serial Reference'!$A$8:$W$8,1,MOD($A10-1,23)+1)&amp;TEXT(BV$2+FLOOR((BV$2-1)/9,1),"000"),"")</f>
        <v>AH081</v>
      </c>
      <c r="BW10" s="22" t="str">
        <f>IF(INDEX('Shot Map'!$B$6:$V$26,CEILING($A10/5,1),CEILING(BW$2/5,1))=1,INDEX('Serial Reference'!$A$8:$W$8,1,FLOOR(($A10-1)/23,1)+1)&amp;INDEX('Serial Reference'!$A$8:$W$8,1,MOD($A10-1,23)+1)&amp;TEXT(BW$2+FLOOR((BW$2-1)/9,1),"000"),"")</f>
        <v>AH082</v>
      </c>
      <c r="BX10" s="23" t="str">
        <f>IF(INDEX('Shot Map'!$B$6:$V$26,CEILING($A10/5,1),CEILING(BX$2/5,1))=1,INDEX('Serial Reference'!$A$8:$W$8,1,FLOOR(($A10-1)/23,1)+1)&amp;INDEX('Serial Reference'!$A$8:$W$8,1,MOD($A10-1,23)+1)&amp;TEXT(BX$2+FLOOR((BX$2-1)/9,1),"000"),"")</f>
        <v>AH083</v>
      </c>
      <c r="BY10" s="21" t="str">
        <f>IF(INDEX('Shot Map'!$B$6:$V$26,CEILING($A10/5,1),CEILING(BY$2/5,1))=1,INDEX('Serial Reference'!$A$8:$W$8,1,FLOOR(($A10-1)/23,1)+1)&amp;INDEX('Serial Reference'!$A$8:$W$8,1,MOD($A10-1,23)+1)&amp;TEXT(BY$2+FLOOR((BY$2-1)/9,1),"000"),"")</f>
        <v/>
      </c>
      <c r="BZ10" s="22" t="str">
        <f>IF(INDEX('Shot Map'!$B$6:$V$26,CEILING($A10/5,1),CEILING(BZ$2/5,1))=1,INDEX('Serial Reference'!$A$8:$W$8,1,FLOOR(($A10-1)/23,1)+1)&amp;INDEX('Serial Reference'!$A$8:$W$8,1,MOD($A10-1,23)+1)&amp;TEXT(BZ$2+FLOOR((BZ$2-1)/9,1),"000"),"")</f>
        <v/>
      </c>
      <c r="CA10" s="22" t="str">
        <f>IF(INDEX('Shot Map'!$B$6:$V$26,CEILING($A10/5,1),CEILING(CA$2/5,1))=1,INDEX('Serial Reference'!$A$8:$W$8,1,FLOOR(($A10-1)/23,1)+1)&amp;INDEX('Serial Reference'!$A$8:$W$8,1,MOD($A10-1,23)+1)&amp;TEXT(CA$2+FLOOR((CA$2-1)/9,1),"000"),"")</f>
        <v/>
      </c>
      <c r="CB10" s="22" t="str">
        <f>IF(INDEX('Shot Map'!$B$6:$V$26,CEILING($A10/5,1),CEILING(CB$2/5,1))=1,INDEX('Serial Reference'!$A$8:$W$8,1,FLOOR(($A10-1)/23,1)+1)&amp;INDEX('Serial Reference'!$A$8:$W$8,1,MOD($A10-1,23)+1)&amp;TEXT(CB$2+FLOOR((CB$2-1)/9,1),"000"),"")</f>
        <v/>
      </c>
      <c r="CC10" s="23" t="str">
        <f>IF(INDEX('Shot Map'!$B$6:$V$26,CEILING($A10/5,1),CEILING(CC$2/5,1))=1,INDEX('Serial Reference'!$A$8:$W$8,1,FLOOR(($A10-1)/23,1)+1)&amp;INDEX('Serial Reference'!$A$8:$W$8,1,MOD($A10-1,23)+1)&amp;TEXT(CC$2+FLOOR((CC$2-1)/9,1),"000"),"")</f>
        <v/>
      </c>
      <c r="CD10" s="21" t="str">
        <f>IF(INDEX('Shot Map'!$B$6:$V$26,CEILING($A10/5,1),CEILING(CD$2/5,1))=1,INDEX('Serial Reference'!$A$8:$W$8,1,FLOOR(($A10-1)/23,1)+1)&amp;INDEX('Serial Reference'!$A$8:$W$8,1,MOD($A10-1,23)+1)&amp;TEXT(CD$2+FLOOR((CD$2-1)/9,1),"000"),"")</f>
        <v/>
      </c>
      <c r="CE10" s="22" t="str">
        <f>IF(INDEX('Shot Map'!$B$6:$V$26,CEILING($A10/5,1),CEILING(CE$2/5,1))=1,INDEX('Serial Reference'!$A$8:$W$8,1,FLOOR(($A10-1)/23,1)+1)&amp;INDEX('Serial Reference'!$A$8:$W$8,1,MOD($A10-1,23)+1)&amp;TEXT(CE$2+FLOOR((CE$2-1)/9,1),"000"),"")</f>
        <v/>
      </c>
      <c r="CF10" s="22" t="str">
        <f>IF(INDEX('Shot Map'!$B$6:$V$26,CEILING($A10/5,1),CEILING(CF$2/5,1))=1,INDEX('Serial Reference'!$A$8:$W$8,1,FLOOR(($A10-1)/23,1)+1)&amp;INDEX('Serial Reference'!$A$8:$W$8,1,MOD($A10-1,23)+1)&amp;TEXT(CF$2+FLOOR((CF$2-1)/9,1),"000"),"")</f>
        <v/>
      </c>
      <c r="CG10" s="22" t="str">
        <f>IF(INDEX('Shot Map'!$B$6:$V$26,CEILING($A10/5,1),CEILING(CG$2/5,1))=1,INDEX('Serial Reference'!$A$8:$W$8,1,FLOOR(($A10-1)/23,1)+1)&amp;INDEX('Serial Reference'!$A$8:$W$8,1,MOD($A10-1,23)+1)&amp;TEXT(CG$2+FLOOR((CG$2-1)/9,1),"000"),"")</f>
        <v/>
      </c>
      <c r="CH10" s="23" t="str">
        <f>IF(INDEX('Shot Map'!$B$6:$V$26,CEILING($A10/5,1),CEILING(CH$2/5,1))=1,INDEX('Serial Reference'!$A$8:$W$8,1,FLOOR(($A10-1)/23,1)+1)&amp;INDEX('Serial Reference'!$A$8:$W$8,1,MOD($A10-1,23)+1)&amp;TEXT(CH$2+FLOOR((CH$2-1)/9,1),"000"),"")</f>
        <v/>
      </c>
      <c r="CI10" s="21" t="str">
        <f>IF(INDEX('Shot Map'!$B$6:$V$26,CEILING($A10/5,1),CEILING(CI$2/5,1))=1,INDEX('Serial Reference'!$A$8:$W$8,1,FLOOR(($A10-1)/23,1)+1)&amp;INDEX('Serial Reference'!$A$8:$W$8,1,MOD($A10-1,23)+1)&amp;TEXT(CI$2+FLOOR((CI$2-1)/9,1),"000"),"")</f>
        <v/>
      </c>
      <c r="CJ10" s="22" t="str">
        <f>IF(INDEX('Shot Map'!$B$6:$V$26,CEILING($A10/5,1),CEILING(CJ$2/5,1))=1,INDEX('Serial Reference'!$A$8:$W$8,1,FLOOR(($A10-1)/23,1)+1)&amp;INDEX('Serial Reference'!$A$8:$W$8,1,MOD($A10-1,23)+1)&amp;TEXT(CJ$2+FLOOR((CJ$2-1)/9,1),"000"),"")</f>
        <v/>
      </c>
      <c r="CK10" s="22" t="str">
        <f>IF(INDEX('Shot Map'!$B$6:$V$26,CEILING($A10/5,1),CEILING(CK$2/5,1))=1,INDEX('Serial Reference'!$A$8:$W$8,1,FLOOR(($A10-1)/23,1)+1)&amp;INDEX('Serial Reference'!$A$8:$W$8,1,MOD($A10-1,23)+1)&amp;TEXT(CK$2+FLOOR((CK$2-1)/9,1),"000"),"")</f>
        <v/>
      </c>
      <c r="CL10" s="22" t="str">
        <f>IF(INDEX('Shot Map'!$B$6:$V$26,CEILING($A10/5,1),CEILING(CL$2/5,1))=1,INDEX('Serial Reference'!$A$8:$W$8,1,FLOOR(($A10-1)/23,1)+1)&amp;INDEX('Serial Reference'!$A$8:$W$8,1,MOD($A10-1,23)+1)&amp;TEXT(CL$2+FLOOR((CL$2-1)/9,1),"000"),"")</f>
        <v/>
      </c>
      <c r="CM10" s="23" t="str">
        <f>IF(INDEX('Shot Map'!$B$6:$V$26,CEILING($A10/5,1),CEILING(CM$2/5,1))=1,INDEX('Serial Reference'!$A$8:$W$8,1,FLOOR(($A10-1)/23,1)+1)&amp;INDEX('Serial Reference'!$A$8:$W$8,1,MOD($A10-1,23)+1)&amp;TEXT(CM$2+FLOOR((CM$2-1)/9,1),"000"),"")</f>
        <v/>
      </c>
      <c r="CN10" s="21" t="str">
        <f>IF(INDEX('Shot Map'!$B$6:$V$26,CEILING($A10/5,1),CEILING(CN$2/5,1))=1,INDEX('Serial Reference'!$A$8:$W$8,1,FLOOR(($A10-1)/23,1)+1)&amp;INDEX('Serial Reference'!$A$8:$W$8,1,MOD($A10-1,23)+1)&amp;TEXT(CN$2+FLOOR((CN$2-1)/9,1),"000"),"")</f>
        <v/>
      </c>
      <c r="CO10" s="22" t="str">
        <f>IF(INDEX('Shot Map'!$B$6:$V$26,CEILING($A10/5,1),CEILING(CO$2/5,1))=1,INDEX('Serial Reference'!$A$8:$W$8,1,FLOOR(($A10-1)/23,1)+1)&amp;INDEX('Serial Reference'!$A$8:$W$8,1,MOD($A10-1,23)+1)&amp;TEXT(CO$2+FLOOR((CO$2-1)/9,1),"000"),"")</f>
        <v/>
      </c>
      <c r="CP10" s="22" t="str">
        <f>IF(INDEX('Shot Map'!$B$6:$V$26,CEILING($A10/5,1),CEILING(CP$2/5,1))=1,INDEX('Serial Reference'!$A$8:$W$8,1,FLOOR(($A10-1)/23,1)+1)&amp;INDEX('Serial Reference'!$A$8:$W$8,1,MOD($A10-1,23)+1)&amp;TEXT(CP$2+FLOOR((CP$2-1)/9,1),"000"),"")</f>
        <v/>
      </c>
      <c r="CQ10" s="22" t="str">
        <f>IF(INDEX('Shot Map'!$B$6:$V$26,CEILING($A10/5,1),CEILING(CQ$2/5,1))=1,INDEX('Serial Reference'!$A$8:$W$8,1,FLOOR(($A10-1)/23,1)+1)&amp;INDEX('Serial Reference'!$A$8:$W$8,1,MOD($A10-1,23)+1)&amp;TEXT(CQ$2+FLOOR((CQ$2-1)/9,1),"000"),"")</f>
        <v/>
      </c>
      <c r="CR10" s="23" t="str">
        <f>IF(INDEX('Shot Map'!$B$6:$V$26,CEILING($A10/5,1),CEILING(CR$2/5,1))=1,INDEX('Serial Reference'!$A$8:$W$8,1,FLOOR(($A10-1)/23,1)+1)&amp;INDEX('Serial Reference'!$A$8:$W$8,1,MOD($A10-1,23)+1)&amp;TEXT(CR$2+FLOOR((CR$2-1)/9,1),"000"),"")</f>
        <v/>
      </c>
      <c r="CS10" s="21" t="str">
        <f>IF(INDEX('Shot Map'!$B$6:$V$26,CEILING($A10/5,1),CEILING(CS$2/5,1))=1,INDEX('Serial Reference'!$A$8:$W$8,1,FLOOR(($A10-1)/23,1)+1)&amp;INDEX('Serial Reference'!$A$8:$W$8,1,MOD($A10-1,23)+1)&amp;TEXT(CS$2+FLOOR((CS$2-1)/9,1),"000"),"")</f>
        <v/>
      </c>
      <c r="CT10" s="22" t="str">
        <f>IF(INDEX('Shot Map'!$B$6:$V$26,CEILING($A10/5,1),CEILING(CT$2/5,1))=1,INDEX('Serial Reference'!$A$8:$W$8,1,FLOOR(($A10-1)/23,1)+1)&amp;INDEX('Serial Reference'!$A$8:$W$8,1,MOD($A10-1,23)+1)&amp;TEXT(CT$2+FLOOR((CT$2-1)/9,1),"000"),"")</f>
        <v/>
      </c>
      <c r="CU10" s="22" t="str">
        <f>IF(INDEX('Shot Map'!$B$6:$V$26,CEILING($A10/5,1),CEILING(CU$2/5,1))=1,INDEX('Serial Reference'!$A$8:$W$8,1,FLOOR(($A10-1)/23,1)+1)&amp;INDEX('Serial Reference'!$A$8:$W$8,1,MOD($A10-1,23)+1)&amp;TEXT(CU$2+FLOOR((CU$2-1)/9,1),"000"),"")</f>
        <v/>
      </c>
      <c r="CV10" s="22" t="str">
        <f>IF(INDEX('Shot Map'!$B$6:$V$26,CEILING($A10/5,1),CEILING(CV$2/5,1))=1,INDEX('Serial Reference'!$A$8:$W$8,1,FLOOR(($A10-1)/23,1)+1)&amp;INDEX('Serial Reference'!$A$8:$W$8,1,MOD($A10-1,23)+1)&amp;TEXT(CV$2+FLOOR((CV$2-1)/9,1),"000"),"")</f>
        <v/>
      </c>
      <c r="CW10" s="23" t="str">
        <f>IF(INDEX('Shot Map'!$B$6:$V$26,CEILING($A10/5,1),CEILING(CW$2/5,1))=1,INDEX('Serial Reference'!$A$8:$W$8,1,FLOOR(($A10-1)/23,1)+1)&amp;INDEX('Serial Reference'!$A$8:$W$8,1,MOD($A10-1,23)+1)&amp;TEXT(CW$2+FLOOR((CW$2-1)/9,1),"000"),"")</f>
        <v/>
      </c>
      <c r="CX10" s="21" t="str">
        <f>IF(INDEX('Shot Map'!$B$6:$V$26,CEILING($A10/5,1),CEILING(CX$2/5,1))=1,INDEX('Serial Reference'!$A$8:$W$8,1,FLOOR(($A10-1)/23,1)+1)&amp;INDEX('Serial Reference'!$A$8:$W$8,1,MOD($A10-1,23)+1)&amp;TEXT(CX$2+FLOOR((CX$2-1)/9,1),"000"),"")</f>
        <v/>
      </c>
      <c r="CY10" s="22" t="str">
        <f>IF(INDEX('Shot Map'!$B$6:$V$26,CEILING($A10/5,1),CEILING(CY$2/5,1))=1,INDEX('Serial Reference'!$A$8:$W$8,1,FLOOR(($A10-1)/23,1)+1)&amp;INDEX('Serial Reference'!$A$8:$W$8,1,MOD($A10-1,23)+1)&amp;TEXT(CY$2+FLOOR((CY$2-1)/9,1),"000"),"")</f>
        <v/>
      </c>
      <c r="CZ10" s="22" t="str">
        <f>IF(INDEX('Shot Map'!$B$6:$V$26,CEILING($A10/5,1),CEILING(CZ$2/5,1))=1,INDEX('Serial Reference'!$A$8:$W$8,1,FLOOR(($A10-1)/23,1)+1)&amp;INDEX('Serial Reference'!$A$8:$W$8,1,MOD($A10-1,23)+1)&amp;TEXT(CZ$2+FLOOR((CZ$2-1)/9,1),"000"),"")</f>
        <v/>
      </c>
      <c r="DA10" s="22" t="str">
        <f>IF(INDEX('Shot Map'!$B$6:$V$26,CEILING($A10/5,1),CEILING(DA$2/5,1))=1,INDEX('Serial Reference'!$A$8:$W$8,1,FLOOR(($A10-1)/23,1)+1)&amp;INDEX('Serial Reference'!$A$8:$W$8,1,MOD($A10-1,23)+1)&amp;TEXT(DA$2+FLOOR((DA$2-1)/9,1),"000"),"")</f>
        <v/>
      </c>
      <c r="DB10" s="23" t="str">
        <f>IF(INDEX('Shot Map'!$B$6:$V$26,CEILING($A10/5,1),CEILING(DB$2/5,1))=1,INDEX('Serial Reference'!$A$8:$W$8,1,FLOOR(($A10-1)/23,1)+1)&amp;INDEX('Serial Reference'!$A$8:$W$8,1,MOD($A10-1,23)+1)&amp;TEXT(DB$2+FLOOR((DB$2-1)/9,1),"000"),"")</f>
        <v/>
      </c>
    </row>
    <row r="11" spans="1:106" ht="12.75" customHeight="1" x14ac:dyDescent="0.25">
      <c r="A11" s="17">
        <v>9</v>
      </c>
      <c r="B11" s="21" t="str">
        <f>IF(INDEX('Shot Map'!$B$6:$V$26,CEILING($A11/5,1),CEILING(B$2/5,1))=1,INDEX('Serial Reference'!$A$8:$W$8,1,FLOOR(($A11-1)/23,1)+1)&amp;INDEX('Serial Reference'!$A$8:$W$8,1,MOD($A11-1,23)+1)&amp;TEXT(B$2+FLOOR((B$2-1)/9,1),"000"),"")</f>
        <v/>
      </c>
      <c r="C11" s="22" t="str">
        <f>IF(INDEX('Shot Map'!$B$6:$V$26,CEILING($A11/5,1),CEILING(C$2/5,1))=1,INDEX('Serial Reference'!$A$8:$W$8,1,FLOOR(($A11-1)/23,1)+1)&amp;INDEX('Serial Reference'!$A$8:$W$8,1,MOD($A11-1,23)+1)&amp;TEXT(C$2+FLOOR((C$2-1)/9,1),"000"),"")</f>
        <v/>
      </c>
      <c r="D11" s="22" t="str">
        <f>IF(INDEX('Shot Map'!$B$6:$V$26,CEILING($A11/5,1),CEILING(D$2/5,1))=1,INDEX('Serial Reference'!$A$8:$W$8,1,FLOOR(($A11-1)/23,1)+1)&amp;INDEX('Serial Reference'!$A$8:$W$8,1,MOD($A11-1,23)+1)&amp;TEXT(D$2+FLOOR((D$2-1)/9,1),"000"),"")</f>
        <v/>
      </c>
      <c r="E11" s="22" t="str">
        <f>IF(INDEX('Shot Map'!$B$6:$V$26,CEILING($A11/5,1),CEILING(E$2/5,1))=1,INDEX('Serial Reference'!$A$8:$W$8,1,FLOOR(($A11-1)/23,1)+1)&amp;INDEX('Serial Reference'!$A$8:$W$8,1,MOD($A11-1,23)+1)&amp;TEXT(E$2+FLOOR((E$2-1)/9,1),"000"),"")</f>
        <v/>
      </c>
      <c r="F11" s="23" t="str">
        <f>IF(INDEX('Shot Map'!$B$6:$V$26,CEILING($A11/5,1),CEILING(F$2/5,1))=1,INDEX('Serial Reference'!$A$8:$W$8,1,FLOOR(($A11-1)/23,1)+1)&amp;INDEX('Serial Reference'!$A$8:$W$8,1,MOD($A11-1,23)+1)&amp;TEXT(F$2+FLOOR((F$2-1)/9,1),"000"),"")</f>
        <v/>
      </c>
      <c r="G11" s="21" t="str">
        <f>IF(INDEX('Shot Map'!$B$6:$V$26,CEILING($A11/5,1),CEILING(G$2/5,1))=1,INDEX('Serial Reference'!$A$8:$W$8,1,FLOOR(($A11-1)/23,1)+1)&amp;INDEX('Serial Reference'!$A$8:$W$8,1,MOD($A11-1,23)+1)&amp;TEXT(G$2+FLOOR((G$2-1)/9,1),"000"),"")</f>
        <v/>
      </c>
      <c r="H11" s="22" t="str">
        <f>IF(INDEX('Shot Map'!$B$6:$V$26,CEILING($A11/5,1),CEILING(H$2/5,1))=1,INDEX('Serial Reference'!$A$8:$W$8,1,FLOOR(($A11-1)/23,1)+1)&amp;INDEX('Serial Reference'!$A$8:$W$8,1,MOD($A11-1,23)+1)&amp;TEXT(H$2+FLOOR((H$2-1)/9,1),"000"),"")</f>
        <v/>
      </c>
      <c r="I11" s="22" t="str">
        <f>IF(INDEX('Shot Map'!$B$6:$V$26,CEILING($A11/5,1),CEILING(I$2/5,1))=1,INDEX('Serial Reference'!$A$8:$W$8,1,FLOOR(($A11-1)/23,1)+1)&amp;INDEX('Serial Reference'!$A$8:$W$8,1,MOD($A11-1,23)+1)&amp;TEXT(I$2+FLOOR((I$2-1)/9,1),"000"),"")</f>
        <v/>
      </c>
      <c r="J11" s="22" t="str">
        <f>IF(INDEX('Shot Map'!$B$6:$V$26,CEILING($A11/5,1),CEILING(J$2/5,1))=1,INDEX('Serial Reference'!$A$8:$W$8,1,FLOOR(($A11-1)/23,1)+1)&amp;INDEX('Serial Reference'!$A$8:$W$8,1,MOD($A11-1,23)+1)&amp;TEXT(J$2+FLOOR((J$2-1)/9,1),"000"),"")</f>
        <v/>
      </c>
      <c r="K11" s="23" t="str">
        <f>IF(INDEX('Shot Map'!$B$6:$V$26,CEILING($A11/5,1),CEILING(K$2/5,1))=1,INDEX('Serial Reference'!$A$8:$W$8,1,FLOOR(($A11-1)/23,1)+1)&amp;INDEX('Serial Reference'!$A$8:$W$8,1,MOD($A11-1,23)+1)&amp;TEXT(K$2+FLOOR((K$2-1)/9,1),"000"),"")</f>
        <v/>
      </c>
      <c r="L11" s="21" t="str">
        <f>IF(INDEX('Shot Map'!$B$6:$V$26,CEILING($A11/5,1),CEILING(L$2/5,1))=1,INDEX('Serial Reference'!$A$8:$W$8,1,FLOOR(($A11-1)/23,1)+1)&amp;INDEX('Serial Reference'!$A$8:$W$8,1,MOD($A11-1,23)+1)&amp;TEXT(L$2+FLOOR((L$2-1)/9,1),"000"),"")</f>
        <v/>
      </c>
      <c r="M11" s="22" t="str">
        <f>IF(INDEX('Shot Map'!$B$6:$V$26,CEILING($A11/5,1),CEILING(M$2/5,1))=1,INDEX('Serial Reference'!$A$8:$W$8,1,FLOOR(($A11-1)/23,1)+1)&amp;INDEX('Serial Reference'!$A$8:$W$8,1,MOD($A11-1,23)+1)&amp;TEXT(M$2+FLOOR((M$2-1)/9,1),"000"),"")</f>
        <v/>
      </c>
      <c r="N11" s="22" t="str">
        <f>IF(INDEX('Shot Map'!$B$6:$V$26,CEILING($A11/5,1),CEILING(N$2/5,1))=1,INDEX('Serial Reference'!$A$8:$W$8,1,FLOOR(($A11-1)/23,1)+1)&amp;INDEX('Serial Reference'!$A$8:$W$8,1,MOD($A11-1,23)+1)&amp;TEXT(N$2+FLOOR((N$2-1)/9,1),"000"),"")</f>
        <v/>
      </c>
      <c r="O11" s="22" t="str">
        <f>IF(INDEX('Shot Map'!$B$6:$V$26,CEILING($A11/5,1),CEILING(O$2/5,1))=1,INDEX('Serial Reference'!$A$8:$W$8,1,FLOOR(($A11-1)/23,1)+1)&amp;INDEX('Serial Reference'!$A$8:$W$8,1,MOD($A11-1,23)+1)&amp;TEXT(O$2+FLOOR((O$2-1)/9,1),"000"),"")</f>
        <v/>
      </c>
      <c r="P11" s="23" t="str">
        <f>IF(INDEX('Shot Map'!$B$6:$V$26,CEILING($A11/5,1),CEILING(P$2/5,1))=1,INDEX('Serial Reference'!$A$8:$W$8,1,FLOOR(($A11-1)/23,1)+1)&amp;INDEX('Serial Reference'!$A$8:$W$8,1,MOD($A11-1,23)+1)&amp;TEXT(P$2+FLOOR((P$2-1)/9,1),"000"),"")</f>
        <v/>
      </c>
      <c r="Q11" s="21" t="str">
        <f>IF(INDEX('Shot Map'!$B$6:$V$26,CEILING($A11/5,1),CEILING(Q$2/5,1))=1,INDEX('Serial Reference'!$A$8:$W$8,1,FLOOR(($A11-1)/23,1)+1)&amp;INDEX('Serial Reference'!$A$8:$W$8,1,MOD($A11-1,23)+1)&amp;TEXT(Q$2+FLOOR((Q$2-1)/9,1),"000"),"")</f>
        <v/>
      </c>
      <c r="R11" s="22" t="str">
        <f>IF(INDEX('Shot Map'!$B$6:$V$26,CEILING($A11/5,1),CEILING(R$2/5,1))=1,INDEX('Serial Reference'!$A$8:$W$8,1,FLOOR(($A11-1)/23,1)+1)&amp;INDEX('Serial Reference'!$A$8:$W$8,1,MOD($A11-1,23)+1)&amp;TEXT(R$2+FLOOR((R$2-1)/9,1),"000"),"")</f>
        <v/>
      </c>
      <c r="S11" s="22" t="str">
        <f>IF(INDEX('Shot Map'!$B$6:$V$26,CEILING($A11/5,1),CEILING(S$2/5,1))=1,INDEX('Serial Reference'!$A$8:$W$8,1,FLOOR(($A11-1)/23,1)+1)&amp;INDEX('Serial Reference'!$A$8:$W$8,1,MOD($A11-1,23)+1)&amp;TEXT(S$2+FLOOR((S$2-1)/9,1),"000"),"")</f>
        <v/>
      </c>
      <c r="T11" s="22" t="str">
        <f>IF(INDEX('Shot Map'!$B$6:$V$26,CEILING($A11/5,1),CEILING(T$2/5,1))=1,INDEX('Serial Reference'!$A$8:$W$8,1,FLOOR(($A11-1)/23,1)+1)&amp;INDEX('Serial Reference'!$A$8:$W$8,1,MOD($A11-1,23)+1)&amp;TEXT(T$2+FLOOR((T$2-1)/9,1),"000"),"")</f>
        <v/>
      </c>
      <c r="U11" s="23" t="str">
        <f>IF(INDEX('Shot Map'!$B$6:$V$26,CEILING($A11/5,1),CEILING(U$2/5,1))=1,INDEX('Serial Reference'!$A$8:$W$8,1,FLOOR(($A11-1)/23,1)+1)&amp;INDEX('Serial Reference'!$A$8:$W$8,1,MOD($A11-1,23)+1)&amp;TEXT(U$2+FLOOR((U$2-1)/9,1),"000"),"")</f>
        <v/>
      </c>
      <c r="V11" s="21" t="str">
        <f>IF(INDEX('Shot Map'!$B$6:$V$26,CEILING($A11/5,1),CEILING(V$2/5,1))=1,INDEX('Serial Reference'!$A$8:$W$8,1,FLOOR(($A11-1)/23,1)+1)&amp;INDEX('Serial Reference'!$A$8:$W$8,1,MOD($A11-1,23)+1)&amp;TEXT(V$2+FLOOR((V$2-1)/9,1),"000"),"")</f>
        <v/>
      </c>
      <c r="W11" s="22" t="str">
        <f>IF(INDEX('Shot Map'!$B$6:$V$26,CEILING($A11/5,1),CEILING(W$2/5,1))=1,INDEX('Serial Reference'!$A$8:$W$8,1,FLOOR(($A11-1)/23,1)+1)&amp;INDEX('Serial Reference'!$A$8:$W$8,1,MOD($A11-1,23)+1)&amp;TEXT(W$2+FLOOR((W$2-1)/9,1),"000"),"")</f>
        <v/>
      </c>
      <c r="X11" s="22" t="str">
        <f>IF(INDEX('Shot Map'!$B$6:$V$26,CEILING($A11/5,1),CEILING(X$2/5,1))=1,INDEX('Serial Reference'!$A$8:$W$8,1,FLOOR(($A11-1)/23,1)+1)&amp;INDEX('Serial Reference'!$A$8:$W$8,1,MOD($A11-1,23)+1)&amp;TEXT(X$2+FLOOR((X$2-1)/9,1),"000"),"")</f>
        <v/>
      </c>
      <c r="Y11" s="22" t="str">
        <f>IF(INDEX('Shot Map'!$B$6:$V$26,CEILING($A11/5,1),CEILING(Y$2/5,1))=1,INDEX('Serial Reference'!$A$8:$W$8,1,FLOOR(($A11-1)/23,1)+1)&amp;INDEX('Serial Reference'!$A$8:$W$8,1,MOD($A11-1,23)+1)&amp;TEXT(Y$2+FLOOR((Y$2-1)/9,1),"000"),"")</f>
        <v/>
      </c>
      <c r="Z11" s="23" t="str">
        <f>IF(INDEX('Shot Map'!$B$6:$V$26,CEILING($A11/5,1),CEILING(Z$2/5,1))=1,INDEX('Serial Reference'!$A$8:$W$8,1,FLOOR(($A11-1)/23,1)+1)&amp;INDEX('Serial Reference'!$A$8:$W$8,1,MOD($A11-1,23)+1)&amp;TEXT(Z$2+FLOOR((Z$2-1)/9,1),"000"),"")</f>
        <v/>
      </c>
      <c r="AA11" s="21" t="str">
        <f>IF(INDEX('Shot Map'!$B$6:$V$26,CEILING($A11/5,1),CEILING(AA$2/5,1))=1,INDEX('Serial Reference'!$A$8:$W$8,1,FLOOR(($A11-1)/23,1)+1)&amp;INDEX('Serial Reference'!$A$8:$W$8,1,MOD($A11-1,23)+1)&amp;TEXT(AA$2+FLOOR((AA$2-1)/9,1),"000"),"")</f>
        <v/>
      </c>
      <c r="AB11" s="22" t="str">
        <f>IF(INDEX('Shot Map'!$B$6:$V$26,CEILING($A11/5,1),CEILING(AB$2/5,1))=1,INDEX('Serial Reference'!$A$8:$W$8,1,FLOOR(($A11-1)/23,1)+1)&amp;INDEX('Serial Reference'!$A$8:$W$8,1,MOD($A11-1,23)+1)&amp;TEXT(AB$2+FLOOR((AB$2-1)/9,1),"000"),"")</f>
        <v/>
      </c>
      <c r="AC11" s="22" t="str">
        <f>IF(INDEX('Shot Map'!$B$6:$V$26,CEILING($A11/5,1),CEILING(AC$2/5,1))=1,INDEX('Serial Reference'!$A$8:$W$8,1,FLOOR(($A11-1)/23,1)+1)&amp;INDEX('Serial Reference'!$A$8:$W$8,1,MOD($A11-1,23)+1)&amp;TEXT(AC$2+FLOOR((AC$2-1)/9,1),"000"),"")</f>
        <v/>
      </c>
      <c r="AD11" s="22" t="str">
        <f>IF(INDEX('Shot Map'!$B$6:$V$26,CEILING($A11/5,1),CEILING(AD$2/5,1))=1,INDEX('Serial Reference'!$A$8:$W$8,1,FLOOR(($A11-1)/23,1)+1)&amp;INDEX('Serial Reference'!$A$8:$W$8,1,MOD($A11-1,23)+1)&amp;TEXT(AD$2+FLOOR((AD$2-1)/9,1),"000"),"")</f>
        <v/>
      </c>
      <c r="AE11" s="23" t="str">
        <f>IF(INDEX('Shot Map'!$B$6:$V$26,CEILING($A11/5,1),CEILING(AE$2/5,1))=1,INDEX('Serial Reference'!$A$8:$W$8,1,FLOOR(($A11-1)/23,1)+1)&amp;INDEX('Serial Reference'!$A$8:$W$8,1,MOD($A11-1,23)+1)&amp;TEXT(AE$2+FLOOR((AE$2-1)/9,1),"000"),"")</f>
        <v/>
      </c>
      <c r="AF11" s="21" t="str">
        <f>IF(INDEX('Shot Map'!$B$6:$V$26,CEILING($A11/5,1),CEILING(AF$2/5,1))=1,INDEX('Serial Reference'!$A$8:$W$8,1,FLOOR(($A11-1)/23,1)+1)&amp;INDEX('Serial Reference'!$A$8:$W$8,1,MOD($A11-1,23)+1)&amp;TEXT(AF$2+FLOOR((AF$2-1)/9,1),"000"),"")</f>
        <v>AJ034</v>
      </c>
      <c r="AG11" s="22" t="str">
        <f>IF(INDEX('Shot Map'!$B$6:$V$26,CEILING($A11/5,1),CEILING(AG$2/5,1))=1,INDEX('Serial Reference'!$A$8:$W$8,1,FLOOR(($A11-1)/23,1)+1)&amp;INDEX('Serial Reference'!$A$8:$W$8,1,MOD($A11-1,23)+1)&amp;TEXT(AG$2+FLOOR((AG$2-1)/9,1),"000"),"")</f>
        <v>AJ035</v>
      </c>
      <c r="AH11" s="22" t="str">
        <f>IF(INDEX('Shot Map'!$B$6:$V$26,CEILING($A11/5,1),CEILING(AH$2/5,1))=1,INDEX('Serial Reference'!$A$8:$W$8,1,FLOOR(($A11-1)/23,1)+1)&amp;INDEX('Serial Reference'!$A$8:$W$8,1,MOD($A11-1,23)+1)&amp;TEXT(AH$2+FLOOR((AH$2-1)/9,1),"000"),"")</f>
        <v>AJ036</v>
      </c>
      <c r="AI11" s="22" t="str">
        <f>IF(INDEX('Shot Map'!$B$6:$V$26,CEILING($A11/5,1),CEILING(AI$2/5,1))=1,INDEX('Serial Reference'!$A$8:$W$8,1,FLOOR(($A11-1)/23,1)+1)&amp;INDEX('Serial Reference'!$A$8:$W$8,1,MOD($A11-1,23)+1)&amp;TEXT(AI$2+FLOOR((AI$2-1)/9,1),"000"),"")</f>
        <v>AJ037</v>
      </c>
      <c r="AJ11" s="23" t="str">
        <f>IF(INDEX('Shot Map'!$B$6:$V$26,CEILING($A11/5,1),CEILING(AJ$2/5,1))=1,INDEX('Serial Reference'!$A$8:$W$8,1,FLOOR(($A11-1)/23,1)+1)&amp;INDEX('Serial Reference'!$A$8:$W$8,1,MOD($A11-1,23)+1)&amp;TEXT(AJ$2+FLOOR((AJ$2-1)/9,1),"000"),"")</f>
        <v>AJ038</v>
      </c>
      <c r="AK11" s="21" t="str">
        <f>IF(INDEX('Shot Map'!$B$6:$V$26,CEILING($A11/5,1),CEILING(AK$2/5,1))=1,INDEX('Serial Reference'!$A$8:$W$8,1,FLOOR(($A11-1)/23,1)+1)&amp;INDEX('Serial Reference'!$A$8:$W$8,1,MOD($A11-1,23)+1)&amp;TEXT(AK$2+FLOOR((AK$2-1)/9,1),"000"),"")</f>
        <v>AJ039</v>
      </c>
      <c r="AL11" s="22" t="str">
        <f>IF(INDEX('Shot Map'!$B$6:$V$26,CEILING($A11/5,1),CEILING(AL$2/5,1))=1,INDEX('Serial Reference'!$A$8:$W$8,1,FLOOR(($A11-1)/23,1)+1)&amp;INDEX('Serial Reference'!$A$8:$W$8,1,MOD($A11-1,23)+1)&amp;TEXT(AL$2+FLOOR((AL$2-1)/9,1),"000"),"")</f>
        <v>AJ041</v>
      </c>
      <c r="AM11" s="22" t="str">
        <f>IF(INDEX('Shot Map'!$B$6:$V$26,CEILING($A11/5,1),CEILING(AM$2/5,1))=1,INDEX('Serial Reference'!$A$8:$W$8,1,FLOOR(($A11-1)/23,1)+1)&amp;INDEX('Serial Reference'!$A$8:$W$8,1,MOD($A11-1,23)+1)&amp;TEXT(AM$2+FLOOR((AM$2-1)/9,1),"000"),"")</f>
        <v>AJ042</v>
      </c>
      <c r="AN11" s="22" t="str">
        <f>IF(INDEX('Shot Map'!$B$6:$V$26,CEILING($A11/5,1),CEILING(AN$2/5,1))=1,INDEX('Serial Reference'!$A$8:$W$8,1,FLOOR(($A11-1)/23,1)+1)&amp;INDEX('Serial Reference'!$A$8:$W$8,1,MOD($A11-1,23)+1)&amp;TEXT(AN$2+FLOOR((AN$2-1)/9,1),"000"),"")</f>
        <v>AJ043</v>
      </c>
      <c r="AO11" s="23" t="str">
        <f>IF(INDEX('Shot Map'!$B$6:$V$26,CEILING($A11/5,1),CEILING(AO$2/5,1))=1,INDEX('Serial Reference'!$A$8:$W$8,1,FLOOR(($A11-1)/23,1)+1)&amp;INDEX('Serial Reference'!$A$8:$W$8,1,MOD($A11-1,23)+1)&amp;TEXT(AO$2+FLOOR((AO$2-1)/9,1),"000"),"")</f>
        <v>AJ044</v>
      </c>
      <c r="AP11" s="21" t="str">
        <f>IF(INDEX('Shot Map'!$B$6:$V$26,CEILING($A11/5,1),CEILING(AP$2/5,1))=1,INDEX('Serial Reference'!$A$8:$W$8,1,FLOOR(($A11-1)/23,1)+1)&amp;INDEX('Serial Reference'!$A$8:$W$8,1,MOD($A11-1,23)+1)&amp;TEXT(AP$2+FLOOR((AP$2-1)/9,1),"000"),"")</f>
        <v>AJ045</v>
      </c>
      <c r="AQ11" s="22" t="str">
        <f>IF(INDEX('Shot Map'!$B$6:$V$26,CEILING($A11/5,1),CEILING(AQ$2/5,1))=1,INDEX('Serial Reference'!$A$8:$W$8,1,FLOOR(($A11-1)/23,1)+1)&amp;INDEX('Serial Reference'!$A$8:$W$8,1,MOD($A11-1,23)+1)&amp;TEXT(AQ$2+FLOOR((AQ$2-1)/9,1),"000"),"")</f>
        <v>AJ046</v>
      </c>
      <c r="AR11" s="22" t="str">
        <f>IF(INDEX('Shot Map'!$B$6:$V$26,CEILING($A11/5,1),CEILING(AR$2/5,1))=1,INDEX('Serial Reference'!$A$8:$W$8,1,FLOOR(($A11-1)/23,1)+1)&amp;INDEX('Serial Reference'!$A$8:$W$8,1,MOD($A11-1,23)+1)&amp;TEXT(AR$2+FLOOR((AR$2-1)/9,1),"000"),"")</f>
        <v>AJ047</v>
      </c>
      <c r="AS11" s="22" t="str">
        <f>IF(INDEX('Shot Map'!$B$6:$V$26,CEILING($A11/5,1),CEILING(AS$2/5,1))=1,INDEX('Serial Reference'!$A$8:$W$8,1,FLOOR(($A11-1)/23,1)+1)&amp;INDEX('Serial Reference'!$A$8:$W$8,1,MOD($A11-1,23)+1)&amp;TEXT(AS$2+FLOOR((AS$2-1)/9,1),"000"),"")</f>
        <v>AJ048</v>
      </c>
      <c r="AT11" s="23" t="str">
        <f>IF(INDEX('Shot Map'!$B$6:$V$26,CEILING($A11/5,1),CEILING(AT$2/5,1))=1,INDEX('Serial Reference'!$A$8:$W$8,1,FLOOR(($A11-1)/23,1)+1)&amp;INDEX('Serial Reference'!$A$8:$W$8,1,MOD($A11-1,23)+1)&amp;TEXT(AT$2+FLOOR((AT$2-1)/9,1),"000"),"")</f>
        <v>AJ049</v>
      </c>
      <c r="AU11" s="21" t="str">
        <f>IF(INDEX('Shot Map'!$B$6:$V$26,CEILING($A11/5,1),CEILING(AU$2/5,1))=1,INDEX('Serial Reference'!$A$8:$W$8,1,FLOOR(($A11-1)/23,1)+1)&amp;INDEX('Serial Reference'!$A$8:$W$8,1,MOD($A11-1,23)+1)&amp;TEXT(AU$2+FLOOR((AU$2-1)/9,1),"000"),"")</f>
        <v>AJ051</v>
      </c>
      <c r="AV11" s="22" t="str">
        <f>IF(INDEX('Shot Map'!$B$6:$V$26,CEILING($A11/5,1),CEILING(AV$2/5,1))=1,INDEX('Serial Reference'!$A$8:$W$8,1,FLOOR(($A11-1)/23,1)+1)&amp;INDEX('Serial Reference'!$A$8:$W$8,1,MOD($A11-1,23)+1)&amp;TEXT(AV$2+FLOOR((AV$2-1)/9,1),"000"),"")</f>
        <v>AJ052</v>
      </c>
      <c r="AW11" s="22" t="str">
        <f>IF(INDEX('Shot Map'!$B$6:$V$26,CEILING($A11/5,1),CEILING(AW$2/5,1))=1,INDEX('Serial Reference'!$A$8:$W$8,1,FLOOR(($A11-1)/23,1)+1)&amp;INDEX('Serial Reference'!$A$8:$W$8,1,MOD($A11-1,23)+1)&amp;TEXT(AW$2+FLOOR((AW$2-1)/9,1),"000"),"")</f>
        <v>AJ053</v>
      </c>
      <c r="AX11" s="22" t="str">
        <f>IF(INDEX('Shot Map'!$B$6:$V$26,CEILING($A11/5,1),CEILING(AX$2/5,1))=1,INDEX('Serial Reference'!$A$8:$W$8,1,FLOOR(($A11-1)/23,1)+1)&amp;INDEX('Serial Reference'!$A$8:$W$8,1,MOD($A11-1,23)+1)&amp;TEXT(AX$2+FLOOR((AX$2-1)/9,1),"000"),"")</f>
        <v>AJ054</v>
      </c>
      <c r="AY11" s="23" t="str">
        <f>IF(INDEX('Shot Map'!$B$6:$V$26,CEILING($A11/5,1),CEILING(AY$2/5,1))=1,INDEX('Serial Reference'!$A$8:$W$8,1,FLOOR(($A11-1)/23,1)+1)&amp;INDEX('Serial Reference'!$A$8:$W$8,1,MOD($A11-1,23)+1)&amp;TEXT(AY$2+FLOOR((AY$2-1)/9,1),"000"),"")</f>
        <v>AJ055</v>
      </c>
      <c r="AZ11" s="21" t="str">
        <f>IF(INDEX('Shot Map'!$B$6:$V$26,CEILING($A11/5,1),CEILING(AZ$2/5,1))=1,INDEX('Serial Reference'!$A$8:$W$8,1,FLOOR(($A11-1)/23,1)+1)&amp;INDEX('Serial Reference'!$A$8:$W$8,1,MOD($A11-1,23)+1)&amp;TEXT(AZ$2+FLOOR((AZ$2-1)/9,1),"000"),"")</f>
        <v>AJ056</v>
      </c>
      <c r="BA11" s="22" t="str">
        <f>IF(INDEX('Shot Map'!$B$6:$V$26,CEILING($A11/5,1),CEILING(BA$2/5,1))=1,INDEX('Serial Reference'!$A$8:$W$8,1,FLOOR(($A11-1)/23,1)+1)&amp;INDEX('Serial Reference'!$A$8:$W$8,1,MOD($A11-1,23)+1)&amp;TEXT(BA$2+FLOOR((BA$2-1)/9,1),"000"),"")</f>
        <v>AJ057</v>
      </c>
      <c r="BB11" s="22" t="str">
        <f>IF(INDEX('Shot Map'!$B$6:$V$26,CEILING($A11/5,1),CEILING(BB$2/5,1))=1,INDEX('Serial Reference'!$A$8:$W$8,1,FLOOR(($A11-1)/23,1)+1)&amp;INDEX('Serial Reference'!$A$8:$W$8,1,MOD($A11-1,23)+1)&amp;TEXT(BB$2+FLOOR((BB$2-1)/9,1),"000"),"")</f>
        <v>AJ058</v>
      </c>
      <c r="BC11" s="22" t="str">
        <f>IF(INDEX('Shot Map'!$B$6:$V$26,CEILING($A11/5,1),CEILING(BC$2/5,1))=1,INDEX('Serial Reference'!$A$8:$W$8,1,FLOOR(($A11-1)/23,1)+1)&amp;INDEX('Serial Reference'!$A$8:$W$8,1,MOD($A11-1,23)+1)&amp;TEXT(BC$2+FLOOR((BC$2-1)/9,1),"000"),"")</f>
        <v>AJ059</v>
      </c>
      <c r="BD11" s="23" t="str">
        <f>IF(INDEX('Shot Map'!$B$6:$V$26,CEILING($A11/5,1),CEILING(BD$2/5,1))=1,INDEX('Serial Reference'!$A$8:$W$8,1,FLOOR(($A11-1)/23,1)+1)&amp;INDEX('Serial Reference'!$A$8:$W$8,1,MOD($A11-1,23)+1)&amp;TEXT(BD$2+FLOOR((BD$2-1)/9,1),"000"),"")</f>
        <v>AJ061</v>
      </c>
      <c r="BE11" s="21" t="str">
        <f>IF(INDEX('Shot Map'!$B$6:$V$26,CEILING($A11/5,1),CEILING(BE$2/5,1))=1,INDEX('Serial Reference'!$A$8:$W$8,1,FLOOR(($A11-1)/23,1)+1)&amp;INDEX('Serial Reference'!$A$8:$W$8,1,MOD($A11-1,23)+1)&amp;TEXT(BE$2+FLOOR((BE$2-1)/9,1),"000"),"")</f>
        <v>AJ062</v>
      </c>
      <c r="BF11" s="22" t="str">
        <f>IF(INDEX('Shot Map'!$B$6:$V$26,CEILING($A11/5,1),CEILING(BF$2/5,1))=1,INDEX('Serial Reference'!$A$8:$W$8,1,FLOOR(($A11-1)/23,1)+1)&amp;INDEX('Serial Reference'!$A$8:$W$8,1,MOD($A11-1,23)+1)&amp;TEXT(BF$2+FLOOR((BF$2-1)/9,1),"000"),"")</f>
        <v>AJ063</v>
      </c>
      <c r="BG11" s="22" t="str">
        <f>IF(INDEX('Shot Map'!$B$6:$V$26,CEILING($A11/5,1),CEILING(BG$2/5,1))=1,INDEX('Serial Reference'!$A$8:$W$8,1,FLOOR(($A11-1)/23,1)+1)&amp;INDEX('Serial Reference'!$A$8:$W$8,1,MOD($A11-1,23)+1)&amp;TEXT(BG$2+FLOOR((BG$2-1)/9,1),"000"),"")</f>
        <v>AJ064</v>
      </c>
      <c r="BH11" s="22" t="str">
        <f>IF(INDEX('Shot Map'!$B$6:$V$26,CEILING($A11/5,1),CEILING(BH$2/5,1))=1,INDEX('Serial Reference'!$A$8:$W$8,1,FLOOR(($A11-1)/23,1)+1)&amp;INDEX('Serial Reference'!$A$8:$W$8,1,MOD($A11-1,23)+1)&amp;TEXT(BH$2+FLOOR((BH$2-1)/9,1),"000"),"")</f>
        <v>AJ065</v>
      </c>
      <c r="BI11" s="23" t="str">
        <f>IF(INDEX('Shot Map'!$B$6:$V$26,CEILING($A11/5,1),CEILING(BI$2/5,1))=1,INDEX('Serial Reference'!$A$8:$W$8,1,FLOOR(($A11-1)/23,1)+1)&amp;INDEX('Serial Reference'!$A$8:$W$8,1,MOD($A11-1,23)+1)&amp;TEXT(BI$2+FLOOR((BI$2-1)/9,1),"000"),"")</f>
        <v>AJ066</v>
      </c>
      <c r="BJ11" s="21" t="str">
        <f>IF(INDEX('Shot Map'!$B$6:$V$26,CEILING($A11/5,1),CEILING(BJ$2/5,1))=1,INDEX('Serial Reference'!$A$8:$W$8,1,FLOOR(($A11-1)/23,1)+1)&amp;INDEX('Serial Reference'!$A$8:$W$8,1,MOD($A11-1,23)+1)&amp;TEXT(BJ$2+FLOOR((BJ$2-1)/9,1),"000"),"")</f>
        <v>AJ067</v>
      </c>
      <c r="BK11" s="22" t="str">
        <f>IF(INDEX('Shot Map'!$B$6:$V$26,CEILING($A11/5,1),CEILING(BK$2/5,1))=1,INDEX('Serial Reference'!$A$8:$W$8,1,FLOOR(($A11-1)/23,1)+1)&amp;INDEX('Serial Reference'!$A$8:$W$8,1,MOD($A11-1,23)+1)&amp;TEXT(BK$2+FLOOR((BK$2-1)/9,1),"000"),"")</f>
        <v>AJ068</v>
      </c>
      <c r="BL11" s="22" t="str">
        <f>IF(INDEX('Shot Map'!$B$6:$V$26,CEILING($A11/5,1),CEILING(BL$2/5,1))=1,INDEX('Serial Reference'!$A$8:$W$8,1,FLOOR(($A11-1)/23,1)+1)&amp;INDEX('Serial Reference'!$A$8:$W$8,1,MOD($A11-1,23)+1)&amp;TEXT(BL$2+FLOOR((BL$2-1)/9,1),"000"),"")</f>
        <v>AJ069</v>
      </c>
      <c r="BM11" s="22" t="str">
        <f>IF(INDEX('Shot Map'!$B$6:$V$26,CEILING($A11/5,1),CEILING(BM$2/5,1))=1,INDEX('Serial Reference'!$A$8:$W$8,1,FLOOR(($A11-1)/23,1)+1)&amp;INDEX('Serial Reference'!$A$8:$W$8,1,MOD($A11-1,23)+1)&amp;TEXT(BM$2+FLOOR((BM$2-1)/9,1),"000"),"")</f>
        <v>AJ071</v>
      </c>
      <c r="BN11" s="23" t="str">
        <f>IF(INDEX('Shot Map'!$B$6:$V$26,CEILING($A11/5,1),CEILING(BN$2/5,1))=1,INDEX('Serial Reference'!$A$8:$W$8,1,FLOOR(($A11-1)/23,1)+1)&amp;INDEX('Serial Reference'!$A$8:$W$8,1,MOD($A11-1,23)+1)&amp;TEXT(BN$2+FLOOR((BN$2-1)/9,1),"000"),"")</f>
        <v>AJ072</v>
      </c>
      <c r="BO11" s="21" t="str">
        <f>IF(INDEX('Shot Map'!$B$6:$V$26,CEILING($A11/5,1),CEILING(BO$2/5,1))=1,INDEX('Serial Reference'!$A$8:$W$8,1,FLOOR(($A11-1)/23,1)+1)&amp;INDEX('Serial Reference'!$A$8:$W$8,1,MOD($A11-1,23)+1)&amp;TEXT(BO$2+FLOOR((BO$2-1)/9,1),"000"),"")</f>
        <v>AJ073</v>
      </c>
      <c r="BP11" s="22" t="str">
        <f>IF(INDEX('Shot Map'!$B$6:$V$26,CEILING($A11/5,1),CEILING(BP$2/5,1))=1,INDEX('Serial Reference'!$A$8:$W$8,1,FLOOR(($A11-1)/23,1)+1)&amp;INDEX('Serial Reference'!$A$8:$W$8,1,MOD($A11-1,23)+1)&amp;TEXT(BP$2+FLOOR((BP$2-1)/9,1),"000"),"")</f>
        <v>AJ074</v>
      </c>
      <c r="BQ11" s="22" t="str">
        <f>IF(INDEX('Shot Map'!$B$6:$V$26,CEILING($A11/5,1),CEILING(BQ$2/5,1))=1,INDEX('Serial Reference'!$A$8:$W$8,1,FLOOR(($A11-1)/23,1)+1)&amp;INDEX('Serial Reference'!$A$8:$W$8,1,MOD($A11-1,23)+1)&amp;TEXT(BQ$2+FLOOR((BQ$2-1)/9,1),"000"),"")</f>
        <v>AJ075</v>
      </c>
      <c r="BR11" s="22" t="str">
        <f>IF(INDEX('Shot Map'!$B$6:$V$26,CEILING($A11/5,1),CEILING(BR$2/5,1))=1,INDEX('Serial Reference'!$A$8:$W$8,1,FLOOR(($A11-1)/23,1)+1)&amp;INDEX('Serial Reference'!$A$8:$W$8,1,MOD($A11-1,23)+1)&amp;TEXT(BR$2+FLOOR((BR$2-1)/9,1),"000"),"")</f>
        <v>AJ076</v>
      </c>
      <c r="BS11" s="23" t="str">
        <f>IF(INDEX('Shot Map'!$B$6:$V$26,CEILING($A11/5,1),CEILING(BS$2/5,1))=1,INDEX('Serial Reference'!$A$8:$W$8,1,FLOOR(($A11-1)/23,1)+1)&amp;INDEX('Serial Reference'!$A$8:$W$8,1,MOD($A11-1,23)+1)&amp;TEXT(BS$2+FLOOR((BS$2-1)/9,1),"000"),"")</f>
        <v>AJ077</v>
      </c>
      <c r="BT11" s="21" t="str">
        <f>IF(INDEX('Shot Map'!$B$6:$V$26,CEILING($A11/5,1),CEILING(BT$2/5,1))=1,INDEX('Serial Reference'!$A$8:$W$8,1,FLOOR(($A11-1)/23,1)+1)&amp;INDEX('Serial Reference'!$A$8:$W$8,1,MOD($A11-1,23)+1)&amp;TEXT(BT$2+FLOOR((BT$2-1)/9,1),"000"),"")</f>
        <v>AJ078</v>
      </c>
      <c r="BU11" s="22" t="str">
        <f>IF(INDEX('Shot Map'!$B$6:$V$26,CEILING($A11/5,1),CEILING(BU$2/5,1))=1,INDEX('Serial Reference'!$A$8:$W$8,1,FLOOR(($A11-1)/23,1)+1)&amp;INDEX('Serial Reference'!$A$8:$W$8,1,MOD($A11-1,23)+1)&amp;TEXT(BU$2+FLOOR((BU$2-1)/9,1),"000"),"")</f>
        <v>AJ079</v>
      </c>
      <c r="BV11" s="22" t="str">
        <f>IF(INDEX('Shot Map'!$B$6:$V$26,CEILING($A11/5,1),CEILING(BV$2/5,1))=1,INDEX('Serial Reference'!$A$8:$W$8,1,FLOOR(($A11-1)/23,1)+1)&amp;INDEX('Serial Reference'!$A$8:$W$8,1,MOD($A11-1,23)+1)&amp;TEXT(BV$2+FLOOR((BV$2-1)/9,1),"000"),"")</f>
        <v>AJ081</v>
      </c>
      <c r="BW11" s="22" t="str">
        <f>IF(INDEX('Shot Map'!$B$6:$V$26,CEILING($A11/5,1),CEILING(BW$2/5,1))=1,INDEX('Serial Reference'!$A$8:$W$8,1,FLOOR(($A11-1)/23,1)+1)&amp;INDEX('Serial Reference'!$A$8:$W$8,1,MOD($A11-1,23)+1)&amp;TEXT(BW$2+FLOOR((BW$2-1)/9,1),"000"),"")</f>
        <v>AJ082</v>
      </c>
      <c r="BX11" s="23" t="str">
        <f>IF(INDEX('Shot Map'!$B$6:$V$26,CEILING($A11/5,1),CEILING(BX$2/5,1))=1,INDEX('Serial Reference'!$A$8:$W$8,1,FLOOR(($A11-1)/23,1)+1)&amp;INDEX('Serial Reference'!$A$8:$W$8,1,MOD($A11-1,23)+1)&amp;TEXT(BX$2+FLOOR((BX$2-1)/9,1),"000"),"")</f>
        <v>AJ083</v>
      </c>
      <c r="BY11" s="21" t="str">
        <f>IF(INDEX('Shot Map'!$B$6:$V$26,CEILING($A11/5,1),CEILING(BY$2/5,1))=1,INDEX('Serial Reference'!$A$8:$W$8,1,FLOOR(($A11-1)/23,1)+1)&amp;INDEX('Serial Reference'!$A$8:$W$8,1,MOD($A11-1,23)+1)&amp;TEXT(BY$2+FLOOR((BY$2-1)/9,1),"000"),"")</f>
        <v/>
      </c>
      <c r="BZ11" s="22" t="str">
        <f>IF(INDEX('Shot Map'!$B$6:$V$26,CEILING($A11/5,1),CEILING(BZ$2/5,1))=1,INDEX('Serial Reference'!$A$8:$W$8,1,FLOOR(($A11-1)/23,1)+1)&amp;INDEX('Serial Reference'!$A$8:$W$8,1,MOD($A11-1,23)+1)&amp;TEXT(BZ$2+FLOOR((BZ$2-1)/9,1),"000"),"")</f>
        <v/>
      </c>
      <c r="CA11" s="22" t="str">
        <f>IF(INDEX('Shot Map'!$B$6:$V$26,CEILING($A11/5,1),CEILING(CA$2/5,1))=1,INDEX('Serial Reference'!$A$8:$W$8,1,FLOOR(($A11-1)/23,1)+1)&amp;INDEX('Serial Reference'!$A$8:$W$8,1,MOD($A11-1,23)+1)&amp;TEXT(CA$2+FLOOR((CA$2-1)/9,1),"000"),"")</f>
        <v/>
      </c>
      <c r="CB11" s="22" t="str">
        <f>IF(INDEX('Shot Map'!$B$6:$V$26,CEILING($A11/5,1),CEILING(CB$2/5,1))=1,INDEX('Serial Reference'!$A$8:$W$8,1,FLOOR(($A11-1)/23,1)+1)&amp;INDEX('Serial Reference'!$A$8:$W$8,1,MOD($A11-1,23)+1)&amp;TEXT(CB$2+FLOOR((CB$2-1)/9,1),"000"),"")</f>
        <v/>
      </c>
      <c r="CC11" s="23" t="str">
        <f>IF(INDEX('Shot Map'!$B$6:$V$26,CEILING($A11/5,1),CEILING(CC$2/5,1))=1,INDEX('Serial Reference'!$A$8:$W$8,1,FLOOR(($A11-1)/23,1)+1)&amp;INDEX('Serial Reference'!$A$8:$W$8,1,MOD($A11-1,23)+1)&amp;TEXT(CC$2+FLOOR((CC$2-1)/9,1),"000"),"")</f>
        <v/>
      </c>
      <c r="CD11" s="21" t="str">
        <f>IF(INDEX('Shot Map'!$B$6:$V$26,CEILING($A11/5,1),CEILING(CD$2/5,1))=1,INDEX('Serial Reference'!$A$8:$W$8,1,FLOOR(($A11-1)/23,1)+1)&amp;INDEX('Serial Reference'!$A$8:$W$8,1,MOD($A11-1,23)+1)&amp;TEXT(CD$2+FLOOR((CD$2-1)/9,1),"000"),"")</f>
        <v/>
      </c>
      <c r="CE11" s="22" t="str">
        <f>IF(INDEX('Shot Map'!$B$6:$V$26,CEILING($A11/5,1),CEILING(CE$2/5,1))=1,INDEX('Serial Reference'!$A$8:$W$8,1,FLOOR(($A11-1)/23,1)+1)&amp;INDEX('Serial Reference'!$A$8:$W$8,1,MOD($A11-1,23)+1)&amp;TEXT(CE$2+FLOOR((CE$2-1)/9,1),"000"),"")</f>
        <v/>
      </c>
      <c r="CF11" s="22" t="str">
        <f>IF(INDEX('Shot Map'!$B$6:$V$26,CEILING($A11/5,1),CEILING(CF$2/5,1))=1,INDEX('Serial Reference'!$A$8:$W$8,1,FLOOR(($A11-1)/23,1)+1)&amp;INDEX('Serial Reference'!$A$8:$W$8,1,MOD($A11-1,23)+1)&amp;TEXT(CF$2+FLOOR((CF$2-1)/9,1),"000"),"")</f>
        <v/>
      </c>
      <c r="CG11" s="22" t="str">
        <f>IF(INDEX('Shot Map'!$B$6:$V$26,CEILING($A11/5,1),CEILING(CG$2/5,1))=1,INDEX('Serial Reference'!$A$8:$W$8,1,FLOOR(($A11-1)/23,1)+1)&amp;INDEX('Serial Reference'!$A$8:$W$8,1,MOD($A11-1,23)+1)&amp;TEXT(CG$2+FLOOR((CG$2-1)/9,1),"000"),"")</f>
        <v/>
      </c>
      <c r="CH11" s="23" t="str">
        <f>IF(INDEX('Shot Map'!$B$6:$V$26,CEILING($A11/5,1),CEILING(CH$2/5,1))=1,INDEX('Serial Reference'!$A$8:$W$8,1,FLOOR(($A11-1)/23,1)+1)&amp;INDEX('Serial Reference'!$A$8:$W$8,1,MOD($A11-1,23)+1)&amp;TEXT(CH$2+FLOOR((CH$2-1)/9,1),"000"),"")</f>
        <v/>
      </c>
      <c r="CI11" s="21" t="str">
        <f>IF(INDEX('Shot Map'!$B$6:$V$26,CEILING($A11/5,1),CEILING(CI$2/5,1))=1,INDEX('Serial Reference'!$A$8:$W$8,1,FLOOR(($A11-1)/23,1)+1)&amp;INDEX('Serial Reference'!$A$8:$W$8,1,MOD($A11-1,23)+1)&amp;TEXT(CI$2+FLOOR((CI$2-1)/9,1),"000"),"")</f>
        <v/>
      </c>
      <c r="CJ11" s="22" t="str">
        <f>IF(INDEX('Shot Map'!$B$6:$V$26,CEILING($A11/5,1),CEILING(CJ$2/5,1))=1,INDEX('Serial Reference'!$A$8:$W$8,1,FLOOR(($A11-1)/23,1)+1)&amp;INDEX('Serial Reference'!$A$8:$W$8,1,MOD($A11-1,23)+1)&amp;TEXT(CJ$2+FLOOR((CJ$2-1)/9,1),"000"),"")</f>
        <v/>
      </c>
      <c r="CK11" s="22" t="str">
        <f>IF(INDEX('Shot Map'!$B$6:$V$26,CEILING($A11/5,1),CEILING(CK$2/5,1))=1,INDEX('Serial Reference'!$A$8:$W$8,1,FLOOR(($A11-1)/23,1)+1)&amp;INDEX('Serial Reference'!$A$8:$W$8,1,MOD($A11-1,23)+1)&amp;TEXT(CK$2+FLOOR((CK$2-1)/9,1),"000"),"")</f>
        <v/>
      </c>
      <c r="CL11" s="22" t="str">
        <f>IF(INDEX('Shot Map'!$B$6:$V$26,CEILING($A11/5,1),CEILING(CL$2/5,1))=1,INDEX('Serial Reference'!$A$8:$W$8,1,FLOOR(($A11-1)/23,1)+1)&amp;INDEX('Serial Reference'!$A$8:$W$8,1,MOD($A11-1,23)+1)&amp;TEXT(CL$2+FLOOR((CL$2-1)/9,1),"000"),"")</f>
        <v/>
      </c>
      <c r="CM11" s="23" t="str">
        <f>IF(INDEX('Shot Map'!$B$6:$V$26,CEILING($A11/5,1),CEILING(CM$2/5,1))=1,INDEX('Serial Reference'!$A$8:$W$8,1,FLOOR(($A11-1)/23,1)+1)&amp;INDEX('Serial Reference'!$A$8:$W$8,1,MOD($A11-1,23)+1)&amp;TEXT(CM$2+FLOOR((CM$2-1)/9,1),"000"),"")</f>
        <v/>
      </c>
      <c r="CN11" s="21" t="str">
        <f>IF(INDEX('Shot Map'!$B$6:$V$26,CEILING($A11/5,1),CEILING(CN$2/5,1))=1,INDEX('Serial Reference'!$A$8:$W$8,1,FLOOR(($A11-1)/23,1)+1)&amp;INDEX('Serial Reference'!$A$8:$W$8,1,MOD($A11-1,23)+1)&amp;TEXT(CN$2+FLOOR((CN$2-1)/9,1),"000"),"")</f>
        <v/>
      </c>
      <c r="CO11" s="22" t="str">
        <f>IF(INDEX('Shot Map'!$B$6:$V$26,CEILING($A11/5,1),CEILING(CO$2/5,1))=1,INDEX('Serial Reference'!$A$8:$W$8,1,FLOOR(($A11-1)/23,1)+1)&amp;INDEX('Serial Reference'!$A$8:$W$8,1,MOD($A11-1,23)+1)&amp;TEXT(CO$2+FLOOR((CO$2-1)/9,1),"000"),"")</f>
        <v/>
      </c>
      <c r="CP11" s="22" t="str">
        <f>IF(INDEX('Shot Map'!$B$6:$V$26,CEILING($A11/5,1),CEILING(CP$2/5,1))=1,INDEX('Serial Reference'!$A$8:$W$8,1,FLOOR(($A11-1)/23,1)+1)&amp;INDEX('Serial Reference'!$A$8:$W$8,1,MOD($A11-1,23)+1)&amp;TEXT(CP$2+FLOOR((CP$2-1)/9,1),"000"),"")</f>
        <v/>
      </c>
      <c r="CQ11" s="22" t="str">
        <f>IF(INDEX('Shot Map'!$B$6:$V$26,CEILING($A11/5,1),CEILING(CQ$2/5,1))=1,INDEX('Serial Reference'!$A$8:$W$8,1,FLOOR(($A11-1)/23,1)+1)&amp;INDEX('Serial Reference'!$A$8:$W$8,1,MOD($A11-1,23)+1)&amp;TEXT(CQ$2+FLOOR((CQ$2-1)/9,1),"000"),"")</f>
        <v/>
      </c>
      <c r="CR11" s="23" t="str">
        <f>IF(INDEX('Shot Map'!$B$6:$V$26,CEILING($A11/5,1),CEILING(CR$2/5,1))=1,INDEX('Serial Reference'!$A$8:$W$8,1,FLOOR(($A11-1)/23,1)+1)&amp;INDEX('Serial Reference'!$A$8:$W$8,1,MOD($A11-1,23)+1)&amp;TEXT(CR$2+FLOOR((CR$2-1)/9,1),"000"),"")</f>
        <v/>
      </c>
      <c r="CS11" s="21" t="str">
        <f>IF(INDEX('Shot Map'!$B$6:$V$26,CEILING($A11/5,1),CEILING(CS$2/5,1))=1,INDEX('Serial Reference'!$A$8:$W$8,1,FLOOR(($A11-1)/23,1)+1)&amp;INDEX('Serial Reference'!$A$8:$W$8,1,MOD($A11-1,23)+1)&amp;TEXT(CS$2+FLOOR((CS$2-1)/9,1),"000"),"")</f>
        <v/>
      </c>
      <c r="CT11" s="22" t="str">
        <f>IF(INDEX('Shot Map'!$B$6:$V$26,CEILING($A11/5,1),CEILING(CT$2/5,1))=1,INDEX('Serial Reference'!$A$8:$W$8,1,FLOOR(($A11-1)/23,1)+1)&amp;INDEX('Serial Reference'!$A$8:$W$8,1,MOD($A11-1,23)+1)&amp;TEXT(CT$2+FLOOR((CT$2-1)/9,1),"000"),"")</f>
        <v/>
      </c>
      <c r="CU11" s="22" t="str">
        <f>IF(INDEX('Shot Map'!$B$6:$V$26,CEILING($A11/5,1),CEILING(CU$2/5,1))=1,INDEX('Serial Reference'!$A$8:$W$8,1,FLOOR(($A11-1)/23,1)+1)&amp;INDEX('Serial Reference'!$A$8:$W$8,1,MOD($A11-1,23)+1)&amp;TEXT(CU$2+FLOOR((CU$2-1)/9,1),"000"),"")</f>
        <v/>
      </c>
      <c r="CV11" s="22" t="str">
        <f>IF(INDEX('Shot Map'!$B$6:$V$26,CEILING($A11/5,1),CEILING(CV$2/5,1))=1,INDEX('Serial Reference'!$A$8:$W$8,1,FLOOR(($A11-1)/23,1)+1)&amp;INDEX('Serial Reference'!$A$8:$W$8,1,MOD($A11-1,23)+1)&amp;TEXT(CV$2+FLOOR((CV$2-1)/9,1),"000"),"")</f>
        <v/>
      </c>
      <c r="CW11" s="23" t="str">
        <f>IF(INDEX('Shot Map'!$B$6:$V$26,CEILING($A11/5,1),CEILING(CW$2/5,1))=1,INDEX('Serial Reference'!$A$8:$W$8,1,FLOOR(($A11-1)/23,1)+1)&amp;INDEX('Serial Reference'!$A$8:$W$8,1,MOD($A11-1,23)+1)&amp;TEXT(CW$2+FLOOR((CW$2-1)/9,1),"000"),"")</f>
        <v/>
      </c>
      <c r="CX11" s="21" t="str">
        <f>IF(INDEX('Shot Map'!$B$6:$V$26,CEILING($A11/5,1),CEILING(CX$2/5,1))=1,INDEX('Serial Reference'!$A$8:$W$8,1,FLOOR(($A11-1)/23,1)+1)&amp;INDEX('Serial Reference'!$A$8:$W$8,1,MOD($A11-1,23)+1)&amp;TEXT(CX$2+FLOOR((CX$2-1)/9,1),"000"),"")</f>
        <v/>
      </c>
      <c r="CY11" s="22" t="str">
        <f>IF(INDEX('Shot Map'!$B$6:$V$26,CEILING($A11/5,1),CEILING(CY$2/5,1))=1,INDEX('Serial Reference'!$A$8:$W$8,1,FLOOR(($A11-1)/23,1)+1)&amp;INDEX('Serial Reference'!$A$8:$W$8,1,MOD($A11-1,23)+1)&amp;TEXT(CY$2+FLOOR((CY$2-1)/9,1),"000"),"")</f>
        <v/>
      </c>
      <c r="CZ11" s="22" t="str">
        <f>IF(INDEX('Shot Map'!$B$6:$V$26,CEILING($A11/5,1),CEILING(CZ$2/5,1))=1,INDEX('Serial Reference'!$A$8:$W$8,1,FLOOR(($A11-1)/23,1)+1)&amp;INDEX('Serial Reference'!$A$8:$W$8,1,MOD($A11-1,23)+1)&amp;TEXT(CZ$2+FLOOR((CZ$2-1)/9,1),"000"),"")</f>
        <v/>
      </c>
      <c r="DA11" s="22" t="str">
        <f>IF(INDEX('Shot Map'!$B$6:$V$26,CEILING($A11/5,1),CEILING(DA$2/5,1))=1,INDEX('Serial Reference'!$A$8:$W$8,1,FLOOR(($A11-1)/23,1)+1)&amp;INDEX('Serial Reference'!$A$8:$W$8,1,MOD($A11-1,23)+1)&amp;TEXT(DA$2+FLOOR((DA$2-1)/9,1),"000"),"")</f>
        <v/>
      </c>
      <c r="DB11" s="23" t="str">
        <f>IF(INDEX('Shot Map'!$B$6:$V$26,CEILING($A11/5,1),CEILING(DB$2/5,1))=1,INDEX('Serial Reference'!$A$8:$W$8,1,FLOOR(($A11-1)/23,1)+1)&amp;INDEX('Serial Reference'!$A$8:$W$8,1,MOD($A11-1,23)+1)&amp;TEXT(DB$2+FLOOR((DB$2-1)/9,1),"000"),"")</f>
        <v/>
      </c>
    </row>
    <row r="12" spans="1:106" ht="12.75" customHeight="1" x14ac:dyDescent="0.25">
      <c r="A12" s="17">
        <v>10</v>
      </c>
      <c r="B12" s="24" t="str">
        <f>IF(INDEX('Shot Map'!$B$6:$V$26,CEILING($A12/5,1),CEILING(B$2/5,1))=1,INDEX('Serial Reference'!$A$8:$W$8,1,FLOOR(($A12-1)/23,1)+1)&amp;INDEX('Serial Reference'!$A$8:$W$8,1,MOD($A12-1,23)+1)&amp;TEXT(B$2+FLOOR((B$2-1)/9,1),"000"),"")</f>
        <v/>
      </c>
      <c r="C12" s="25" t="str">
        <f>IF(INDEX('Shot Map'!$B$6:$V$26,CEILING($A12/5,1),CEILING(C$2/5,1))=1,INDEX('Serial Reference'!$A$8:$W$8,1,FLOOR(($A12-1)/23,1)+1)&amp;INDEX('Serial Reference'!$A$8:$W$8,1,MOD($A12-1,23)+1)&amp;TEXT(C$2+FLOOR((C$2-1)/9,1),"000"),"")</f>
        <v/>
      </c>
      <c r="D12" s="25" t="str">
        <f>IF(INDEX('Shot Map'!$B$6:$V$26,CEILING($A12/5,1),CEILING(D$2/5,1))=1,INDEX('Serial Reference'!$A$8:$W$8,1,FLOOR(($A12-1)/23,1)+1)&amp;INDEX('Serial Reference'!$A$8:$W$8,1,MOD($A12-1,23)+1)&amp;TEXT(D$2+FLOOR((D$2-1)/9,1),"000"),"")</f>
        <v/>
      </c>
      <c r="E12" s="25" t="str">
        <f>IF(INDEX('Shot Map'!$B$6:$V$26,CEILING($A12/5,1),CEILING(E$2/5,1))=1,INDEX('Serial Reference'!$A$8:$W$8,1,FLOOR(($A12-1)/23,1)+1)&amp;INDEX('Serial Reference'!$A$8:$W$8,1,MOD($A12-1,23)+1)&amp;TEXT(E$2+FLOOR((E$2-1)/9,1),"000"),"")</f>
        <v/>
      </c>
      <c r="F12" s="26" t="str">
        <f>IF(INDEX('Shot Map'!$B$6:$V$26,CEILING($A12/5,1),CEILING(F$2/5,1))=1,INDEX('Serial Reference'!$A$8:$W$8,1,FLOOR(($A12-1)/23,1)+1)&amp;INDEX('Serial Reference'!$A$8:$W$8,1,MOD($A12-1,23)+1)&amp;TEXT(F$2+FLOOR((F$2-1)/9,1),"000"),"")</f>
        <v/>
      </c>
      <c r="G12" s="24" t="str">
        <f>IF(INDEX('Shot Map'!$B$6:$V$26,CEILING($A12/5,1),CEILING(G$2/5,1))=1,INDEX('Serial Reference'!$A$8:$W$8,1,FLOOR(($A12-1)/23,1)+1)&amp;INDEX('Serial Reference'!$A$8:$W$8,1,MOD($A12-1,23)+1)&amp;TEXT(G$2+FLOOR((G$2-1)/9,1),"000"),"")</f>
        <v/>
      </c>
      <c r="H12" s="25" t="str">
        <f>IF(INDEX('Shot Map'!$B$6:$V$26,CEILING($A12/5,1),CEILING(H$2/5,1))=1,INDEX('Serial Reference'!$A$8:$W$8,1,FLOOR(($A12-1)/23,1)+1)&amp;INDEX('Serial Reference'!$A$8:$W$8,1,MOD($A12-1,23)+1)&amp;TEXT(H$2+FLOOR((H$2-1)/9,1),"000"),"")</f>
        <v/>
      </c>
      <c r="I12" s="25" t="str">
        <f>IF(INDEX('Shot Map'!$B$6:$V$26,CEILING($A12/5,1),CEILING(I$2/5,1))=1,INDEX('Serial Reference'!$A$8:$W$8,1,FLOOR(($A12-1)/23,1)+1)&amp;INDEX('Serial Reference'!$A$8:$W$8,1,MOD($A12-1,23)+1)&amp;TEXT(I$2+FLOOR((I$2-1)/9,1),"000"),"")</f>
        <v/>
      </c>
      <c r="J12" s="25" t="str">
        <f>IF(INDEX('Shot Map'!$B$6:$V$26,CEILING($A12/5,1),CEILING(J$2/5,1))=1,INDEX('Serial Reference'!$A$8:$W$8,1,FLOOR(($A12-1)/23,1)+1)&amp;INDEX('Serial Reference'!$A$8:$W$8,1,MOD($A12-1,23)+1)&amp;TEXT(J$2+FLOOR((J$2-1)/9,1),"000"),"")</f>
        <v/>
      </c>
      <c r="K12" s="26" t="str">
        <f>IF(INDEX('Shot Map'!$B$6:$V$26,CEILING($A12/5,1),CEILING(K$2/5,1))=1,INDEX('Serial Reference'!$A$8:$W$8,1,FLOOR(($A12-1)/23,1)+1)&amp;INDEX('Serial Reference'!$A$8:$W$8,1,MOD($A12-1,23)+1)&amp;TEXT(K$2+FLOOR((K$2-1)/9,1),"000"),"")</f>
        <v/>
      </c>
      <c r="L12" s="24" t="str">
        <f>IF(INDEX('Shot Map'!$B$6:$V$26,CEILING($A12/5,1),CEILING(L$2/5,1))=1,INDEX('Serial Reference'!$A$8:$W$8,1,FLOOR(($A12-1)/23,1)+1)&amp;INDEX('Serial Reference'!$A$8:$W$8,1,MOD($A12-1,23)+1)&amp;TEXT(L$2+FLOOR((L$2-1)/9,1),"000"),"")</f>
        <v/>
      </c>
      <c r="M12" s="25" t="str">
        <f>IF(INDEX('Shot Map'!$B$6:$V$26,CEILING($A12/5,1),CEILING(M$2/5,1))=1,INDEX('Serial Reference'!$A$8:$W$8,1,FLOOR(($A12-1)/23,1)+1)&amp;INDEX('Serial Reference'!$A$8:$W$8,1,MOD($A12-1,23)+1)&amp;TEXT(M$2+FLOOR((M$2-1)/9,1),"000"),"")</f>
        <v/>
      </c>
      <c r="N12" s="25" t="str">
        <f>IF(INDEX('Shot Map'!$B$6:$V$26,CEILING($A12/5,1),CEILING(N$2/5,1))=1,INDEX('Serial Reference'!$A$8:$W$8,1,FLOOR(($A12-1)/23,1)+1)&amp;INDEX('Serial Reference'!$A$8:$W$8,1,MOD($A12-1,23)+1)&amp;TEXT(N$2+FLOOR((N$2-1)/9,1),"000"),"")</f>
        <v/>
      </c>
      <c r="O12" s="25" t="str">
        <f>IF(INDEX('Shot Map'!$B$6:$V$26,CEILING($A12/5,1),CEILING(O$2/5,1))=1,INDEX('Serial Reference'!$A$8:$W$8,1,FLOOR(($A12-1)/23,1)+1)&amp;INDEX('Serial Reference'!$A$8:$W$8,1,MOD($A12-1,23)+1)&amp;TEXT(O$2+FLOOR((O$2-1)/9,1),"000"),"")</f>
        <v/>
      </c>
      <c r="P12" s="26" t="str">
        <f>IF(INDEX('Shot Map'!$B$6:$V$26,CEILING($A12/5,1),CEILING(P$2/5,1))=1,INDEX('Serial Reference'!$A$8:$W$8,1,FLOOR(($A12-1)/23,1)+1)&amp;INDEX('Serial Reference'!$A$8:$W$8,1,MOD($A12-1,23)+1)&amp;TEXT(P$2+FLOOR((P$2-1)/9,1),"000"),"")</f>
        <v/>
      </c>
      <c r="Q12" s="24" t="str">
        <f>IF(INDEX('Shot Map'!$B$6:$V$26,CEILING($A12/5,1),CEILING(Q$2/5,1))=1,INDEX('Serial Reference'!$A$8:$W$8,1,FLOOR(($A12-1)/23,1)+1)&amp;INDEX('Serial Reference'!$A$8:$W$8,1,MOD($A12-1,23)+1)&amp;TEXT(Q$2+FLOOR((Q$2-1)/9,1),"000"),"")</f>
        <v/>
      </c>
      <c r="R12" s="25" t="str">
        <f>IF(INDEX('Shot Map'!$B$6:$V$26,CEILING($A12/5,1),CEILING(R$2/5,1))=1,INDEX('Serial Reference'!$A$8:$W$8,1,FLOOR(($A12-1)/23,1)+1)&amp;INDEX('Serial Reference'!$A$8:$W$8,1,MOD($A12-1,23)+1)&amp;TEXT(R$2+FLOOR((R$2-1)/9,1),"000"),"")</f>
        <v/>
      </c>
      <c r="S12" s="25" t="str">
        <f>IF(INDEX('Shot Map'!$B$6:$V$26,CEILING($A12/5,1),CEILING(S$2/5,1))=1,INDEX('Serial Reference'!$A$8:$W$8,1,FLOOR(($A12-1)/23,1)+1)&amp;INDEX('Serial Reference'!$A$8:$W$8,1,MOD($A12-1,23)+1)&amp;TEXT(S$2+FLOOR((S$2-1)/9,1),"000"),"")</f>
        <v/>
      </c>
      <c r="T12" s="25" t="str">
        <f>IF(INDEX('Shot Map'!$B$6:$V$26,CEILING($A12/5,1),CEILING(T$2/5,1))=1,INDEX('Serial Reference'!$A$8:$W$8,1,FLOOR(($A12-1)/23,1)+1)&amp;INDEX('Serial Reference'!$A$8:$W$8,1,MOD($A12-1,23)+1)&amp;TEXT(T$2+FLOOR((T$2-1)/9,1),"000"),"")</f>
        <v/>
      </c>
      <c r="U12" s="26" t="str">
        <f>IF(INDEX('Shot Map'!$B$6:$V$26,CEILING($A12/5,1),CEILING(U$2/5,1))=1,INDEX('Serial Reference'!$A$8:$W$8,1,FLOOR(($A12-1)/23,1)+1)&amp;INDEX('Serial Reference'!$A$8:$W$8,1,MOD($A12-1,23)+1)&amp;TEXT(U$2+FLOOR((U$2-1)/9,1),"000"),"")</f>
        <v/>
      </c>
      <c r="V12" s="24" t="str">
        <f>IF(INDEX('Shot Map'!$B$6:$V$26,CEILING($A12/5,1),CEILING(V$2/5,1))=1,INDEX('Serial Reference'!$A$8:$W$8,1,FLOOR(($A12-1)/23,1)+1)&amp;INDEX('Serial Reference'!$A$8:$W$8,1,MOD($A12-1,23)+1)&amp;TEXT(V$2+FLOOR((V$2-1)/9,1),"000"),"")</f>
        <v/>
      </c>
      <c r="W12" s="25" t="str">
        <f>IF(INDEX('Shot Map'!$B$6:$V$26,CEILING($A12/5,1),CEILING(W$2/5,1))=1,INDEX('Serial Reference'!$A$8:$W$8,1,FLOOR(($A12-1)/23,1)+1)&amp;INDEX('Serial Reference'!$A$8:$W$8,1,MOD($A12-1,23)+1)&amp;TEXT(W$2+FLOOR((W$2-1)/9,1),"000"),"")</f>
        <v/>
      </c>
      <c r="X12" s="25" t="str">
        <f>IF(INDEX('Shot Map'!$B$6:$V$26,CEILING($A12/5,1),CEILING(X$2/5,1))=1,INDEX('Serial Reference'!$A$8:$W$8,1,FLOOR(($A12-1)/23,1)+1)&amp;INDEX('Serial Reference'!$A$8:$W$8,1,MOD($A12-1,23)+1)&amp;TEXT(X$2+FLOOR((X$2-1)/9,1),"000"),"")</f>
        <v/>
      </c>
      <c r="Y12" s="25" t="str">
        <f>IF(INDEX('Shot Map'!$B$6:$V$26,CEILING($A12/5,1),CEILING(Y$2/5,1))=1,INDEX('Serial Reference'!$A$8:$W$8,1,FLOOR(($A12-1)/23,1)+1)&amp;INDEX('Serial Reference'!$A$8:$W$8,1,MOD($A12-1,23)+1)&amp;TEXT(Y$2+FLOOR((Y$2-1)/9,1),"000"),"")</f>
        <v/>
      </c>
      <c r="Z12" s="26" t="str">
        <f>IF(INDEX('Shot Map'!$B$6:$V$26,CEILING($A12/5,1),CEILING(Z$2/5,1))=1,INDEX('Serial Reference'!$A$8:$W$8,1,FLOOR(($A12-1)/23,1)+1)&amp;INDEX('Serial Reference'!$A$8:$W$8,1,MOD($A12-1,23)+1)&amp;TEXT(Z$2+FLOOR((Z$2-1)/9,1),"000"),"")</f>
        <v/>
      </c>
      <c r="AA12" s="24" t="str">
        <f>IF(INDEX('Shot Map'!$B$6:$V$26,CEILING($A12/5,1),CEILING(AA$2/5,1))=1,INDEX('Serial Reference'!$A$8:$W$8,1,FLOOR(($A12-1)/23,1)+1)&amp;INDEX('Serial Reference'!$A$8:$W$8,1,MOD($A12-1,23)+1)&amp;TEXT(AA$2+FLOOR((AA$2-1)/9,1),"000"),"")</f>
        <v/>
      </c>
      <c r="AB12" s="25" t="str">
        <f>IF(INDEX('Shot Map'!$B$6:$V$26,CEILING($A12/5,1),CEILING(AB$2/5,1))=1,INDEX('Serial Reference'!$A$8:$W$8,1,FLOOR(($A12-1)/23,1)+1)&amp;INDEX('Serial Reference'!$A$8:$W$8,1,MOD($A12-1,23)+1)&amp;TEXT(AB$2+FLOOR((AB$2-1)/9,1),"000"),"")</f>
        <v/>
      </c>
      <c r="AC12" s="25" t="str">
        <f>IF(INDEX('Shot Map'!$B$6:$V$26,CEILING($A12/5,1),CEILING(AC$2/5,1))=1,INDEX('Serial Reference'!$A$8:$W$8,1,FLOOR(($A12-1)/23,1)+1)&amp;INDEX('Serial Reference'!$A$8:$W$8,1,MOD($A12-1,23)+1)&amp;TEXT(AC$2+FLOOR((AC$2-1)/9,1),"000"),"")</f>
        <v/>
      </c>
      <c r="AD12" s="25" t="str">
        <f>IF(INDEX('Shot Map'!$B$6:$V$26,CEILING($A12/5,1),CEILING(AD$2/5,1))=1,INDEX('Serial Reference'!$A$8:$W$8,1,FLOOR(($A12-1)/23,1)+1)&amp;INDEX('Serial Reference'!$A$8:$W$8,1,MOD($A12-1,23)+1)&amp;TEXT(AD$2+FLOOR((AD$2-1)/9,1),"000"),"")</f>
        <v/>
      </c>
      <c r="AE12" s="26" t="str">
        <f>IF(INDEX('Shot Map'!$B$6:$V$26,CEILING($A12/5,1),CEILING(AE$2/5,1))=1,INDEX('Serial Reference'!$A$8:$W$8,1,FLOOR(($A12-1)/23,1)+1)&amp;INDEX('Serial Reference'!$A$8:$W$8,1,MOD($A12-1,23)+1)&amp;TEXT(AE$2+FLOOR((AE$2-1)/9,1),"000"),"")</f>
        <v/>
      </c>
      <c r="AF12" s="24" t="str">
        <f>IF(INDEX('Shot Map'!$B$6:$V$26,CEILING($A12/5,1),CEILING(AF$2/5,1))=1,INDEX('Serial Reference'!$A$8:$W$8,1,FLOOR(($A12-1)/23,1)+1)&amp;INDEX('Serial Reference'!$A$8:$W$8,1,MOD($A12-1,23)+1)&amp;TEXT(AF$2+FLOOR((AF$2-1)/9,1),"000"),"")</f>
        <v>AK034</v>
      </c>
      <c r="AG12" s="25" t="str">
        <f>IF(INDEX('Shot Map'!$B$6:$V$26,CEILING($A12/5,1),CEILING(AG$2/5,1))=1,INDEX('Serial Reference'!$A$8:$W$8,1,FLOOR(($A12-1)/23,1)+1)&amp;INDEX('Serial Reference'!$A$8:$W$8,1,MOD($A12-1,23)+1)&amp;TEXT(AG$2+FLOOR((AG$2-1)/9,1),"000"),"")</f>
        <v>AK035</v>
      </c>
      <c r="AH12" s="25" t="str">
        <f>IF(INDEX('Shot Map'!$B$6:$V$26,CEILING($A12/5,1),CEILING(AH$2/5,1))=1,INDEX('Serial Reference'!$A$8:$W$8,1,FLOOR(($A12-1)/23,1)+1)&amp;INDEX('Serial Reference'!$A$8:$W$8,1,MOD($A12-1,23)+1)&amp;TEXT(AH$2+FLOOR((AH$2-1)/9,1),"000"),"")</f>
        <v>AK036</v>
      </c>
      <c r="AI12" s="25" t="str">
        <f>IF(INDEX('Shot Map'!$B$6:$V$26,CEILING($A12/5,1),CEILING(AI$2/5,1))=1,INDEX('Serial Reference'!$A$8:$W$8,1,FLOOR(($A12-1)/23,1)+1)&amp;INDEX('Serial Reference'!$A$8:$W$8,1,MOD($A12-1,23)+1)&amp;TEXT(AI$2+FLOOR((AI$2-1)/9,1),"000"),"")</f>
        <v>AK037</v>
      </c>
      <c r="AJ12" s="26" t="str">
        <f>IF(INDEX('Shot Map'!$B$6:$V$26,CEILING($A12/5,1),CEILING(AJ$2/5,1))=1,INDEX('Serial Reference'!$A$8:$W$8,1,FLOOR(($A12-1)/23,1)+1)&amp;INDEX('Serial Reference'!$A$8:$W$8,1,MOD($A12-1,23)+1)&amp;TEXT(AJ$2+FLOOR((AJ$2-1)/9,1),"000"),"")</f>
        <v>AK038</v>
      </c>
      <c r="AK12" s="24" t="str">
        <f>IF(INDEX('Shot Map'!$B$6:$V$26,CEILING($A12/5,1),CEILING(AK$2/5,1))=1,INDEX('Serial Reference'!$A$8:$W$8,1,FLOOR(($A12-1)/23,1)+1)&amp;INDEX('Serial Reference'!$A$8:$W$8,1,MOD($A12-1,23)+1)&amp;TEXT(AK$2+FLOOR((AK$2-1)/9,1),"000"),"")</f>
        <v>AK039</v>
      </c>
      <c r="AL12" s="25" t="str">
        <f>IF(INDEX('Shot Map'!$B$6:$V$26,CEILING($A12/5,1),CEILING(AL$2/5,1))=1,INDEX('Serial Reference'!$A$8:$W$8,1,FLOOR(($A12-1)/23,1)+1)&amp;INDEX('Serial Reference'!$A$8:$W$8,1,MOD($A12-1,23)+1)&amp;TEXT(AL$2+FLOOR((AL$2-1)/9,1),"000"),"")</f>
        <v>AK041</v>
      </c>
      <c r="AM12" s="25" t="str">
        <f>IF(INDEX('Shot Map'!$B$6:$V$26,CEILING($A12/5,1),CEILING(AM$2/5,1))=1,INDEX('Serial Reference'!$A$8:$W$8,1,FLOOR(($A12-1)/23,1)+1)&amp;INDEX('Serial Reference'!$A$8:$W$8,1,MOD($A12-1,23)+1)&amp;TEXT(AM$2+FLOOR((AM$2-1)/9,1),"000"),"")</f>
        <v>AK042</v>
      </c>
      <c r="AN12" s="25" t="str">
        <f>IF(INDEX('Shot Map'!$B$6:$V$26,CEILING($A12/5,1),CEILING(AN$2/5,1))=1,INDEX('Serial Reference'!$A$8:$W$8,1,FLOOR(($A12-1)/23,1)+1)&amp;INDEX('Serial Reference'!$A$8:$W$8,1,MOD($A12-1,23)+1)&amp;TEXT(AN$2+FLOOR((AN$2-1)/9,1),"000"),"")</f>
        <v>AK043</v>
      </c>
      <c r="AO12" s="26" t="str">
        <f>IF(INDEX('Shot Map'!$B$6:$V$26,CEILING($A12/5,1),CEILING(AO$2/5,1))=1,INDEX('Serial Reference'!$A$8:$W$8,1,FLOOR(($A12-1)/23,1)+1)&amp;INDEX('Serial Reference'!$A$8:$W$8,1,MOD($A12-1,23)+1)&amp;TEXT(AO$2+FLOOR((AO$2-1)/9,1),"000"),"")</f>
        <v>AK044</v>
      </c>
      <c r="AP12" s="24" t="str">
        <f>IF(INDEX('Shot Map'!$B$6:$V$26,CEILING($A12/5,1),CEILING(AP$2/5,1))=1,INDEX('Serial Reference'!$A$8:$W$8,1,FLOOR(($A12-1)/23,1)+1)&amp;INDEX('Serial Reference'!$A$8:$W$8,1,MOD($A12-1,23)+1)&amp;TEXT(AP$2+FLOOR((AP$2-1)/9,1),"000"),"")</f>
        <v>AK045</v>
      </c>
      <c r="AQ12" s="25" t="str">
        <f>IF(INDEX('Shot Map'!$B$6:$V$26,CEILING($A12/5,1),CEILING(AQ$2/5,1))=1,INDEX('Serial Reference'!$A$8:$W$8,1,FLOOR(($A12-1)/23,1)+1)&amp;INDEX('Serial Reference'!$A$8:$W$8,1,MOD($A12-1,23)+1)&amp;TEXT(AQ$2+FLOOR((AQ$2-1)/9,1),"000"),"")</f>
        <v>AK046</v>
      </c>
      <c r="AR12" s="25" t="str">
        <f>IF(INDEX('Shot Map'!$B$6:$V$26,CEILING($A12/5,1),CEILING(AR$2/5,1))=1,INDEX('Serial Reference'!$A$8:$W$8,1,FLOOR(($A12-1)/23,1)+1)&amp;INDEX('Serial Reference'!$A$8:$W$8,1,MOD($A12-1,23)+1)&amp;TEXT(AR$2+FLOOR((AR$2-1)/9,1),"000"),"")</f>
        <v>AK047</v>
      </c>
      <c r="AS12" s="25" t="str">
        <f>IF(INDEX('Shot Map'!$B$6:$V$26,CEILING($A12/5,1),CEILING(AS$2/5,1))=1,INDEX('Serial Reference'!$A$8:$W$8,1,FLOOR(($A12-1)/23,1)+1)&amp;INDEX('Serial Reference'!$A$8:$W$8,1,MOD($A12-1,23)+1)&amp;TEXT(AS$2+FLOOR((AS$2-1)/9,1),"000"),"")</f>
        <v>AK048</v>
      </c>
      <c r="AT12" s="26" t="str">
        <f>IF(INDEX('Shot Map'!$B$6:$V$26,CEILING($A12/5,1),CEILING(AT$2/5,1))=1,INDEX('Serial Reference'!$A$8:$W$8,1,FLOOR(($A12-1)/23,1)+1)&amp;INDEX('Serial Reference'!$A$8:$W$8,1,MOD($A12-1,23)+1)&amp;TEXT(AT$2+FLOOR((AT$2-1)/9,1),"000"),"")</f>
        <v>AK049</v>
      </c>
      <c r="AU12" s="24" t="str">
        <f>IF(INDEX('Shot Map'!$B$6:$V$26,CEILING($A12/5,1),CEILING(AU$2/5,1))=1,INDEX('Serial Reference'!$A$8:$W$8,1,FLOOR(($A12-1)/23,1)+1)&amp;INDEX('Serial Reference'!$A$8:$W$8,1,MOD($A12-1,23)+1)&amp;TEXT(AU$2+FLOOR((AU$2-1)/9,1),"000"),"")</f>
        <v>AK051</v>
      </c>
      <c r="AV12" s="25" t="str">
        <f>IF(INDEX('Shot Map'!$B$6:$V$26,CEILING($A12/5,1),CEILING(AV$2/5,1))=1,INDEX('Serial Reference'!$A$8:$W$8,1,FLOOR(($A12-1)/23,1)+1)&amp;INDEX('Serial Reference'!$A$8:$W$8,1,MOD($A12-1,23)+1)&amp;TEXT(AV$2+FLOOR((AV$2-1)/9,1),"000"),"")</f>
        <v>AK052</v>
      </c>
      <c r="AW12" s="25" t="str">
        <f>IF(INDEX('Shot Map'!$B$6:$V$26,CEILING($A12/5,1),CEILING(AW$2/5,1))=1,INDEX('Serial Reference'!$A$8:$W$8,1,FLOOR(($A12-1)/23,1)+1)&amp;INDEX('Serial Reference'!$A$8:$W$8,1,MOD($A12-1,23)+1)&amp;TEXT(AW$2+FLOOR((AW$2-1)/9,1),"000"),"")</f>
        <v>AK053</v>
      </c>
      <c r="AX12" s="25" t="str">
        <f>IF(INDEX('Shot Map'!$B$6:$V$26,CEILING($A12/5,1),CEILING(AX$2/5,1))=1,INDEX('Serial Reference'!$A$8:$W$8,1,FLOOR(($A12-1)/23,1)+1)&amp;INDEX('Serial Reference'!$A$8:$W$8,1,MOD($A12-1,23)+1)&amp;TEXT(AX$2+FLOOR((AX$2-1)/9,1),"000"),"")</f>
        <v>AK054</v>
      </c>
      <c r="AY12" s="26" t="str">
        <f>IF(INDEX('Shot Map'!$B$6:$V$26,CEILING($A12/5,1),CEILING(AY$2/5,1))=1,INDEX('Serial Reference'!$A$8:$W$8,1,FLOOR(($A12-1)/23,1)+1)&amp;INDEX('Serial Reference'!$A$8:$W$8,1,MOD($A12-1,23)+1)&amp;TEXT(AY$2+FLOOR((AY$2-1)/9,1),"000"),"")</f>
        <v>AK055</v>
      </c>
      <c r="AZ12" s="24" t="str">
        <f>IF(INDEX('Shot Map'!$B$6:$V$26,CEILING($A12/5,1),CEILING(AZ$2/5,1))=1,INDEX('Serial Reference'!$A$8:$W$8,1,FLOOR(($A12-1)/23,1)+1)&amp;INDEX('Serial Reference'!$A$8:$W$8,1,MOD($A12-1,23)+1)&amp;TEXT(AZ$2+FLOOR((AZ$2-1)/9,1),"000"),"")</f>
        <v>AK056</v>
      </c>
      <c r="BA12" s="25" t="str">
        <f>IF(INDEX('Shot Map'!$B$6:$V$26,CEILING($A12/5,1),CEILING(BA$2/5,1))=1,INDEX('Serial Reference'!$A$8:$W$8,1,FLOOR(($A12-1)/23,1)+1)&amp;INDEX('Serial Reference'!$A$8:$W$8,1,MOD($A12-1,23)+1)&amp;TEXT(BA$2+FLOOR((BA$2-1)/9,1),"000"),"")</f>
        <v>AK057</v>
      </c>
      <c r="BB12" s="25" t="str">
        <f>IF(INDEX('Shot Map'!$B$6:$V$26,CEILING($A12/5,1),CEILING(BB$2/5,1))=1,INDEX('Serial Reference'!$A$8:$W$8,1,FLOOR(($A12-1)/23,1)+1)&amp;INDEX('Serial Reference'!$A$8:$W$8,1,MOD($A12-1,23)+1)&amp;TEXT(BB$2+FLOOR((BB$2-1)/9,1),"000"),"")</f>
        <v>AK058</v>
      </c>
      <c r="BC12" s="25" t="str">
        <f>IF(INDEX('Shot Map'!$B$6:$V$26,CEILING($A12/5,1),CEILING(BC$2/5,1))=1,INDEX('Serial Reference'!$A$8:$W$8,1,FLOOR(($A12-1)/23,1)+1)&amp;INDEX('Serial Reference'!$A$8:$W$8,1,MOD($A12-1,23)+1)&amp;TEXT(BC$2+FLOOR((BC$2-1)/9,1),"000"),"")</f>
        <v>AK059</v>
      </c>
      <c r="BD12" s="26" t="str">
        <f>IF(INDEX('Shot Map'!$B$6:$V$26,CEILING($A12/5,1),CEILING(BD$2/5,1))=1,INDEX('Serial Reference'!$A$8:$W$8,1,FLOOR(($A12-1)/23,1)+1)&amp;INDEX('Serial Reference'!$A$8:$W$8,1,MOD($A12-1,23)+1)&amp;TEXT(BD$2+FLOOR((BD$2-1)/9,1),"000"),"")</f>
        <v>AK061</v>
      </c>
      <c r="BE12" s="24" t="str">
        <f>IF(INDEX('Shot Map'!$B$6:$V$26,CEILING($A12/5,1),CEILING(BE$2/5,1))=1,INDEX('Serial Reference'!$A$8:$W$8,1,FLOOR(($A12-1)/23,1)+1)&amp;INDEX('Serial Reference'!$A$8:$W$8,1,MOD($A12-1,23)+1)&amp;TEXT(BE$2+FLOOR((BE$2-1)/9,1),"000"),"")</f>
        <v>AK062</v>
      </c>
      <c r="BF12" s="25" t="str">
        <f>IF(INDEX('Shot Map'!$B$6:$V$26,CEILING($A12/5,1),CEILING(BF$2/5,1))=1,INDEX('Serial Reference'!$A$8:$W$8,1,FLOOR(($A12-1)/23,1)+1)&amp;INDEX('Serial Reference'!$A$8:$W$8,1,MOD($A12-1,23)+1)&amp;TEXT(BF$2+FLOOR((BF$2-1)/9,1),"000"),"")</f>
        <v>AK063</v>
      </c>
      <c r="BG12" s="25" t="str">
        <f>IF(INDEX('Shot Map'!$B$6:$V$26,CEILING($A12/5,1),CEILING(BG$2/5,1))=1,INDEX('Serial Reference'!$A$8:$W$8,1,FLOOR(($A12-1)/23,1)+1)&amp;INDEX('Serial Reference'!$A$8:$W$8,1,MOD($A12-1,23)+1)&amp;TEXT(BG$2+FLOOR((BG$2-1)/9,1),"000"),"")</f>
        <v>AK064</v>
      </c>
      <c r="BH12" s="25" t="str">
        <f>IF(INDEX('Shot Map'!$B$6:$V$26,CEILING($A12/5,1),CEILING(BH$2/5,1))=1,INDEX('Serial Reference'!$A$8:$W$8,1,FLOOR(($A12-1)/23,1)+1)&amp;INDEX('Serial Reference'!$A$8:$W$8,1,MOD($A12-1,23)+1)&amp;TEXT(BH$2+FLOOR((BH$2-1)/9,1),"000"),"")</f>
        <v>AK065</v>
      </c>
      <c r="BI12" s="26" t="str">
        <f>IF(INDEX('Shot Map'!$B$6:$V$26,CEILING($A12/5,1),CEILING(BI$2/5,1))=1,INDEX('Serial Reference'!$A$8:$W$8,1,FLOOR(($A12-1)/23,1)+1)&amp;INDEX('Serial Reference'!$A$8:$W$8,1,MOD($A12-1,23)+1)&amp;TEXT(BI$2+FLOOR((BI$2-1)/9,1),"000"),"")</f>
        <v>AK066</v>
      </c>
      <c r="BJ12" s="24" t="str">
        <f>IF(INDEX('Shot Map'!$B$6:$V$26,CEILING($A12/5,1),CEILING(BJ$2/5,1))=1,INDEX('Serial Reference'!$A$8:$W$8,1,FLOOR(($A12-1)/23,1)+1)&amp;INDEX('Serial Reference'!$A$8:$W$8,1,MOD($A12-1,23)+1)&amp;TEXT(BJ$2+FLOOR((BJ$2-1)/9,1),"000"),"")</f>
        <v>AK067</v>
      </c>
      <c r="BK12" s="25" t="str">
        <f>IF(INDEX('Shot Map'!$B$6:$V$26,CEILING($A12/5,1),CEILING(BK$2/5,1))=1,INDEX('Serial Reference'!$A$8:$W$8,1,FLOOR(($A12-1)/23,1)+1)&amp;INDEX('Serial Reference'!$A$8:$W$8,1,MOD($A12-1,23)+1)&amp;TEXT(BK$2+FLOOR((BK$2-1)/9,1),"000"),"")</f>
        <v>AK068</v>
      </c>
      <c r="BL12" s="25" t="str">
        <f>IF(INDEX('Shot Map'!$B$6:$V$26,CEILING($A12/5,1),CEILING(BL$2/5,1))=1,INDEX('Serial Reference'!$A$8:$W$8,1,FLOOR(($A12-1)/23,1)+1)&amp;INDEX('Serial Reference'!$A$8:$W$8,1,MOD($A12-1,23)+1)&amp;TEXT(BL$2+FLOOR((BL$2-1)/9,1),"000"),"")</f>
        <v>AK069</v>
      </c>
      <c r="BM12" s="25" t="str">
        <f>IF(INDEX('Shot Map'!$B$6:$V$26,CEILING($A12/5,1),CEILING(BM$2/5,1))=1,INDEX('Serial Reference'!$A$8:$W$8,1,FLOOR(($A12-1)/23,1)+1)&amp;INDEX('Serial Reference'!$A$8:$W$8,1,MOD($A12-1,23)+1)&amp;TEXT(BM$2+FLOOR((BM$2-1)/9,1),"000"),"")</f>
        <v>AK071</v>
      </c>
      <c r="BN12" s="26" t="str">
        <f>IF(INDEX('Shot Map'!$B$6:$V$26,CEILING($A12/5,1),CEILING(BN$2/5,1))=1,INDEX('Serial Reference'!$A$8:$W$8,1,FLOOR(($A12-1)/23,1)+1)&amp;INDEX('Serial Reference'!$A$8:$W$8,1,MOD($A12-1,23)+1)&amp;TEXT(BN$2+FLOOR((BN$2-1)/9,1),"000"),"")</f>
        <v>AK072</v>
      </c>
      <c r="BO12" s="24" t="str">
        <f>IF(INDEX('Shot Map'!$B$6:$V$26,CEILING($A12/5,1),CEILING(BO$2/5,1))=1,INDEX('Serial Reference'!$A$8:$W$8,1,FLOOR(($A12-1)/23,1)+1)&amp;INDEX('Serial Reference'!$A$8:$W$8,1,MOD($A12-1,23)+1)&amp;TEXT(BO$2+FLOOR((BO$2-1)/9,1),"000"),"")</f>
        <v>AK073</v>
      </c>
      <c r="BP12" s="25" t="str">
        <f>IF(INDEX('Shot Map'!$B$6:$V$26,CEILING($A12/5,1),CEILING(BP$2/5,1))=1,INDEX('Serial Reference'!$A$8:$W$8,1,FLOOR(($A12-1)/23,1)+1)&amp;INDEX('Serial Reference'!$A$8:$W$8,1,MOD($A12-1,23)+1)&amp;TEXT(BP$2+FLOOR((BP$2-1)/9,1),"000"),"")</f>
        <v>AK074</v>
      </c>
      <c r="BQ12" s="25" t="str">
        <f>IF(INDEX('Shot Map'!$B$6:$V$26,CEILING($A12/5,1),CEILING(BQ$2/5,1))=1,INDEX('Serial Reference'!$A$8:$W$8,1,FLOOR(($A12-1)/23,1)+1)&amp;INDEX('Serial Reference'!$A$8:$W$8,1,MOD($A12-1,23)+1)&amp;TEXT(BQ$2+FLOOR((BQ$2-1)/9,1),"000"),"")</f>
        <v>AK075</v>
      </c>
      <c r="BR12" s="25" t="str">
        <f>IF(INDEX('Shot Map'!$B$6:$V$26,CEILING($A12/5,1),CEILING(BR$2/5,1))=1,INDEX('Serial Reference'!$A$8:$W$8,1,FLOOR(($A12-1)/23,1)+1)&amp;INDEX('Serial Reference'!$A$8:$W$8,1,MOD($A12-1,23)+1)&amp;TEXT(BR$2+FLOOR((BR$2-1)/9,1),"000"),"")</f>
        <v>AK076</v>
      </c>
      <c r="BS12" s="26" t="str">
        <f>IF(INDEX('Shot Map'!$B$6:$V$26,CEILING($A12/5,1),CEILING(BS$2/5,1))=1,INDEX('Serial Reference'!$A$8:$W$8,1,FLOOR(($A12-1)/23,1)+1)&amp;INDEX('Serial Reference'!$A$8:$W$8,1,MOD($A12-1,23)+1)&amp;TEXT(BS$2+FLOOR((BS$2-1)/9,1),"000"),"")</f>
        <v>AK077</v>
      </c>
      <c r="BT12" s="24" t="str">
        <f>IF(INDEX('Shot Map'!$B$6:$V$26,CEILING($A12/5,1),CEILING(BT$2/5,1))=1,INDEX('Serial Reference'!$A$8:$W$8,1,FLOOR(($A12-1)/23,1)+1)&amp;INDEX('Serial Reference'!$A$8:$W$8,1,MOD($A12-1,23)+1)&amp;TEXT(BT$2+FLOOR((BT$2-1)/9,1),"000"),"")</f>
        <v>AK078</v>
      </c>
      <c r="BU12" s="25" t="str">
        <f>IF(INDEX('Shot Map'!$B$6:$V$26,CEILING($A12/5,1),CEILING(BU$2/5,1))=1,INDEX('Serial Reference'!$A$8:$W$8,1,FLOOR(($A12-1)/23,1)+1)&amp;INDEX('Serial Reference'!$A$8:$W$8,1,MOD($A12-1,23)+1)&amp;TEXT(BU$2+FLOOR((BU$2-1)/9,1),"000"),"")</f>
        <v>AK079</v>
      </c>
      <c r="BV12" s="25" t="str">
        <f>IF(INDEX('Shot Map'!$B$6:$V$26,CEILING($A12/5,1),CEILING(BV$2/5,1))=1,INDEX('Serial Reference'!$A$8:$W$8,1,FLOOR(($A12-1)/23,1)+1)&amp;INDEX('Serial Reference'!$A$8:$W$8,1,MOD($A12-1,23)+1)&amp;TEXT(BV$2+FLOOR((BV$2-1)/9,1),"000"),"")</f>
        <v>AK081</v>
      </c>
      <c r="BW12" s="25" t="str">
        <f>IF(INDEX('Shot Map'!$B$6:$V$26,CEILING($A12/5,1),CEILING(BW$2/5,1))=1,INDEX('Serial Reference'!$A$8:$W$8,1,FLOOR(($A12-1)/23,1)+1)&amp;INDEX('Serial Reference'!$A$8:$W$8,1,MOD($A12-1,23)+1)&amp;TEXT(BW$2+FLOOR((BW$2-1)/9,1),"000"),"")</f>
        <v>AK082</v>
      </c>
      <c r="BX12" s="26" t="str">
        <f>IF(INDEX('Shot Map'!$B$6:$V$26,CEILING($A12/5,1),CEILING(BX$2/5,1))=1,INDEX('Serial Reference'!$A$8:$W$8,1,FLOOR(($A12-1)/23,1)+1)&amp;INDEX('Serial Reference'!$A$8:$W$8,1,MOD($A12-1,23)+1)&amp;TEXT(BX$2+FLOOR((BX$2-1)/9,1),"000"),"")</f>
        <v>AK083</v>
      </c>
      <c r="BY12" s="24" t="str">
        <f>IF(INDEX('Shot Map'!$B$6:$V$26,CEILING($A12/5,1),CEILING(BY$2/5,1))=1,INDEX('Serial Reference'!$A$8:$W$8,1,FLOOR(($A12-1)/23,1)+1)&amp;INDEX('Serial Reference'!$A$8:$W$8,1,MOD($A12-1,23)+1)&amp;TEXT(BY$2+FLOOR((BY$2-1)/9,1),"000"),"")</f>
        <v/>
      </c>
      <c r="BZ12" s="25" t="str">
        <f>IF(INDEX('Shot Map'!$B$6:$V$26,CEILING($A12/5,1),CEILING(BZ$2/5,1))=1,INDEX('Serial Reference'!$A$8:$W$8,1,FLOOR(($A12-1)/23,1)+1)&amp;INDEX('Serial Reference'!$A$8:$W$8,1,MOD($A12-1,23)+1)&amp;TEXT(BZ$2+FLOOR((BZ$2-1)/9,1),"000"),"")</f>
        <v/>
      </c>
      <c r="CA12" s="25" t="str">
        <f>IF(INDEX('Shot Map'!$B$6:$V$26,CEILING($A12/5,1),CEILING(CA$2/5,1))=1,INDEX('Serial Reference'!$A$8:$W$8,1,FLOOR(($A12-1)/23,1)+1)&amp;INDEX('Serial Reference'!$A$8:$W$8,1,MOD($A12-1,23)+1)&amp;TEXT(CA$2+FLOOR((CA$2-1)/9,1),"000"),"")</f>
        <v/>
      </c>
      <c r="CB12" s="25" t="str">
        <f>IF(INDEX('Shot Map'!$B$6:$V$26,CEILING($A12/5,1),CEILING(CB$2/5,1))=1,INDEX('Serial Reference'!$A$8:$W$8,1,FLOOR(($A12-1)/23,1)+1)&amp;INDEX('Serial Reference'!$A$8:$W$8,1,MOD($A12-1,23)+1)&amp;TEXT(CB$2+FLOOR((CB$2-1)/9,1),"000"),"")</f>
        <v/>
      </c>
      <c r="CC12" s="26" t="str">
        <f>IF(INDEX('Shot Map'!$B$6:$V$26,CEILING($A12/5,1),CEILING(CC$2/5,1))=1,INDEX('Serial Reference'!$A$8:$W$8,1,FLOOR(($A12-1)/23,1)+1)&amp;INDEX('Serial Reference'!$A$8:$W$8,1,MOD($A12-1,23)+1)&amp;TEXT(CC$2+FLOOR((CC$2-1)/9,1),"000"),"")</f>
        <v/>
      </c>
      <c r="CD12" s="24" t="str">
        <f>IF(INDEX('Shot Map'!$B$6:$V$26,CEILING($A12/5,1),CEILING(CD$2/5,1))=1,INDEX('Serial Reference'!$A$8:$W$8,1,FLOOR(($A12-1)/23,1)+1)&amp;INDEX('Serial Reference'!$A$8:$W$8,1,MOD($A12-1,23)+1)&amp;TEXT(CD$2+FLOOR((CD$2-1)/9,1),"000"),"")</f>
        <v/>
      </c>
      <c r="CE12" s="25" t="str">
        <f>IF(INDEX('Shot Map'!$B$6:$V$26,CEILING($A12/5,1),CEILING(CE$2/5,1))=1,INDEX('Serial Reference'!$A$8:$W$8,1,FLOOR(($A12-1)/23,1)+1)&amp;INDEX('Serial Reference'!$A$8:$W$8,1,MOD($A12-1,23)+1)&amp;TEXT(CE$2+FLOOR((CE$2-1)/9,1),"000"),"")</f>
        <v/>
      </c>
      <c r="CF12" s="25" t="str">
        <f>IF(INDEX('Shot Map'!$B$6:$V$26,CEILING($A12/5,1),CEILING(CF$2/5,1))=1,INDEX('Serial Reference'!$A$8:$W$8,1,FLOOR(($A12-1)/23,1)+1)&amp;INDEX('Serial Reference'!$A$8:$W$8,1,MOD($A12-1,23)+1)&amp;TEXT(CF$2+FLOOR((CF$2-1)/9,1),"000"),"")</f>
        <v/>
      </c>
      <c r="CG12" s="25" t="str">
        <f>IF(INDEX('Shot Map'!$B$6:$V$26,CEILING($A12/5,1),CEILING(CG$2/5,1))=1,INDEX('Serial Reference'!$A$8:$W$8,1,FLOOR(($A12-1)/23,1)+1)&amp;INDEX('Serial Reference'!$A$8:$W$8,1,MOD($A12-1,23)+1)&amp;TEXT(CG$2+FLOOR((CG$2-1)/9,1),"000"),"")</f>
        <v/>
      </c>
      <c r="CH12" s="26" t="str">
        <f>IF(INDEX('Shot Map'!$B$6:$V$26,CEILING($A12/5,1),CEILING(CH$2/5,1))=1,INDEX('Serial Reference'!$A$8:$W$8,1,FLOOR(($A12-1)/23,1)+1)&amp;INDEX('Serial Reference'!$A$8:$W$8,1,MOD($A12-1,23)+1)&amp;TEXT(CH$2+FLOOR((CH$2-1)/9,1),"000"),"")</f>
        <v/>
      </c>
      <c r="CI12" s="24" t="str">
        <f>IF(INDEX('Shot Map'!$B$6:$V$26,CEILING($A12/5,1),CEILING(CI$2/5,1))=1,INDEX('Serial Reference'!$A$8:$W$8,1,FLOOR(($A12-1)/23,1)+1)&amp;INDEX('Serial Reference'!$A$8:$W$8,1,MOD($A12-1,23)+1)&amp;TEXT(CI$2+FLOOR((CI$2-1)/9,1),"000"),"")</f>
        <v/>
      </c>
      <c r="CJ12" s="25" t="str">
        <f>IF(INDEX('Shot Map'!$B$6:$V$26,CEILING($A12/5,1),CEILING(CJ$2/5,1))=1,INDEX('Serial Reference'!$A$8:$W$8,1,FLOOR(($A12-1)/23,1)+1)&amp;INDEX('Serial Reference'!$A$8:$W$8,1,MOD($A12-1,23)+1)&amp;TEXT(CJ$2+FLOOR((CJ$2-1)/9,1),"000"),"")</f>
        <v/>
      </c>
      <c r="CK12" s="25" t="str">
        <f>IF(INDEX('Shot Map'!$B$6:$V$26,CEILING($A12/5,1),CEILING(CK$2/5,1))=1,INDEX('Serial Reference'!$A$8:$W$8,1,FLOOR(($A12-1)/23,1)+1)&amp;INDEX('Serial Reference'!$A$8:$W$8,1,MOD($A12-1,23)+1)&amp;TEXT(CK$2+FLOOR((CK$2-1)/9,1),"000"),"")</f>
        <v/>
      </c>
      <c r="CL12" s="25" t="str">
        <f>IF(INDEX('Shot Map'!$B$6:$V$26,CEILING($A12/5,1),CEILING(CL$2/5,1))=1,INDEX('Serial Reference'!$A$8:$W$8,1,FLOOR(($A12-1)/23,1)+1)&amp;INDEX('Serial Reference'!$A$8:$W$8,1,MOD($A12-1,23)+1)&amp;TEXT(CL$2+FLOOR((CL$2-1)/9,1),"000"),"")</f>
        <v/>
      </c>
      <c r="CM12" s="26" t="str">
        <f>IF(INDEX('Shot Map'!$B$6:$V$26,CEILING($A12/5,1),CEILING(CM$2/5,1))=1,INDEX('Serial Reference'!$A$8:$W$8,1,FLOOR(($A12-1)/23,1)+1)&amp;INDEX('Serial Reference'!$A$8:$W$8,1,MOD($A12-1,23)+1)&amp;TEXT(CM$2+FLOOR((CM$2-1)/9,1),"000"),"")</f>
        <v/>
      </c>
      <c r="CN12" s="24" t="str">
        <f>IF(INDEX('Shot Map'!$B$6:$V$26,CEILING($A12/5,1),CEILING(CN$2/5,1))=1,INDEX('Serial Reference'!$A$8:$W$8,1,FLOOR(($A12-1)/23,1)+1)&amp;INDEX('Serial Reference'!$A$8:$W$8,1,MOD($A12-1,23)+1)&amp;TEXT(CN$2+FLOOR((CN$2-1)/9,1),"000"),"")</f>
        <v/>
      </c>
      <c r="CO12" s="25" t="str">
        <f>IF(INDEX('Shot Map'!$B$6:$V$26,CEILING($A12/5,1),CEILING(CO$2/5,1))=1,INDEX('Serial Reference'!$A$8:$W$8,1,FLOOR(($A12-1)/23,1)+1)&amp;INDEX('Serial Reference'!$A$8:$W$8,1,MOD($A12-1,23)+1)&amp;TEXT(CO$2+FLOOR((CO$2-1)/9,1),"000"),"")</f>
        <v/>
      </c>
      <c r="CP12" s="25" t="str">
        <f>IF(INDEX('Shot Map'!$B$6:$V$26,CEILING($A12/5,1),CEILING(CP$2/5,1))=1,INDEX('Serial Reference'!$A$8:$W$8,1,FLOOR(($A12-1)/23,1)+1)&amp;INDEX('Serial Reference'!$A$8:$W$8,1,MOD($A12-1,23)+1)&amp;TEXT(CP$2+FLOOR((CP$2-1)/9,1),"000"),"")</f>
        <v/>
      </c>
      <c r="CQ12" s="25" t="str">
        <f>IF(INDEX('Shot Map'!$B$6:$V$26,CEILING($A12/5,1),CEILING(CQ$2/5,1))=1,INDEX('Serial Reference'!$A$8:$W$8,1,FLOOR(($A12-1)/23,1)+1)&amp;INDEX('Serial Reference'!$A$8:$W$8,1,MOD($A12-1,23)+1)&amp;TEXT(CQ$2+FLOOR((CQ$2-1)/9,1),"000"),"")</f>
        <v/>
      </c>
      <c r="CR12" s="26" t="str">
        <f>IF(INDEX('Shot Map'!$B$6:$V$26,CEILING($A12/5,1),CEILING(CR$2/5,1))=1,INDEX('Serial Reference'!$A$8:$W$8,1,FLOOR(($A12-1)/23,1)+1)&amp;INDEX('Serial Reference'!$A$8:$W$8,1,MOD($A12-1,23)+1)&amp;TEXT(CR$2+FLOOR((CR$2-1)/9,1),"000"),"")</f>
        <v/>
      </c>
      <c r="CS12" s="24" t="str">
        <f>IF(INDEX('Shot Map'!$B$6:$V$26,CEILING($A12/5,1),CEILING(CS$2/5,1))=1,INDEX('Serial Reference'!$A$8:$W$8,1,FLOOR(($A12-1)/23,1)+1)&amp;INDEX('Serial Reference'!$A$8:$W$8,1,MOD($A12-1,23)+1)&amp;TEXT(CS$2+FLOOR((CS$2-1)/9,1),"000"),"")</f>
        <v/>
      </c>
      <c r="CT12" s="25" t="str">
        <f>IF(INDEX('Shot Map'!$B$6:$V$26,CEILING($A12/5,1),CEILING(CT$2/5,1))=1,INDEX('Serial Reference'!$A$8:$W$8,1,FLOOR(($A12-1)/23,1)+1)&amp;INDEX('Serial Reference'!$A$8:$W$8,1,MOD($A12-1,23)+1)&amp;TEXT(CT$2+FLOOR((CT$2-1)/9,1),"000"),"")</f>
        <v/>
      </c>
      <c r="CU12" s="25" t="str">
        <f>IF(INDEX('Shot Map'!$B$6:$V$26,CEILING($A12/5,1),CEILING(CU$2/5,1))=1,INDEX('Serial Reference'!$A$8:$W$8,1,FLOOR(($A12-1)/23,1)+1)&amp;INDEX('Serial Reference'!$A$8:$W$8,1,MOD($A12-1,23)+1)&amp;TEXT(CU$2+FLOOR((CU$2-1)/9,1),"000"),"")</f>
        <v/>
      </c>
      <c r="CV12" s="25" t="str">
        <f>IF(INDEX('Shot Map'!$B$6:$V$26,CEILING($A12/5,1),CEILING(CV$2/5,1))=1,INDEX('Serial Reference'!$A$8:$W$8,1,FLOOR(($A12-1)/23,1)+1)&amp;INDEX('Serial Reference'!$A$8:$W$8,1,MOD($A12-1,23)+1)&amp;TEXT(CV$2+FLOOR((CV$2-1)/9,1),"000"),"")</f>
        <v/>
      </c>
      <c r="CW12" s="26" t="str">
        <f>IF(INDEX('Shot Map'!$B$6:$V$26,CEILING($A12/5,1),CEILING(CW$2/5,1))=1,INDEX('Serial Reference'!$A$8:$W$8,1,FLOOR(($A12-1)/23,1)+1)&amp;INDEX('Serial Reference'!$A$8:$W$8,1,MOD($A12-1,23)+1)&amp;TEXT(CW$2+FLOOR((CW$2-1)/9,1),"000"),"")</f>
        <v/>
      </c>
      <c r="CX12" s="24" t="str">
        <f>IF(INDEX('Shot Map'!$B$6:$V$26,CEILING($A12/5,1),CEILING(CX$2/5,1))=1,INDEX('Serial Reference'!$A$8:$W$8,1,FLOOR(($A12-1)/23,1)+1)&amp;INDEX('Serial Reference'!$A$8:$W$8,1,MOD($A12-1,23)+1)&amp;TEXT(CX$2+FLOOR((CX$2-1)/9,1),"000"),"")</f>
        <v/>
      </c>
      <c r="CY12" s="25" t="str">
        <f>IF(INDEX('Shot Map'!$B$6:$V$26,CEILING($A12/5,1),CEILING(CY$2/5,1))=1,INDEX('Serial Reference'!$A$8:$W$8,1,FLOOR(($A12-1)/23,1)+1)&amp;INDEX('Serial Reference'!$A$8:$W$8,1,MOD($A12-1,23)+1)&amp;TEXT(CY$2+FLOOR((CY$2-1)/9,1),"000"),"")</f>
        <v/>
      </c>
      <c r="CZ12" s="25" t="str">
        <f>IF(INDEX('Shot Map'!$B$6:$V$26,CEILING($A12/5,1),CEILING(CZ$2/5,1))=1,INDEX('Serial Reference'!$A$8:$W$8,1,FLOOR(($A12-1)/23,1)+1)&amp;INDEX('Serial Reference'!$A$8:$W$8,1,MOD($A12-1,23)+1)&amp;TEXT(CZ$2+FLOOR((CZ$2-1)/9,1),"000"),"")</f>
        <v/>
      </c>
      <c r="DA12" s="25" t="str">
        <f>IF(INDEX('Shot Map'!$B$6:$V$26,CEILING($A12/5,1),CEILING(DA$2/5,1))=1,INDEX('Serial Reference'!$A$8:$W$8,1,FLOOR(($A12-1)/23,1)+1)&amp;INDEX('Serial Reference'!$A$8:$W$8,1,MOD($A12-1,23)+1)&amp;TEXT(DA$2+FLOOR((DA$2-1)/9,1),"000"),"")</f>
        <v/>
      </c>
      <c r="DB12" s="26" t="str">
        <f>IF(INDEX('Shot Map'!$B$6:$V$26,CEILING($A12/5,1),CEILING(DB$2/5,1))=1,INDEX('Serial Reference'!$A$8:$W$8,1,FLOOR(($A12-1)/23,1)+1)&amp;INDEX('Serial Reference'!$A$8:$W$8,1,MOD($A12-1,23)+1)&amp;TEXT(DB$2+FLOOR((DB$2-1)/9,1),"000"),"")</f>
        <v/>
      </c>
    </row>
    <row r="13" spans="1:106" ht="12.75" customHeight="1" x14ac:dyDescent="0.25">
      <c r="A13" s="17">
        <v>11</v>
      </c>
      <c r="B13" s="18" t="str">
        <f>IF(INDEX('Shot Map'!$B$6:$V$26,CEILING($A13/5,1),CEILING(B$2/5,1))=1,INDEX('Serial Reference'!$A$8:$W$8,1,FLOOR(($A13-1)/23,1)+1)&amp;INDEX('Serial Reference'!$A$8:$W$8,1,MOD($A13-1,23)+1)&amp;TEXT(B$2+FLOOR((B$2-1)/9,1),"000"),"")</f>
        <v/>
      </c>
      <c r="C13" s="19" t="str">
        <f>IF(INDEX('Shot Map'!$B$6:$V$26,CEILING($A13/5,1),CEILING(C$2/5,1))=1,INDEX('Serial Reference'!$A$8:$W$8,1,FLOOR(($A13-1)/23,1)+1)&amp;INDEX('Serial Reference'!$A$8:$W$8,1,MOD($A13-1,23)+1)&amp;TEXT(C$2+FLOOR((C$2-1)/9,1),"000"),"")</f>
        <v/>
      </c>
      <c r="D13" s="19" t="str">
        <f>IF(INDEX('Shot Map'!$B$6:$V$26,CEILING($A13/5,1),CEILING(D$2/5,1))=1,INDEX('Serial Reference'!$A$8:$W$8,1,FLOOR(($A13-1)/23,1)+1)&amp;INDEX('Serial Reference'!$A$8:$W$8,1,MOD($A13-1,23)+1)&amp;TEXT(D$2+FLOOR((D$2-1)/9,1),"000"),"")</f>
        <v/>
      </c>
      <c r="E13" s="19" t="str">
        <f>IF(INDEX('Shot Map'!$B$6:$V$26,CEILING($A13/5,1),CEILING(E$2/5,1))=1,INDEX('Serial Reference'!$A$8:$W$8,1,FLOOR(($A13-1)/23,1)+1)&amp;INDEX('Serial Reference'!$A$8:$W$8,1,MOD($A13-1,23)+1)&amp;TEXT(E$2+FLOOR((E$2-1)/9,1),"000"),"")</f>
        <v/>
      </c>
      <c r="F13" s="20" t="str">
        <f>IF(INDEX('Shot Map'!$B$6:$V$26,CEILING($A13/5,1),CEILING(F$2/5,1))=1,INDEX('Serial Reference'!$A$8:$W$8,1,FLOOR(($A13-1)/23,1)+1)&amp;INDEX('Serial Reference'!$A$8:$W$8,1,MOD($A13-1,23)+1)&amp;TEXT(F$2+FLOOR((F$2-1)/9,1),"000"),"")</f>
        <v/>
      </c>
      <c r="G13" s="18" t="str">
        <f>IF(INDEX('Shot Map'!$B$6:$V$26,CEILING($A13/5,1),CEILING(G$2/5,1))=1,INDEX('Serial Reference'!$A$8:$W$8,1,FLOOR(($A13-1)/23,1)+1)&amp;INDEX('Serial Reference'!$A$8:$W$8,1,MOD($A13-1,23)+1)&amp;TEXT(G$2+FLOOR((G$2-1)/9,1),"000"),"")</f>
        <v/>
      </c>
      <c r="H13" s="19" t="str">
        <f>IF(INDEX('Shot Map'!$B$6:$V$26,CEILING($A13/5,1),CEILING(H$2/5,1))=1,INDEX('Serial Reference'!$A$8:$W$8,1,FLOOR(($A13-1)/23,1)+1)&amp;INDEX('Serial Reference'!$A$8:$W$8,1,MOD($A13-1,23)+1)&amp;TEXT(H$2+FLOOR((H$2-1)/9,1),"000"),"")</f>
        <v/>
      </c>
      <c r="I13" s="19" t="str">
        <f>IF(INDEX('Shot Map'!$B$6:$V$26,CEILING($A13/5,1),CEILING(I$2/5,1))=1,INDEX('Serial Reference'!$A$8:$W$8,1,FLOOR(($A13-1)/23,1)+1)&amp;INDEX('Serial Reference'!$A$8:$W$8,1,MOD($A13-1,23)+1)&amp;TEXT(I$2+FLOOR((I$2-1)/9,1),"000"),"")</f>
        <v/>
      </c>
      <c r="J13" s="19" t="str">
        <f>IF(INDEX('Shot Map'!$B$6:$V$26,CEILING($A13/5,1),CEILING(J$2/5,1))=1,INDEX('Serial Reference'!$A$8:$W$8,1,FLOOR(($A13-1)/23,1)+1)&amp;INDEX('Serial Reference'!$A$8:$W$8,1,MOD($A13-1,23)+1)&amp;TEXT(J$2+FLOOR((J$2-1)/9,1),"000"),"")</f>
        <v/>
      </c>
      <c r="K13" s="20" t="str">
        <f>IF(INDEX('Shot Map'!$B$6:$V$26,CEILING($A13/5,1),CEILING(K$2/5,1))=1,INDEX('Serial Reference'!$A$8:$W$8,1,FLOOR(($A13-1)/23,1)+1)&amp;INDEX('Serial Reference'!$A$8:$W$8,1,MOD($A13-1,23)+1)&amp;TEXT(K$2+FLOOR((K$2-1)/9,1),"000"),"")</f>
        <v/>
      </c>
      <c r="L13" s="18" t="str">
        <f>IF(INDEX('Shot Map'!$B$6:$V$26,CEILING($A13/5,1),CEILING(L$2/5,1))=1,INDEX('Serial Reference'!$A$8:$W$8,1,FLOOR(($A13-1)/23,1)+1)&amp;INDEX('Serial Reference'!$A$8:$W$8,1,MOD($A13-1,23)+1)&amp;TEXT(L$2+FLOOR((L$2-1)/9,1),"000"),"")</f>
        <v/>
      </c>
      <c r="M13" s="19" t="str">
        <f>IF(INDEX('Shot Map'!$B$6:$V$26,CEILING($A13/5,1),CEILING(M$2/5,1))=1,INDEX('Serial Reference'!$A$8:$W$8,1,FLOOR(($A13-1)/23,1)+1)&amp;INDEX('Serial Reference'!$A$8:$W$8,1,MOD($A13-1,23)+1)&amp;TEXT(M$2+FLOOR((M$2-1)/9,1),"000"),"")</f>
        <v/>
      </c>
      <c r="N13" s="19" t="str">
        <f>IF(INDEX('Shot Map'!$B$6:$V$26,CEILING($A13/5,1),CEILING(N$2/5,1))=1,INDEX('Serial Reference'!$A$8:$W$8,1,FLOOR(($A13-1)/23,1)+1)&amp;INDEX('Serial Reference'!$A$8:$W$8,1,MOD($A13-1,23)+1)&amp;TEXT(N$2+FLOOR((N$2-1)/9,1),"000"),"")</f>
        <v/>
      </c>
      <c r="O13" s="19" t="str">
        <f>IF(INDEX('Shot Map'!$B$6:$V$26,CEILING($A13/5,1),CEILING(O$2/5,1))=1,INDEX('Serial Reference'!$A$8:$W$8,1,FLOOR(($A13-1)/23,1)+1)&amp;INDEX('Serial Reference'!$A$8:$W$8,1,MOD($A13-1,23)+1)&amp;TEXT(O$2+FLOOR((O$2-1)/9,1),"000"),"")</f>
        <v/>
      </c>
      <c r="P13" s="20" t="str">
        <f>IF(INDEX('Shot Map'!$B$6:$V$26,CEILING($A13/5,1),CEILING(P$2/5,1))=1,INDEX('Serial Reference'!$A$8:$W$8,1,FLOOR(($A13-1)/23,1)+1)&amp;INDEX('Serial Reference'!$A$8:$W$8,1,MOD($A13-1,23)+1)&amp;TEXT(P$2+FLOOR((P$2-1)/9,1),"000"),"")</f>
        <v/>
      </c>
      <c r="Q13" s="18" t="str">
        <f>IF(INDEX('Shot Map'!$B$6:$V$26,CEILING($A13/5,1),CEILING(Q$2/5,1))=1,INDEX('Serial Reference'!$A$8:$W$8,1,FLOOR(($A13-1)/23,1)+1)&amp;INDEX('Serial Reference'!$A$8:$W$8,1,MOD($A13-1,23)+1)&amp;TEXT(Q$2+FLOOR((Q$2-1)/9,1),"000"),"")</f>
        <v/>
      </c>
      <c r="R13" s="19" t="str">
        <f>IF(INDEX('Shot Map'!$B$6:$V$26,CEILING($A13/5,1),CEILING(R$2/5,1))=1,INDEX('Serial Reference'!$A$8:$W$8,1,FLOOR(($A13-1)/23,1)+1)&amp;INDEX('Serial Reference'!$A$8:$W$8,1,MOD($A13-1,23)+1)&amp;TEXT(R$2+FLOOR((R$2-1)/9,1),"000"),"")</f>
        <v/>
      </c>
      <c r="S13" s="19" t="str">
        <f>IF(INDEX('Shot Map'!$B$6:$V$26,CEILING($A13/5,1),CEILING(S$2/5,1))=1,INDEX('Serial Reference'!$A$8:$W$8,1,FLOOR(($A13-1)/23,1)+1)&amp;INDEX('Serial Reference'!$A$8:$W$8,1,MOD($A13-1,23)+1)&amp;TEXT(S$2+FLOOR((S$2-1)/9,1),"000"),"")</f>
        <v/>
      </c>
      <c r="T13" s="19" t="str">
        <f>IF(INDEX('Shot Map'!$B$6:$V$26,CEILING($A13/5,1),CEILING(T$2/5,1))=1,INDEX('Serial Reference'!$A$8:$W$8,1,FLOOR(($A13-1)/23,1)+1)&amp;INDEX('Serial Reference'!$A$8:$W$8,1,MOD($A13-1,23)+1)&amp;TEXT(T$2+FLOOR((T$2-1)/9,1),"000"),"")</f>
        <v/>
      </c>
      <c r="U13" s="20" t="str">
        <f>IF(INDEX('Shot Map'!$B$6:$V$26,CEILING($A13/5,1),CEILING(U$2/5,1))=1,INDEX('Serial Reference'!$A$8:$W$8,1,FLOOR(($A13-1)/23,1)+1)&amp;INDEX('Serial Reference'!$A$8:$W$8,1,MOD($A13-1,23)+1)&amp;TEXT(U$2+FLOOR((U$2-1)/9,1),"000"),"")</f>
        <v/>
      </c>
      <c r="V13" s="18" t="str">
        <f>IF(INDEX('Shot Map'!$B$6:$V$26,CEILING($A13/5,1),CEILING(V$2/5,1))=1,INDEX('Serial Reference'!$A$8:$W$8,1,FLOOR(($A13-1)/23,1)+1)&amp;INDEX('Serial Reference'!$A$8:$W$8,1,MOD($A13-1,23)+1)&amp;TEXT(V$2+FLOOR((V$2-1)/9,1),"000"),"")</f>
        <v>AL023</v>
      </c>
      <c r="W13" s="19" t="str">
        <f>IF(INDEX('Shot Map'!$B$6:$V$26,CEILING($A13/5,1),CEILING(W$2/5,1))=1,INDEX('Serial Reference'!$A$8:$W$8,1,FLOOR(($A13-1)/23,1)+1)&amp;INDEX('Serial Reference'!$A$8:$W$8,1,MOD($A13-1,23)+1)&amp;TEXT(W$2+FLOOR((W$2-1)/9,1),"000"),"")</f>
        <v>AL024</v>
      </c>
      <c r="X13" s="19" t="str">
        <f>IF(INDEX('Shot Map'!$B$6:$V$26,CEILING($A13/5,1),CEILING(X$2/5,1))=1,INDEX('Serial Reference'!$A$8:$W$8,1,FLOOR(($A13-1)/23,1)+1)&amp;INDEX('Serial Reference'!$A$8:$W$8,1,MOD($A13-1,23)+1)&amp;TEXT(X$2+FLOOR((X$2-1)/9,1),"000"),"")</f>
        <v>AL025</v>
      </c>
      <c r="Y13" s="19" t="str">
        <f>IF(INDEX('Shot Map'!$B$6:$V$26,CEILING($A13/5,1),CEILING(Y$2/5,1))=1,INDEX('Serial Reference'!$A$8:$W$8,1,FLOOR(($A13-1)/23,1)+1)&amp;INDEX('Serial Reference'!$A$8:$W$8,1,MOD($A13-1,23)+1)&amp;TEXT(Y$2+FLOOR((Y$2-1)/9,1),"000"),"")</f>
        <v>AL026</v>
      </c>
      <c r="Z13" s="20" t="str">
        <f>IF(INDEX('Shot Map'!$B$6:$V$26,CEILING($A13/5,1),CEILING(Z$2/5,1))=1,INDEX('Serial Reference'!$A$8:$W$8,1,FLOOR(($A13-1)/23,1)+1)&amp;INDEX('Serial Reference'!$A$8:$W$8,1,MOD($A13-1,23)+1)&amp;TEXT(Z$2+FLOOR((Z$2-1)/9,1),"000"),"")</f>
        <v>AL027</v>
      </c>
      <c r="AA13" s="18" t="str">
        <f>IF(INDEX('Shot Map'!$B$6:$V$26,CEILING($A13/5,1),CEILING(AA$2/5,1))=1,INDEX('Serial Reference'!$A$8:$W$8,1,FLOOR(($A13-1)/23,1)+1)&amp;INDEX('Serial Reference'!$A$8:$W$8,1,MOD($A13-1,23)+1)&amp;TEXT(AA$2+FLOOR((AA$2-1)/9,1),"000"),"")</f>
        <v>AL028</v>
      </c>
      <c r="AB13" s="19" t="str">
        <f>IF(INDEX('Shot Map'!$B$6:$V$26,CEILING($A13/5,1),CEILING(AB$2/5,1))=1,INDEX('Serial Reference'!$A$8:$W$8,1,FLOOR(($A13-1)/23,1)+1)&amp;INDEX('Serial Reference'!$A$8:$W$8,1,MOD($A13-1,23)+1)&amp;TEXT(AB$2+FLOOR((AB$2-1)/9,1),"000"),"")</f>
        <v>AL029</v>
      </c>
      <c r="AC13" s="19" t="str">
        <f>IF(INDEX('Shot Map'!$B$6:$V$26,CEILING($A13/5,1),CEILING(AC$2/5,1))=1,INDEX('Serial Reference'!$A$8:$W$8,1,FLOOR(($A13-1)/23,1)+1)&amp;INDEX('Serial Reference'!$A$8:$W$8,1,MOD($A13-1,23)+1)&amp;TEXT(AC$2+FLOOR((AC$2-1)/9,1),"000"),"")</f>
        <v>AL031</v>
      </c>
      <c r="AD13" s="19" t="str">
        <f>IF(INDEX('Shot Map'!$B$6:$V$26,CEILING($A13/5,1),CEILING(AD$2/5,1))=1,INDEX('Serial Reference'!$A$8:$W$8,1,FLOOR(($A13-1)/23,1)+1)&amp;INDEX('Serial Reference'!$A$8:$W$8,1,MOD($A13-1,23)+1)&amp;TEXT(AD$2+FLOOR((AD$2-1)/9,1),"000"),"")</f>
        <v>AL032</v>
      </c>
      <c r="AE13" s="20" t="str">
        <f>IF(INDEX('Shot Map'!$B$6:$V$26,CEILING($A13/5,1),CEILING(AE$2/5,1))=1,INDEX('Serial Reference'!$A$8:$W$8,1,FLOOR(($A13-1)/23,1)+1)&amp;INDEX('Serial Reference'!$A$8:$W$8,1,MOD($A13-1,23)+1)&amp;TEXT(AE$2+FLOOR((AE$2-1)/9,1),"000"),"")</f>
        <v>AL033</v>
      </c>
      <c r="AF13" s="18" t="str">
        <f>IF(INDEX('Shot Map'!$B$6:$V$26,CEILING($A13/5,1),CEILING(AF$2/5,1))=1,INDEX('Serial Reference'!$A$8:$W$8,1,FLOOR(($A13-1)/23,1)+1)&amp;INDEX('Serial Reference'!$A$8:$W$8,1,MOD($A13-1,23)+1)&amp;TEXT(AF$2+FLOOR((AF$2-1)/9,1),"000"),"")</f>
        <v>AL034</v>
      </c>
      <c r="AG13" s="19" t="str">
        <f>IF(INDEX('Shot Map'!$B$6:$V$26,CEILING($A13/5,1),CEILING(AG$2/5,1))=1,INDEX('Serial Reference'!$A$8:$W$8,1,FLOOR(($A13-1)/23,1)+1)&amp;INDEX('Serial Reference'!$A$8:$W$8,1,MOD($A13-1,23)+1)&amp;TEXT(AG$2+FLOOR((AG$2-1)/9,1),"000"),"")</f>
        <v>AL035</v>
      </c>
      <c r="AH13" s="19" t="str">
        <f>IF(INDEX('Shot Map'!$B$6:$V$26,CEILING($A13/5,1),CEILING(AH$2/5,1))=1,INDEX('Serial Reference'!$A$8:$W$8,1,FLOOR(($A13-1)/23,1)+1)&amp;INDEX('Serial Reference'!$A$8:$W$8,1,MOD($A13-1,23)+1)&amp;TEXT(AH$2+FLOOR((AH$2-1)/9,1),"000"),"")</f>
        <v>AL036</v>
      </c>
      <c r="AI13" s="19" t="str">
        <f>IF(INDEX('Shot Map'!$B$6:$V$26,CEILING($A13/5,1),CEILING(AI$2/5,1))=1,INDEX('Serial Reference'!$A$8:$W$8,1,FLOOR(($A13-1)/23,1)+1)&amp;INDEX('Serial Reference'!$A$8:$W$8,1,MOD($A13-1,23)+1)&amp;TEXT(AI$2+FLOOR((AI$2-1)/9,1),"000"),"")</f>
        <v>AL037</v>
      </c>
      <c r="AJ13" s="20" t="str">
        <f>IF(INDEX('Shot Map'!$B$6:$V$26,CEILING($A13/5,1),CEILING(AJ$2/5,1))=1,INDEX('Serial Reference'!$A$8:$W$8,1,FLOOR(($A13-1)/23,1)+1)&amp;INDEX('Serial Reference'!$A$8:$W$8,1,MOD($A13-1,23)+1)&amp;TEXT(AJ$2+FLOOR((AJ$2-1)/9,1),"000"),"")</f>
        <v>AL038</v>
      </c>
      <c r="AK13" s="18" t="str">
        <f>IF(INDEX('Shot Map'!$B$6:$V$26,CEILING($A13/5,1),CEILING(AK$2/5,1))=1,INDEX('Serial Reference'!$A$8:$W$8,1,FLOOR(($A13-1)/23,1)+1)&amp;INDEX('Serial Reference'!$A$8:$W$8,1,MOD($A13-1,23)+1)&amp;TEXT(AK$2+FLOOR((AK$2-1)/9,1),"000"),"")</f>
        <v>AL039</v>
      </c>
      <c r="AL13" s="19" t="str">
        <f>IF(INDEX('Shot Map'!$B$6:$V$26,CEILING($A13/5,1),CEILING(AL$2/5,1))=1,INDEX('Serial Reference'!$A$8:$W$8,1,FLOOR(($A13-1)/23,1)+1)&amp;INDEX('Serial Reference'!$A$8:$W$8,1,MOD($A13-1,23)+1)&amp;TEXT(AL$2+FLOOR((AL$2-1)/9,1),"000"),"")</f>
        <v>AL041</v>
      </c>
      <c r="AM13" s="19" t="str">
        <f>IF(INDEX('Shot Map'!$B$6:$V$26,CEILING($A13/5,1),CEILING(AM$2/5,1))=1,INDEX('Serial Reference'!$A$8:$W$8,1,FLOOR(($A13-1)/23,1)+1)&amp;INDEX('Serial Reference'!$A$8:$W$8,1,MOD($A13-1,23)+1)&amp;TEXT(AM$2+FLOOR((AM$2-1)/9,1),"000"),"")</f>
        <v>AL042</v>
      </c>
      <c r="AN13" s="19" t="str">
        <f>IF(INDEX('Shot Map'!$B$6:$V$26,CEILING($A13/5,1),CEILING(AN$2/5,1))=1,INDEX('Serial Reference'!$A$8:$W$8,1,FLOOR(($A13-1)/23,1)+1)&amp;INDEX('Serial Reference'!$A$8:$W$8,1,MOD($A13-1,23)+1)&amp;TEXT(AN$2+FLOOR((AN$2-1)/9,1),"000"),"")</f>
        <v>AL043</v>
      </c>
      <c r="AO13" s="20" t="str">
        <f>IF(INDEX('Shot Map'!$B$6:$V$26,CEILING($A13/5,1),CEILING(AO$2/5,1))=1,INDEX('Serial Reference'!$A$8:$W$8,1,FLOOR(($A13-1)/23,1)+1)&amp;INDEX('Serial Reference'!$A$8:$W$8,1,MOD($A13-1,23)+1)&amp;TEXT(AO$2+FLOOR((AO$2-1)/9,1),"000"),"")</f>
        <v>AL044</v>
      </c>
      <c r="AP13" s="18" t="str">
        <f>IF(INDEX('Shot Map'!$B$6:$V$26,CEILING($A13/5,1),CEILING(AP$2/5,1))=1,INDEX('Serial Reference'!$A$8:$W$8,1,FLOOR(($A13-1)/23,1)+1)&amp;INDEX('Serial Reference'!$A$8:$W$8,1,MOD($A13-1,23)+1)&amp;TEXT(AP$2+FLOOR((AP$2-1)/9,1),"000"),"")</f>
        <v>AL045</v>
      </c>
      <c r="AQ13" s="19" t="str">
        <f>IF(INDEX('Shot Map'!$B$6:$V$26,CEILING($A13/5,1),CEILING(AQ$2/5,1))=1,INDEX('Serial Reference'!$A$8:$W$8,1,FLOOR(($A13-1)/23,1)+1)&amp;INDEX('Serial Reference'!$A$8:$W$8,1,MOD($A13-1,23)+1)&amp;TEXT(AQ$2+FLOOR((AQ$2-1)/9,1),"000"),"")</f>
        <v>AL046</v>
      </c>
      <c r="AR13" s="19" t="str">
        <f>IF(INDEX('Shot Map'!$B$6:$V$26,CEILING($A13/5,1),CEILING(AR$2/5,1))=1,INDEX('Serial Reference'!$A$8:$W$8,1,FLOOR(($A13-1)/23,1)+1)&amp;INDEX('Serial Reference'!$A$8:$W$8,1,MOD($A13-1,23)+1)&amp;TEXT(AR$2+FLOOR((AR$2-1)/9,1),"000"),"")</f>
        <v>AL047</v>
      </c>
      <c r="AS13" s="19" t="str">
        <f>IF(INDEX('Shot Map'!$B$6:$V$26,CEILING($A13/5,1),CEILING(AS$2/5,1))=1,INDEX('Serial Reference'!$A$8:$W$8,1,FLOOR(($A13-1)/23,1)+1)&amp;INDEX('Serial Reference'!$A$8:$W$8,1,MOD($A13-1,23)+1)&amp;TEXT(AS$2+FLOOR((AS$2-1)/9,1),"000"),"")</f>
        <v>AL048</v>
      </c>
      <c r="AT13" s="20" t="str">
        <f>IF(INDEX('Shot Map'!$B$6:$V$26,CEILING($A13/5,1),CEILING(AT$2/5,1))=1,INDEX('Serial Reference'!$A$8:$W$8,1,FLOOR(($A13-1)/23,1)+1)&amp;INDEX('Serial Reference'!$A$8:$W$8,1,MOD($A13-1,23)+1)&amp;TEXT(AT$2+FLOOR((AT$2-1)/9,1),"000"),"")</f>
        <v>AL049</v>
      </c>
      <c r="AU13" s="18" t="str">
        <f>IF(INDEX('Shot Map'!$B$6:$V$26,CEILING($A13/5,1),CEILING(AU$2/5,1))=1,INDEX('Serial Reference'!$A$8:$W$8,1,FLOOR(($A13-1)/23,1)+1)&amp;INDEX('Serial Reference'!$A$8:$W$8,1,MOD($A13-1,23)+1)&amp;TEXT(AU$2+FLOOR((AU$2-1)/9,1),"000"),"")</f>
        <v>AL051</v>
      </c>
      <c r="AV13" s="19" t="str">
        <f>IF(INDEX('Shot Map'!$B$6:$V$26,CEILING($A13/5,1),CEILING(AV$2/5,1))=1,INDEX('Serial Reference'!$A$8:$W$8,1,FLOOR(($A13-1)/23,1)+1)&amp;INDEX('Serial Reference'!$A$8:$W$8,1,MOD($A13-1,23)+1)&amp;TEXT(AV$2+FLOOR((AV$2-1)/9,1),"000"),"")</f>
        <v>AL052</v>
      </c>
      <c r="AW13" s="19" t="str">
        <f>IF(INDEX('Shot Map'!$B$6:$V$26,CEILING($A13/5,1),CEILING(AW$2/5,1))=1,INDEX('Serial Reference'!$A$8:$W$8,1,FLOOR(($A13-1)/23,1)+1)&amp;INDEX('Serial Reference'!$A$8:$W$8,1,MOD($A13-1,23)+1)&amp;TEXT(AW$2+FLOOR((AW$2-1)/9,1),"000"),"")</f>
        <v>AL053</v>
      </c>
      <c r="AX13" s="19" t="str">
        <f>IF(INDEX('Shot Map'!$B$6:$V$26,CEILING($A13/5,1),CEILING(AX$2/5,1))=1,INDEX('Serial Reference'!$A$8:$W$8,1,FLOOR(($A13-1)/23,1)+1)&amp;INDEX('Serial Reference'!$A$8:$W$8,1,MOD($A13-1,23)+1)&amp;TEXT(AX$2+FLOOR((AX$2-1)/9,1),"000"),"")</f>
        <v>AL054</v>
      </c>
      <c r="AY13" s="20" t="str">
        <f>IF(INDEX('Shot Map'!$B$6:$V$26,CEILING($A13/5,1),CEILING(AY$2/5,1))=1,INDEX('Serial Reference'!$A$8:$W$8,1,FLOOR(($A13-1)/23,1)+1)&amp;INDEX('Serial Reference'!$A$8:$W$8,1,MOD($A13-1,23)+1)&amp;TEXT(AY$2+FLOOR((AY$2-1)/9,1),"000"),"")</f>
        <v>AL055</v>
      </c>
      <c r="AZ13" s="18" t="str">
        <f>IF(INDEX('Shot Map'!$B$6:$V$26,CEILING($A13/5,1),CEILING(AZ$2/5,1))=1,INDEX('Serial Reference'!$A$8:$W$8,1,FLOOR(($A13-1)/23,1)+1)&amp;INDEX('Serial Reference'!$A$8:$W$8,1,MOD($A13-1,23)+1)&amp;TEXT(AZ$2+FLOOR((AZ$2-1)/9,1),"000"),"")</f>
        <v>AL056</v>
      </c>
      <c r="BA13" s="19" t="str">
        <f>IF(INDEX('Shot Map'!$B$6:$V$26,CEILING($A13/5,1),CEILING(BA$2/5,1))=1,INDEX('Serial Reference'!$A$8:$W$8,1,FLOOR(($A13-1)/23,1)+1)&amp;INDEX('Serial Reference'!$A$8:$W$8,1,MOD($A13-1,23)+1)&amp;TEXT(BA$2+FLOOR((BA$2-1)/9,1),"000"),"")</f>
        <v>AL057</v>
      </c>
      <c r="BB13" s="19" t="str">
        <f>IF(INDEX('Shot Map'!$B$6:$V$26,CEILING($A13/5,1),CEILING(BB$2/5,1))=1,INDEX('Serial Reference'!$A$8:$W$8,1,FLOOR(($A13-1)/23,1)+1)&amp;INDEX('Serial Reference'!$A$8:$W$8,1,MOD($A13-1,23)+1)&amp;TEXT(BB$2+FLOOR((BB$2-1)/9,1),"000"),"")</f>
        <v>AL058</v>
      </c>
      <c r="BC13" s="19" t="str">
        <f>IF(INDEX('Shot Map'!$B$6:$V$26,CEILING($A13/5,1),CEILING(BC$2/5,1))=1,INDEX('Serial Reference'!$A$8:$W$8,1,FLOOR(($A13-1)/23,1)+1)&amp;INDEX('Serial Reference'!$A$8:$W$8,1,MOD($A13-1,23)+1)&amp;TEXT(BC$2+FLOOR((BC$2-1)/9,1),"000"),"")</f>
        <v>AL059</v>
      </c>
      <c r="BD13" s="20" t="str">
        <f>IF(INDEX('Shot Map'!$B$6:$V$26,CEILING($A13/5,1),CEILING(BD$2/5,1))=1,INDEX('Serial Reference'!$A$8:$W$8,1,FLOOR(($A13-1)/23,1)+1)&amp;INDEX('Serial Reference'!$A$8:$W$8,1,MOD($A13-1,23)+1)&amp;TEXT(BD$2+FLOOR((BD$2-1)/9,1),"000"),"")</f>
        <v>AL061</v>
      </c>
      <c r="BE13" s="18" t="str">
        <f>IF(INDEX('Shot Map'!$B$6:$V$26,CEILING($A13/5,1),CEILING(BE$2/5,1))=1,INDEX('Serial Reference'!$A$8:$W$8,1,FLOOR(($A13-1)/23,1)+1)&amp;INDEX('Serial Reference'!$A$8:$W$8,1,MOD($A13-1,23)+1)&amp;TEXT(BE$2+FLOOR((BE$2-1)/9,1),"000"),"")</f>
        <v>AL062</v>
      </c>
      <c r="BF13" s="19" t="str">
        <f>IF(INDEX('Shot Map'!$B$6:$V$26,CEILING($A13/5,1),CEILING(BF$2/5,1))=1,INDEX('Serial Reference'!$A$8:$W$8,1,FLOOR(($A13-1)/23,1)+1)&amp;INDEX('Serial Reference'!$A$8:$W$8,1,MOD($A13-1,23)+1)&amp;TEXT(BF$2+FLOOR((BF$2-1)/9,1),"000"),"")</f>
        <v>AL063</v>
      </c>
      <c r="BG13" s="19" t="str">
        <f>IF(INDEX('Shot Map'!$B$6:$V$26,CEILING($A13/5,1),CEILING(BG$2/5,1))=1,INDEX('Serial Reference'!$A$8:$W$8,1,FLOOR(($A13-1)/23,1)+1)&amp;INDEX('Serial Reference'!$A$8:$W$8,1,MOD($A13-1,23)+1)&amp;TEXT(BG$2+FLOOR((BG$2-1)/9,1),"000"),"")</f>
        <v>AL064</v>
      </c>
      <c r="BH13" s="19" t="str">
        <f>IF(INDEX('Shot Map'!$B$6:$V$26,CEILING($A13/5,1),CEILING(BH$2/5,1))=1,INDEX('Serial Reference'!$A$8:$W$8,1,FLOOR(($A13-1)/23,1)+1)&amp;INDEX('Serial Reference'!$A$8:$W$8,1,MOD($A13-1,23)+1)&amp;TEXT(BH$2+FLOOR((BH$2-1)/9,1),"000"),"")</f>
        <v>AL065</v>
      </c>
      <c r="BI13" s="20" t="str">
        <f>IF(INDEX('Shot Map'!$B$6:$V$26,CEILING($A13/5,1),CEILING(BI$2/5,1))=1,INDEX('Serial Reference'!$A$8:$W$8,1,FLOOR(($A13-1)/23,1)+1)&amp;INDEX('Serial Reference'!$A$8:$W$8,1,MOD($A13-1,23)+1)&amp;TEXT(BI$2+FLOOR((BI$2-1)/9,1),"000"),"")</f>
        <v>AL066</v>
      </c>
      <c r="BJ13" s="18" t="str">
        <f>IF(INDEX('Shot Map'!$B$6:$V$26,CEILING($A13/5,1),CEILING(BJ$2/5,1))=1,INDEX('Serial Reference'!$A$8:$W$8,1,FLOOR(($A13-1)/23,1)+1)&amp;INDEX('Serial Reference'!$A$8:$W$8,1,MOD($A13-1,23)+1)&amp;TEXT(BJ$2+FLOOR((BJ$2-1)/9,1),"000"),"")</f>
        <v>AL067</v>
      </c>
      <c r="BK13" s="19" t="str">
        <f>IF(INDEX('Shot Map'!$B$6:$V$26,CEILING($A13/5,1),CEILING(BK$2/5,1))=1,INDEX('Serial Reference'!$A$8:$W$8,1,FLOOR(($A13-1)/23,1)+1)&amp;INDEX('Serial Reference'!$A$8:$W$8,1,MOD($A13-1,23)+1)&amp;TEXT(BK$2+FLOOR((BK$2-1)/9,1),"000"),"")</f>
        <v>AL068</v>
      </c>
      <c r="BL13" s="19" t="str">
        <f>IF(INDEX('Shot Map'!$B$6:$V$26,CEILING($A13/5,1),CEILING(BL$2/5,1))=1,INDEX('Serial Reference'!$A$8:$W$8,1,FLOOR(($A13-1)/23,1)+1)&amp;INDEX('Serial Reference'!$A$8:$W$8,1,MOD($A13-1,23)+1)&amp;TEXT(BL$2+FLOOR((BL$2-1)/9,1),"000"),"")</f>
        <v>AL069</v>
      </c>
      <c r="BM13" s="19" t="str">
        <f>IF(INDEX('Shot Map'!$B$6:$V$26,CEILING($A13/5,1),CEILING(BM$2/5,1))=1,INDEX('Serial Reference'!$A$8:$W$8,1,FLOOR(($A13-1)/23,1)+1)&amp;INDEX('Serial Reference'!$A$8:$W$8,1,MOD($A13-1,23)+1)&amp;TEXT(BM$2+FLOOR((BM$2-1)/9,1),"000"),"")</f>
        <v>AL071</v>
      </c>
      <c r="BN13" s="20" t="str">
        <f>IF(INDEX('Shot Map'!$B$6:$V$26,CEILING($A13/5,1),CEILING(BN$2/5,1))=1,INDEX('Serial Reference'!$A$8:$W$8,1,FLOOR(($A13-1)/23,1)+1)&amp;INDEX('Serial Reference'!$A$8:$W$8,1,MOD($A13-1,23)+1)&amp;TEXT(BN$2+FLOOR((BN$2-1)/9,1),"000"),"")</f>
        <v>AL072</v>
      </c>
      <c r="BO13" s="18" t="str">
        <f>IF(INDEX('Shot Map'!$B$6:$V$26,CEILING($A13/5,1),CEILING(BO$2/5,1))=1,INDEX('Serial Reference'!$A$8:$W$8,1,FLOOR(($A13-1)/23,1)+1)&amp;INDEX('Serial Reference'!$A$8:$W$8,1,MOD($A13-1,23)+1)&amp;TEXT(BO$2+FLOOR((BO$2-1)/9,1),"000"),"")</f>
        <v>AL073</v>
      </c>
      <c r="BP13" s="19" t="str">
        <f>IF(INDEX('Shot Map'!$B$6:$V$26,CEILING($A13/5,1),CEILING(BP$2/5,1))=1,INDEX('Serial Reference'!$A$8:$W$8,1,FLOOR(($A13-1)/23,1)+1)&amp;INDEX('Serial Reference'!$A$8:$W$8,1,MOD($A13-1,23)+1)&amp;TEXT(BP$2+FLOOR((BP$2-1)/9,1),"000"),"")</f>
        <v>AL074</v>
      </c>
      <c r="BQ13" s="19" t="str">
        <f>IF(INDEX('Shot Map'!$B$6:$V$26,CEILING($A13/5,1),CEILING(BQ$2/5,1))=1,INDEX('Serial Reference'!$A$8:$W$8,1,FLOOR(($A13-1)/23,1)+1)&amp;INDEX('Serial Reference'!$A$8:$W$8,1,MOD($A13-1,23)+1)&amp;TEXT(BQ$2+FLOOR((BQ$2-1)/9,1),"000"),"")</f>
        <v>AL075</v>
      </c>
      <c r="BR13" s="19" t="str">
        <f>IF(INDEX('Shot Map'!$B$6:$V$26,CEILING($A13/5,1),CEILING(BR$2/5,1))=1,INDEX('Serial Reference'!$A$8:$W$8,1,FLOOR(($A13-1)/23,1)+1)&amp;INDEX('Serial Reference'!$A$8:$W$8,1,MOD($A13-1,23)+1)&amp;TEXT(BR$2+FLOOR((BR$2-1)/9,1),"000"),"")</f>
        <v>AL076</v>
      </c>
      <c r="BS13" s="20" t="str">
        <f>IF(INDEX('Shot Map'!$B$6:$V$26,CEILING($A13/5,1),CEILING(BS$2/5,1))=1,INDEX('Serial Reference'!$A$8:$W$8,1,FLOOR(($A13-1)/23,1)+1)&amp;INDEX('Serial Reference'!$A$8:$W$8,1,MOD($A13-1,23)+1)&amp;TEXT(BS$2+FLOOR((BS$2-1)/9,1),"000"),"")</f>
        <v>AL077</v>
      </c>
      <c r="BT13" s="18" t="str">
        <f>IF(INDEX('Shot Map'!$B$6:$V$26,CEILING($A13/5,1),CEILING(BT$2/5,1))=1,INDEX('Serial Reference'!$A$8:$W$8,1,FLOOR(($A13-1)/23,1)+1)&amp;INDEX('Serial Reference'!$A$8:$W$8,1,MOD($A13-1,23)+1)&amp;TEXT(BT$2+FLOOR((BT$2-1)/9,1),"000"),"")</f>
        <v>AL078</v>
      </c>
      <c r="BU13" s="19" t="str">
        <f>IF(INDEX('Shot Map'!$B$6:$V$26,CEILING($A13/5,1),CEILING(BU$2/5,1))=1,INDEX('Serial Reference'!$A$8:$W$8,1,FLOOR(($A13-1)/23,1)+1)&amp;INDEX('Serial Reference'!$A$8:$W$8,1,MOD($A13-1,23)+1)&amp;TEXT(BU$2+FLOOR((BU$2-1)/9,1),"000"),"")</f>
        <v>AL079</v>
      </c>
      <c r="BV13" s="19" t="str">
        <f>IF(INDEX('Shot Map'!$B$6:$V$26,CEILING($A13/5,1),CEILING(BV$2/5,1))=1,INDEX('Serial Reference'!$A$8:$W$8,1,FLOOR(($A13-1)/23,1)+1)&amp;INDEX('Serial Reference'!$A$8:$W$8,1,MOD($A13-1,23)+1)&amp;TEXT(BV$2+FLOOR((BV$2-1)/9,1),"000"),"")</f>
        <v>AL081</v>
      </c>
      <c r="BW13" s="19" t="str">
        <f>IF(INDEX('Shot Map'!$B$6:$V$26,CEILING($A13/5,1),CEILING(BW$2/5,1))=1,INDEX('Serial Reference'!$A$8:$W$8,1,FLOOR(($A13-1)/23,1)+1)&amp;INDEX('Serial Reference'!$A$8:$W$8,1,MOD($A13-1,23)+1)&amp;TEXT(BW$2+FLOOR((BW$2-1)/9,1),"000"),"")</f>
        <v>AL082</v>
      </c>
      <c r="BX13" s="20" t="str">
        <f>IF(INDEX('Shot Map'!$B$6:$V$26,CEILING($A13/5,1),CEILING(BX$2/5,1))=1,INDEX('Serial Reference'!$A$8:$W$8,1,FLOOR(($A13-1)/23,1)+1)&amp;INDEX('Serial Reference'!$A$8:$W$8,1,MOD($A13-1,23)+1)&amp;TEXT(BX$2+FLOOR((BX$2-1)/9,1),"000"),"")</f>
        <v>AL083</v>
      </c>
      <c r="BY13" s="18" t="str">
        <f>IF(INDEX('Shot Map'!$B$6:$V$26,CEILING($A13/5,1),CEILING(BY$2/5,1))=1,INDEX('Serial Reference'!$A$8:$W$8,1,FLOOR(($A13-1)/23,1)+1)&amp;INDEX('Serial Reference'!$A$8:$W$8,1,MOD($A13-1,23)+1)&amp;TEXT(BY$2+FLOOR((BY$2-1)/9,1),"000"),"")</f>
        <v>AL084</v>
      </c>
      <c r="BZ13" s="19" t="str">
        <f>IF(INDEX('Shot Map'!$B$6:$V$26,CEILING($A13/5,1),CEILING(BZ$2/5,1))=1,INDEX('Serial Reference'!$A$8:$W$8,1,FLOOR(($A13-1)/23,1)+1)&amp;INDEX('Serial Reference'!$A$8:$W$8,1,MOD($A13-1,23)+1)&amp;TEXT(BZ$2+FLOOR((BZ$2-1)/9,1),"000"),"")</f>
        <v>AL085</v>
      </c>
      <c r="CA13" s="19" t="str">
        <f>IF(INDEX('Shot Map'!$B$6:$V$26,CEILING($A13/5,1),CEILING(CA$2/5,1))=1,INDEX('Serial Reference'!$A$8:$W$8,1,FLOOR(($A13-1)/23,1)+1)&amp;INDEX('Serial Reference'!$A$8:$W$8,1,MOD($A13-1,23)+1)&amp;TEXT(CA$2+FLOOR((CA$2-1)/9,1),"000"),"")</f>
        <v>AL086</v>
      </c>
      <c r="CB13" s="19" t="str">
        <f>IF(INDEX('Shot Map'!$B$6:$V$26,CEILING($A13/5,1),CEILING(CB$2/5,1))=1,INDEX('Serial Reference'!$A$8:$W$8,1,FLOOR(($A13-1)/23,1)+1)&amp;INDEX('Serial Reference'!$A$8:$W$8,1,MOD($A13-1,23)+1)&amp;TEXT(CB$2+FLOOR((CB$2-1)/9,1),"000"),"")</f>
        <v>AL087</v>
      </c>
      <c r="CC13" s="20" t="str">
        <f>IF(INDEX('Shot Map'!$B$6:$V$26,CEILING($A13/5,1),CEILING(CC$2/5,1))=1,INDEX('Serial Reference'!$A$8:$W$8,1,FLOOR(($A13-1)/23,1)+1)&amp;INDEX('Serial Reference'!$A$8:$W$8,1,MOD($A13-1,23)+1)&amp;TEXT(CC$2+FLOOR((CC$2-1)/9,1),"000"),"")</f>
        <v>AL088</v>
      </c>
      <c r="CD13" s="18" t="str">
        <f>IF(INDEX('Shot Map'!$B$6:$V$26,CEILING($A13/5,1),CEILING(CD$2/5,1))=1,INDEX('Serial Reference'!$A$8:$W$8,1,FLOOR(($A13-1)/23,1)+1)&amp;INDEX('Serial Reference'!$A$8:$W$8,1,MOD($A13-1,23)+1)&amp;TEXT(CD$2+FLOOR((CD$2-1)/9,1),"000"),"")</f>
        <v>AL089</v>
      </c>
      <c r="CE13" s="19" t="str">
        <f>IF(INDEX('Shot Map'!$B$6:$V$26,CEILING($A13/5,1),CEILING(CE$2/5,1))=1,INDEX('Serial Reference'!$A$8:$W$8,1,FLOOR(($A13-1)/23,1)+1)&amp;INDEX('Serial Reference'!$A$8:$W$8,1,MOD($A13-1,23)+1)&amp;TEXT(CE$2+FLOOR((CE$2-1)/9,1),"000"),"")</f>
        <v>AL091</v>
      </c>
      <c r="CF13" s="19" t="str">
        <f>IF(INDEX('Shot Map'!$B$6:$V$26,CEILING($A13/5,1),CEILING(CF$2/5,1))=1,INDEX('Serial Reference'!$A$8:$W$8,1,FLOOR(($A13-1)/23,1)+1)&amp;INDEX('Serial Reference'!$A$8:$W$8,1,MOD($A13-1,23)+1)&amp;TEXT(CF$2+FLOOR((CF$2-1)/9,1),"000"),"")</f>
        <v>AL092</v>
      </c>
      <c r="CG13" s="19" t="str">
        <f>IF(INDEX('Shot Map'!$B$6:$V$26,CEILING($A13/5,1),CEILING(CG$2/5,1))=1,INDEX('Serial Reference'!$A$8:$W$8,1,FLOOR(($A13-1)/23,1)+1)&amp;INDEX('Serial Reference'!$A$8:$W$8,1,MOD($A13-1,23)+1)&amp;TEXT(CG$2+FLOOR((CG$2-1)/9,1),"000"),"")</f>
        <v>AL093</v>
      </c>
      <c r="CH13" s="20" t="str">
        <f>IF(INDEX('Shot Map'!$B$6:$V$26,CEILING($A13/5,1),CEILING(CH$2/5,1))=1,INDEX('Serial Reference'!$A$8:$W$8,1,FLOOR(($A13-1)/23,1)+1)&amp;INDEX('Serial Reference'!$A$8:$W$8,1,MOD($A13-1,23)+1)&amp;TEXT(CH$2+FLOOR((CH$2-1)/9,1),"000"),"")</f>
        <v>AL094</v>
      </c>
      <c r="CI13" s="18" t="str">
        <f>IF(INDEX('Shot Map'!$B$6:$V$26,CEILING($A13/5,1),CEILING(CI$2/5,1))=1,INDEX('Serial Reference'!$A$8:$W$8,1,FLOOR(($A13-1)/23,1)+1)&amp;INDEX('Serial Reference'!$A$8:$W$8,1,MOD($A13-1,23)+1)&amp;TEXT(CI$2+FLOOR((CI$2-1)/9,1),"000"),"")</f>
        <v/>
      </c>
      <c r="CJ13" s="19" t="str">
        <f>IF(INDEX('Shot Map'!$B$6:$V$26,CEILING($A13/5,1),CEILING(CJ$2/5,1))=1,INDEX('Serial Reference'!$A$8:$W$8,1,FLOOR(($A13-1)/23,1)+1)&amp;INDEX('Serial Reference'!$A$8:$W$8,1,MOD($A13-1,23)+1)&amp;TEXT(CJ$2+FLOOR((CJ$2-1)/9,1),"000"),"")</f>
        <v/>
      </c>
      <c r="CK13" s="19" t="str">
        <f>IF(INDEX('Shot Map'!$B$6:$V$26,CEILING($A13/5,1),CEILING(CK$2/5,1))=1,INDEX('Serial Reference'!$A$8:$W$8,1,FLOOR(($A13-1)/23,1)+1)&amp;INDEX('Serial Reference'!$A$8:$W$8,1,MOD($A13-1,23)+1)&amp;TEXT(CK$2+FLOOR((CK$2-1)/9,1),"000"),"")</f>
        <v/>
      </c>
      <c r="CL13" s="19" t="str">
        <f>IF(INDEX('Shot Map'!$B$6:$V$26,CEILING($A13/5,1),CEILING(CL$2/5,1))=1,INDEX('Serial Reference'!$A$8:$W$8,1,FLOOR(($A13-1)/23,1)+1)&amp;INDEX('Serial Reference'!$A$8:$W$8,1,MOD($A13-1,23)+1)&amp;TEXT(CL$2+FLOOR((CL$2-1)/9,1),"000"),"")</f>
        <v/>
      </c>
      <c r="CM13" s="20" t="str">
        <f>IF(INDEX('Shot Map'!$B$6:$V$26,CEILING($A13/5,1),CEILING(CM$2/5,1))=1,INDEX('Serial Reference'!$A$8:$W$8,1,FLOOR(($A13-1)/23,1)+1)&amp;INDEX('Serial Reference'!$A$8:$W$8,1,MOD($A13-1,23)+1)&amp;TEXT(CM$2+FLOOR((CM$2-1)/9,1),"000"),"")</f>
        <v/>
      </c>
      <c r="CN13" s="18" t="str">
        <f>IF(INDEX('Shot Map'!$B$6:$V$26,CEILING($A13/5,1),CEILING(CN$2/5,1))=1,INDEX('Serial Reference'!$A$8:$W$8,1,FLOOR(($A13-1)/23,1)+1)&amp;INDEX('Serial Reference'!$A$8:$W$8,1,MOD($A13-1,23)+1)&amp;TEXT(CN$2+FLOOR((CN$2-1)/9,1),"000"),"")</f>
        <v/>
      </c>
      <c r="CO13" s="19" t="str">
        <f>IF(INDEX('Shot Map'!$B$6:$V$26,CEILING($A13/5,1),CEILING(CO$2/5,1))=1,INDEX('Serial Reference'!$A$8:$W$8,1,FLOOR(($A13-1)/23,1)+1)&amp;INDEX('Serial Reference'!$A$8:$W$8,1,MOD($A13-1,23)+1)&amp;TEXT(CO$2+FLOOR((CO$2-1)/9,1),"000"),"")</f>
        <v/>
      </c>
      <c r="CP13" s="19" t="str">
        <f>IF(INDEX('Shot Map'!$B$6:$V$26,CEILING($A13/5,1),CEILING(CP$2/5,1))=1,INDEX('Serial Reference'!$A$8:$W$8,1,FLOOR(($A13-1)/23,1)+1)&amp;INDEX('Serial Reference'!$A$8:$W$8,1,MOD($A13-1,23)+1)&amp;TEXT(CP$2+FLOOR((CP$2-1)/9,1),"000"),"")</f>
        <v/>
      </c>
      <c r="CQ13" s="19" t="str">
        <f>IF(INDEX('Shot Map'!$B$6:$V$26,CEILING($A13/5,1),CEILING(CQ$2/5,1))=1,INDEX('Serial Reference'!$A$8:$W$8,1,FLOOR(($A13-1)/23,1)+1)&amp;INDEX('Serial Reference'!$A$8:$W$8,1,MOD($A13-1,23)+1)&amp;TEXT(CQ$2+FLOOR((CQ$2-1)/9,1),"000"),"")</f>
        <v/>
      </c>
      <c r="CR13" s="20" t="str">
        <f>IF(INDEX('Shot Map'!$B$6:$V$26,CEILING($A13/5,1),CEILING(CR$2/5,1))=1,INDEX('Serial Reference'!$A$8:$W$8,1,FLOOR(($A13-1)/23,1)+1)&amp;INDEX('Serial Reference'!$A$8:$W$8,1,MOD($A13-1,23)+1)&amp;TEXT(CR$2+FLOOR((CR$2-1)/9,1),"000"),"")</f>
        <v/>
      </c>
      <c r="CS13" s="18" t="str">
        <f>IF(INDEX('Shot Map'!$B$6:$V$26,CEILING($A13/5,1),CEILING(CS$2/5,1))=1,INDEX('Serial Reference'!$A$8:$W$8,1,FLOOR(($A13-1)/23,1)+1)&amp;INDEX('Serial Reference'!$A$8:$W$8,1,MOD($A13-1,23)+1)&amp;TEXT(CS$2+FLOOR((CS$2-1)/9,1),"000"),"")</f>
        <v/>
      </c>
      <c r="CT13" s="19" t="str">
        <f>IF(INDEX('Shot Map'!$B$6:$V$26,CEILING($A13/5,1),CEILING(CT$2/5,1))=1,INDEX('Serial Reference'!$A$8:$W$8,1,FLOOR(($A13-1)/23,1)+1)&amp;INDEX('Serial Reference'!$A$8:$W$8,1,MOD($A13-1,23)+1)&amp;TEXT(CT$2+FLOOR((CT$2-1)/9,1),"000"),"")</f>
        <v/>
      </c>
      <c r="CU13" s="19" t="str">
        <f>IF(INDEX('Shot Map'!$B$6:$V$26,CEILING($A13/5,1),CEILING(CU$2/5,1))=1,INDEX('Serial Reference'!$A$8:$W$8,1,FLOOR(($A13-1)/23,1)+1)&amp;INDEX('Serial Reference'!$A$8:$W$8,1,MOD($A13-1,23)+1)&amp;TEXT(CU$2+FLOOR((CU$2-1)/9,1),"000"),"")</f>
        <v/>
      </c>
      <c r="CV13" s="19" t="str">
        <f>IF(INDEX('Shot Map'!$B$6:$V$26,CEILING($A13/5,1),CEILING(CV$2/5,1))=1,INDEX('Serial Reference'!$A$8:$W$8,1,FLOOR(($A13-1)/23,1)+1)&amp;INDEX('Serial Reference'!$A$8:$W$8,1,MOD($A13-1,23)+1)&amp;TEXT(CV$2+FLOOR((CV$2-1)/9,1),"000"),"")</f>
        <v/>
      </c>
      <c r="CW13" s="20" t="str">
        <f>IF(INDEX('Shot Map'!$B$6:$V$26,CEILING($A13/5,1),CEILING(CW$2/5,1))=1,INDEX('Serial Reference'!$A$8:$W$8,1,FLOOR(($A13-1)/23,1)+1)&amp;INDEX('Serial Reference'!$A$8:$W$8,1,MOD($A13-1,23)+1)&amp;TEXT(CW$2+FLOOR((CW$2-1)/9,1),"000"),"")</f>
        <v/>
      </c>
      <c r="CX13" s="18" t="str">
        <f>IF(INDEX('Shot Map'!$B$6:$V$26,CEILING($A13/5,1),CEILING(CX$2/5,1))=1,INDEX('Serial Reference'!$A$8:$W$8,1,FLOOR(($A13-1)/23,1)+1)&amp;INDEX('Serial Reference'!$A$8:$W$8,1,MOD($A13-1,23)+1)&amp;TEXT(CX$2+FLOOR((CX$2-1)/9,1),"000"),"")</f>
        <v/>
      </c>
      <c r="CY13" s="19" t="str">
        <f>IF(INDEX('Shot Map'!$B$6:$V$26,CEILING($A13/5,1),CEILING(CY$2/5,1))=1,INDEX('Serial Reference'!$A$8:$W$8,1,FLOOR(($A13-1)/23,1)+1)&amp;INDEX('Serial Reference'!$A$8:$W$8,1,MOD($A13-1,23)+1)&amp;TEXT(CY$2+FLOOR((CY$2-1)/9,1),"000"),"")</f>
        <v/>
      </c>
      <c r="CZ13" s="19" t="str">
        <f>IF(INDEX('Shot Map'!$B$6:$V$26,CEILING($A13/5,1),CEILING(CZ$2/5,1))=1,INDEX('Serial Reference'!$A$8:$W$8,1,FLOOR(($A13-1)/23,1)+1)&amp;INDEX('Serial Reference'!$A$8:$W$8,1,MOD($A13-1,23)+1)&amp;TEXT(CZ$2+FLOOR((CZ$2-1)/9,1),"000"),"")</f>
        <v/>
      </c>
      <c r="DA13" s="19" t="str">
        <f>IF(INDEX('Shot Map'!$B$6:$V$26,CEILING($A13/5,1),CEILING(DA$2/5,1))=1,INDEX('Serial Reference'!$A$8:$W$8,1,FLOOR(($A13-1)/23,1)+1)&amp;INDEX('Serial Reference'!$A$8:$W$8,1,MOD($A13-1,23)+1)&amp;TEXT(DA$2+FLOOR((DA$2-1)/9,1),"000"),"")</f>
        <v/>
      </c>
      <c r="DB13" s="20" t="str">
        <f>IF(INDEX('Shot Map'!$B$6:$V$26,CEILING($A13/5,1),CEILING(DB$2/5,1))=1,INDEX('Serial Reference'!$A$8:$W$8,1,FLOOR(($A13-1)/23,1)+1)&amp;INDEX('Serial Reference'!$A$8:$W$8,1,MOD($A13-1,23)+1)&amp;TEXT(DB$2+FLOOR((DB$2-1)/9,1),"000"),"")</f>
        <v/>
      </c>
    </row>
    <row r="14" spans="1:106" ht="12.75" customHeight="1" x14ac:dyDescent="0.25">
      <c r="A14" s="17">
        <v>12</v>
      </c>
      <c r="B14" s="21" t="str">
        <f>IF(INDEX('Shot Map'!$B$6:$V$26,CEILING($A14/5,1),CEILING(B$2/5,1))=1,INDEX('Serial Reference'!$A$8:$W$8,1,FLOOR(($A14-1)/23,1)+1)&amp;INDEX('Serial Reference'!$A$8:$W$8,1,MOD($A14-1,23)+1)&amp;TEXT(B$2+FLOOR((B$2-1)/9,1),"000"),"")</f>
        <v/>
      </c>
      <c r="C14" s="22" t="str">
        <f>IF(INDEX('Shot Map'!$B$6:$V$26,CEILING($A14/5,1),CEILING(C$2/5,1))=1,INDEX('Serial Reference'!$A$8:$W$8,1,FLOOR(($A14-1)/23,1)+1)&amp;INDEX('Serial Reference'!$A$8:$W$8,1,MOD($A14-1,23)+1)&amp;TEXT(C$2+FLOOR((C$2-1)/9,1),"000"),"")</f>
        <v/>
      </c>
      <c r="D14" s="22" t="str">
        <f>IF(INDEX('Shot Map'!$B$6:$V$26,CEILING($A14/5,1),CEILING(D$2/5,1))=1,INDEX('Serial Reference'!$A$8:$W$8,1,FLOOR(($A14-1)/23,1)+1)&amp;INDEX('Serial Reference'!$A$8:$W$8,1,MOD($A14-1,23)+1)&amp;TEXT(D$2+FLOOR((D$2-1)/9,1),"000"),"")</f>
        <v/>
      </c>
      <c r="E14" s="22" t="str">
        <f>IF(INDEX('Shot Map'!$B$6:$V$26,CEILING($A14/5,1),CEILING(E$2/5,1))=1,INDEX('Serial Reference'!$A$8:$W$8,1,FLOOR(($A14-1)/23,1)+1)&amp;INDEX('Serial Reference'!$A$8:$W$8,1,MOD($A14-1,23)+1)&amp;TEXT(E$2+FLOOR((E$2-1)/9,1),"000"),"")</f>
        <v/>
      </c>
      <c r="F14" s="23" t="str">
        <f>IF(INDEX('Shot Map'!$B$6:$V$26,CEILING($A14/5,1),CEILING(F$2/5,1))=1,INDEX('Serial Reference'!$A$8:$W$8,1,FLOOR(($A14-1)/23,1)+1)&amp;INDEX('Serial Reference'!$A$8:$W$8,1,MOD($A14-1,23)+1)&amp;TEXT(F$2+FLOOR((F$2-1)/9,1),"000"),"")</f>
        <v/>
      </c>
      <c r="G14" s="21" t="str">
        <f>IF(INDEX('Shot Map'!$B$6:$V$26,CEILING($A14/5,1),CEILING(G$2/5,1))=1,INDEX('Serial Reference'!$A$8:$W$8,1,FLOOR(($A14-1)/23,1)+1)&amp;INDEX('Serial Reference'!$A$8:$W$8,1,MOD($A14-1,23)+1)&amp;TEXT(G$2+FLOOR((G$2-1)/9,1),"000"),"")</f>
        <v/>
      </c>
      <c r="H14" s="22" t="str">
        <f>IF(INDEX('Shot Map'!$B$6:$V$26,CEILING($A14/5,1),CEILING(H$2/5,1))=1,INDEX('Serial Reference'!$A$8:$W$8,1,FLOOR(($A14-1)/23,1)+1)&amp;INDEX('Serial Reference'!$A$8:$W$8,1,MOD($A14-1,23)+1)&amp;TEXT(H$2+FLOOR((H$2-1)/9,1),"000"),"")</f>
        <v/>
      </c>
      <c r="I14" s="22" t="str">
        <f>IF(INDEX('Shot Map'!$B$6:$V$26,CEILING($A14/5,1),CEILING(I$2/5,1))=1,INDEX('Serial Reference'!$A$8:$W$8,1,FLOOR(($A14-1)/23,1)+1)&amp;INDEX('Serial Reference'!$A$8:$W$8,1,MOD($A14-1,23)+1)&amp;TEXT(I$2+FLOOR((I$2-1)/9,1),"000"),"")</f>
        <v/>
      </c>
      <c r="J14" s="22" t="str">
        <f>IF(INDEX('Shot Map'!$B$6:$V$26,CEILING($A14/5,1),CEILING(J$2/5,1))=1,INDEX('Serial Reference'!$A$8:$W$8,1,FLOOR(($A14-1)/23,1)+1)&amp;INDEX('Serial Reference'!$A$8:$W$8,1,MOD($A14-1,23)+1)&amp;TEXT(J$2+FLOOR((J$2-1)/9,1),"000"),"")</f>
        <v/>
      </c>
      <c r="K14" s="23" t="str">
        <f>IF(INDEX('Shot Map'!$B$6:$V$26,CEILING($A14/5,1),CEILING(K$2/5,1))=1,INDEX('Serial Reference'!$A$8:$W$8,1,FLOOR(($A14-1)/23,1)+1)&amp;INDEX('Serial Reference'!$A$8:$W$8,1,MOD($A14-1,23)+1)&amp;TEXT(K$2+FLOOR((K$2-1)/9,1),"000"),"")</f>
        <v/>
      </c>
      <c r="L14" s="21" t="str">
        <f>IF(INDEX('Shot Map'!$B$6:$V$26,CEILING($A14/5,1),CEILING(L$2/5,1))=1,INDEX('Serial Reference'!$A$8:$W$8,1,FLOOR(($A14-1)/23,1)+1)&amp;INDEX('Serial Reference'!$A$8:$W$8,1,MOD($A14-1,23)+1)&amp;TEXT(L$2+FLOOR((L$2-1)/9,1),"000"),"")</f>
        <v/>
      </c>
      <c r="M14" s="22" t="str">
        <f>IF(INDEX('Shot Map'!$B$6:$V$26,CEILING($A14/5,1),CEILING(M$2/5,1))=1,INDEX('Serial Reference'!$A$8:$W$8,1,FLOOR(($A14-1)/23,1)+1)&amp;INDEX('Serial Reference'!$A$8:$W$8,1,MOD($A14-1,23)+1)&amp;TEXT(M$2+FLOOR((M$2-1)/9,1),"000"),"")</f>
        <v/>
      </c>
      <c r="N14" s="22" t="str">
        <f>IF(INDEX('Shot Map'!$B$6:$V$26,CEILING($A14/5,1),CEILING(N$2/5,1))=1,INDEX('Serial Reference'!$A$8:$W$8,1,FLOOR(($A14-1)/23,1)+1)&amp;INDEX('Serial Reference'!$A$8:$W$8,1,MOD($A14-1,23)+1)&amp;TEXT(N$2+FLOOR((N$2-1)/9,1),"000"),"")</f>
        <v/>
      </c>
      <c r="O14" s="22" t="str">
        <f>IF(INDEX('Shot Map'!$B$6:$V$26,CEILING($A14/5,1),CEILING(O$2/5,1))=1,INDEX('Serial Reference'!$A$8:$W$8,1,FLOOR(($A14-1)/23,1)+1)&amp;INDEX('Serial Reference'!$A$8:$W$8,1,MOD($A14-1,23)+1)&amp;TEXT(O$2+FLOOR((O$2-1)/9,1),"000"),"")</f>
        <v/>
      </c>
      <c r="P14" s="23" t="str">
        <f>IF(INDEX('Shot Map'!$B$6:$V$26,CEILING($A14/5,1),CEILING(P$2/5,1))=1,INDEX('Serial Reference'!$A$8:$W$8,1,FLOOR(($A14-1)/23,1)+1)&amp;INDEX('Serial Reference'!$A$8:$W$8,1,MOD($A14-1,23)+1)&amp;TEXT(P$2+FLOOR((P$2-1)/9,1),"000"),"")</f>
        <v/>
      </c>
      <c r="Q14" s="21" t="str">
        <f>IF(INDEX('Shot Map'!$B$6:$V$26,CEILING($A14/5,1),CEILING(Q$2/5,1))=1,INDEX('Serial Reference'!$A$8:$W$8,1,FLOOR(($A14-1)/23,1)+1)&amp;INDEX('Serial Reference'!$A$8:$W$8,1,MOD($A14-1,23)+1)&amp;TEXT(Q$2+FLOOR((Q$2-1)/9,1),"000"),"")</f>
        <v/>
      </c>
      <c r="R14" s="22" t="str">
        <f>IF(INDEX('Shot Map'!$B$6:$V$26,CEILING($A14/5,1),CEILING(R$2/5,1))=1,INDEX('Serial Reference'!$A$8:$W$8,1,FLOOR(($A14-1)/23,1)+1)&amp;INDEX('Serial Reference'!$A$8:$W$8,1,MOD($A14-1,23)+1)&amp;TEXT(R$2+FLOOR((R$2-1)/9,1),"000"),"")</f>
        <v/>
      </c>
      <c r="S14" s="22" t="str">
        <f>IF(INDEX('Shot Map'!$B$6:$V$26,CEILING($A14/5,1),CEILING(S$2/5,1))=1,INDEX('Serial Reference'!$A$8:$W$8,1,FLOOR(($A14-1)/23,1)+1)&amp;INDEX('Serial Reference'!$A$8:$W$8,1,MOD($A14-1,23)+1)&amp;TEXT(S$2+FLOOR((S$2-1)/9,1),"000"),"")</f>
        <v/>
      </c>
      <c r="T14" s="22" t="str">
        <f>IF(INDEX('Shot Map'!$B$6:$V$26,CEILING($A14/5,1),CEILING(T$2/5,1))=1,INDEX('Serial Reference'!$A$8:$W$8,1,FLOOR(($A14-1)/23,1)+1)&amp;INDEX('Serial Reference'!$A$8:$W$8,1,MOD($A14-1,23)+1)&amp;TEXT(T$2+FLOOR((T$2-1)/9,1),"000"),"")</f>
        <v/>
      </c>
      <c r="U14" s="23" t="str">
        <f>IF(INDEX('Shot Map'!$B$6:$V$26,CEILING($A14/5,1),CEILING(U$2/5,1))=1,INDEX('Serial Reference'!$A$8:$W$8,1,FLOOR(($A14-1)/23,1)+1)&amp;INDEX('Serial Reference'!$A$8:$W$8,1,MOD($A14-1,23)+1)&amp;TEXT(U$2+FLOOR((U$2-1)/9,1),"000"),"")</f>
        <v/>
      </c>
      <c r="V14" s="21" t="str">
        <f>IF(INDEX('Shot Map'!$B$6:$V$26,CEILING($A14/5,1),CEILING(V$2/5,1))=1,INDEX('Serial Reference'!$A$8:$W$8,1,FLOOR(($A14-1)/23,1)+1)&amp;INDEX('Serial Reference'!$A$8:$W$8,1,MOD($A14-1,23)+1)&amp;TEXT(V$2+FLOOR((V$2-1)/9,1),"000"),"")</f>
        <v>AM023</v>
      </c>
      <c r="W14" s="22" t="str">
        <f>IF(INDEX('Shot Map'!$B$6:$V$26,CEILING($A14/5,1),CEILING(W$2/5,1))=1,INDEX('Serial Reference'!$A$8:$W$8,1,FLOOR(($A14-1)/23,1)+1)&amp;INDEX('Serial Reference'!$A$8:$W$8,1,MOD($A14-1,23)+1)&amp;TEXT(W$2+FLOOR((W$2-1)/9,1),"000"),"")</f>
        <v>AM024</v>
      </c>
      <c r="X14" s="22" t="str">
        <f>IF(INDEX('Shot Map'!$B$6:$V$26,CEILING($A14/5,1),CEILING(X$2/5,1))=1,INDEX('Serial Reference'!$A$8:$W$8,1,FLOOR(($A14-1)/23,1)+1)&amp;INDEX('Serial Reference'!$A$8:$W$8,1,MOD($A14-1,23)+1)&amp;TEXT(X$2+FLOOR((X$2-1)/9,1),"000"),"")</f>
        <v>AM025</v>
      </c>
      <c r="Y14" s="22" t="str">
        <f>IF(INDEX('Shot Map'!$B$6:$V$26,CEILING($A14/5,1),CEILING(Y$2/5,1))=1,INDEX('Serial Reference'!$A$8:$W$8,1,FLOOR(($A14-1)/23,1)+1)&amp;INDEX('Serial Reference'!$A$8:$W$8,1,MOD($A14-1,23)+1)&amp;TEXT(Y$2+FLOOR((Y$2-1)/9,1),"000"),"")</f>
        <v>AM026</v>
      </c>
      <c r="Z14" s="23" t="str">
        <f>IF(INDEX('Shot Map'!$B$6:$V$26,CEILING($A14/5,1),CEILING(Z$2/5,1))=1,INDEX('Serial Reference'!$A$8:$W$8,1,FLOOR(($A14-1)/23,1)+1)&amp;INDEX('Serial Reference'!$A$8:$W$8,1,MOD($A14-1,23)+1)&amp;TEXT(Z$2+FLOOR((Z$2-1)/9,1),"000"),"")</f>
        <v>AM027</v>
      </c>
      <c r="AA14" s="21" t="str">
        <f>IF(INDEX('Shot Map'!$B$6:$V$26,CEILING($A14/5,1),CEILING(AA$2/5,1))=1,INDEX('Serial Reference'!$A$8:$W$8,1,FLOOR(($A14-1)/23,1)+1)&amp;INDEX('Serial Reference'!$A$8:$W$8,1,MOD($A14-1,23)+1)&amp;TEXT(AA$2+FLOOR((AA$2-1)/9,1),"000"),"")</f>
        <v>AM028</v>
      </c>
      <c r="AB14" s="22" t="str">
        <f>IF(INDEX('Shot Map'!$B$6:$V$26,CEILING($A14/5,1),CEILING(AB$2/5,1))=1,INDEX('Serial Reference'!$A$8:$W$8,1,FLOOR(($A14-1)/23,1)+1)&amp;INDEX('Serial Reference'!$A$8:$W$8,1,MOD($A14-1,23)+1)&amp;TEXT(AB$2+FLOOR((AB$2-1)/9,1),"000"),"")</f>
        <v>AM029</v>
      </c>
      <c r="AC14" s="22" t="str">
        <f>IF(INDEX('Shot Map'!$B$6:$V$26,CEILING($A14/5,1),CEILING(AC$2/5,1))=1,INDEX('Serial Reference'!$A$8:$W$8,1,FLOOR(($A14-1)/23,1)+1)&amp;INDEX('Serial Reference'!$A$8:$W$8,1,MOD($A14-1,23)+1)&amp;TEXT(AC$2+FLOOR((AC$2-1)/9,1),"000"),"")</f>
        <v>AM031</v>
      </c>
      <c r="AD14" s="22" t="str">
        <f>IF(INDEX('Shot Map'!$B$6:$V$26,CEILING($A14/5,1),CEILING(AD$2/5,1))=1,INDEX('Serial Reference'!$A$8:$W$8,1,FLOOR(($A14-1)/23,1)+1)&amp;INDEX('Serial Reference'!$A$8:$W$8,1,MOD($A14-1,23)+1)&amp;TEXT(AD$2+FLOOR((AD$2-1)/9,1),"000"),"")</f>
        <v>AM032</v>
      </c>
      <c r="AE14" s="23" t="str">
        <f>IF(INDEX('Shot Map'!$B$6:$V$26,CEILING($A14/5,1),CEILING(AE$2/5,1))=1,INDEX('Serial Reference'!$A$8:$W$8,1,FLOOR(($A14-1)/23,1)+1)&amp;INDEX('Serial Reference'!$A$8:$W$8,1,MOD($A14-1,23)+1)&amp;TEXT(AE$2+FLOOR((AE$2-1)/9,1),"000"),"")</f>
        <v>AM033</v>
      </c>
      <c r="AF14" s="21" t="str">
        <f>IF(INDEX('Shot Map'!$B$6:$V$26,CEILING($A14/5,1),CEILING(AF$2/5,1))=1,INDEX('Serial Reference'!$A$8:$W$8,1,FLOOR(($A14-1)/23,1)+1)&amp;INDEX('Serial Reference'!$A$8:$W$8,1,MOD($A14-1,23)+1)&amp;TEXT(AF$2+FLOOR((AF$2-1)/9,1),"000"),"")</f>
        <v>AM034</v>
      </c>
      <c r="AG14" s="22" t="str">
        <f>IF(INDEX('Shot Map'!$B$6:$V$26,CEILING($A14/5,1),CEILING(AG$2/5,1))=1,INDEX('Serial Reference'!$A$8:$W$8,1,FLOOR(($A14-1)/23,1)+1)&amp;INDEX('Serial Reference'!$A$8:$W$8,1,MOD($A14-1,23)+1)&amp;TEXT(AG$2+FLOOR((AG$2-1)/9,1),"000"),"")</f>
        <v>AM035</v>
      </c>
      <c r="AH14" s="22" t="str">
        <f>IF(INDEX('Shot Map'!$B$6:$V$26,CEILING($A14/5,1),CEILING(AH$2/5,1))=1,INDEX('Serial Reference'!$A$8:$W$8,1,FLOOR(($A14-1)/23,1)+1)&amp;INDEX('Serial Reference'!$A$8:$W$8,1,MOD($A14-1,23)+1)&amp;TEXT(AH$2+FLOOR((AH$2-1)/9,1),"000"),"")</f>
        <v>AM036</v>
      </c>
      <c r="AI14" s="22" t="str">
        <f>IF(INDEX('Shot Map'!$B$6:$V$26,CEILING($A14/5,1),CEILING(AI$2/5,1))=1,INDEX('Serial Reference'!$A$8:$W$8,1,FLOOR(($A14-1)/23,1)+1)&amp;INDEX('Serial Reference'!$A$8:$W$8,1,MOD($A14-1,23)+1)&amp;TEXT(AI$2+FLOOR((AI$2-1)/9,1),"000"),"")</f>
        <v>AM037</v>
      </c>
      <c r="AJ14" s="23" t="str">
        <f>IF(INDEX('Shot Map'!$B$6:$V$26,CEILING($A14/5,1),CEILING(AJ$2/5,1))=1,INDEX('Serial Reference'!$A$8:$W$8,1,FLOOR(($A14-1)/23,1)+1)&amp;INDEX('Serial Reference'!$A$8:$W$8,1,MOD($A14-1,23)+1)&amp;TEXT(AJ$2+FLOOR((AJ$2-1)/9,1),"000"),"")</f>
        <v>AM038</v>
      </c>
      <c r="AK14" s="21" t="str">
        <f>IF(INDEX('Shot Map'!$B$6:$V$26,CEILING($A14/5,1),CEILING(AK$2/5,1))=1,INDEX('Serial Reference'!$A$8:$W$8,1,FLOOR(($A14-1)/23,1)+1)&amp;INDEX('Serial Reference'!$A$8:$W$8,1,MOD($A14-1,23)+1)&amp;TEXT(AK$2+FLOOR((AK$2-1)/9,1),"000"),"")</f>
        <v>AM039</v>
      </c>
      <c r="AL14" s="22" t="str">
        <f>IF(INDEX('Shot Map'!$B$6:$V$26,CEILING($A14/5,1),CEILING(AL$2/5,1))=1,INDEX('Serial Reference'!$A$8:$W$8,1,FLOOR(($A14-1)/23,1)+1)&amp;INDEX('Serial Reference'!$A$8:$W$8,1,MOD($A14-1,23)+1)&amp;TEXT(AL$2+FLOOR((AL$2-1)/9,1),"000"),"")</f>
        <v>AM041</v>
      </c>
      <c r="AM14" s="22" t="str">
        <f>IF(INDEX('Shot Map'!$B$6:$V$26,CEILING($A14/5,1),CEILING(AM$2/5,1))=1,INDEX('Serial Reference'!$A$8:$W$8,1,FLOOR(($A14-1)/23,1)+1)&amp;INDEX('Serial Reference'!$A$8:$W$8,1,MOD($A14-1,23)+1)&amp;TEXT(AM$2+FLOOR((AM$2-1)/9,1),"000"),"")</f>
        <v>AM042</v>
      </c>
      <c r="AN14" s="22" t="str">
        <f>IF(INDEX('Shot Map'!$B$6:$V$26,CEILING($A14/5,1),CEILING(AN$2/5,1))=1,INDEX('Serial Reference'!$A$8:$W$8,1,FLOOR(($A14-1)/23,1)+1)&amp;INDEX('Serial Reference'!$A$8:$W$8,1,MOD($A14-1,23)+1)&amp;TEXT(AN$2+FLOOR((AN$2-1)/9,1),"000"),"")</f>
        <v>AM043</v>
      </c>
      <c r="AO14" s="23" t="str">
        <f>IF(INDEX('Shot Map'!$B$6:$V$26,CEILING($A14/5,1),CEILING(AO$2/5,1))=1,INDEX('Serial Reference'!$A$8:$W$8,1,FLOOR(($A14-1)/23,1)+1)&amp;INDEX('Serial Reference'!$A$8:$W$8,1,MOD($A14-1,23)+1)&amp;TEXT(AO$2+FLOOR((AO$2-1)/9,1),"000"),"")</f>
        <v>AM044</v>
      </c>
      <c r="AP14" s="21" t="str">
        <f>IF(INDEX('Shot Map'!$B$6:$V$26,CEILING($A14/5,1),CEILING(AP$2/5,1))=1,INDEX('Serial Reference'!$A$8:$W$8,1,FLOOR(($A14-1)/23,1)+1)&amp;INDEX('Serial Reference'!$A$8:$W$8,1,MOD($A14-1,23)+1)&amp;TEXT(AP$2+FLOOR((AP$2-1)/9,1),"000"),"")</f>
        <v>AM045</v>
      </c>
      <c r="AQ14" s="22" t="str">
        <f>IF(INDEX('Shot Map'!$B$6:$V$26,CEILING($A14/5,1),CEILING(AQ$2/5,1))=1,INDEX('Serial Reference'!$A$8:$W$8,1,FLOOR(($A14-1)/23,1)+1)&amp;INDEX('Serial Reference'!$A$8:$W$8,1,MOD($A14-1,23)+1)&amp;TEXT(AQ$2+FLOOR((AQ$2-1)/9,1),"000"),"")</f>
        <v>AM046</v>
      </c>
      <c r="AR14" s="22" t="str">
        <f>IF(INDEX('Shot Map'!$B$6:$V$26,CEILING($A14/5,1),CEILING(AR$2/5,1))=1,INDEX('Serial Reference'!$A$8:$W$8,1,FLOOR(($A14-1)/23,1)+1)&amp;INDEX('Serial Reference'!$A$8:$W$8,1,MOD($A14-1,23)+1)&amp;TEXT(AR$2+FLOOR((AR$2-1)/9,1),"000"),"")</f>
        <v>AM047</v>
      </c>
      <c r="AS14" s="22" t="str">
        <f>IF(INDEX('Shot Map'!$B$6:$V$26,CEILING($A14/5,1),CEILING(AS$2/5,1))=1,INDEX('Serial Reference'!$A$8:$W$8,1,FLOOR(($A14-1)/23,1)+1)&amp;INDEX('Serial Reference'!$A$8:$W$8,1,MOD($A14-1,23)+1)&amp;TEXT(AS$2+FLOOR((AS$2-1)/9,1),"000"),"")</f>
        <v>AM048</v>
      </c>
      <c r="AT14" s="23" t="str">
        <f>IF(INDEX('Shot Map'!$B$6:$V$26,CEILING($A14/5,1),CEILING(AT$2/5,1))=1,INDEX('Serial Reference'!$A$8:$W$8,1,FLOOR(($A14-1)/23,1)+1)&amp;INDEX('Serial Reference'!$A$8:$W$8,1,MOD($A14-1,23)+1)&amp;TEXT(AT$2+FLOOR((AT$2-1)/9,1),"000"),"")</f>
        <v>AM049</v>
      </c>
      <c r="AU14" s="21" t="str">
        <f>IF(INDEX('Shot Map'!$B$6:$V$26,CEILING($A14/5,1),CEILING(AU$2/5,1))=1,INDEX('Serial Reference'!$A$8:$W$8,1,FLOOR(($A14-1)/23,1)+1)&amp;INDEX('Serial Reference'!$A$8:$W$8,1,MOD($A14-1,23)+1)&amp;TEXT(AU$2+FLOOR((AU$2-1)/9,1),"000"),"")</f>
        <v>AM051</v>
      </c>
      <c r="AV14" s="22" t="str">
        <f>IF(INDEX('Shot Map'!$B$6:$V$26,CEILING($A14/5,1),CEILING(AV$2/5,1))=1,INDEX('Serial Reference'!$A$8:$W$8,1,FLOOR(($A14-1)/23,1)+1)&amp;INDEX('Serial Reference'!$A$8:$W$8,1,MOD($A14-1,23)+1)&amp;TEXT(AV$2+FLOOR((AV$2-1)/9,1),"000"),"")</f>
        <v>AM052</v>
      </c>
      <c r="AW14" s="22" t="str">
        <f>IF(INDEX('Shot Map'!$B$6:$V$26,CEILING($A14/5,1),CEILING(AW$2/5,1))=1,INDEX('Serial Reference'!$A$8:$W$8,1,FLOOR(($A14-1)/23,1)+1)&amp;INDEX('Serial Reference'!$A$8:$W$8,1,MOD($A14-1,23)+1)&amp;TEXT(AW$2+FLOOR((AW$2-1)/9,1),"000"),"")</f>
        <v>AM053</v>
      </c>
      <c r="AX14" s="22" t="str">
        <f>IF(INDEX('Shot Map'!$B$6:$V$26,CEILING($A14/5,1),CEILING(AX$2/5,1))=1,INDEX('Serial Reference'!$A$8:$W$8,1,FLOOR(($A14-1)/23,1)+1)&amp;INDEX('Serial Reference'!$A$8:$W$8,1,MOD($A14-1,23)+1)&amp;TEXT(AX$2+FLOOR((AX$2-1)/9,1),"000"),"")</f>
        <v>AM054</v>
      </c>
      <c r="AY14" s="23" t="str">
        <f>IF(INDEX('Shot Map'!$B$6:$V$26,CEILING($A14/5,1),CEILING(AY$2/5,1))=1,INDEX('Serial Reference'!$A$8:$W$8,1,FLOOR(($A14-1)/23,1)+1)&amp;INDEX('Serial Reference'!$A$8:$W$8,1,MOD($A14-1,23)+1)&amp;TEXT(AY$2+FLOOR((AY$2-1)/9,1),"000"),"")</f>
        <v>AM055</v>
      </c>
      <c r="AZ14" s="21" t="str">
        <f>IF(INDEX('Shot Map'!$B$6:$V$26,CEILING($A14/5,1),CEILING(AZ$2/5,1))=1,INDEX('Serial Reference'!$A$8:$W$8,1,FLOOR(($A14-1)/23,1)+1)&amp;INDEX('Serial Reference'!$A$8:$W$8,1,MOD($A14-1,23)+1)&amp;TEXT(AZ$2+FLOOR((AZ$2-1)/9,1),"000"),"")</f>
        <v>AM056</v>
      </c>
      <c r="BA14" s="22" t="str">
        <f>IF(INDEX('Shot Map'!$B$6:$V$26,CEILING($A14/5,1),CEILING(BA$2/5,1))=1,INDEX('Serial Reference'!$A$8:$W$8,1,FLOOR(($A14-1)/23,1)+1)&amp;INDEX('Serial Reference'!$A$8:$W$8,1,MOD($A14-1,23)+1)&amp;TEXT(BA$2+FLOOR((BA$2-1)/9,1),"000"),"")</f>
        <v>AM057</v>
      </c>
      <c r="BB14" s="22" t="str">
        <f>IF(INDEX('Shot Map'!$B$6:$V$26,CEILING($A14/5,1),CEILING(BB$2/5,1))=1,INDEX('Serial Reference'!$A$8:$W$8,1,FLOOR(($A14-1)/23,1)+1)&amp;INDEX('Serial Reference'!$A$8:$W$8,1,MOD($A14-1,23)+1)&amp;TEXT(BB$2+FLOOR((BB$2-1)/9,1),"000"),"")</f>
        <v>AM058</v>
      </c>
      <c r="BC14" s="22" t="str">
        <f>IF(INDEX('Shot Map'!$B$6:$V$26,CEILING($A14/5,1),CEILING(BC$2/5,1))=1,INDEX('Serial Reference'!$A$8:$W$8,1,FLOOR(($A14-1)/23,1)+1)&amp;INDEX('Serial Reference'!$A$8:$W$8,1,MOD($A14-1,23)+1)&amp;TEXT(BC$2+FLOOR((BC$2-1)/9,1),"000"),"")</f>
        <v>AM059</v>
      </c>
      <c r="BD14" s="23" t="str">
        <f>IF(INDEX('Shot Map'!$B$6:$V$26,CEILING($A14/5,1),CEILING(BD$2/5,1))=1,INDEX('Serial Reference'!$A$8:$W$8,1,FLOOR(($A14-1)/23,1)+1)&amp;INDEX('Serial Reference'!$A$8:$W$8,1,MOD($A14-1,23)+1)&amp;TEXT(BD$2+FLOOR((BD$2-1)/9,1),"000"),"")</f>
        <v>AM061</v>
      </c>
      <c r="BE14" s="21" t="str">
        <f>IF(INDEX('Shot Map'!$B$6:$V$26,CEILING($A14/5,1),CEILING(BE$2/5,1))=1,INDEX('Serial Reference'!$A$8:$W$8,1,FLOOR(($A14-1)/23,1)+1)&amp;INDEX('Serial Reference'!$A$8:$W$8,1,MOD($A14-1,23)+1)&amp;TEXT(BE$2+FLOOR((BE$2-1)/9,1),"000"),"")</f>
        <v>AM062</v>
      </c>
      <c r="BF14" s="22" t="str">
        <f>IF(INDEX('Shot Map'!$B$6:$V$26,CEILING($A14/5,1),CEILING(BF$2/5,1))=1,INDEX('Serial Reference'!$A$8:$W$8,1,FLOOR(($A14-1)/23,1)+1)&amp;INDEX('Serial Reference'!$A$8:$W$8,1,MOD($A14-1,23)+1)&amp;TEXT(BF$2+FLOOR((BF$2-1)/9,1),"000"),"")</f>
        <v>AM063</v>
      </c>
      <c r="BG14" s="22" t="str">
        <f>IF(INDEX('Shot Map'!$B$6:$V$26,CEILING($A14/5,1),CEILING(BG$2/5,1))=1,INDEX('Serial Reference'!$A$8:$W$8,1,FLOOR(($A14-1)/23,1)+1)&amp;INDEX('Serial Reference'!$A$8:$W$8,1,MOD($A14-1,23)+1)&amp;TEXT(BG$2+FLOOR((BG$2-1)/9,1),"000"),"")</f>
        <v>AM064</v>
      </c>
      <c r="BH14" s="22" t="str">
        <f>IF(INDEX('Shot Map'!$B$6:$V$26,CEILING($A14/5,1),CEILING(BH$2/5,1))=1,INDEX('Serial Reference'!$A$8:$W$8,1,FLOOR(($A14-1)/23,1)+1)&amp;INDEX('Serial Reference'!$A$8:$W$8,1,MOD($A14-1,23)+1)&amp;TEXT(BH$2+FLOOR((BH$2-1)/9,1),"000"),"")</f>
        <v>AM065</v>
      </c>
      <c r="BI14" s="23" t="str">
        <f>IF(INDEX('Shot Map'!$B$6:$V$26,CEILING($A14/5,1),CEILING(BI$2/5,1))=1,INDEX('Serial Reference'!$A$8:$W$8,1,FLOOR(($A14-1)/23,1)+1)&amp;INDEX('Serial Reference'!$A$8:$W$8,1,MOD($A14-1,23)+1)&amp;TEXT(BI$2+FLOOR((BI$2-1)/9,1),"000"),"")</f>
        <v>AM066</v>
      </c>
      <c r="BJ14" s="21" t="str">
        <f>IF(INDEX('Shot Map'!$B$6:$V$26,CEILING($A14/5,1),CEILING(BJ$2/5,1))=1,INDEX('Serial Reference'!$A$8:$W$8,1,FLOOR(($A14-1)/23,1)+1)&amp;INDEX('Serial Reference'!$A$8:$W$8,1,MOD($A14-1,23)+1)&amp;TEXT(BJ$2+FLOOR((BJ$2-1)/9,1),"000"),"")</f>
        <v>AM067</v>
      </c>
      <c r="BK14" s="22" t="str">
        <f>IF(INDEX('Shot Map'!$B$6:$V$26,CEILING($A14/5,1),CEILING(BK$2/5,1))=1,INDEX('Serial Reference'!$A$8:$W$8,1,FLOOR(($A14-1)/23,1)+1)&amp;INDEX('Serial Reference'!$A$8:$W$8,1,MOD($A14-1,23)+1)&amp;TEXT(BK$2+FLOOR((BK$2-1)/9,1),"000"),"")</f>
        <v>AM068</v>
      </c>
      <c r="BL14" s="22" t="str">
        <f>IF(INDEX('Shot Map'!$B$6:$V$26,CEILING($A14/5,1),CEILING(BL$2/5,1))=1,INDEX('Serial Reference'!$A$8:$W$8,1,FLOOR(($A14-1)/23,1)+1)&amp;INDEX('Serial Reference'!$A$8:$W$8,1,MOD($A14-1,23)+1)&amp;TEXT(BL$2+FLOOR((BL$2-1)/9,1),"000"),"")</f>
        <v>AM069</v>
      </c>
      <c r="BM14" s="22" t="str">
        <f>IF(INDEX('Shot Map'!$B$6:$V$26,CEILING($A14/5,1),CEILING(BM$2/5,1))=1,INDEX('Serial Reference'!$A$8:$W$8,1,FLOOR(($A14-1)/23,1)+1)&amp;INDEX('Serial Reference'!$A$8:$W$8,1,MOD($A14-1,23)+1)&amp;TEXT(BM$2+FLOOR((BM$2-1)/9,1),"000"),"")</f>
        <v>AM071</v>
      </c>
      <c r="BN14" s="23" t="str">
        <f>IF(INDEX('Shot Map'!$B$6:$V$26,CEILING($A14/5,1),CEILING(BN$2/5,1))=1,INDEX('Serial Reference'!$A$8:$W$8,1,FLOOR(($A14-1)/23,1)+1)&amp;INDEX('Serial Reference'!$A$8:$W$8,1,MOD($A14-1,23)+1)&amp;TEXT(BN$2+FLOOR((BN$2-1)/9,1),"000"),"")</f>
        <v>AM072</v>
      </c>
      <c r="BO14" s="21" t="str">
        <f>IF(INDEX('Shot Map'!$B$6:$V$26,CEILING($A14/5,1),CEILING(BO$2/5,1))=1,INDEX('Serial Reference'!$A$8:$W$8,1,FLOOR(($A14-1)/23,1)+1)&amp;INDEX('Serial Reference'!$A$8:$W$8,1,MOD($A14-1,23)+1)&amp;TEXT(BO$2+FLOOR((BO$2-1)/9,1),"000"),"")</f>
        <v>AM073</v>
      </c>
      <c r="BP14" s="22" t="str">
        <f>IF(INDEX('Shot Map'!$B$6:$V$26,CEILING($A14/5,1),CEILING(BP$2/5,1))=1,INDEX('Serial Reference'!$A$8:$W$8,1,FLOOR(($A14-1)/23,1)+1)&amp;INDEX('Serial Reference'!$A$8:$W$8,1,MOD($A14-1,23)+1)&amp;TEXT(BP$2+FLOOR((BP$2-1)/9,1),"000"),"")</f>
        <v>AM074</v>
      </c>
      <c r="BQ14" s="22" t="str">
        <f>IF(INDEX('Shot Map'!$B$6:$V$26,CEILING($A14/5,1),CEILING(BQ$2/5,1))=1,INDEX('Serial Reference'!$A$8:$W$8,1,FLOOR(($A14-1)/23,1)+1)&amp;INDEX('Serial Reference'!$A$8:$W$8,1,MOD($A14-1,23)+1)&amp;TEXT(BQ$2+FLOOR((BQ$2-1)/9,1),"000"),"")</f>
        <v>AM075</v>
      </c>
      <c r="BR14" s="22" t="str">
        <f>IF(INDEX('Shot Map'!$B$6:$V$26,CEILING($A14/5,1),CEILING(BR$2/5,1))=1,INDEX('Serial Reference'!$A$8:$W$8,1,FLOOR(($A14-1)/23,1)+1)&amp;INDEX('Serial Reference'!$A$8:$W$8,1,MOD($A14-1,23)+1)&amp;TEXT(BR$2+FLOOR((BR$2-1)/9,1),"000"),"")</f>
        <v>AM076</v>
      </c>
      <c r="BS14" s="23" t="str">
        <f>IF(INDEX('Shot Map'!$B$6:$V$26,CEILING($A14/5,1),CEILING(BS$2/5,1))=1,INDEX('Serial Reference'!$A$8:$W$8,1,FLOOR(($A14-1)/23,1)+1)&amp;INDEX('Serial Reference'!$A$8:$W$8,1,MOD($A14-1,23)+1)&amp;TEXT(BS$2+FLOOR((BS$2-1)/9,1),"000"),"")</f>
        <v>AM077</v>
      </c>
      <c r="BT14" s="21" t="str">
        <f>IF(INDEX('Shot Map'!$B$6:$V$26,CEILING($A14/5,1),CEILING(BT$2/5,1))=1,INDEX('Serial Reference'!$A$8:$W$8,1,FLOOR(($A14-1)/23,1)+1)&amp;INDEX('Serial Reference'!$A$8:$W$8,1,MOD($A14-1,23)+1)&amp;TEXT(BT$2+FLOOR((BT$2-1)/9,1),"000"),"")</f>
        <v>AM078</v>
      </c>
      <c r="BU14" s="22" t="str">
        <f>IF(INDEX('Shot Map'!$B$6:$V$26,CEILING($A14/5,1),CEILING(BU$2/5,1))=1,INDEX('Serial Reference'!$A$8:$W$8,1,FLOOR(($A14-1)/23,1)+1)&amp;INDEX('Serial Reference'!$A$8:$W$8,1,MOD($A14-1,23)+1)&amp;TEXT(BU$2+FLOOR((BU$2-1)/9,1),"000"),"")</f>
        <v>AM079</v>
      </c>
      <c r="BV14" s="22" t="str">
        <f>IF(INDEX('Shot Map'!$B$6:$V$26,CEILING($A14/5,1),CEILING(BV$2/5,1))=1,INDEX('Serial Reference'!$A$8:$W$8,1,FLOOR(($A14-1)/23,1)+1)&amp;INDEX('Serial Reference'!$A$8:$W$8,1,MOD($A14-1,23)+1)&amp;TEXT(BV$2+FLOOR((BV$2-1)/9,1),"000"),"")</f>
        <v>AM081</v>
      </c>
      <c r="BW14" s="22" t="str">
        <f>IF(INDEX('Shot Map'!$B$6:$V$26,CEILING($A14/5,1),CEILING(BW$2/5,1))=1,INDEX('Serial Reference'!$A$8:$W$8,1,FLOOR(($A14-1)/23,1)+1)&amp;INDEX('Serial Reference'!$A$8:$W$8,1,MOD($A14-1,23)+1)&amp;TEXT(BW$2+FLOOR((BW$2-1)/9,1),"000"),"")</f>
        <v>AM082</v>
      </c>
      <c r="BX14" s="23" t="str">
        <f>IF(INDEX('Shot Map'!$B$6:$V$26,CEILING($A14/5,1),CEILING(BX$2/5,1))=1,INDEX('Serial Reference'!$A$8:$W$8,1,FLOOR(($A14-1)/23,1)+1)&amp;INDEX('Serial Reference'!$A$8:$W$8,1,MOD($A14-1,23)+1)&amp;TEXT(BX$2+FLOOR((BX$2-1)/9,1),"000"),"")</f>
        <v>AM083</v>
      </c>
      <c r="BY14" s="21" t="str">
        <f>IF(INDEX('Shot Map'!$B$6:$V$26,CEILING($A14/5,1),CEILING(BY$2/5,1))=1,INDEX('Serial Reference'!$A$8:$W$8,1,FLOOR(($A14-1)/23,1)+1)&amp;INDEX('Serial Reference'!$A$8:$W$8,1,MOD($A14-1,23)+1)&amp;TEXT(BY$2+FLOOR((BY$2-1)/9,1),"000"),"")</f>
        <v>AM084</v>
      </c>
      <c r="BZ14" s="22" t="str">
        <f>IF(INDEX('Shot Map'!$B$6:$V$26,CEILING($A14/5,1),CEILING(BZ$2/5,1))=1,INDEX('Serial Reference'!$A$8:$W$8,1,FLOOR(($A14-1)/23,1)+1)&amp;INDEX('Serial Reference'!$A$8:$W$8,1,MOD($A14-1,23)+1)&amp;TEXT(BZ$2+FLOOR((BZ$2-1)/9,1),"000"),"")</f>
        <v>AM085</v>
      </c>
      <c r="CA14" s="22" t="str">
        <f>IF(INDEX('Shot Map'!$B$6:$V$26,CEILING($A14/5,1),CEILING(CA$2/5,1))=1,INDEX('Serial Reference'!$A$8:$W$8,1,FLOOR(($A14-1)/23,1)+1)&amp;INDEX('Serial Reference'!$A$8:$W$8,1,MOD($A14-1,23)+1)&amp;TEXT(CA$2+FLOOR((CA$2-1)/9,1),"000"),"")</f>
        <v>AM086</v>
      </c>
      <c r="CB14" s="22" t="str">
        <f>IF(INDEX('Shot Map'!$B$6:$V$26,CEILING($A14/5,1),CEILING(CB$2/5,1))=1,INDEX('Serial Reference'!$A$8:$W$8,1,FLOOR(($A14-1)/23,1)+1)&amp;INDEX('Serial Reference'!$A$8:$W$8,1,MOD($A14-1,23)+1)&amp;TEXT(CB$2+FLOOR((CB$2-1)/9,1),"000"),"")</f>
        <v>AM087</v>
      </c>
      <c r="CC14" s="23" t="str">
        <f>IF(INDEX('Shot Map'!$B$6:$V$26,CEILING($A14/5,1),CEILING(CC$2/5,1))=1,INDEX('Serial Reference'!$A$8:$W$8,1,FLOOR(($A14-1)/23,1)+1)&amp;INDEX('Serial Reference'!$A$8:$W$8,1,MOD($A14-1,23)+1)&amp;TEXT(CC$2+FLOOR((CC$2-1)/9,1),"000"),"")</f>
        <v>AM088</v>
      </c>
      <c r="CD14" s="21" t="str">
        <f>IF(INDEX('Shot Map'!$B$6:$V$26,CEILING($A14/5,1),CEILING(CD$2/5,1))=1,INDEX('Serial Reference'!$A$8:$W$8,1,FLOOR(($A14-1)/23,1)+1)&amp;INDEX('Serial Reference'!$A$8:$W$8,1,MOD($A14-1,23)+1)&amp;TEXT(CD$2+FLOOR((CD$2-1)/9,1),"000"),"")</f>
        <v>AM089</v>
      </c>
      <c r="CE14" s="22" t="str">
        <f>IF(INDEX('Shot Map'!$B$6:$V$26,CEILING($A14/5,1),CEILING(CE$2/5,1))=1,INDEX('Serial Reference'!$A$8:$W$8,1,FLOOR(($A14-1)/23,1)+1)&amp;INDEX('Serial Reference'!$A$8:$W$8,1,MOD($A14-1,23)+1)&amp;TEXT(CE$2+FLOOR((CE$2-1)/9,1),"000"),"")</f>
        <v>AM091</v>
      </c>
      <c r="CF14" s="22" t="str">
        <f>IF(INDEX('Shot Map'!$B$6:$V$26,CEILING($A14/5,1),CEILING(CF$2/5,1))=1,INDEX('Serial Reference'!$A$8:$W$8,1,FLOOR(($A14-1)/23,1)+1)&amp;INDEX('Serial Reference'!$A$8:$W$8,1,MOD($A14-1,23)+1)&amp;TEXT(CF$2+FLOOR((CF$2-1)/9,1),"000"),"")</f>
        <v>AM092</v>
      </c>
      <c r="CG14" s="22" t="str">
        <f>IF(INDEX('Shot Map'!$B$6:$V$26,CEILING($A14/5,1),CEILING(CG$2/5,1))=1,INDEX('Serial Reference'!$A$8:$W$8,1,FLOOR(($A14-1)/23,1)+1)&amp;INDEX('Serial Reference'!$A$8:$W$8,1,MOD($A14-1,23)+1)&amp;TEXT(CG$2+FLOOR((CG$2-1)/9,1),"000"),"")</f>
        <v>AM093</v>
      </c>
      <c r="CH14" s="23" t="str">
        <f>IF(INDEX('Shot Map'!$B$6:$V$26,CEILING($A14/5,1),CEILING(CH$2/5,1))=1,INDEX('Serial Reference'!$A$8:$W$8,1,FLOOR(($A14-1)/23,1)+1)&amp;INDEX('Serial Reference'!$A$8:$W$8,1,MOD($A14-1,23)+1)&amp;TEXT(CH$2+FLOOR((CH$2-1)/9,1),"000"),"")</f>
        <v>AM094</v>
      </c>
      <c r="CI14" s="21" t="str">
        <f>IF(INDEX('Shot Map'!$B$6:$V$26,CEILING($A14/5,1),CEILING(CI$2/5,1))=1,INDEX('Serial Reference'!$A$8:$W$8,1,FLOOR(($A14-1)/23,1)+1)&amp;INDEX('Serial Reference'!$A$8:$W$8,1,MOD($A14-1,23)+1)&amp;TEXT(CI$2+FLOOR((CI$2-1)/9,1),"000"),"")</f>
        <v/>
      </c>
      <c r="CJ14" s="22" t="str">
        <f>IF(INDEX('Shot Map'!$B$6:$V$26,CEILING($A14/5,1),CEILING(CJ$2/5,1))=1,INDEX('Serial Reference'!$A$8:$W$8,1,FLOOR(($A14-1)/23,1)+1)&amp;INDEX('Serial Reference'!$A$8:$W$8,1,MOD($A14-1,23)+1)&amp;TEXT(CJ$2+FLOOR((CJ$2-1)/9,1),"000"),"")</f>
        <v/>
      </c>
      <c r="CK14" s="22" t="str">
        <f>IF(INDEX('Shot Map'!$B$6:$V$26,CEILING($A14/5,1),CEILING(CK$2/5,1))=1,INDEX('Serial Reference'!$A$8:$W$8,1,FLOOR(($A14-1)/23,1)+1)&amp;INDEX('Serial Reference'!$A$8:$W$8,1,MOD($A14-1,23)+1)&amp;TEXT(CK$2+FLOOR((CK$2-1)/9,1),"000"),"")</f>
        <v/>
      </c>
      <c r="CL14" s="22" t="str">
        <f>IF(INDEX('Shot Map'!$B$6:$V$26,CEILING($A14/5,1),CEILING(CL$2/5,1))=1,INDEX('Serial Reference'!$A$8:$W$8,1,FLOOR(($A14-1)/23,1)+1)&amp;INDEX('Serial Reference'!$A$8:$W$8,1,MOD($A14-1,23)+1)&amp;TEXT(CL$2+FLOOR((CL$2-1)/9,1),"000"),"")</f>
        <v/>
      </c>
      <c r="CM14" s="23" t="str">
        <f>IF(INDEX('Shot Map'!$B$6:$V$26,CEILING($A14/5,1),CEILING(CM$2/5,1))=1,INDEX('Serial Reference'!$A$8:$W$8,1,FLOOR(($A14-1)/23,1)+1)&amp;INDEX('Serial Reference'!$A$8:$W$8,1,MOD($A14-1,23)+1)&amp;TEXT(CM$2+FLOOR((CM$2-1)/9,1),"000"),"")</f>
        <v/>
      </c>
      <c r="CN14" s="21" t="str">
        <f>IF(INDEX('Shot Map'!$B$6:$V$26,CEILING($A14/5,1),CEILING(CN$2/5,1))=1,INDEX('Serial Reference'!$A$8:$W$8,1,FLOOR(($A14-1)/23,1)+1)&amp;INDEX('Serial Reference'!$A$8:$W$8,1,MOD($A14-1,23)+1)&amp;TEXT(CN$2+FLOOR((CN$2-1)/9,1),"000"),"")</f>
        <v/>
      </c>
      <c r="CO14" s="22" t="str">
        <f>IF(INDEX('Shot Map'!$B$6:$V$26,CEILING($A14/5,1),CEILING(CO$2/5,1))=1,INDEX('Serial Reference'!$A$8:$W$8,1,FLOOR(($A14-1)/23,1)+1)&amp;INDEX('Serial Reference'!$A$8:$W$8,1,MOD($A14-1,23)+1)&amp;TEXT(CO$2+FLOOR((CO$2-1)/9,1),"000"),"")</f>
        <v/>
      </c>
      <c r="CP14" s="22" t="str">
        <f>IF(INDEX('Shot Map'!$B$6:$V$26,CEILING($A14/5,1),CEILING(CP$2/5,1))=1,INDEX('Serial Reference'!$A$8:$W$8,1,FLOOR(($A14-1)/23,1)+1)&amp;INDEX('Serial Reference'!$A$8:$W$8,1,MOD($A14-1,23)+1)&amp;TEXT(CP$2+FLOOR((CP$2-1)/9,1),"000"),"")</f>
        <v/>
      </c>
      <c r="CQ14" s="22" t="str">
        <f>IF(INDEX('Shot Map'!$B$6:$V$26,CEILING($A14/5,1),CEILING(CQ$2/5,1))=1,INDEX('Serial Reference'!$A$8:$W$8,1,FLOOR(($A14-1)/23,1)+1)&amp;INDEX('Serial Reference'!$A$8:$W$8,1,MOD($A14-1,23)+1)&amp;TEXT(CQ$2+FLOOR((CQ$2-1)/9,1),"000"),"")</f>
        <v/>
      </c>
      <c r="CR14" s="23" t="str">
        <f>IF(INDEX('Shot Map'!$B$6:$V$26,CEILING($A14/5,1),CEILING(CR$2/5,1))=1,INDEX('Serial Reference'!$A$8:$W$8,1,FLOOR(($A14-1)/23,1)+1)&amp;INDEX('Serial Reference'!$A$8:$W$8,1,MOD($A14-1,23)+1)&amp;TEXT(CR$2+FLOOR((CR$2-1)/9,1),"000"),"")</f>
        <v/>
      </c>
      <c r="CS14" s="21" t="str">
        <f>IF(INDEX('Shot Map'!$B$6:$V$26,CEILING($A14/5,1),CEILING(CS$2/5,1))=1,INDEX('Serial Reference'!$A$8:$W$8,1,FLOOR(($A14-1)/23,1)+1)&amp;INDEX('Serial Reference'!$A$8:$W$8,1,MOD($A14-1,23)+1)&amp;TEXT(CS$2+FLOOR((CS$2-1)/9,1),"000"),"")</f>
        <v/>
      </c>
      <c r="CT14" s="22" t="str">
        <f>IF(INDEX('Shot Map'!$B$6:$V$26,CEILING($A14/5,1),CEILING(CT$2/5,1))=1,INDEX('Serial Reference'!$A$8:$W$8,1,FLOOR(($A14-1)/23,1)+1)&amp;INDEX('Serial Reference'!$A$8:$W$8,1,MOD($A14-1,23)+1)&amp;TEXT(CT$2+FLOOR((CT$2-1)/9,1),"000"),"")</f>
        <v/>
      </c>
      <c r="CU14" s="22" t="str">
        <f>IF(INDEX('Shot Map'!$B$6:$V$26,CEILING($A14/5,1),CEILING(CU$2/5,1))=1,INDEX('Serial Reference'!$A$8:$W$8,1,FLOOR(($A14-1)/23,1)+1)&amp;INDEX('Serial Reference'!$A$8:$W$8,1,MOD($A14-1,23)+1)&amp;TEXT(CU$2+FLOOR((CU$2-1)/9,1),"000"),"")</f>
        <v/>
      </c>
      <c r="CV14" s="22" t="str">
        <f>IF(INDEX('Shot Map'!$B$6:$V$26,CEILING($A14/5,1),CEILING(CV$2/5,1))=1,INDEX('Serial Reference'!$A$8:$W$8,1,FLOOR(($A14-1)/23,1)+1)&amp;INDEX('Serial Reference'!$A$8:$W$8,1,MOD($A14-1,23)+1)&amp;TEXT(CV$2+FLOOR((CV$2-1)/9,1),"000"),"")</f>
        <v/>
      </c>
      <c r="CW14" s="23" t="str">
        <f>IF(INDEX('Shot Map'!$B$6:$V$26,CEILING($A14/5,1),CEILING(CW$2/5,1))=1,INDEX('Serial Reference'!$A$8:$W$8,1,FLOOR(($A14-1)/23,1)+1)&amp;INDEX('Serial Reference'!$A$8:$W$8,1,MOD($A14-1,23)+1)&amp;TEXT(CW$2+FLOOR((CW$2-1)/9,1),"000"),"")</f>
        <v/>
      </c>
      <c r="CX14" s="21" t="str">
        <f>IF(INDEX('Shot Map'!$B$6:$V$26,CEILING($A14/5,1),CEILING(CX$2/5,1))=1,INDEX('Serial Reference'!$A$8:$W$8,1,FLOOR(($A14-1)/23,1)+1)&amp;INDEX('Serial Reference'!$A$8:$W$8,1,MOD($A14-1,23)+1)&amp;TEXT(CX$2+FLOOR((CX$2-1)/9,1),"000"),"")</f>
        <v/>
      </c>
      <c r="CY14" s="22" t="str">
        <f>IF(INDEX('Shot Map'!$B$6:$V$26,CEILING($A14/5,1),CEILING(CY$2/5,1))=1,INDEX('Serial Reference'!$A$8:$W$8,1,FLOOR(($A14-1)/23,1)+1)&amp;INDEX('Serial Reference'!$A$8:$W$8,1,MOD($A14-1,23)+1)&amp;TEXT(CY$2+FLOOR((CY$2-1)/9,1),"000"),"")</f>
        <v/>
      </c>
      <c r="CZ14" s="22" t="str">
        <f>IF(INDEX('Shot Map'!$B$6:$V$26,CEILING($A14/5,1),CEILING(CZ$2/5,1))=1,INDEX('Serial Reference'!$A$8:$W$8,1,FLOOR(($A14-1)/23,1)+1)&amp;INDEX('Serial Reference'!$A$8:$W$8,1,MOD($A14-1,23)+1)&amp;TEXT(CZ$2+FLOOR((CZ$2-1)/9,1),"000"),"")</f>
        <v/>
      </c>
      <c r="DA14" s="22" t="str">
        <f>IF(INDEX('Shot Map'!$B$6:$V$26,CEILING($A14/5,1),CEILING(DA$2/5,1))=1,INDEX('Serial Reference'!$A$8:$W$8,1,FLOOR(($A14-1)/23,1)+1)&amp;INDEX('Serial Reference'!$A$8:$W$8,1,MOD($A14-1,23)+1)&amp;TEXT(DA$2+FLOOR((DA$2-1)/9,1),"000"),"")</f>
        <v/>
      </c>
      <c r="DB14" s="23" t="str">
        <f>IF(INDEX('Shot Map'!$B$6:$V$26,CEILING($A14/5,1),CEILING(DB$2/5,1))=1,INDEX('Serial Reference'!$A$8:$W$8,1,FLOOR(($A14-1)/23,1)+1)&amp;INDEX('Serial Reference'!$A$8:$W$8,1,MOD($A14-1,23)+1)&amp;TEXT(DB$2+FLOOR((DB$2-1)/9,1),"000"),"")</f>
        <v/>
      </c>
    </row>
    <row r="15" spans="1:106" ht="12.75" customHeight="1" x14ac:dyDescent="0.25">
      <c r="A15" s="17">
        <v>13</v>
      </c>
      <c r="B15" s="21" t="str">
        <f>IF(INDEX('Shot Map'!$B$6:$V$26,CEILING($A15/5,1),CEILING(B$2/5,1))=1,INDEX('Serial Reference'!$A$8:$W$8,1,FLOOR(($A15-1)/23,1)+1)&amp;INDEX('Serial Reference'!$A$8:$W$8,1,MOD($A15-1,23)+1)&amp;TEXT(B$2+FLOOR((B$2-1)/9,1),"000"),"")</f>
        <v/>
      </c>
      <c r="C15" s="22" t="str">
        <f>IF(INDEX('Shot Map'!$B$6:$V$26,CEILING($A15/5,1),CEILING(C$2/5,1))=1,INDEX('Serial Reference'!$A$8:$W$8,1,FLOOR(($A15-1)/23,1)+1)&amp;INDEX('Serial Reference'!$A$8:$W$8,1,MOD($A15-1,23)+1)&amp;TEXT(C$2+FLOOR((C$2-1)/9,1),"000"),"")</f>
        <v/>
      </c>
      <c r="D15" s="22" t="str">
        <f>IF(INDEX('Shot Map'!$B$6:$V$26,CEILING($A15/5,1),CEILING(D$2/5,1))=1,INDEX('Serial Reference'!$A$8:$W$8,1,FLOOR(($A15-1)/23,1)+1)&amp;INDEX('Serial Reference'!$A$8:$W$8,1,MOD($A15-1,23)+1)&amp;TEXT(D$2+FLOOR((D$2-1)/9,1),"000"),"")</f>
        <v/>
      </c>
      <c r="E15" s="22" t="str">
        <f>IF(INDEX('Shot Map'!$B$6:$V$26,CEILING($A15/5,1),CEILING(E$2/5,1))=1,INDEX('Serial Reference'!$A$8:$W$8,1,FLOOR(($A15-1)/23,1)+1)&amp;INDEX('Serial Reference'!$A$8:$W$8,1,MOD($A15-1,23)+1)&amp;TEXT(E$2+FLOOR((E$2-1)/9,1),"000"),"")</f>
        <v/>
      </c>
      <c r="F15" s="23" t="str">
        <f>IF(INDEX('Shot Map'!$B$6:$V$26,CEILING($A15/5,1),CEILING(F$2/5,1))=1,INDEX('Serial Reference'!$A$8:$W$8,1,FLOOR(($A15-1)/23,1)+1)&amp;INDEX('Serial Reference'!$A$8:$W$8,1,MOD($A15-1,23)+1)&amp;TEXT(F$2+FLOOR((F$2-1)/9,1),"000"),"")</f>
        <v/>
      </c>
      <c r="G15" s="21" t="str">
        <f>IF(INDEX('Shot Map'!$B$6:$V$26,CEILING($A15/5,1),CEILING(G$2/5,1))=1,INDEX('Serial Reference'!$A$8:$W$8,1,FLOOR(($A15-1)/23,1)+1)&amp;INDEX('Serial Reference'!$A$8:$W$8,1,MOD($A15-1,23)+1)&amp;TEXT(G$2+FLOOR((G$2-1)/9,1),"000"),"")</f>
        <v/>
      </c>
      <c r="H15" s="22" t="str">
        <f>IF(INDEX('Shot Map'!$B$6:$V$26,CEILING($A15/5,1),CEILING(H$2/5,1))=1,INDEX('Serial Reference'!$A$8:$W$8,1,FLOOR(($A15-1)/23,1)+1)&amp;INDEX('Serial Reference'!$A$8:$W$8,1,MOD($A15-1,23)+1)&amp;TEXT(H$2+FLOOR((H$2-1)/9,1),"000"),"")</f>
        <v/>
      </c>
      <c r="I15" s="22" t="str">
        <f>IF(INDEX('Shot Map'!$B$6:$V$26,CEILING($A15/5,1),CEILING(I$2/5,1))=1,INDEX('Serial Reference'!$A$8:$W$8,1,FLOOR(($A15-1)/23,1)+1)&amp;INDEX('Serial Reference'!$A$8:$W$8,1,MOD($A15-1,23)+1)&amp;TEXT(I$2+FLOOR((I$2-1)/9,1),"000"),"")</f>
        <v/>
      </c>
      <c r="J15" s="22" t="str">
        <f>IF(INDEX('Shot Map'!$B$6:$V$26,CEILING($A15/5,1),CEILING(J$2/5,1))=1,INDEX('Serial Reference'!$A$8:$W$8,1,FLOOR(($A15-1)/23,1)+1)&amp;INDEX('Serial Reference'!$A$8:$W$8,1,MOD($A15-1,23)+1)&amp;TEXT(J$2+FLOOR((J$2-1)/9,1),"000"),"")</f>
        <v/>
      </c>
      <c r="K15" s="23" t="str">
        <f>IF(INDEX('Shot Map'!$B$6:$V$26,CEILING($A15/5,1),CEILING(K$2/5,1))=1,INDEX('Serial Reference'!$A$8:$W$8,1,FLOOR(($A15-1)/23,1)+1)&amp;INDEX('Serial Reference'!$A$8:$W$8,1,MOD($A15-1,23)+1)&amp;TEXT(K$2+FLOOR((K$2-1)/9,1),"000"),"")</f>
        <v/>
      </c>
      <c r="L15" s="21" t="str">
        <f>IF(INDEX('Shot Map'!$B$6:$V$26,CEILING($A15/5,1),CEILING(L$2/5,1))=1,INDEX('Serial Reference'!$A$8:$W$8,1,FLOOR(($A15-1)/23,1)+1)&amp;INDEX('Serial Reference'!$A$8:$W$8,1,MOD($A15-1,23)+1)&amp;TEXT(L$2+FLOOR((L$2-1)/9,1),"000"),"")</f>
        <v/>
      </c>
      <c r="M15" s="22" t="str">
        <f>IF(INDEX('Shot Map'!$B$6:$V$26,CEILING($A15/5,1),CEILING(M$2/5,1))=1,INDEX('Serial Reference'!$A$8:$W$8,1,FLOOR(($A15-1)/23,1)+1)&amp;INDEX('Serial Reference'!$A$8:$W$8,1,MOD($A15-1,23)+1)&amp;TEXT(M$2+FLOOR((M$2-1)/9,1),"000"),"")</f>
        <v/>
      </c>
      <c r="N15" s="22" t="str">
        <f>IF(INDEX('Shot Map'!$B$6:$V$26,CEILING($A15/5,1),CEILING(N$2/5,1))=1,INDEX('Serial Reference'!$A$8:$W$8,1,FLOOR(($A15-1)/23,1)+1)&amp;INDEX('Serial Reference'!$A$8:$W$8,1,MOD($A15-1,23)+1)&amp;TEXT(N$2+FLOOR((N$2-1)/9,1),"000"),"")</f>
        <v/>
      </c>
      <c r="O15" s="22" t="str">
        <f>IF(INDEX('Shot Map'!$B$6:$V$26,CEILING($A15/5,1),CEILING(O$2/5,1))=1,INDEX('Serial Reference'!$A$8:$W$8,1,FLOOR(($A15-1)/23,1)+1)&amp;INDEX('Serial Reference'!$A$8:$W$8,1,MOD($A15-1,23)+1)&amp;TEXT(O$2+FLOOR((O$2-1)/9,1),"000"),"")</f>
        <v/>
      </c>
      <c r="P15" s="23" t="str">
        <f>IF(INDEX('Shot Map'!$B$6:$V$26,CEILING($A15/5,1),CEILING(P$2/5,1))=1,INDEX('Serial Reference'!$A$8:$W$8,1,FLOOR(($A15-1)/23,1)+1)&amp;INDEX('Serial Reference'!$A$8:$W$8,1,MOD($A15-1,23)+1)&amp;TEXT(P$2+FLOOR((P$2-1)/9,1),"000"),"")</f>
        <v/>
      </c>
      <c r="Q15" s="21" t="str">
        <f>IF(INDEX('Shot Map'!$B$6:$V$26,CEILING($A15/5,1),CEILING(Q$2/5,1))=1,INDEX('Serial Reference'!$A$8:$W$8,1,FLOOR(($A15-1)/23,1)+1)&amp;INDEX('Serial Reference'!$A$8:$W$8,1,MOD($A15-1,23)+1)&amp;TEXT(Q$2+FLOOR((Q$2-1)/9,1),"000"),"")</f>
        <v/>
      </c>
      <c r="R15" s="22" t="str">
        <f>IF(INDEX('Shot Map'!$B$6:$V$26,CEILING($A15/5,1),CEILING(R$2/5,1))=1,INDEX('Serial Reference'!$A$8:$W$8,1,FLOOR(($A15-1)/23,1)+1)&amp;INDEX('Serial Reference'!$A$8:$W$8,1,MOD($A15-1,23)+1)&amp;TEXT(R$2+FLOOR((R$2-1)/9,1),"000"),"")</f>
        <v/>
      </c>
      <c r="S15" s="22" t="str">
        <f>IF(INDEX('Shot Map'!$B$6:$V$26,CEILING($A15/5,1),CEILING(S$2/5,1))=1,INDEX('Serial Reference'!$A$8:$W$8,1,FLOOR(($A15-1)/23,1)+1)&amp;INDEX('Serial Reference'!$A$8:$W$8,1,MOD($A15-1,23)+1)&amp;TEXT(S$2+FLOOR((S$2-1)/9,1),"000"),"")</f>
        <v/>
      </c>
      <c r="T15" s="22" t="str">
        <f>IF(INDEX('Shot Map'!$B$6:$V$26,CEILING($A15/5,1),CEILING(T$2/5,1))=1,INDEX('Serial Reference'!$A$8:$W$8,1,FLOOR(($A15-1)/23,1)+1)&amp;INDEX('Serial Reference'!$A$8:$W$8,1,MOD($A15-1,23)+1)&amp;TEXT(T$2+FLOOR((T$2-1)/9,1),"000"),"")</f>
        <v/>
      </c>
      <c r="U15" s="23" t="str">
        <f>IF(INDEX('Shot Map'!$B$6:$V$26,CEILING($A15/5,1),CEILING(U$2/5,1))=1,INDEX('Serial Reference'!$A$8:$W$8,1,FLOOR(($A15-1)/23,1)+1)&amp;INDEX('Serial Reference'!$A$8:$W$8,1,MOD($A15-1,23)+1)&amp;TEXT(U$2+FLOOR((U$2-1)/9,1),"000"),"")</f>
        <v/>
      </c>
      <c r="V15" s="21" t="str">
        <f>IF(INDEX('Shot Map'!$B$6:$V$26,CEILING($A15/5,1),CEILING(V$2/5,1))=1,INDEX('Serial Reference'!$A$8:$W$8,1,FLOOR(($A15-1)/23,1)+1)&amp;INDEX('Serial Reference'!$A$8:$W$8,1,MOD($A15-1,23)+1)&amp;TEXT(V$2+FLOOR((V$2-1)/9,1),"000"),"")</f>
        <v>AN023</v>
      </c>
      <c r="W15" s="22" t="str">
        <f>IF(INDEX('Shot Map'!$B$6:$V$26,CEILING($A15/5,1),CEILING(W$2/5,1))=1,INDEX('Serial Reference'!$A$8:$W$8,1,FLOOR(($A15-1)/23,1)+1)&amp;INDEX('Serial Reference'!$A$8:$W$8,1,MOD($A15-1,23)+1)&amp;TEXT(W$2+FLOOR((W$2-1)/9,1),"000"),"")</f>
        <v>AN024</v>
      </c>
      <c r="X15" s="22" t="str">
        <f>IF(INDEX('Shot Map'!$B$6:$V$26,CEILING($A15/5,1),CEILING(X$2/5,1))=1,INDEX('Serial Reference'!$A$8:$W$8,1,FLOOR(($A15-1)/23,1)+1)&amp;INDEX('Serial Reference'!$A$8:$W$8,1,MOD($A15-1,23)+1)&amp;TEXT(X$2+FLOOR((X$2-1)/9,1),"000"),"")</f>
        <v>AN025</v>
      </c>
      <c r="Y15" s="22" t="str">
        <f>IF(INDEX('Shot Map'!$B$6:$V$26,CEILING($A15/5,1),CEILING(Y$2/5,1))=1,INDEX('Serial Reference'!$A$8:$W$8,1,FLOOR(($A15-1)/23,1)+1)&amp;INDEX('Serial Reference'!$A$8:$W$8,1,MOD($A15-1,23)+1)&amp;TEXT(Y$2+FLOOR((Y$2-1)/9,1),"000"),"")</f>
        <v>AN026</v>
      </c>
      <c r="Z15" s="23" t="str">
        <f>IF(INDEX('Shot Map'!$B$6:$V$26,CEILING($A15/5,1),CEILING(Z$2/5,1))=1,INDEX('Serial Reference'!$A$8:$W$8,1,FLOOR(($A15-1)/23,1)+1)&amp;INDEX('Serial Reference'!$A$8:$W$8,1,MOD($A15-1,23)+1)&amp;TEXT(Z$2+FLOOR((Z$2-1)/9,1),"000"),"")</f>
        <v>AN027</v>
      </c>
      <c r="AA15" s="21" t="str">
        <f>IF(INDEX('Shot Map'!$B$6:$V$26,CEILING($A15/5,1),CEILING(AA$2/5,1))=1,INDEX('Serial Reference'!$A$8:$W$8,1,FLOOR(($A15-1)/23,1)+1)&amp;INDEX('Serial Reference'!$A$8:$W$8,1,MOD($A15-1,23)+1)&amp;TEXT(AA$2+FLOOR((AA$2-1)/9,1),"000"),"")</f>
        <v>AN028</v>
      </c>
      <c r="AB15" s="22" t="str">
        <f>IF(INDEX('Shot Map'!$B$6:$V$26,CEILING($A15/5,1),CEILING(AB$2/5,1))=1,INDEX('Serial Reference'!$A$8:$W$8,1,FLOOR(($A15-1)/23,1)+1)&amp;INDEX('Serial Reference'!$A$8:$W$8,1,MOD($A15-1,23)+1)&amp;TEXT(AB$2+FLOOR((AB$2-1)/9,1),"000"),"")</f>
        <v>AN029</v>
      </c>
      <c r="AC15" s="22" t="str">
        <f>IF(INDEX('Shot Map'!$B$6:$V$26,CEILING($A15/5,1),CEILING(AC$2/5,1))=1,INDEX('Serial Reference'!$A$8:$W$8,1,FLOOR(($A15-1)/23,1)+1)&amp;INDEX('Serial Reference'!$A$8:$W$8,1,MOD($A15-1,23)+1)&amp;TEXT(AC$2+FLOOR((AC$2-1)/9,1),"000"),"")</f>
        <v>AN031</v>
      </c>
      <c r="AD15" s="22" t="str">
        <f>IF(INDEX('Shot Map'!$B$6:$V$26,CEILING($A15/5,1),CEILING(AD$2/5,1))=1,INDEX('Serial Reference'!$A$8:$W$8,1,FLOOR(($A15-1)/23,1)+1)&amp;INDEX('Serial Reference'!$A$8:$W$8,1,MOD($A15-1,23)+1)&amp;TEXT(AD$2+FLOOR((AD$2-1)/9,1),"000"),"")</f>
        <v>AN032</v>
      </c>
      <c r="AE15" s="23" t="str">
        <f>IF(INDEX('Shot Map'!$B$6:$V$26,CEILING($A15/5,1),CEILING(AE$2/5,1))=1,INDEX('Serial Reference'!$A$8:$W$8,1,FLOOR(($A15-1)/23,1)+1)&amp;INDEX('Serial Reference'!$A$8:$W$8,1,MOD($A15-1,23)+1)&amp;TEXT(AE$2+FLOOR((AE$2-1)/9,1),"000"),"")</f>
        <v>AN033</v>
      </c>
      <c r="AF15" s="21" t="str">
        <f>IF(INDEX('Shot Map'!$B$6:$V$26,CEILING($A15/5,1),CEILING(AF$2/5,1))=1,INDEX('Serial Reference'!$A$8:$W$8,1,FLOOR(($A15-1)/23,1)+1)&amp;INDEX('Serial Reference'!$A$8:$W$8,1,MOD($A15-1,23)+1)&amp;TEXT(AF$2+FLOOR((AF$2-1)/9,1),"000"),"")</f>
        <v>AN034</v>
      </c>
      <c r="AG15" s="22" t="str">
        <f>IF(INDEX('Shot Map'!$B$6:$V$26,CEILING($A15/5,1),CEILING(AG$2/5,1))=1,INDEX('Serial Reference'!$A$8:$W$8,1,FLOOR(($A15-1)/23,1)+1)&amp;INDEX('Serial Reference'!$A$8:$W$8,1,MOD($A15-1,23)+1)&amp;TEXT(AG$2+FLOOR((AG$2-1)/9,1),"000"),"")</f>
        <v>AN035</v>
      </c>
      <c r="AH15" s="22" t="str">
        <f>IF(INDEX('Shot Map'!$B$6:$V$26,CEILING($A15/5,1),CEILING(AH$2/5,1))=1,INDEX('Serial Reference'!$A$8:$W$8,1,FLOOR(($A15-1)/23,1)+1)&amp;INDEX('Serial Reference'!$A$8:$W$8,1,MOD($A15-1,23)+1)&amp;TEXT(AH$2+FLOOR((AH$2-1)/9,1),"000"),"")</f>
        <v>AN036</v>
      </c>
      <c r="AI15" s="22" t="str">
        <f>IF(INDEX('Shot Map'!$B$6:$V$26,CEILING($A15/5,1),CEILING(AI$2/5,1))=1,INDEX('Serial Reference'!$A$8:$W$8,1,FLOOR(($A15-1)/23,1)+1)&amp;INDEX('Serial Reference'!$A$8:$W$8,1,MOD($A15-1,23)+1)&amp;TEXT(AI$2+FLOOR((AI$2-1)/9,1),"000"),"")</f>
        <v>AN037</v>
      </c>
      <c r="AJ15" s="23" t="str">
        <f>IF(INDEX('Shot Map'!$B$6:$V$26,CEILING($A15/5,1),CEILING(AJ$2/5,1))=1,INDEX('Serial Reference'!$A$8:$W$8,1,FLOOR(($A15-1)/23,1)+1)&amp;INDEX('Serial Reference'!$A$8:$W$8,1,MOD($A15-1,23)+1)&amp;TEXT(AJ$2+FLOOR((AJ$2-1)/9,1),"000"),"")</f>
        <v>AN038</v>
      </c>
      <c r="AK15" s="21" t="str">
        <f>IF(INDEX('Shot Map'!$B$6:$V$26,CEILING($A15/5,1),CEILING(AK$2/5,1))=1,INDEX('Serial Reference'!$A$8:$W$8,1,FLOOR(($A15-1)/23,1)+1)&amp;INDEX('Serial Reference'!$A$8:$W$8,1,MOD($A15-1,23)+1)&amp;TEXT(AK$2+FLOOR((AK$2-1)/9,1),"000"),"")</f>
        <v>AN039</v>
      </c>
      <c r="AL15" s="22" t="str">
        <f>IF(INDEX('Shot Map'!$B$6:$V$26,CEILING($A15/5,1),CEILING(AL$2/5,1))=1,INDEX('Serial Reference'!$A$8:$W$8,1,FLOOR(($A15-1)/23,1)+1)&amp;INDEX('Serial Reference'!$A$8:$W$8,1,MOD($A15-1,23)+1)&amp;TEXT(AL$2+FLOOR((AL$2-1)/9,1),"000"),"")</f>
        <v>AN041</v>
      </c>
      <c r="AM15" s="22" t="str">
        <f>IF(INDEX('Shot Map'!$B$6:$V$26,CEILING($A15/5,1),CEILING(AM$2/5,1))=1,INDEX('Serial Reference'!$A$8:$W$8,1,FLOOR(($A15-1)/23,1)+1)&amp;INDEX('Serial Reference'!$A$8:$W$8,1,MOD($A15-1,23)+1)&amp;TEXT(AM$2+FLOOR((AM$2-1)/9,1),"000"),"")</f>
        <v>AN042</v>
      </c>
      <c r="AN15" s="22" t="str">
        <f>IF(INDEX('Shot Map'!$B$6:$V$26,CEILING($A15/5,1),CEILING(AN$2/5,1))=1,INDEX('Serial Reference'!$A$8:$W$8,1,FLOOR(($A15-1)/23,1)+1)&amp;INDEX('Serial Reference'!$A$8:$W$8,1,MOD($A15-1,23)+1)&amp;TEXT(AN$2+FLOOR((AN$2-1)/9,1),"000"),"")</f>
        <v>AN043</v>
      </c>
      <c r="AO15" s="23" t="str">
        <f>IF(INDEX('Shot Map'!$B$6:$V$26,CEILING($A15/5,1),CEILING(AO$2/5,1))=1,INDEX('Serial Reference'!$A$8:$W$8,1,FLOOR(($A15-1)/23,1)+1)&amp;INDEX('Serial Reference'!$A$8:$W$8,1,MOD($A15-1,23)+1)&amp;TEXT(AO$2+FLOOR((AO$2-1)/9,1),"000"),"")</f>
        <v>AN044</v>
      </c>
      <c r="AP15" s="21" t="str">
        <f>IF(INDEX('Shot Map'!$B$6:$V$26,CEILING($A15/5,1),CEILING(AP$2/5,1))=1,INDEX('Serial Reference'!$A$8:$W$8,1,FLOOR(($A15-1)/23,1)+1)&amp;INDEX('Serial Reference'!$A$8:$W$8,1,MOD($A15-1,23)+1)&amp;TEXT(AP$2+FLOOR((AP$2-1)/9,1),"000"),"")</f>
        <v>AN045</v>
      </c>
      <c r="AQ15" s="22" t="str">
        <f>IF(INDEX('Shot Map'!$B$6:$V$26,CEILING($A15/5,1),CEILING(AQ$2/5,1))=1,INDEX('Serial Reference'!$A$8:$W$8,1,FLOOR(($A15-1)/23,1)+1)&amp;INDEX('Serial Reference'!$A$8:$W$8,1,MOD($A15-1,23)+1)&amp;TEXT(AQ$2+FLOOR((AQ$2-1)/9,1),"000"),"")</f>
        <v>AN046</v>
      </c>
      <c r="AR15" s="22" t="str">
        <f>IF(INDEX('Shot Map'!$B$6:$V$26,CEILING($A15/5,1),CEILING(AR$2/5,1))=1,INDEX('Serial Reference'!$A$8:$W$8,1,FLOOR(($A15-1)/23,1)+1)&amp;INDEX('Serial Reference'!$A$8:$W$8,1,MOD($A15-1,23)+1)&amp;TEXT(AR$2+FLOOR((AR$2-1)/9,1),"000"),"")</f>
        <v>AN047</v>
      </c>
      <c r="AS15" s="22" t="str">
        <f>IF(INDEX('Shot Map'!$B$6:$V$26,CEILING($A15/5,1),CEILING(AS$2/5,1))=1,INDEX('Serial Reference'!$A$8:$W$8,1,FLOOR(($A15-1)/23,1)+1)&amp;INDEX('Serial Reference'!$A$8:$W$8,1,MOD($A15-1,23)+1)&amp;TEXT(AS$2+FLOOR((AS$2-1)/9,1),"000"),"")</f>
        <v>AN048</v>
      </c>
      <c r="AT15" s="23" t="str">
        <f>IF(INDEX('Shot Map'!$B$6:$V$26,CEILING($A15/5,1),CEILING(AT$2/5,1))=1,INDEX('Serial Reference'!$A$8:$W$8,1,FLOOR(($A15-1)/23,1)+1)&amp;INDEX('Serial Reference'!$A$8:$W$8,1,MOD($A15-1,23)+1)&amp;TEXT(AT$2+FLOOR((AT$2-1)/9,1),"000"),"")</f>
        <v>AN049</v>
      </c>
      <c r="AU15" s="21" t="str">
        <f>IF(INDEX('Shot Map'!$B$6:$V$26,CEILING($A15/5,1),CEILING(AU$2/5,1))=1,INDEX('Serial Reference'!$A$8:$W$8,1,FLOOR(($A15-1)/23,1)+1)&amp;INDEX('Serial Reference'!$A$8:$W$8,1,MOD($A15-1,23)+1)&amp;TEXT(AU$2+FLOOR((AU$2-1)/9,1),"000"),"")</f>
        <v>AN051</v>
      </c>
      <c r="AV15" s="22" t="str">
        <f>IF(INDEX('Shot Map'!$B$6:$V$26,CEILING($A15/5,1),CEILING(AV$2/5,1))=1,INDEX('Serial Reference'!$A$8:$W$8,1,FLOOR(($A15-1)/23,1)+1)&amp;INDEX('Serial Reference'!$A$8:$W$8,1,MOD($A15-1,23)+1)&amp;TEXT(AV$2+FLOOR((AV$2-1)/9,1),"000"),"")</f>
        <v>AN052</v>
      </c>
      <c r="AW15" s="22" t="str">
        <f>IF(INDEX('Shot Map'!$B$6:$V$26,CEILING($A15/5,1),CEILING(AW$2/5,1))=1,INDEX('Serial Reference'!$A$8:$W$8,1,FLOOR(($A15-1)/23,1)+1)&amp;INDEX('Serial Reference'!$A$8:$W$8,1,MOD($A15-1,23)+1)&amp;TEXT(AW$2+FLOOR((AW$2-1)/9,1),"000"),"")</f>
        <v>AN053</v>
      </c>
      <c r="AX15" s="22" t="str">
        <f>IF(INDEX('Shot Map'!$B$6:$V$26,CEILING($A15/5,1),CEILING(AX$2/5,1))=1,INDEX('Serial Reference'!$A$8:$W$8,1,FLOOR(($A15-1)/23,1)+1)&amp;INDEX('Serial Reference'!$A$8:$W$8,1,MOD($A15-1,23)+1)&amp;TEXT(AX$2+FLOOR((AX$2-1)/9,1),"000"),"")</f>
        <v>AN054</v>
      </c>
      <c r="AY15" s="23" t="str">
        <f>IF(INDEX('Shot Map'!$B$6:$V$26,CEILING($A15/5,1),CEILING(AY$2/5,1))=1,INDEX('Serial Reference'!$A$8:$W$8,1,FLOOR(($A15-1)/23,1)+1)&amp;INDEX('Serial Reference'!$A$8:$W$8,1,MOD($A15-1,23)+1)&amp;TEXT(AY$2+FLOOR((AY$2-1)/9,1),"000"),"")</f>
        <v>AN055</v>
      </c>
      <c r="AZ15" s="21" t="str">
        <f>IF(INDEX('Shot Map'!$B$6:$V$26,CEILING($A15/5,1),CEILING(AZ$2/5,1))=1,INDEX('Serial Reference'!$A$8:$W$8,1,FLOOR(($A15-1)/23,1)+1)&amp;INDEX('Serial Reference'!$A$8:$W$8,1,MOD($A15-1,23)+1)&amp;TEXT(AZ$2+FLOOR((AZ$2-1)/9,1),"000"),"")</f>
        <v>AN056</v>
      </c>
      <c r="BA15" s="22" t="str">
        <f>IF(INDEX('Shot Map'!$B$6:$V$26,CEILING($A15/5,1),CEILING(BA$2/5,1))=1,INDEX('Serial Reference'!$A$8:$W$8,1,FLOOR(($A15-1)/23,1)+1)&amp;INDEX('Serial Reference'!$A$8:$W$8,1,MOD($A15-1,23)+1)&amp;TEXT(BA$2+FLOOR((BA$2-1)/9,1),"000"),"")</f>
        <v>AN057</v>
      </c>
      <c r="BB15" s="22" t="str">
        <f>IF(INDEX('Shot Map'!$B$6:$V$26,CEILING($A15/5,1),CEILING(BB$2/5,1))=1,INDEX('Serial Reference'!$A$8:$W$8,1,FLOOR(($A15-1)/23,1)+1)&amp;INDEX('Serial Reference'!$A$8:$W$8,1,MOD($A15-1,23)+1)&amp;TEXT(BB$2+FLOOR((BB$2-1)/9,1),"000"),"")</f>
        <v>AN058</v>
      </c>
      <c r="BC15" s="22" t="str">
        <f>IF(INDEX('Shot Map'!$B$6:$V$26,CEILING($A15/5,1),CEILING(BC$2/5,1))=1,INDEX('Serial Reference'!$A$8:$W$8,1,FLOOR(($A15-1)/23,1)+1)&amp;INDEX('Serial Reference'!$A$8:$W$8,1,MOD($A15-1,23)+1)&amp;TEXT(BC$2+FLOOR((BC$2-1)/9,1),"000"),"")</f>
        <v>AN059</v>
      </c>
      <c r="BD15" s="23" t="str">
        <f>IF(INDEX('Shot Map'!$B$6:$V$26,CEILING($A15/5,1),CEILING(BD$2/5,1))=1,INDEX('Serial Reference'!$A$8:$W$8,1,FLOOR(($A15-1)/23,1)+1)&amp;INDEX('Serial Reference'!$A$8:$W$8,1,MOD($A15-1,23)+1)&amp;TEXT(BD$2+FLOOR((BD$2-1)/9,1),"000"),"")</f>
        <v>AN061</v>
      </c>
      <c r="BE15" s="21" t="str">
        <f>IF(INDEX('Shot Map'!$B$6:$V$26,CEILING($A15/5,1),CEILING(BE$2/5,1))=1,INDEX('Serial Reference'!$A$8:$W$8,1,FLOOR(($A15-1)/23,1)+1)&amp;INDEX('Serial Reference'!$A$8:$W$8,1,MOD($A15-1,23)+1)&amp;TEXT(BE$2+FLOOR((BE$2-1)/9,1),"000"),"")</f>
        <v>AN062</v>
      </c>
      <c r="BF15" s="22" t="str">
        <f>IF(INDEX('Shot Map'!$B$6:$V$26,CEILING($A15/5,1),CEILING(BF$2/5,1))=1,INDEX('Serial Reference'!$A$8:$W$8,1,FLOOR(($A15-1)/23,1)+1)&amp;INDEX('Serial Reference'!$A$8:$W$8,1,MOD($A15-1,23)+1)&amp;TEXT(BF$2+FLOOR((BF$2-1)/9,1),"000"),"")</f>
        <v>AN063</v>
      </c>
      <c r="BG15" s="22" t="str">
        <f>IF(INDEX('Shot Map'!$B$6:$V$26,CEILING($A15/5,1),CEILING(BG$2/5,1))=1,INDEX('Serial Reference'!$A$8:$W$8,1,FLOOR(($A15-1)/23,1)+1)&amp;INDEX('Serial Reference'!$A$8:$W$8,1,MOD($A15-1,23)+1)&amp;TEXT(BG$2+FLOOR((BG$2-1)/9,1),"000"),"")</f>
        <v>AN064</v>
      </c>
      <c r="BH15" s="22" t="str">
        <f>IF(INDEX('Shot Map'!$B$6:$V$26,CEILING($A15/5,1),CEILING(BH$2/5,1))=1,INDEX('Serial Reference'!$A$8:$W$8,1,FLOOR(($A15-1)/23,1)+1)&amp;INDEX('Serial Reference'!$A$8:$W$8,1,MOD($A15-1,23)+1)&amp;TEXT(BH$2+FLOOR((BH$2-1)/9,1),"000"),"")</f>
        <v>AN065</v>
      </c>
      <c r="BI15" s="23" t="str">
        <f>IF(INDEX('Shot Map'!$B$6:$V$26,CEILING($A15/5,1),CEILING(BI$2/5,1))=1,INDEX('Serial Reference'!$A$8:$W$8,1,FLOOR(($A15-1)/23,1)+1)&amp;INDEX('Serial Reference'!$A$8:$W$8,1,MOD($A15-1,23)+1)&amp;TEXT(BI$2+FLOOR((BI$2-1)/9,1),"000"),"")</f>
        <v>AN066</v>
      </c>
      <c r="BJ15" s="21" t="str">
        <f>IF(INDEX('Shot Map'!$B$6:$V$26,CEILING($A15/5,1),CEILING(BJ$2/5,1))=1,INDEX('Serial Reference'!$A$8:$W$8,1,FLOOR(($A15-1)/23,1)+1)&amp;INDEX('Serial Reference'!$A$8:$W$8,1,MOD($A15-1,23)+1)&amp;TEXT(BJ$2+FLOOR((BJ$2-1)/9,1),"000"),"")</f>
        <v>AN067</v>
      </c>
      <c r="BK15" s="22" t="str">
        <f>IF(INDEX('Shot Map'!$B$6:$V$26,CEILING($A15/5,1),CEILING(BK$2/5,1))=1,INDEX('Serial Reference'!$A$8:$W$8,1,FLOOR(($A15-1)/23,1)+1)&amp;INDEX('Serial Reference'!$A$8:$W$8,1,MOD($A15-1,23)+1)&amp;TEXT(BK$2+FLOOR((BK$2-1)/9,1),"000"),"")</f>
        <v>AN068</v>
      </c>
      <c r="BL15" s="22" t="str">
        <f>IF(INDEX('Shot Map'!$B$6:$V$26,CEILING($A15/5,1),CEILING(BL$2/5,1))=1,INDEX('Serial Reference'!$A$8:$W$8,1,FLOOR(($A15-1)/23,1)+1)&amp;INDEX('Serial Reference'!$A$8:$W$8,1,MOD($A15-1,23)+1)&amp;TEXT(BL$2+FLOOR((BL$2-1)/9,1),"000"),"")</f>
        <v>AN069</v>
      </c>
      <c r="BM15" s="22" t="str">
        <f>IF(INDEX('Shot Map'!$B$6:$V$26,CEILING($A15/5,1),CEILING(BM$2/5,1))=1,INDEX('Serial Reference'!$A$8:$W$8,1,FLOOR(($A15-1)/23,1)+1)&amp;INDEX('Serial Reference'!$A$8:$W$8,1,MOD($A15-1,23)+1)&amp;TEXT(BM$2+FLOOR((BM$2-1)/9,1),"000"),"")</f>
        <v>AN071</v>
      </c>
      <c r="BN15" s="23" t="str">
        <f>IF(INDEX('Shot Map'!$B$6:$V$26,CEILING($A15/5,1),CEILING(BN$2/5,1))=1,INDEX('Serial Reference'!$A$8:$W$8,1,FLOOR(($A15-1)/23,1)+1)&amp;INDEX('Serial Reference'!$A$8:$W$8,1,MOD($A15-1,23)+1)&amp;TEXT(BN$2+FLOOR((BN$2-1)/9,1),"000"),"")</f>
        <v>AN072</v>
      </c>
      <c r="BO15" s="21" t="str">
        <f>IF(INDEX('Shot Map'!$B$6:$V$26,CEILING($A15/5,1),CEILING(BO$2/5,1))=1,INDEX('Serial Reference'!$A$8:$W$8,1,FLOOR(($A15-1)/23,1)+1)&amp;INDEX('Serial Reference'!$A$8:$W$8,1,MOD($A15-1,23)+1)&amp;TEXT(BO$2+FLOOR((BO$2-1)/9,1),"000"),"")</f>
        <v>AN073</v>
      </c>
      <c r="BP15" s="22" t="str">
        <f>IF(INDEX('Shot Map'!$B$6:$V$26,CEILING($A15/5,1),CEILING(BP$2/5,1))=1,INDEX('Serial Reference'!$A$8:$W$8,1,FLOOR(($A15-1)/23,1)+1)&amp;INDEX('Serial Reference'!$A$8:$W$8,1,MOD($A15-1,23)+1)&amp;TEXT(BP$2+FLOOR((BP$2-1)/9,1),"000"),"")</f>
        <v>AN074</v>
      </c>
      <c r="BQ15" s="22" t="str">
        <f>IF(INDEX('Shot Map'!$B$6:$V$26,CEILING($A15/5,1),CEILING(BQ$2/5,1))=1,INDEX('Serial Reference'!$A$8:$W$8,1,FLOOR(($A15-1)/23,1)+1)&amp;INDEX('Serial Reference'!$A$8:$W$8,1,MOD($A15-1,23)+1)&amp;TEXT(BQ$2+FLOOR((BQ$2-1)/9,1),"000"),"")</f>
        <v>AN075</v>
      </c>
      <c r="BR15" s="22" t="str">
        <f>IF(INDEX('Shot Map'!$B$6:$V$26,CEILING($A15/5,1),CEILING(BR$2/5,1))=1,INDEX('Serial Reference'!$A$8:$W$8,1,FLOOR(($A15-1)/23,1)+1)&amp;INDEX('Serial Reference'!$A$8:$W$8,1,MOD($A15-1,23)+1)&amp;TEXT(BR$2+FLOOR((BR$2-1)/9,1),"000"),"")</f>
        <v>AN076</v>
      </c>
      <c r="BS15" s="23" t="str">
        <f>IF(INDEX('Shot Map'!$B$6:$V$26,CEILING($A15/5,1),CEILING(BS$2/5,1))=1,INDEX('Serial Reference'!$A$8:$W$8,1,FLOOR(($A15-1)/23,1)+1)&amp;INDEX('Serial Reference'!$A$8:$W$8,1,MOD($A15-1,23)+1)&amp;TEXT(BS$2+FLOOR((BS$2-1)/9,1),"000"),"")</f>
        <v>AN077</v>
      </c>
      <c r="BT15" s="21" t="str">
        <f>IF(INDEX('Shot Map'!$B$6:$V$26,CEILING($A15/5,1),CEILING(BT$2/5,1))=1,INDEX('Serial Reference'!$A$8:$W$8,1,FLOOR(($A15-1)/23,1)+1)&amp;INDEX('Serial Reference'!$A$8:$W$8,1,MOD($A15-1,23)+1)&amp;TEXT(BT$2+FLOOR((BT$2-1)/9,1),"000"),"")</f>
        <v>AN078</v>
      </c>
      <c r="BU15" s="22" t="str">
        <f>IF(INDEX('Shot Map'!$B$6:$V$26,CEILING($A15/5,1),CEILING(BU$2/5,1))=1,INDEX('Serial Reference'!$A$8:$W$8,1,FLOOR(($A15-1)/23,1)+1)&amp;INDEX('Serial Reference'!$A$8:$W$8,1,MOD($A15-1,23)+1)&amp;TEXT(BU$2+FLOOR((BU$2-1)/9,1),"000"),"")</f>
        <v>AN079</v>
      </c>
      <c r="BV15" s="22" t="str">
        <f>IF(INDEX('Shot Map'!$B$6:$V$26,CEILING($A15/5,1),CEILING(BV$2/5,1))=1,INDEX('Serial Reference'!$A$8:$W$8,1,FLOOR(($A15-1)/23,1)+1)&amp;INDEX('Serial Reference'!$A$8:$W$8,1,MOD($A15-1,23)+1)&amp;TEXT(BV$2+FLOOR((BV$2-1)/9,1),"000"),"")</f>
        <v>AN081</v>
      </c>
      <c r="BW15" s="22" t="str">
        <f>IF(INDEX('Shot Map'!$B$6:$V$26,CEILING($A15/5,1),CEILING(BW$2/5,1))=1,INDEX('Serial Reference'!$A$8:$W$8,1,FLOOR(($A15-1)/23,1)+1)&amp;INDEX('Serial Reference'!$A$8:$W$8,1,MOD($A15-1,23)+1)&amp;TEXT(BW$2+FLOOR((BW$2-1)/9,1),"000"),"")</f>
        <v>AN082</v>
      </c>
      <c r="BX15" s="23" t="str">
        <f>IF(INDEX('Shot Map'!$B$6:$V$26,CEILING($A15/5,1),CEILING(BX$2/5,1))=1,INDEX('Serial Reference'!$A$8:$W$8,1,FLOOR(($A15-1)/23,1)+1)&amp;INDEX('Serial Reference'!$A$8:$W$8,1,MOD($A15-1,23)+1)&amp;TEXT(BX$2+FLOOR((BX$2-1)/9,1),"000"),"")</f>
        <v>AN083</v>
      </c>
      <c r="BY15" s="21" t="str">
        <f>IF(INDEX('Shot Map'!$B$6:$V$26,CEILING($A15/5,1),CEILING(BY$2/5,1))=1,INDEX('Serial Reference'!$A$8:$W$8,1,FLOOR(($A15-1)/23,1)+1)&amp;INDEX('Serial Reference'!$A$8:$W$8,1,MOD($A15-1,23)+1)&amp;TEXT(BY$2+FLOOR((BY$2-1)/9,1),"000"),"")</f>
        <v>AN084</v>
      </c>
      <c r="BZ15" s="22" t="str">
        <f>IF(INDEX('Shot Map'!$B$6:$V$26,CEILING($A15/5,1),CEILING(BZ$2/5,1))=1,INDEX('Serial Reference'!$A$8:$W$8,1,FLOOR(($A15-1)/23,1)+1)&amp;INDEX('Serial Reference'!$A$8:$W$8,1,MOD($A15-1,23)+1)&amp;TEXT(BZ$2+FLOOR((BZ$2-1)/9,1),"000"),"")</f>
        <v>AN085</v>
      </c>
      <c r="CA15" s="22" t="str">
        <f>IF(INDEX('Shot Map'!$B$6:$V$26,CEILING($A15/5,1),CEILING(CA$2/5,1))=1,INDEX('Serial Reference'!$A$8:$W$8,1,FLOOR(($A15-1)/23,1)+1)&amp;INDEX('Serial Reference'!$A$8:$W$8,1,MOD($A15-1,23)+1)&amp;TEXT(CA$2+FLOOR((CA$2-1)/9,1),"000"),"")</f>
        <v>AN086</v>
      </c>
      <c r="CB15" s="22" t="str">
        <f>IF(INDEX('Shot Map'!$B$6:$V$26,CEILING($A15/5,1),CEILING(CB$2/5,1))=1,INDEX('Serial Reference'!$A$8:$W$8,1,FLOOR(($A15-1)/23,1)+1)&amp;INDEX('Serial Reference'!$A$8:$W$8,1,MOD($A15-1,23)+1)&amp;TEXT(CB$2+FLOOR((CB$2-1)/9,1),"000"),"")</f>
        <v>AN087</v>
      </c>
      <c r="CC15" s="23" t="str">
        <f>IF(INDEX('Shot Map'!$B$6:$V$26,CEILING($A15/5,1),CEILING(CC$2/5,1))=1,INDEX('Serial Reference'!$A$8:$W$8,1,FLOOR(($A15-1)/23,1)+1)&amp;INDEX('Serial Reference'!$A$8:$W$8,1,MOD($A15-1,23)+1)&amp;TEXT(CC$2+FLOOR((CC$2-1)/9,1),"000"),"")</f>
        <v>AN088</v>
      </c>
      <c r="CD15" s="21" t="str">
        <f>IF(INDEX('Shot Map'!$B$6:$V$26,CEILING($A15/5,1),CEILING(CD$2/5,1))=1,INDEX('Serial Reference'!$A$8:$W$8,1,FLOOR(($A15-1)/23,1)+1)&amp;INDEX('Serial Reference'!$A$8:$W$8,1,MOD($A15-1,23)+1)&amp;TEXT(CD$2+FLOOR((CD$2-1)/9,1),"000"),"")</f>
        <v>AN089</v>
      </c>
      <c r="CE15" s="22" t="str">
        <f>IF(INDEX('Shot Map'!$B$6:$V$26,CEILING($A15/5,1),CEILING(CE$2/5,1))=1,INDEX('Serial Reference'!$A$8:$W$8,1,FLOOR(($A15-1)/23,1)+1)&amp;INDEX('Serial Reference'!$A$8:$W$8,1,MOD($A15-1,23)+1)&amp;TEXT(CE$2+FLOOR((CE$2-1)/9,1),"000"),"")</f>
        <v>AN091</v>
      </c>
      <c r="CF15" s="22" t="str">
        <f>IF(INDEX('Shot Map'!$B$6:$V$26,CEILING($A15/5,1),CEILING(CF$2/5,1))=1,INDEX('Serial Reference'!$A$8:$W$8,1,FLOOR(($A15-1)/23,1)+1)&amp;INDEX('Serial Reference'!$A$8:$W$8,1,MOD($A15-1,23)+1)&amp;TEXT(CF$2+FLOOR((CF$2-1)/9,1),"000"),"")</f>
        <v>AN092</v>
      </c>
      <c r="CG15" s="22" t="str">
        <f>IF(INDEX('Shot Map'!$B$6:$V$26,CEILING($A15/5,1),CEILING(CG$2/5,1))=1,INDEX('Serial Reference'!$A$8:$W$8,1,FLOOR(($A15-1)/23,1)+1)&amp;INDEX('Serial Reference'!$A$8:$W$8,1,MOD($A15-1,23)+1)&amp;TEXT(CG$2+FLOOR((CG$2-1)/9,1),"000"),"")</f>
        <v>AN093</v>
      </c>
      <c r="CH15" s="23" t="str">
        <f>IF(INDEX('Shot Map'!$B$6:$V$26,CEILING($A15/5,1),CEILING(CH$2/5,1))=1,INDEX('Serial Reference'!$A$8:$W$8,1,FLOOR(($A15-1)/23,1)+1)&amp;INDEX('Serial Reference'!$A$8:$W$8,1,MOD($A15-1,23)+1)&amp;TEXT(CH$2+FLOOR((CH$2-1)/9,1),"000"),"")</f>
        <v>AN094</v>
      </c>
      <c r="CI15" s="21" t="str">
        <f>IF(INDEX('Shot Map'!$B$6:$V$26,CEILING($A15/5,1),CEILING(CI$2/5,1))=1,INDEX('Serial Reference'!$A$8:$W$8,1,FLOOR(($A15-1)/23,1)+1)&amp;INDEX('Serial Reference'!$A$8:$W$8,1,MOD($A15-1,23)+1)&amp;TEXT(CI$2+FLOOR((CI$2-1)/9,1),"000"),"")</f>
        <v/>
      </c>
      <c r="CJ15" s="22" t="str">
        <f>IF(INDEX('Shot Map'!$B$6:$V$26,CEILING($A15/5,1),CEILING(CJ$2/5,1))=1,INDEX('Serial Reference'!$A$8:$W$8,1,FLOOR(($A15-1)/23,1)+1)&amp;INDEX('Serial Reference'!$A$8:$W$8,1,MOD($A15-1,23)+1)&amp;TEXT(CJ$2+FLOOR((CJ$2-1)/9,1),"000"),"")</f>
        <v/>
      </c>
      <c r="CK15" s="22" t="str">
        <f>IF(INDEX('Shot Map'!$B$6:$V$26,CEILING($A15/5,1),CEILING(CK$2/5,1))=1,INDEX('Serial Reference'!$A$8:$W$8,1,FLOOR(($A15-1)/23,1)+1)&amp;INDEX('Serial Reference'!$A$8:$W$8,1,MOD($A15-1,23)+1)&amp;TEXT(CK$2+FLOOR((CK$2-1)/9,1),"000"),"")</f>
        <v/>
      </c>
      <c r="CL15" s="22" t="str">
        <f>IF(INDEX('Shot Map'!$B$6:$V$26,CEILING($A15/5,1),CEILING(CL$2/5,1))=1,INDEX('Serial Reference'!$A$8:$W$8,1,FLOOR(($A15-1)/23,1)+1)&amp;INDEX('Serial Reference'!$A$8:$W$8,1,MOD($A15-1,23)+1)&amp;TEXT(CL$2+FLOOR((CL$2-1)/9,1),"000"),"")</f>
        <v/>
      </c>
      <c r="CM15" s="23" t="str">
        <f>IF(INDEX('Shot Map'!$B$6:$V$26,CEILING($A15/5,1),CEILING(CM$2/5,1))=1,INDEX('Serial Reference'!$A$8:$W$8,1,FLOOR(($A15-1)/23,1)+1)&amp;INDEX('Serial Reference'!$A$8:$W$8,1,MOD($A15-1,23)+1)&amp;TEXT(CM$2+FLOOR((CM$2-1)/9,1),"000"),"")</f>
        <v/>
      </c>
      <c r="CN15" s="21" t="str">
        <f>IF(INDEX('Shot Map'!$B$6:$V$26,CEILING($A15/5,1),CEILING(CN$2/5,1))=1,INDEX('Serial Reference'!$A$8:$W$8,1,FLOOR(($A15-1)/23,1)+1)&amp;INDEX('Serial Reference'!$A$8:$W$8,1,MOD($A15-1,23)+1)&amp;TEXT(CN$2+FLOOR((CN$2-1)/9,1),"000"),"")</f>
        <v/>
      </c>
      <c r="CO15" s="22" t="str">
        <f>IF(INDEX('Shot Map'!$B$6:$V$26,CEILING($A15/5,1),CEILING(CO$2/5,1))=1,INDEX('Serial Reference'!$A$8:$W$8,1,FLOOR(($A15-1)/23,1)+1)&amp;INDEX('Serial Reference'!$A$8:$W$8,1,MOD($A15-1,23)+1)&amp;TEXT(CO$2+FLOOR((CO$2-1)/9,1),"000"),"")</f>
        <v/>
      </c>
      <c r="CP15" s="22" t="str">
        <f>IF(INDEX('Shot Map'!$B$6:$V$26,CEILING($A15/5,1),CEILING(CP$2/5,1))=1,INDEX('Serial Reference'!$A$8:$W$8,1,FLOOR(($A15-1)/23,1)+1)&amp;INDEX('Serial Reference'!$A$8:$W$8,1,MOD($A15-1,23)+1)&amp;TEXT(CP$2+FLOOR((CP$2-1)/9,1),"000"),"")</f>
        <v/>
      </c>
      <c r="CQ15" s="22" t="str">
        <f>IF(INDEX('Shot Map'!$B$6:$V$26,CEILING($A15/5,1),CEILING(CQ$2/5,1))=1,INDEX('Serial Reference'!$A$8:$W$8,1,FLOOR(($A15-1)/23,1)+1)&amp;INDEX('Serial Reference'!$A$8:$W$8,1,MOD($A15-1,23)+1)&amp;TEXT(CQ$2+FLOOR((CQ$2-1)/9,1),"000"),"")</f>
        <v/>
      </c>
      <c r="CR15" s="23" t="str">
        <f>IF(INDEX('Shot Map'!$B$6:$V$26,CEILING($A15/5,1),CEILING(CR$2/5,1))=1,INDEX('Serial Reference'!$A$8:$W$8,1,FLOOR(($A15-1)/23,1)+1)&amp;INDEX('Serial Reference'!$A$8:$W$8,1,MOD($A15-1,23)+1)&amp;TEXT(CR$2+FLOOR((CR$2-1)/9,1),"000"),"")</f>
        <v/>
      </c>
      <c r="CS15" s="21" t="str">
        <f>IF(INDEX('Shot Map'!$B$6:$V$26,CEILING($A15/5,1),CEILING(CS$2/5,1))=1,INDEX('Serial Reference'!$A$8:$W$8,1,FLOOR(($A15-1)/23,1)+1)&amp;INDEX('Serial Reference'!$A$8:$W$8,1,MOD($A15-1,23)+1)&amp;TEXT(CS$2+FLOOR((CS$2-1)/9,1),"000"),"")</f>
        <v/>
      </c>
      <c r="CT15" s="22" t="str">
        <f>IF(INDEX('Shot Map'!$B$6:$V$26,CEILING($A15/5,1),CEILING(CT$2/5,1))=1,INDEX('Serial Reference'!$A$8:$W$8,1,FLOOR(($A15-1)/23,1)+1)&amp;INDEX('Serial Reference'!$A$8:$W$8,1,MOD($A15-1,23)+1)&amp;TEXT(CT$2+FLOOR((CT$2-1)/9,1),"000"),"")</f>
        <v/>
      </c>
      <c r="CU15" s="22" t="str">
        <f>IF(INDEX('Shot Map'!$B$6:$V$26,CEILING($A15/5,1),CEILING(CU$2/5,1))=1,INDEX('Serial Reference'!$A$8:$W$8,1,FLOOR(($A15-1)/23,1)+1)&amp;INDEX('Serial Reference'!$A$8:$W$8,1,MOD($A15-1,23)+1)&amp;TEXT(CU$2+FLOOR((CU$2-1)/9,1),"000"),"")</f>
        <v/>
      </c>
      <c r="CV15" s="22" t="str">
        <f>IF(INDEX('Shot Map'!$B$6:$V$26,CEILING($A15/5,1),CEILING(CV$2/5,1))=1,INDEX('Serial Reference'!$A$8:$W$8,1,FLOOR(($A15-1)/23,1)+1)&amp;INDEX('Serial Reference'!$A$8:$W$8,1,MOD($A15-1,23)+1)&amp;TEXT(CV$2+FLOOR((CV$2-1)/9,1),"000"),"")</f>
        <v/>
      </c>
      <c r="CW15" s="23" t="str">
        <f>IF(INDEX('Shot Map'!$B$6:$V$26,CEILING($A15/5,1),CEILING(CW$2/5,1))=1,INDEX('Serial Reference'!$A$8:$W$8,1,FLOOR(($A15-1)/23,1)+1)&amp;INDEX('Serial Reference'!$A$8:$W$8,1,MOD($A15-1,23)+1)&amp;TEXT(CW$2+FLOOR((CW$2-1)/9,1),"000"),"")</f>
        <v/>
      </c>
      <c r="CX15" s="21" t="str">
        <f>IF(INDEX('Shot Map'!$B$6:$V$26,CEILING($A15/5,1),CEILING(CX$2/5,1))=1,INDEX('Serial Reference'!$A$8:$W$8,1,FLOOR(($A15-1)/23,1)+1)&amp;INDEX('Serial Reference'!$A$8:$W$8,1,MOD($A15-1,23)+1)&amp;TEXT(CX$2+FLOOR((CX$2-1)/9,1),"000"),"")</f>
        <v/>
      </c>
      <c r="CY15" s="22" t="str">
        <f>IF(INDEX('Shot Map'!$B$6:$V$26,CEILING($A15/5,1),CEILING(CY$2/5,1))=1,INDEX('Serial Reference'!$A$8:$W$8,1,FLOOR(($A15-1)/23,1)+1)&amp;INDEX('Serial Reference'!$A$8:$W$8,1,MOD($A15-1,23)+1)&amp;TEXT(CY$2+FLOOR((CY$2-1)/9,1),"000"),"")</f>
        <v/>
      </c>
      <c r="CZ15" s="22" t="str">
        <f>IF(INDEX('Shot Map'!$B$6:$V$26,CEILING($A15/5,1),CEILING(CZ$2/5,1))=1,INDEX('Serial Reference'!$A$8:$W$8,1,FLOOR(($A15-1)/23,1)+1)&amp;INDEX('Serial Reference'!$A$8:$W$8,1,MOD($A15-1,23)+1)&amp;TEXT(CZ$2+FLOOR((CZ$2-1)/9,1),"000"),"")</f>
        <v/>
      </c>
      <c r="DA15" s="22" t="str">
        <f>IF(INDEX('Shot Map'!$B$6:$V$26,CEILING($A15/5,1),CEILING(DA$2/5,1))=1,INDEX('Serial Reference'!$A$8:$W$8,1,FLOOR(($A15-1)/23,1)+1)&amp;INDEX('Serial Reference'!$A$8:$W$8,1,MOD($A15-1,23)+1)&amp;TEXT(DA$2+FLOOR((DA$2-1)/9,1),"000"),"")</f>
        <v/>
      </c>
      <c r="DB15" s="23" t="str">
        <f>IF(INDEX('Shot Map'!$B$6:$V$26,CEILING($A15/5,1),CEILING(DB$2/5,1))=1,INDEX('Serial Reference'!$A$8:$W$8,1,FLOOR(($A15-1)/23,1)+1)&amp;INDEX('Serial Reference'!$A$8:$W$8,1,MOD($A15-1,23)+1)&amp;TEXT(DB$2+FLOOR((DB$2-1)/9,1),"000"),"")</f>
        <v/>
      </c>
    </row>
    <row r="16" spans="1:106" ht="12.75" customHeight="1" x14ac:dyDescent="0.25">
      <c r="A16" s="17">
        <v>14</v>
      </c>
      <c r="B16" s="21" t="str">
        <f>IF(INDEX('Shot Map'!$B$6:$V$26,CEILING($A16/5,1),CEILING(B$2/5,1))=1,INDEX('Serial Reference'!$A$8:$W$8,1,FLOOR(($A16-1)/23,1)+1)&amp;INDEX('Serial Reference'!$A$8:$W$8,1,MOD($A16-1,23)+1)&amp;TEXT(B$2+FLOOR((B$2-1)/9,1),"000"),"")</f>
        <v/>
      </c>
      <c r="C16" s="22" t="str">
        <f>IF(INDEX('Shot Map'!$B$6:$V$26,CEILING($A16/5,1),CEILING(C$2/5,1))=1,INDEX('Serial Reference'!$A$8:$W$8,1,FLOOR(($A16-1)/23,1)+1)&amp;INDEX('Serial Reference'!$A$8:$W$8,1,MOD($A16-1,23)+1)&amp;TEXT(C$2+FLOOR((C$2-1)/9,1),"000"),"")</f>
        <v/>
      </c>
      <c r="D16" s="22" t="str">
        <f>IF(INDEX('Shot Map'!$B$6:$V$26,CEILING($A16/5,1),CEILING(D$2/5,1))=1,INDEX('Serial Reference'!$A$8:$W$8,1,FLOOR(($A16-1)/23,1)+1)&amp;INDEX('Serial Reference'!$A$8:$W$8,1,MOD($A16-1,23)+1)&amp;TEXT(D$2+FLOOR((D$2-1)/9,1),"000"),"")</f>
        <v/>
      </c>
      <c r="E16" s="22" t="str">
        <f>IF(INDEX('Shot Map'!$B$6:$V$26,CEILING($A16/5,1),CEILING(E$2/5,1))=1,INDEX('Serial Reference'!$A$8:$W$8,1,FLOOR(($A16-1)/23,1)+1)&amp;INDEX('Serial Reference'!$A$8:$W$8,1,MOD($A16-1,23)+1)&amp;TEXT(E$2+FLOOR((E$2-1)/9,1),"000"),"")</f>
        <v/>
      </c>
      <c r="F16" s="23" t="str">
        <f>IF(INDEX('Shot Map'!$B$6:$V$26,CEILING($A16/5,1),CEILING(F$2/5,1))=1,INDEX('Serial Reference'!$A$8:$W$8,1,FLOOR(($A16-1)/23,1)+1)&amp;INDEX('Serial Reference'!$A$8:$W$8,1,MOD($A16-1,23)+1)&amp;TEXT(F$2+FLOOR((F$2-1)/9,1),"000"),"")</f>
        <v/>
      </c>
      <c r="G16" s="21" t="str">
        <f>IF(INDEX('Shot Map'!$B$6:$V$26,CEILING($A16/5,1),CEILING(G$2/5,1))=1,INDEX('Serial Reference'!$A$8:$W$8,1,FLOOR(($A16-1)/23,1)+1)&amp;INDEX('Serial Reference'!$A$8:$W$8,1,MOD($A16-1,23)+1)&amp;TEXT(G$2+FLOOR((G$2-1)/9,1),"000"),"")</f>
        <v/>
      </c>
      <c r="H16" s="22" t="str">
        <f>IF(INDEX('Shot Map'!$B$6:$V$26,CEILING($A16/5,1),CEILING(H$2/5,1))=1,INDEX('Serial Reference'!$A$8:$W$8,1,FLOOR(($A16-1)/23,1)+1)&amp;INDEX('Serial Reference'!$A$8:$W$8,1,MOD($A16-1,23)+1)&amp;TEXT(H$2+FLOOR((H$2-1)/9,1),"000"),"")</f>
        <v/>
      </c>
      <c r="I16" s="22" t="str">
        <f>IF(INDEX('Shot Map'!$B$6:$V$26,CEILING($A16/5,1),CEILING(I$2/5,1))=1,INDEX('Serial Reference'!$A$8:$W$8,1,FLOOR(($A16-1)/23,1)+1)&amp;INDEX('Serial Reference'!$A$8:$W$8,1,MOD($A16-1,23)+1)&amp;TEXT(I$2+FLOOR((I$2-1)/9,1),"000"),"")</f>
        <v/>
      </c>
      <c r="J16" s="22" t="str">
        <f>IF(INDEX('Shot Map'!$B$6:$V$26,CEILING($A16/5,1),CEILING(J$2/5,1))=1,INDEX('Serial Reference'!$A$8:$W$8,1,FLOOR(($A16-1)/23,1)+1)&amp;INDEX('Serial Reference'!$A$8:$W$8,1,MOD($A16-1,23)+1)&amp;TEXT(J$2+FLOOR((J$2-1)/9,1),"000"),"")</f>
        <v/>
      </c>
      <c r="K16" s="23" t="str">
        <f>IF(INDEX('Shot Map'!$B$6:$V$26,CEILING($A16/5,1),CEILING(K$2/5,1))=1,INDEX('Serial Reference'!$A$8:$W$8,1,FLOOR(($A16-1)/23,1)+1)&amp;INDEX('Serial Reference'!$A$8:$W$8,1,MOD($A16-1,23)+1)&amp;TEXT(K$2+FLOOR((K$2-1)/9,1),"000"),"")</f>
        <v/>
      </c>
      <c r="L16" s="21" t="str">
        <f>IF(INDEX('Shot Map'!$B$6:$V$26,CEILING($A16/5,1),CEILING(L$2/5,1))=1,INDEX('Serial Reference'!$A$8:$W$8,1,FLOOR(($A16-1)/23,1)+1)&amp;INDEX('Serial Reference'!$A$8:$W$8,1,MOD($A16-1,23)+1)&amp;TEXT(L$2+FLOOR((L$2-1)/9,1),"000"),"")</f>
        <v/>
      </c>
      <c r="M16" s="22" t="str">
        <f>IF(INDEX('Shot Map'!$B$6:$V$26,CEILING($A16/5,1),CEILING(M$2/5,1))=1,INDEX('Serial Reference'!$A$8:$W$8,1,FLOOR(($A16-1)/23,1)+1)&amp;INDEX('Serial Reference'!$A$8:$W$8,1,MOD($A16-1,23)+1)&amp;TEXT(M$2+FLOOR((M$2-1)/9,1),"000"),"")</f>
        <v/>
      </c>
      <c r="N16" s="22" t="str">
        <f>IF(INDEX('Shot Map'!$B$6:$V$26,CEILING($A16/5,1),CEILING(N$2/5,1))=1,INDEX('Serial Reference'!$A$8:$W$8,1,FLOOR(($A16-1)/23,1)+1)&amp;INDEX('Serial Reference'!$A$8:$W$8,1,MOD($A16-1,23)+1)&amp;TEXT(N$2+FLOOR((N$2-1)/9,1),"000"),"")</f>
        <v/>
      </c>
      <c r="O16" s="22" t="str">
        <f>IF(INDEX('Shot Map'!$B$6:$V$26,CEILING($A16/5,1),CEILING(O$2/5,1))=1,INDEX('Serial Reference'!$A$8:$W$8,1,FLOOR(($A16-1)/23,1)+1)&amp;INDEX('Serial Reference'!$A$8:$W$8,1,MOD($A16-1,23)+1)&amp;TEXT(O$2+FLOOR((O$2-1)/9,1),"000"),"")</f>
        <v/>
      </c>
      <c r="P16" s="23" t="str">
        <f>IF(INDEX('Shot Map'!$B$6:$V$26,CEILING($A16/5,1),CEILING(P$2/5,1))=1,INDEX('Serial Reference'!$A$8:$W$8,1,FLOOR(($A16-1)/23,1)+1)&amp;INDEX('Serial Reference'!$A$8:$W$8,1,MOD($A16-1,23)+1)&amp;TEXT(P$2+FLOOR((P$2-1)/9,1),"000"),"")</f>
        <v/>
      </c>
      <c r="Q16" s="21" t="str">
        <f>IF(INDEX('Shot Map'!$B$6:$V$26,CEILING($A16/5,1),CEILING(Q$2/5,1))=1,INDEX('Serial Reference'!$A$8:$W$8,1,FLOOR(($A16-1)/23,1)+1)&amp;INDEX('Serial Reference'!$A$8:$W$8,1,MOD($A16-1,23)+1)&amp;TEXT(Q$2+FLOOR((Q$2-1)/9,1),"000"),"")</f>
        <v/>
      </c>
      <c r="R16" s="22" t="str">
        <f>IF(INDEX('Shot Map'!$B$6:$V$26,CEILING($A16/5,1),CEILING(R$2/5,1))=1,INDEX('Serial Reference'!$A$8:$W$8,1,FLOOR(($A16-1)/23,1)+1)&amp;INDEX('Serial Reference'!$A$8:$W$8,1,MOD($A16-1,23)+1)&amp;TEXT(R$2+FLOOR((R$2-1)/9,1),"000"),"")</f>
        <v/>
      </c>
      <c r="S16" s="22" t="str">
        <f>IF(INDEX('Shot Map'!$B$6:$V$26,CEILING($A16/5,1),CEILING(S$2/5,1))=1,INDEX('Serial Reference'!$A$8:$W$8,1,FLOOR(($A16-1)/23,1)+1)&amp;INDEX('Serial Reference'!$A$8:$W$8,1,MOD($A16-1,23)+1)&amp;TEXT(S$2+FLOOR((S$2-1)/9,1),"000"),"")</f>
        <v/>
      </c>
      <c r="T16" s="22" t="str">
        <f>IF(INDEX('Shot Map'!$B$6:$V$26,CEILING($A16/5,1),CEILING(T$2/5,1))=1,INDEX('Serial Reference'!$A$8:$W$8,1,FLOOR(($A16-1)/23,1)+1)&amp;INDEX('Serial Reference'!$A$8:$W$8,1,MOD($A16-1,23)+1)&amp;TEXT(T$2+FLOOR((T$2-1)/9,1),"000"),"")</f>
        <v/>
      </c>
      <c r="U16" s="23" t="str">
        <f>IF(INDEX('Shot Map'!$B$6:$V$26,CEILING($A16/5,1),CEILING(U$2/5,1))=1,INDEX('Serial Reference'!$A$8:$W$8,1,FLOOR(($A16-1)/23,1)+1)&amp;INDEX('Serial Reference'!$A$8:$W$8,1,MOD($A16-1,23)+1)&amp;TEXT(U$2+FLOOR((U$2-1)/9,1),"000"),"")</f>
        <v/>
      </c>
      <c r="V16" s="21" t="str">
        <f>IF(INDEX('Shot Map'!$B$6:$V$26,CEILING($A16/5,1),CEILING(V$2/5,1))=1,INDEX('Serial Reference'!$A$8:$W$8,1,FLOOR(($A16-1)/23,1)+1)&amp;INDEX('Serial Reference'!$A$8:$W$8,1,MOD($A16-1,23)+1)&amp;TEXT(V$2+FLOOR((V$2-1)/9,1),"000"),"")</f>
        <v>AP023</v>
      </c>
      <c r="W16" s="22" t="str">
        <f>IF(INDEX('Shot Map'!$B$6:$V$26,CEILING($A16/5,1),CEILING(W$2/5,1))=1,INDEX('Serial Reference'!$A$8:$W$8,1,FLOOR(($A16-1)/23,1)+1)&amp;INDEX('Serial Reference'!$A$8:$W$8,1,MOD($A16-1,23)+1)&amp;TEXT(W$2+FLOOR((W$2-1)/9,1),"000"),"")</f>
        <v>AP024</v>
      </c>
      <c r="X16" s="22" t="str">
        <f>IF(INDEX('Shot Map'!$B$6:$V$26,CEILING($A16/5,1),CEILING(X$2/5,1))=1,INDEX('Serial Reference'!$A$8:$W$8,1,FLOOR(($A16-1)/23,1)+1)&amp;INDEX('Serial Reference'!$A$8:$W$8,1,MOD($A16-1,23)+1)&amp;TEXT(X$2+FLOOR((X$2-1)/9,1),"000"),"")</f>
        <v>AP025</v>
      </c>
      <c r="Y16" s="22" t="str">
        <f>IF(INDEX('Shot Map'!$B$6:$V$26,CEILING($A16/5,1),CEILING(Y$2/5,1))=1,INDEX('Serial Reference'!$A$8:$W$8,1,FLOOR(($A16-1)/23,1)+1)&amp;INDEX('Serial Reference'!$A$8:$W$8,1,MOD($A16-1,23)+1)&amp;TEXT(Y$2+FLOOR((Y$2-1)/9,1),"000"),"")</f>
        <v>AP026</v>
      </c>
      <c r="Z16" s="23" t="str">
        <f>IF(INDEX('Shot Map'!$B$6:$V$26,CEILING($A16/5,1),CEILING(Z$2/5,1))=1,INDEX('Serial Reference'!$A$8:$W$8,1,FLOOR(($A16-1)/23,1)+1)&amp;INDEX('Serial Reference'!$A$8:$W$8,1,MOD($A16-1,23)+1)&amp;TEXT(Z$2+FLOOR((Z$2-1)/9,1),"000"),"")</f>
        <v>AP027</v>
      </c>
      <c r="AA16" s="21" t="str">
        <f>IF(INDEX('Shot Map'!$B$6:$V$26,CEILING($A16/5,1),CEILING(AA$2/5,1))=1,INDEX('Serial Reference'!$A$8:$W$8,1,FLOOR(($A16-1)/23,1)+1)&amp;INDEX('Serial Reference'!$A$8:$W$8,1,MOD($A16-1,23)+1)&amp;TEXT(AA$2+FLOOR((AA$2-1)/9,1),"000"),"")</f>
        <v>AP028</v>
      </c>
      <c r="AB16" s="22" t="str">
        <f>IF(INDEX('Shot Map'!$B$6:$V$26,CEILING($A16/5,1),CEILING(AB$2/5,1))=1,INDEX('Serial Reference'!$A$8:$W$8,1,FLOOR(($A16-1)/23,1)+1)&amp;INDEX('Serial Reference'!$A$8:$W$8,1,MOD($A16-1,23)+1)&amp;TEXT(AB$2+FLOOR((AB$2-1)/9,1),"000"),"")</f>
        <v>AP029</v>
      </c>
      <c r="AC16" s="22" t="str">
        <f>IF(INDEX('Shot Map'!$B$6:$V$26,CEILING($A16/5,1),CEILING(AC$2/5,1))=1,INDEX('Serial Reference'!$A$8:$W$8,1,FLOOR(($A16-1)/23,1)+1)&amp;INDEX('Serial Reference'!$A$8:$W$8,1,MOD($A16-1,23)+1)&amp;TEXT(AC$2+FLOOR((AC$2-1)/9,1),"000"),"")</f>
        <v>AP031</v>
      </c>
      <c r="AD16" s="22" t="str">
        <f>IF(INDEX('Shot Map'!$B$6:$V$26,CEILING($A16/5,1),CEILING(AD$2/5,1))=1,INDEX('Serial Reference'!$A$8:$W$8,1,FLOOR(($A16-1)/23,1)+1)&amp;INDEX('Serial Reference'!$A$8:$W$8,1,MOD($A16-1,23)+1)&amp;TEXT(AD$2+FLOOR((AD$2-1)/9,1),"000"),"")</f>
        <v>AP032</v>
      </c>
      <c r="AE16" s="23" t="str">
        <f>IF(INDEX('Shot Map'!$B$6:$V$26,CEILING($A16/5,1),CEILING(AE$2/5,1))=1,INDEX('Serial Reference'!$A$8:$W$8,1,FLOOR(($A16-1)/23,1)+1)&amp;INDEX('Serial Reference'!$A$8:$W$8,1,MOD($A16-1,23)+1)&amp;TEXT(AE$2+FLOOR((AE$2-1)/9,1),"000"),"")</f>
        <v>AP033</v>
      </c>
      <c r="AF16" s="21" t="str">
        <f>IF(INDEX('Shot Map'!$B$6:$V$26,CEILING($A16/5,1),CEILING(AF$2/5,1))=1,INDEX('Serial Reference'!$A$8:$W$8,1,FLOOR(($A16-1)/23,1)+1)&amp;INDEX('Serial Reference'!$A$8:$W$8,1,MOD($A16-1,23)+1)&amp;TEXT(AF$2+FLOOR((AF$2-1)/9,1),"000"),"")</f>
        <v>AP034</v>
      </c>
      <c r="AG16" s="22" t="str">
        <f>IF(INDEX('Shot Map'!$B$6:$V$26,CEILING($A16/5,1),CEILING(AG$2/5,1))=1,INDEX('Serial Reference'!$A$8:$W$8,1,FLOOR(($A16-1)/23,1)+1)&amp;INDEX('Serial Reference'!$A$8:$W$8,1,MOD($A16-1,23)+1)&amp;TEXT(AG$2+FLOOR((AG$2-1)/9,1),"000"),"")</f>
        <v>AP035</v>
      </c>
      <c r="AH16" s="22" t="str">
        <f>IF(INDEX('Shot Map'!$B$6:$V$26,CEILING($A16/5,1),CEILING(AH$2/5,1))=1,INDEX('Serial Reference'!$A$8:$W$8,1,FLOOR(($A16-1)/23,1)+1)&amp;INDEX('Serial Reference'!$A$8:$W$8,1,MOD($A16-1,23)+1)&amp;TEXT(AH$2+FLOOR((AH$2-1)/9,1),"000"),"")</f>
        <v>AP036</v>
      </c>
      <c r="AI16" s="22" t="str">
        <f>IF(INDEX('Shot Map'!$B$6:$V$26,CEILING($A16/5,1),CEILING(AI$2/5,1))=1,INDEX('Serial Reference'!$A$8:$W$8,1,FLOOR(($A16-1)/23,1)+1)&amp;INDEX('Serial Reference'!$A$8:$W$8,1,MOD($A16-1,23)+1)&amp;TEXT(AI$2+FLOOR((AI$2-1)/9,1),"000"),"")</f>
        <v>AP037</v>
      </c>
      <c r="AJ16" s="23" t="str">
        <f>IF(INDEX('Shot Map'!$B$6:$V$26,CEILING($A16/5,1),CEILING(AJ$2/5,1))=1,INDEX('Serial Reference'!$A$8:$W$8,1,FLOOR(($A16-1)/23,1)+1)&amp;INDEX('Serial Reference'!$A$8:$W$8,1,MOD($A16-1,23)+1)&amp;TEXT(AJ$2+FLOOR((AJ$2-1)/9,1),"000"),"")</f>
        <v>AP038</v>
      </c>
      <c r="AK16" s="21" t="str">
        <f>IF(INDEX('Shot Map'!$B$6:$V$26,CEILING($A16/5,1),CEILING(AK$2/5,1))=1,INDEX('Serial Reference'!$A$8:$W$8,1,FLOOR(($A16-1)/23,1)+1)&amp;INDEX('Serial Reference'!$A$8:$W$8,1,MOD($A16-1,23)+1)&amp;TEXT(AK$2+FLOOR((AK$2-1)/9,1),"000"),"")</f>
        <v>AP039</v>
      </c>
      <c r="AL16" s="22" t="str">
        <f>IF(INDEX('Shot Map'!$B$6:$V$26,CEILING($A16/5,1),CEILING(AL$2/5,1))=1,INDEX('Serial Reference'!$A$8:$W$8,1,FLOOR(($A16-1)/23,1)+1)&amp;INDEX('Serial Reference'!$A$8:$W$8,1,MOD($A16-1,23)+1)&amp;TEXT(AL$2+FLOOR((AL$2-1)/9,1),"000"),"")</f>
        <v>AP041</v>
      </c>
      <c r="AM16" s="22" t="str">
        <f>IF(INDEX('Shot Map'!$B$6:$V$26,CEILING($A16/5,1),CEILING(AM$2/5,1))=1,INDEX('Serial Reference'!$A$8:$W$8,1,FLOOR(($A16-1)/23,1)+1)&amp;INDEX('Serial Reference'!$A$8:$W$8,1,MOD($A16-1,23)+1)&amp;TEXT(AM$2+FLOOR((AM$2-1)/9,1),"000"),"")</f>
        <v>AP042</v>
      </c>
      <c r="AN16" s="22" t="str">
        <f>IF(INDEX('Shot Map'!$B$6:$V$26,CEILING($A16/5,1),CEILING(AN$2/5,1))=1,INDEX('Serial Reference'!$A$8:$W$8,1,FLOOR(($A16-1)/23,1)+1)&amp;INDEX('Serial Reference'!$A$8:$W$8,1,MOD($A16-1,23)+1)&amp;TEXT(AN$2+FLOOR((AN$2-1)/9,1),"000"),"")</f>
        <v>AP043</v>
      </c>
      <c r="AO16" s="23" t="str">
        <f>IF(INDEX('Shot Map'!$B$6:$V$26,CEILING($A16/5,1),CEILING(AO$2/5,1))=1,INDEX('Serial Reference'!$A$8:$W$8,1,FLOOR(($A16-1)/23,1)+1)&amp;INDEX('Serial Reference'!$A$8:$W$8,1,MOD($A16-1,23)+1)&amp;TEXT(AO$2+FLOOR((AO$2-1)/9,1),"000"),"")</f>
        <v>AP044</v>
      </c>
      <c r="AP16" s="21" t="str">
        <f>IF(INDEX('Shot Map'!$B$6:$V$26,CEILING($A16/5,1),CEILING(AP$2/5,1))=1,INDEX('Serial Reference'!$A$8:$W$8,1,FLOOR(($A16-1)/23,1)+1)&amp;INDEX('Serial Reference'!$A$8:$W$8,1,MOD($A16-1,23)+1)&amp;TEXT(AP$2+FLOOR((AP$2-1)/9,1),"000"),"")</f>
        <v>AP045</v>
      </c>
      <c r="AQ16" s="22" t="str">
        <f>IF(INDEX('Shot Map'!$B$6:$V$26,CEILING($A16/5,1),CEILING(AQ$2/5,1))=1,INDEX('Serial Reference'!$A$8:$W$8,1,FLOOR(($A16-1)/23,1)+1)&amp;INDEX('Serial Reference'!$A$8:$W$8,1,MOD($A16-1,23)+1)&amp;TEXT(AQ$2+FLOOR((AQ$2-1)/9,1),"000"),"")</f>
        <v>AP046</v>
      </c>
      <c r="AR16" s="22" t="str">
        <f>IF(INDEX('Shot Map'!$B$6:$V$26,CEILING($A16/5,1),CEILING(AR$2/5,1))=1,INDEX('Serial Reference'!$A$8:$W$8,1,FLOOR(($A16-1)/23,1)+1)&amp;INDEX('Serial Reference'!$A$8:$W$8,1,MOD($A16-1,23)+1)&amp;TEXT(AR$2+FLOOR((AR$2-1)/9,1),"000"),"")</f>
        <v>AP047</v>
      </c>
      <c r="AS16" s="22" t="str">
        <f>IF(INDEX('Shot Map'!$B$6:$V$26,CEILING($A16/5,1),CEILING(AS$2/5,1))=1,INDEX('Serial Reference'!$A$8:$W$8,1,FLOOR(($A16-1)/23,1)+1)&amp;INDEX('Serial Reference'!$A$8:$W$8,1,MOD($A16-1,23)+1)&amp;TEXT(AS$2+FLOOR((AS$2-1)/9,1),"000"),"")</f>
        <v>AP048</v>
      </c>
      <c r="AT16" s="23" t="str">
        <f>IF(INDEX('Shot Map'!$B$6:$V$26,CEILING($A16/5,1),CEILING(AT$2/5,1))=1,INDEX('Serial Reference'!$A$8:$W$8,1,FLOOR(($A16-1)/23,1)+1)&amp;INDEX('Serial Reference'!$A$8:$W$8,1,MOD($A16-1,23)+1)&amp;TEXT(AT$2+FLOOR((AT$2-1)/9,1),"000"),"")</f>
        <v>AP049</v>
      </c>
      <c r="AU16" s="21" t="str">
        <f>IF(INDEX('Shot Map'!$B$6:$V$26,CEILING($A16/5,1),CEILING(AU$2/5,1))=1,INDEX('Serial Reference'!$A$8:$W$8,1,FLOOR(($A16-1)/23,1)+1)&amp;INDEX('Serial Reference'!$A$8:$W$8,1,MOD($A16-1,23)+1)&amp;TEXT(AU$2+FLOOR((AU$2-1)/9,1),"000"),"")</f>
        <v>AP051</v>
      </c>
      <c r="AV16" s="22" t="str">
        <f>IF(INDEX('Shot Map'!$B$6:$V$26,CEILING($A16/5,1),CEILING(AV$2/5,1))=1,INDEX('Serial Reference'!$A$8:$W$8,1,FLOOR(($A16-1)/23,1)+1)&amp;INDEX('Serial Reference'!$A$8:$W$8,1,MOD($A16-1,23)+1)&amp;TEXT(AV$2+FLOOR((AV$2-1)/9,1),"000"),"")</f>
        <v>AP052</v>
      </c>
      <c r="AW16" s="22" t="str">
        <f>IF(INDEX('Shot Map'!$B$6:$V$26,CEILING($A16/5,1),CEILING(AW$2/5,1))=1,INDEX('Serial Reference'!$A$8:$W$8,1,FLOOR(($A16-1)/23,1)+1)&amp;INDEX('Serial Reference'!$A$8:$W$8,1,MOD($A16-1,23)+1)&amp;TEXT(AW$2+FLOOR((AW$2-1)/9,1),"000"),"")</f>
        <v>AP053</v>
      </c>
      <c r="AX16" s="22" t="str">
        <f>IF(INDEX('Shot Map'!$B$6:$V$26,CEILING($A16/5,1),CEILING(AX$2/5,1))=1,INDEX('Serial Reference'!$A$8:$W$8,1,FLOOR(($A16-1)/23,1)+1)&amp;INDEX('Serial Reference'!$A$8:$W$8,1,MOD($A16-1,23)+1)&amp;TEXT(AX$2+FLOOR((AX$2-1)/9,1),"000"),"")</f>
        <v>AP054</v>
      </c>
      <c r="AY16" s="23" t="str">
        <f>IF(INDEX('Shot Map'!$B$6:$V$26,CEILING($A16/5,1),CEILING(AY$2/5,1))=1,INDEX('Serial Reference'!$A$8:$W$8,1,FLOOR(($A16-1)/23,1)+1)&amp;INDEX('Serial Reference'!$A$8:$W$8,1,MOD($A16-1,23)+1)&amp;TEXT(AY$2+FLOOR((AY$2-1)/9,1),"000"),"")</f>
        <v>AP055</v>
      </c>
      <c r="AZ16" s="21" t="str">
        <f>IF(INDEX('Shot Map'!$B$6:$V$26,CEILING($A16/5,1),CEILING(AZ$2/5,1))=1,INDEX('Serial Reference'!$A$8:$W$8,1,FLOOR(($A16-1)/23,1)+1)&amp;INDEX('Serial Reference'!$A$8:$W$8,1,MOD($A16-1,23)+1)&amp;TEXT(AZ$2+FLOOR((AZ$2-1)/9,1),"000"),"")</f>
        <v>AP056</v>
      </c>
      <c r="BA16" s="22" t="str">
        <f>IF(INDEX('Shot Map'!$B$6:$V$26,CEILING($A16/5,1),CEILING(BA$2/5,1))=1,INDEX('Serial Reference'!$A$8:$W$8,1,FLOOR(($A16-1)/23,1)+1)&amp;INDEX('Serial Reference'!$A$8:$W$8,1,MOD($A16-1,23)+1)&amp;TEXT(BA$2+FLOOR((BA$2-1)/9,1),"000"),"")</f>
        <v>AP057</v>
      </c>
      <c r="BB16" s="22" t="str">
        <f>IF(INDEX('Shot Map'!$B$6:$V$26,CEILING($A16/5,1),CEILING(BB$2/5,1))=1,INDEX('Serial Reference'!$A$8:$W$8,1,FLOOR(($A16-1)/23,1)+1)&amp;INDEX('Serial Reference'!$A$8:$W$8,1,MOD($A16-1,23)+1)&amp;TEXT(BB$2+FLOOR((BB$2-1)/9,1),"000"),"")</f>
        <v>AP058</v>
      </c>
      <c r="BC16" s="22" t="str">
        <f>IF(INDEX('Shot Map'!$B$6:$V$26,CEILING($A16/5,1),CEILING(BC$2/5,1))=1,INDEX('Serial Reference'!$A$8:$W$8,1,FLOOR(($A16-1)/23,1)+1)&amp;INDEX('Serial Reference'!$A$8:$W$8,1,MOD($A16-1,23)+1)&amp;TEXT(BC$2+FLOOR((BC$2-1)/9,1),"000"),"")</f>
        <v>AP059</v>
      </c>
      <c r="BD16" s="23" t="str">
        <f>IF(INDEX('Shot Map'!$B$6:$V$26,CEILING($A16/5,1),CEILING(BD$2/5,1))=1,INDEX('Serial Reference'!$A$8:$W$8,1,FLOOR(($A16-1)/23,1)+1)&amp;INDEX('Serial Reference'!$A$8:$W$8,1,MOD($A16-1,23)+1)&amp;TEXT(BD$2+FLOOR((BD$2-1)/9,1),"000"),"")</f>
        <v>AP061</v>
      </c>
      <c r="BE16" s="21" t="str">
        <f>IF(INDEX('Shot Map'!$B$6:$V$26,CEILING($A16/5,1),CEILING(BE$2/5,1))=1,INDEX('Serial Reference'!$A$8:$W$8,1,FLOOR(($A16-1)/23,1)+1)&amp;INDEX('Serial Reference'!$A$8:$W$8,1,MOD($A16-1,23)+1)&amp;TEXT(BE$2+FLOOR((BE$2-1)/9,1),"000"),"")</f>
        <v>AP062</v>
      </c>
      <c r="BF16" s="22" t="str">
        <f>IF(INDEX('Shot Map'!$B$6:$V$26,CEILING($A16/5,1),CEILING(BF$2/5,1))=1,INDEX('Serial Reference'!$A$8:$W$8,1,FLOOR(($A16-1)/23,1)+1)&amp;INDEX('Serial Reference'!$A$8:$W$8,1,MOD($A16-1,23)+1)&amp;TEXT(BF$2+FLOOR((BF$2-1)/9,1),"000"),"")</f>
        <v>AP063</v>
      </c>
      <c r="BG16" s="22" t="str">
        <f>IF(INDEX('Shot Map'!$B$6:$V$26,CEILING($A16/5,1),CEILING(BG$2/5,1))=1,INDEX('Serial Reference'!$A$8:$W$8,1,FLOOR(($A16-1)/23,1)+1)&amp;INDEX('Serial Reference'!$A$8:$W$8,1,MOD($A16-1,23)+1)&amp;TEXT(BG$2+FLOOR((BG$2-1)/9,1),"000"),"")</f>
        <v>AP064</v>
      </c>
      <c r="BH16" s="22" t="str">
        <f>IF(INDEX('Shot Map'!$B$6:$V$26,CEILING($A16/5,1),CEILING(BH$2/5,1))=1,INDEX('Serial Reference'!$A$8:$W$8,1,FLOOR(($A16-1)/23,1)+1)&amp;INDEX('Serial Reference'!$A$8:$W$8,1,MOD($A16-1,23)+1)&amp;TEXT(BH$2+FLOOR((BH$2-1)/9,1),"000"),"")</f>
        <v>AP065</v>
      </c>
      <c r="BI16" s="23" t="str">
        <f>IF(INDEX('Shot Map'!$B$6:$V$26,CEILING($A16/5,1),CEILING(BI$2/5,1))=1,INDEX('Serial Reference'!$A$8:$W$8,1,FLOOR(($A16-1)/23,1)+1)&amp;INDEX('Serial Reference'!$A$8:$W$8,1,MOD($A16-1,23)+1)&amp;TEXT(BI$2+FLOOR((BI$2-1)/9,1),"000"),"")</f>
        <v>AP066</v>
      </c>
      <c r="BJ16" s="21" t="str">
        <f>IF(INDEX('Shot Map'!$B$6:$V$26,CEILING($A16/5,1),CEILING(BJ$2/5,1))=1,INDEX('Serial Reference'!$A$8:$W$8,1,FLOOR(($A16-1)/23,1)+1)&amp;INDEX('Serial Reference'!$A$8:$W$8,1,MOD($A16-1,23)+1)&amp;TEXT(BJ$2+FLOOR((BJ$2-1)/9,1),"000"),"")</f>
        <v>AP067</v>
      </c>
      <c r="BK16" s="22" t="str">
        <f>IF(INDEX('Shot Map'!$B$6:$V$26,CEILING($A16/5,1),CEILING(BK$2/5,1))=1,INDEX('Serial Reference'!$A$8:$W$8,1,FLOOR(($A16-1)/23,1)+1)&amp;INDEX('Serial Reference'!$A$8:$W$8,1,MOD($A16-1,23)+1)&amp;TEXT(BK$2+FLOOR((BK$2-1)/9,1),"000"),"")</f>
        <v>AP068</v>
      </c>
      <c r="BL16" s="22" t="str">
        <f>IF(INDEX('Shot Map'!$B$6:$V$26,CEILING($A16/5,1),CEILING(BL$2/5,1))=1,INDEX('Serial Reference'!$A$8:$W$8,1,FLOOR(($A16-1)/23,1)+1)&amp;INDEX('Serial Reference'!$A$8:$W$8,1,MOD($A16-1,23)+1)&amp;TEXT(BL$2+FLOOR((BL$2-1)/9,1),"000"),"")</f>
        <v>AP069</v>
      </c>
      <c r="BM16" s="22" t="str">
        <f>IF(INDEX('Shot Map'!$B$6:$V$26,CEILING($A16/5,1),CEILING(BM$2/5,1))=1,INDEX('Serial Reference'!$A$8:$W$8,1,FLOOR(($A16-1)/23,1)+1)&amp;INDEX('Serial Reference'!$A$8:$W$8,1,MOD($A16-1,23)+1)&amp;TEXT(BM$2+FLOOR((BM$2-1)/9,1),"000"),"")</f>
        <v>AP071</v>
      </c>
      <c r="BN16" s="23" t="str">
        <f>IF(INDEX('Shot Map'!$B$6:$V$26,CEILING($A16/5,1),CEILING(BN$2/5,1))=1,INDEX('Serial Reference'!$A$8:$W$8,1,FLOOR(($A16-1)/23,1)+1)&amp;INDEX('Serial Reference'!$A$8:$W$8,1,MOD($A16-1,23)+1)&amp;TEXT(BN$2+FLOOR((BN$2-1)/9,1),"000"),"")</f>
        <v>AP072</v>
      </c>
      <c r="BO16" s="21" t="str">
        <f>IF(INDEX('Shot Map'!$B$6:$V$26,CEILING($A16/5,1),CEILING(BO$2/5,1))=1,INDEX('Serial Reference'!$A$8:$W$8,1,FLOOR(($A16-1)/23,1)+1)&amp;INDEX('Serial Reference'!$A$8:$W$8,1,MOD($A16-1,23)+1)&amp;TEXT(BO$2+FLOOR((BO$2-1)/9,1),"000"),"")</f>
        <v>AP073</v>
      </c>
      <c r="BP16" s="22" t="str">
        <f>IF(INDEX('Shot Map'!$B$6:$V$26,CEILING($A16/5,1),CEILING(BP$2/5,1))=1,INDEX('Serial Reference'!$A$8:$W$8,1,FLOOR(($A16-1)/23,1)+1)&amp;INDEX('Serial Reference'!$A$8:$W$8,1,MOD($A16-1,23)+1)&amp;TEXT(BP$2+FLOOR((BP$2-1)/9,1),"000"),"")</f>
        <v>AP074</v>
      </c>
      <c r="BQ16" s="22" t="str">
        <f>IF(INDEX('Shot Map'!$B$6:$V$26,CEILING($A16/5,1),CEILING(BQ$2/5,1))=1,INDEX('Serial Reference'!$A$8:$W$8,1,FLOOR(($A16-1)/23,1)+1)&amp;INDEX('Serial Reference'!$A$8:$W$8,1,MOD($A16-1,23)+1)&amp;TEXT(BQ$2+FLOOR((BQ$2-1)/9,1),"000"),"")</f>
        <v>AP075</v>
      </c>
      <c r="BR16" s="22" t="str">
        <f>IF(INDEX('Shot Map'!$B$6:$V$26,CEILING($A16/5,1),CEILING(BR$2/5,1))=1,INDEX('Serial Reference'!$A$8:$W$8,1,FLOOR(($A16-1)/23,1)+1)&amp;INDEX('Serial Reference'!$A$8:$W$8,1,MOD($A16-1,23)+1)&amp;TEXT(BR$2+FLOOR((BR$2-1)/9,1),"000"),"")</f>
        <v>AP076</v>
      </c>
      <c r="BS16" s="23" t="str">
        <f>IF(INDEX('Shot Map'!$B$6:$V$26,CEILING($A16/5,1),CEILING(BS$2/5,1))=1,INDEX('Serial Reference'!$A$8:$W$8,1,FLOOR(($A16-1)/23,1)+1)&amp;INDEX('Serial Reference'!$A$8:$W$8,1,MOD($A16-1,23)+1)&amp;TEXT(BS$2+FLOOR((BS$2-1)/9,1),"000"),"")</f>
        <v>AP077</v>
      </c>
      <c r="BT16" s="21" t="str">
        <f>IF(INDEX('Shot Map'!$B$6:$V$26,CEILING($A16/5,1),CEILING(BT$2/5,1))=1,INDEX('Serial Reference'!$A$8:$W$8,1,FLOOR(($A16-1)/23,1)+1)&amp;INDEX('Serial Reference'!$A$8:$W$8,1,MOD($A16-1,23)+1)&amp;TEXT(BT$2+FLOOR((BT$2-1)/9,1),"000"),"")</f>
        <v>AP078</v>
      </c>
      <c r="BU16" s="22" t="str">
        <f>IF(INDEX('Shot Map'!$B$6:$V$26,CEILING($A16/5,1),CEILING(BU$2/5,1))=1,INDEX('Serial Reference'!$A$8:$W$8,1,FLOOR(($A16-1)/23,1)+1)&amp;INDEX('Serial Reference'!$A$8:$W$8,1,MOD($A16-1,23)+1)&amp;TEXT(BU$2+FLOOR((BU$2-1)/9,1),"000"),"")</f>
        <v>AP079</v>
      </c>
      <c r="BV16" s="22" t="str">
        <f>IF(INDEX('Shot Map'!$B$6:$V$26,CEILING($A16/5,1),CEILING(BV$2/5,1))=1,INDEX('Serial Reference'!$A$8:$W$8,1,FLOOR(($A16-1)/23,1)+1)&amp;INDEX('Serial Reference'!$A$8:$W$8,1,MOD($A16-1,23)+1)&amp;TEXT(BV$2+FLOOR((BV$2-1)/9,1),"000"),"")</f>
        <v>AP081</v>
      </c>
      <c r="BW16" s="22" t="str">
        <f>IF(INDEX('Shot Map'!$B$6:$V$26,CEILING($A16/5,1),CEILING(BW$2/5,1))=1,INDEX('Serial Reference'!$A$8:$W$8,1,FLOOR(($A16-1)/23,1)+1)&amp;INDEX('Serial Reference'!$A$8:$W$8,1,MOD($A16-1,23)+1)&amp;TEXT(BW$2+FLOOR((BW$2-1)/9,1),"000"),"")</f>
        <v>AP082</v>
      </c>
      <c r="BX16" s="23" t="str">
        <f>IF(INDEX('Shot Map'!$B$6:$V$26,CEILING($A16/5,1),CEILING(BX$2/5,1))=1,INDEX('Serial Reference'!$A$8:$W$8,1,FLOOR(($A16-1)/23,1)+1)&amp;INDEX('Serial Reference'!$A$8:$W$8,1,MOD($A16-1,23)+1)&amp;TEXT(BX$2+FLOOR((BX$2-1)/9,1),"000"),"")</f>
        <v>AP083</v>
      </c>
      <c r="BY16" s="21" t="str">
        <f>IF(INDEX('Shot Map'!$B$6:$V$26,CEILING($A16/5,1),CEILING(BY$2/5,1))=1,INDEX('Serial Reference'!$A$8:$W$8,1,FLOOR(($A16-1)/23,1)+1)&amp;INDEX('Serial Reference'!$A$8:$W$8,1,MOD($A16-1,23)+1)&amp;TEXT(BY$2+FLOOR((BY$2-1)/9,1),"000"),"")</f>
        <v>AP084</v>
      </c>
      <c r="BZ16" s="22" t="str">
        <f>IF(INDEX('Shot Map'!$B$6:$V$26,CEILING($A16/5,1),CEILING(BZ$2/5,1))=1,INDEX('Serial Reference'!$A$8:$W$8,1,FLOOR(($A16-1)/23,1)+1)&amp;INDEX('Serial Reference'!$A$8:$W$8,1,MOD($A16-1,23)+1)&amp;TEXT(BZ$2+FLOOR((BZ$2-1)/9,1),"000"),"")</f>
        <v>AP085</v>
      </c>
      <c r="CA16" s="22" t="str">
        <f>IF(INDEX('Shot Map'!$B$6:$V$26,CEILING($A16/5,1),CEILING(CA$2/5,1))=1,INDEX('Serial Reference'!$A$8:$W$8,1,FLOOR(($A16-1)/23,1)+1)&amp;INDEX('Serial Reference'!$A$8:$W$8,1,MOD($A16-1,23)+1)&amp;TEXT(CA$2+FLOOR((CA$2-1)/9,1),"000"),"")</f>
        <v>AP086</v>
      </c>
      <c r="CB16" s="22" t="str">
        <f>IF(INDEX('Shot Map'!$B$6:$V$26,CEILING($A16/5,1),CEILING(CB$2/5,1))=1,INDEX('Serial Reference'!$A$8:$W$8,1,FLOOR(($A16-1)/23,1)+1)&amp;INDEX('Serial Reference'!$A$8:$W$8,1,MOD($A16-1,23)+1)&amp;TEXT(CB$2+FLOOR((CB$2-1)/9,1),"000"),"")</f>
        <v>AP087</v>
      </c>
      <c r="CC16" s="23" t="str">
        <f>IF(INDEX('Shot Map'!$B$6:$V$26,CEILING($A16/5,1),CEILING(CC$2/5,1))=1,INDEX('Serial Reference'!$A$8:$W$8,1,FLOOR(($A16-1)/23,1)+1)&amp;INDEX('Serial Reference'!$A$8:$W$8,1,MOD($A16-1,23)+1)&amp;TEXT(CC$2+FLOOR((CC$2-1)/9,1),"000"),"")</f>
        <v>AP088</v>
      </c>
      <c r="CD16" s="21" t="str">
        <f>IF(INDEX('Shot Map'!$B$6:$V$26,CEILING($A16/5,1),CEILING(CD$2/5,1))=1,INDEX('Serial Reference'!$A$8:$W$8,1,FLOOR(($A16-1)/23,1)+1)&amp;INDEX('Serial Reference'!$A$8:$W$8,1,MOD($A16-1,23)+1)&amp;TEXT(CD$2+FLOOR((CD$2-1)/9,1),"000"),"")</f>
        <v>AP089</v>
      </c>
      <c r="CE16" s="22" t="str">
        <f>IF(INDEX('Shot Map'!$B$6:$V$26,CEILING($A16/5,1),CEILING(CE$2/5,1))=1,INDEX('Serial Reference'!$A$8:$W$8,1,FLOOR(($A16-1)/23,1)+1)&amp;INDEX('Serial Reference'!$A$8:$W$8,1,MOD($A16-1,23)+1)&amp;TEXT(CE$2+FLOOR((CE$2-1)/9,1),"000"),"")</f>
        <v>AP091</v>
      </c>
      <c r="CF16" s="22" t="str">
        <f>IF(INDEX('Shot Map'!$B$6:$V$26,CEILING($A16/5,1),CEILING(CF$2/5,1))=1,INDEX('Serial Reference'!$A$8:$W$8,1,FLOOR(($A16-1)/23,1)+1)&amp;INDEX('Serial Reference'!$A$8:$W$8,1,MOD($A16-1,23)+1)&amp;TEXT(CF$2+FLOOR((CF$2-1)/9,1),"000"),"")</f>
        <v>AP092</v>
      </c>
      <c r="CG16" s="22" t="str">
        <f>IF(INDEX('Shot Map'!$B$6:$V$26,CEILING($A16/5,1),CEILING(CG$2/5,1))=1,INDEX('Serial Reference'!$A$8:$W$8,1,FLOOR(($A16-1)/23,1)+1)&amp;INDEX('Serial Reference'!$A$8:$W$8,1,MOD($A16-1,23)+1)&amp;TEXT(CG$2+FLOOR((CG$2-1)/9,1),"000"),"")</f>
        <v>AP093</v>
      </c>
      <c r="CH16" s="23" t="str">
        <f>IF(INDEX('Shot Map'!$B$6:$V$26,CEILING($A16/5,1),CEILING(CH$2/5,1))=1,INDEX('Serial Reference'!$A$8:$W$8,1,FLOOR(($A16-1)/23,1)+1)&amp;INDEX('Serial Reference'!$A$8:$W$8,1,MOD($A16-1,23)+1)&amp;TEXT(CH$2+FLOOR((CH$2-1)/9,1),"000"),"")</f>
        <v>AP094</v>
      </c>
      <c r="CI16" s="21" t="str">
        <f>IF(INDEX('Shot Map'!$B$6:$V$26,CEILING($A16/5,1),CEILING(CI$2/5,1))=1,INDEX('Serial Reference'!$A$8:$W$8,1,FLOOR(($A16-1)/23,1)+1)&amp;INDEX('Serial Reference'!$A$8:$W$8,1,MOD($A16-1,23)+1)&amp;TEXT(CI$2+FLOOR((CI$2-1)/9,1),"000"),"")</f>
        <v/>
      </c>
      <c r="CJ16" s="22" t="str">
        <f>IF(INDEX('Shot Map'!$B$6:$V$26,CEILING($A16/5,1),CEILING(CJ$2/5,1))=1,INDEX('Serial Reference'!$A$8:$W$8,1,FLOOR(($A16-1)/23,1)+1)&amp;INDEX('Serial Reference'!$A$8:$W$8,1,MOD($A16-1,23)+1)&amp;TEXT(CJ$2+FLOOR((CJ$2-1)/9,1),"000"),"")</f>
        <v/>
      </c>
      <c r="CK16" s="22" t="str">
        <f>IF(INDEX('Shot Map'!$B$6:$V$26,CEILING($A16/5,1),CEILING(CK$2/5,1))=1,INDEX('Serial Reference'!$A$8:$W$8,1,FLOOR(($A16-1)/23,1)+1)&amp;INDEX('Serial Reference'!$A$8:$W$8,1,MOD($A16-1,23)+1)&amp;TEXT(CK$2+FLOOR((CK$2-1)/9,1),"000"),"")</f>
        <v/>
      </c>
      <c r="CL16" s="22" t="str">
        <f>IF(INDEX('Shot Map'!$B$6:$V$26,CEILING($A16/5,1),CEILING(CL$2/5,1))=1,INDEX('Serial Reference'!$A$8:$W$8,1,FLOOR(($A16-1)/23,1)+1)&amp;INDEX('Serial Reference'!$A$8:$W$8,1,MOD($A16-1,23)+1)&amp;TEXT(CL$2+FLOOR((CL$2-1)/9,1),"000"),"")</f>
        <v/>
      </c>
      <c r="CM16" s="23" t="str">
        <f>IF(INDEX('Shot Map'!$B$6:$V$26,CEILING($A16/5,1),CEILING(CM$2/5,1))=1,INDEX('Serial Reference'!$A$8:$W$8,1,FLOOR(($A16-1)/23,1)+1)&amp;INDEX('Serial Reference'!$A$8:$W$8,1,MOD($A16-1,23)+1)&amp;TEXT(CM$2+FLOOR((CM$2-1)/9,1),"000"),"")</f>
        <v/>
      </c>
      <c r="CN16" s="21" t="str">
        <f>IF(INDEX('Shot Map'!$B$6:$V$26,CEILING($A16/5,1),CEILING(CN$2/5,1))=1,INDEX('Serial Reference'!$A$8:$W$8,1,FLOOR(($A16-1)/23,1)+1)&amp;INDEX('Serial Reference'!$A$8:$W$8,1,MOD($A16-1,23)+1)&amp;TEXT(CN$2+FLOOR((CN$2-1)/9,1),"000"),"")</f>
        <v/>
      </c>
      <c r="CO16" s="22" t="str">
        <f>IF(INDEX('Shot Map'!$B$6:$V$26,CEILING($A16/5,1),CEILING(CO$2/5,1))=1,INDEX('Serial Reference'!$A$8:$W$8,1,FLOOR(($A16-1)/23,1)+1)&amp;INDEX('Serial Reference'!$A$8:$W$8,1,MOD($A16-1,23)+1)&amp;TEXT(CO$2+FLOOR((CO$2-1)/9,1),"000"),"")</f>
        <v/>
      </c>
      <c r="CP16" s="22" t="str">
        <f>IF(INDEX('Shot Map'!$B$6:$V$26,CEILING($A16/5,1),CEILING(CP$2/5,1))=1,INDEX('Serial Reference'!$A$8:$W$8,1,FLOOR(($A16-1)/23,1)+1)&amp;INDEX('Serial Reference'!$A$8:$W$8,1,MOD($A16-1,23)+1)&amp;TEXT(CP$2+FLOOR((CP$2-1)/9,1),"000"),"")</f>
        <v/>
      </c>
      <c r="CQ16" s="22" t="str">
        <f>IF(INDEX('Shot Map'!$B$6:$V$26,CEILING($A16/5,1),CEILING(CQ$2/5,1))=1,INDEX('Serial Reference'!$A$8:$W$8,1,FLOOR(($A16-1)/23,1)+1)&amp;INDEX('Serial Reference'!$A$8:$W$8,1,MOD($A16-1,23)+1)&amp;TEXT(CQ$2+FLOOR((CQ$2-1)/9,1),"000"),"")</f>
        <v/>
      </c>
      <c r="CR16" s="23" t="str">
        <f>IF(INDEX('Shot Map'!$B$6:$V$26,CEILING($A16/5,1),CEILING(CR$2/5,1))=1,INDEX('Serial Reference'!$A$8:$W$8,1,FLOOR(($A16-1)/23,1)+1)&amp;INDEX('Serial Reference'!$A$8:$W$8,1,MOD($A16-1,23)+1)&amp;TEXT(CR$2+FLOOR((CR$2-1)/9,1),"000"),"")</f>
        <v/>
      </c>
      <c r="CS16" s="21" t="str">
        <f>IF(INDEX('Shot Map'!$B$6:$V$26,CEILING($A16/5,1),CEILING(CS$2/5,1))=1,INDEX('Serial Reference'!$A$8:$W$8,1,FLOOR(($A16-1)/23,1)+1)&amp;INDEX('Serial Reference'!$A$8:$W$8,1,MOD($A16-1,23)+1)&amp;TEXT(CS$2+FLOOR((CS$2-1)/9,1),"000"),"")</f>
        <v/>
      </c>
      <c r="CT16" s="22" t="str">
        <f>IF(INDEX('Shot Map'!$B$6:$V$26,CEILING($A16/5,1),CEILING(CT$2/5,1))=1,INDEX('Serial Reference'!$A$8:$W$8,1,FLOOR(($A16-1)/23,1)+1)&amp;INDEX('Serial Reference'!$A$8:$W$8,1,MOD($A16-1,23)+1)&amp;TEXT(CT$2+FLOOR((CT$2-1)/9,1),"000"),"")</f>
        <v/>
      </c>
      <c r="CU16" s="22" t="str">
        <f>IF(INDEX('Shot Map'!$B$6:$V$26,CEILING($A16/5,1),CEILING(CU$2/5,1))=1,INDEX('Serial Reference'!$A$8:$W$8,1,FLOOR(($A16-1)/23,1)+1)&amp;INDEX('Serial Reference'!$A$8:$W$8,1,MOD($A16-1,23)+1)&amp;TEXT(CU$2+FLOOR((CU$2-1)/9,1),"000"),"")</f>
        <v/>
      </c>
      <c r="CV16" s="22" t="str">
        <f>IF(INDEX('Shot Map'!$B$6:$V$26,CEILING($A16/5,1),CEILING(CV$2/5,1))=1,INDEX('Serial Reference'!$A$8:$W$8,1,FLOOR(($A16-1)/23,1)+1)&amp;INDEX('Serial Reference'!$A$8:$W$8,1,MOD($A16-1,23)+1)&amp;TEXT(CV$2+FLOOR((CV$2-1)/9,1),"000"),"")</f>
        <v/>
      </c>
      <c r="CW16" s="23" t="str">
        <f>IF(INDEX('Shot Map'!$B$6:$V$26,CEILING($A16/5,1),CEILING(CW$2/5,1))=1,INDEX('Serial Reference'!$A$8:$W$8,1,FLOOR(($A16-1)/23,1)+1)&amp;INDEX('Serial Reference'!$A$8:$W$8,1,MOD($A16-1,23)+1)&amp;TEXT(CW$2+FLOOR((CW$2-1)/9,1),"000"),"")</f>
        <v/>
      </c>
      <c r="CX16" s="21" t="str">
        <f>IF(INDEX('Shot Map'!$B$6:$V$26,CEILING($A16/5,1),CEILING(CX$2/5,1))=1,INDEX('Serial Reference'!$A$8:$W$8,1,FLOOR(($A16-1)/23,1)+1)&amp;INDEX('Serial Reference'!$A$8:$W$8,1,MOD($A16-1,23)+1)&amp;TEXT(CX$2+FLOOR((CX$2-1)/9,1),"000"),"")</f>
        <v/>
      </c>
      <c r="CY16" s="22" t="str">
        <f>IF(INDEX('Shot Map'!$B$6:$V$26,CEILING($A16/5,1),CEILING(CY$2/5,1))=1,INDEX('Serial Reference'!$A$8:$W$8,1,FLOOR(($A16-1)/23,1)+1)&amp;INDEX('Serial Reference'!$A$8:$W$8,1,MOD($A16-1,23)+1)&amp;TEXT(CY$2+FLOOR((CY$2-1)/9,1),"000"),"")</f>
        <v/>
      </c>
      <c r="CZ16" s="22" t="str">
        <f>IF(INDEX('Shot Map'!$B$6:$V$26,CEILING($A16/5,1),CEILING(CZ$2/5,1))=1,INDEX('Serial Reference'!$A$8:$W$8,1,FLOOR(($A16-1)/23,1)+1)&amp;INDEX('Serial Reference'!$A$8:$W$8,1,MOD($A16-1,23)+1)&amp;TEXT(CZ$2+FLOOR((CZ$2-1)/9,1),"000"),"")</f>
        <v/>
      </c>
      <c r="DA16" s="22" t="str">
        <f>IF(INDEX('Shot Map'!$B$6:$V$26,CEILING($A16/5,1),CEILING(DA$2/5,1))=1,INDEX('Serial Reference'!$A$8:$W$8,1,FLOOR(($A16-1)/23,1)+1)&amp;INDEX('Serial Reference'!$A$8:$W$8,1,MOD($A16-1,23)+1)&amp;TEXT(DA$2+FLOOR((DA$2-1)/9,1),"000"),"")</f>
        <v/>
      </c>
      <c r="DB16" s="23" t="str">
        <f>IF(INDEX('Shot Map'!$B$6:$V$26,CEILING($A16/5,1),CEILING(DB$2/5,1))=1,INDEX('Serial Reference'!$A$8:$W$8,1,FLOOR(($A16-1)/23,1)+1)&amp;INDEX('Serial Reference'!$A$8:$W$8,1,MOD($A16-1,23)+1)&amp;TEXT(DB$2+FLOOR((DB$2-1)/9,1),"000"),"")</f>
        <v/>
      </c>
    </row>
    <row r="17" spans="1:106" ht="12.75" customHeight="1" x14ac:dyDescent="0.25">
      <c r="A17" s="17">
        <v>15</v>
      </c>
      <c r="B17" s="24" t="str">
        <f>IF(INDEX('Shot Map'!$B$6:$V$26,CEILING($A17/5,1),CEILING(B$2/5,1))=1,INDEX('Serial Reference'!$A$8:$W$8,1,FLOOR(($A17-1)/23,1)+1)&amp;INDEX('Serial Reference'!$A$8:$W$8,1,MOD($A17-1,23)+1)&amp;TEXT(B$2+FLOOR((B$2-1)/9,1),"000"),"")</f>
        <v/>
      </c>
      <c r="C17" s="25" t="str">
        <f>IF(INDEX('Shot Map'!$B$6:$V$26,CEILING($A17/5,1),CEILING(C$2/5,1))=1,INDEX('Serial Reference'!$A$8:$W$8,1,FLOOR(($A17-1)/23,1)+1)&amp;INDEX('Serial Reference'!$A$8:$W$8,1,MOD($A17-1,23)+1)&amp;TEXT(C$2+FLOOR((C$2-1)/9,1),"000"),"")</f>
        <v/>
      </c>
      <c r="D17" s="25" t="str">
        <f>IF(INDEX('Shot Map'!$B$6:$V$26,CEILING($A17/5,1),CEILING(D$2/5,1))=1,INDEX('Serial Reference'!$A$8:$W$8,1,FLOOR(($A17-1)/23,1)+1)&amp;INDEX('Serial Reference'!$A$8:$W$8,1,MOD($A17-1,23)+1)&amp;TEXT(D$2+FLOOR((D$2-1)/9,1),"000"),"")</f>
        <v/>
      </c>
      <c r="E17" s="25" t="str">
        <f>IF(INDEX('Shot Map'!$B$6:$V$26,CEILING($A17/5,1),CEILING(E$2/5,1))=1,INDEX('Serial Reference'!$A$8:$W$8,1,FLOOR(($A17-1)/23,1)+1)&amp;INDEX('Serial Reference'!$A$8:$W$8,1,MOD($A17-1,23)+1)&amp;TEXT(E$2+FLOOR((E$2-1)/9,1),"000"),"")</f>
        <v/>
      </c>
      <c r="F17" s="26" t="str">
        <f>IF(INDEX('Shot Map'!$B$6:$V$26,CEILING($A17/5,1),CEILING(F$2/5,1))=1,INDEX('Serial Reference'!$A$8:$W$8,1,FLOOR(($A17-1)/23,1)+1)&amp;INDEX('Serial Reference'!$A$8:$W$8,1,MOD($A17-1,23)+1)&amp;TEXT(F$2+FLOOR((F$2-1)/9,1),"000"),"")</f>
        <v/>
      </c>
      <c r="G17" s="24" t="str">
        <f>IF(INDEX('Shot Map'!$B$6:$V$26,CEILING($A17/5,1),CEILING(G$2/5,1))=1,INDEX('Serial Reference'!$A$8:$W$8,1,FLOOR(($A17-1)/23,1)+1)&amp;INDEX('Serial Reference'!$A$8:$W$8,1,MOD($A17-1,23)+1)&amp;TEXT(G$2+FLOOR((G$2-1)/9,1),"000"),"")</f>
        <v/>
      </c>
      <c r="H17" s="25" t="str">
        <f>IF(INDEX('Shot Map'!$B$6:$V$26,CEILING($A17/5,1),CEILING(H$2/5,1))=1,INDEX('Serial Reference'!$A$8:$W$8,1,FLOOR(($A17-1)/23,1)+1)&amp;INDEX('Serial Reference'!$A$8:$W$8,1,MOD($A17-1,23)+1)&amp;TEXT(H$2+FLOOR((H$2-1)/9,1),"000"),"")</f>
        <v/>
      </c>
      <c r="I17" s="25" t="str">
        <f>IF(INDEX('Shot Map'!$B$6:$V$26,CEILING($A17/5,1),CEILING(I$2/5,1))=1,INDEX('Serial Reference'!$A$8:$W$8,1,FLOOR(($A17-1)/23,1)+1)&amp;INDEX('Serial Reference'!$A$8:$W$8,1,MOD($A17-1,23)+1)&amp;TEXT(I$2+FLOOR((I$2-1)/9,1),"000"),"")</f>
        <v/>
      </c>
      <c r="J17" s="25" t="str">
        <f>IF(INDEX('Shot Map'!$B$6:$V$26,CEILING($A17/5,1),CEILING(J$2/5,1))=1,INDEX('Serial Reference'!$A$8:$W$8,1,FLOOR(($A17-1)/23,1)+1)&amp;INDEX('Serial Reference'!$A$8:$W$8,1,MOD($A17-1,23)+1)&amp;TEXT(J$2+FLOOR((J$2-1)/9,1),"000"),"")</f>
        <v/>
      </c>
      <c r="K17" s="26" t="str">
        <f>IF(INDEX('Shot Map'!$B$6:$V$26,CEILING($A17/5,1),CEILING(K$2/5,1))=1,INDEX('Serial Reference'!$A$8:$W$8,1,FLOOR(($A17-1)/23,1)+1)&amp;INDEX('Serial Reference'!$A$8:$W$8,1,MOD($A17-1,23)+1)&amp;TEXT(K$2+FLOOR((K$2-1)/9,1),"000"),"")</f>
        <v/>
      </c>
      <c r="L17" s="24" t="str">
        <f>IF(INDEX('Shot Map'!$B$6:$V$26,CEILING($A17/5,1),CEILING(L$2/5,1))=1,INDEX('Serial Reference'!$A$8:$W$8,1,FLOOR(($A17-1)/23,1)+1)&amp;INDEX('Serial Reference'!$A$8:$W$8,1,MOD($A17-1,23)+1)&amp;TEXT(L$2+FLOOR((L$2-1)/9,1),"000"),"")</f>
        <v/>
      </c>
      <c r="M17" s="25" t="str">
        <f>IF(INDEX('Shot Map'!$B$6:$V$26,CEILING($A17/5,1),CEILING(M$2/5,1))=1,INDEX('Serial Reference'!$A$8:$W$8,1,FLOOR(($A17-1)/23,1)+1)&amp;INDEX('Serial Reference'!$A$8:$W$8,1,MOD($A17-1,23)+1)&amp;TEXT(M$2+FLOOR((M$2-1)/9,1),"000"),"")</f>
        <v/>
      </c>
      <c r="N17" s="25" t="str">
        <f>IF(INDEX('Shot Map'!$B$6:$V$26,CEILING($A17/5,1),CEILING(N$2/5,1))=1,INDEX('Serial Reference'!$A$8:$W$8,1,FLOOR(($A17-1)/23,1)+1)&amp;INDEX('Serial Reference'!$A$8:$W$8,1,MOD($A17-1,23)+1)&amp;TEXT(N$2+FLOOR((N$2-1)/9,1),"000"),"")</f>
        <v/>
      </c>
      <c r="O17" s="25" t="str">
        <f>IF(INDEX('Shot Map'!$B$6:$V$26,CEILING($A17/5,1),CEILING(O$2/5,1))=1,INDEX('Serial Reference'!$A$8:$W$8,1,FLOOR(($A17-1)/23,1)+1)&amp;INDEX('Serial Reference'!$A$8:$W$8,1,MOD($A17-1,23)+1)&amp;TEXT(O$2+FLOOR((O$2-1)/9,1),"000"),"")</f>
        <v/>
      </c>
      <c r="P17" s="26" t="str">
        <f>IF(INDEX('Shot Map'!$B$6:$V$26,CEILING($A17/5,1),CEILING(P$2/5,1))=1,INDEX('Serial Reference'!$A$8:$W$8,1,FLOOR(($A17-1)/23,1)+1)&amp;INDEX('Serial Reference'!$A$8:$W$8,1,MOD($A17-1,23)+1)&amp;TEXT(P$2+FLOOR((P$2-1)/9,1),"000"),"")</f>
        <v/>
      </c>
      <c r="Q17" s="24" t="str">
        <f>IF(INDEX('Shot Map'!$B$6:$V$26,CEILING($A17/5,1),CEILING(Q$2/5,1))=1,INDEX('Serial Reference'!$A$8:$W$8,1,FLOOR(($A17-1)/23,1)+1)&amp;INDEX('Serial Reference'!$A$8:$W$8,1,MOD($A17-1,23)+1)&amp;TEXT(Q$2+FLOOR((Q$2-1)/9,1),"000"),"")</f>
        <v/>
      </c>
      <c r="R17" s="25" t="str">
        <f>IF(INDEX('Shot Map'!$B$6:$V$26,CEILING($A17/5,1),CEILING(R$2/5,1))=1,INDEX('Serial Reference'!$A$8:$W$8,1,FLOOR(($A17-1)/23,1)+1)&amp;INDEX('Serial Reference'!$A$8:$W$8,1,MOD($A17-1,23)+1)&amp;TEXT(R$2+FLOOR((R$2-1)/9,1),"000"),"")</f>
        <v/>
      </c>
      <c r="S17" s="25" t="str">
        <f>IF(INDEX('Shot Map'!$B$6:$V$26,CEILING($A17/5,1),CEILING(S$2/5,1))=1,INDEX('Serial Reference'!$A$8:$W$8,1,FLOOR(($A17-1)/23,1)+1)&amp;INDEX('Serial Reference'!$A$8:$W$8,1,MOD($A17-1,23)+1)&amp;TEXT(S$2+FLOOR((S$2-1)/9,1),"000"),"")</f>
        <v/>
      </c>
      <c r="T17" s="25" t="str">
        <f>IF(INDEX('Shot Map'!$B$6:$V$26,CEILING($A17/5,1),CEILING(T$2/5,1))=1,INDEX('Serial Reference'!$A$8:$W$8,1,FLOOR(($A17-1)/23,1)+1)&amp;INDEX('Serial Reference'!$A$8:$W$8,1,MOD($A17-1,23)+1)&amp;TEXT(T$2+FLOOR((T$2-1)/9,1),"000"),"")</f>
        <v/>
      </c>
      <c r="U17" s="26" t="str">
        <f>IF(INDEX('Shot Map'!$B$6:$V$26,CEILING($A17/5,1),CEILING(U$2/5,1))=1,INDEX('Serial Reference'!$A$8:$W$8,1,FLOOR(($A17-1)/23,1)+1)&amp;INDEX('Serial Reference'!$A$8:$W$8,1,MOD($A17-1,23)+1)&amp;TEXT(U$2+FLOOR((U$2-1)/9,1),"000"),"")</f>
        <v/>
      </c>
      <c r="V17" s="24" t="str">
        <f>IF(INDEX('Shot Map'!$B$6:$V$26,CEILING($A17/5,1),CEILING(V$2/5,1))=1,INDEX('Serial Reference'!$A$8:$W$8,1,FLOOR(($A17-1)/23,1)+1)&amp;INDEX('Serial Reference'!$A$8:$W$8,1,MOD($A17-1,23)+1)&amp;TEXT(V$2+FLOOR((V$2-1)/9,1),"000"),"")</f>
        <v>AR023</v>
      </c>
      <c r="W17" s="25" t="str">
        <f>IF(INDEX('Shot Map'!$B$6:$V$26,CEILING($A17/5,1),CEILING(W$2/5,1))=1,INDEX('Serial Reference'!$A$8:$W$8,1,FLOOR(($A17-1)/23,1)+1)&amp;INDEX('Serial Reference'!$A$8:$W$8,1,MOD($A17-1,23)+1)&amp;TEXT(W$2+FLOOR((W$2-1)/9,1),"000"),"")</f>
        <v>AR024</v>
      </c>
      <c r="X17" s="25" t="str">
        <f>IF(INDEX('Shot Map'!$B$6:$V$26,CEILING($A17/5,1),CEILING(X$2/5,1))=1,INDEX('Serial Reference'!$A$8:$W$8,1,FLOOR(($A17-1)/23,1)+1)&amp;INDEX('Serial Reference'!$A$8:$W$8,1,MOD($A17-1,23)+1)&amp;TEXT(X$2+FLOOR((X$2-1)/9,1),"000"),"")</f>
        <v>AR025</v>
      </c>
      <c r="Y17" s="25" t="str">
        <f>IF(INDEX('Shot Map'!$B$6:$V$26,CEILING($A17/5,1),CEILING(Y$2/5,1))=1,INDEX('Serial Reference'!$A$8:$W$8,1,FLOOR(($A17-1)/23,1)+1)&amp;INDEX('Serial Reference'!$A$8:$W$8,1,MOD($A17-1,23)+1)&amp;TEXT(Y$2+FLOOR((Y$2-1)/9,1),"000"),"")</f>
        <v>AR026</v>
      </c>
      <c r="Z17" s="26" t="str">
        <f>IF(INDEX('Shot Map'!$B$6:$V$26,CEILING($A17/5,1),CEILING(Z$2/5,1))=1,INDEX('Serial Reference'!$A$8:$W$8,1,FLOOR(($A17-1)/23,1)+1)&amp;INDEX('Serial Reference'!$A$8:$W$8,1,MOD($A17-1,23)+1)&amp;TEXT(Z$2+FLOOR((Z$2-1)/9,1),"000"),"")</f>
        <v>AR027</v>
      </c>
      <c r="AA17" s="24" t="str">
        <f>IF(INDEX('Shot Map'!$B$6:$V$26,CEILING($A17/5,1),CEILING(AA$2/5,1))=1,INDEX('Serial Reference'!$A$8:$W$8,1,FLOOR(($A17-1)/23,1)+1)&amp;INDEX('Serial Reference'!$A$8:$W$8,1,MOD($A17-1,23)+1)&amp;TEXT(AA$2+FLOOR((AA$2-1)/9,1),"000"),"")</f>
        <v>AR028</v>
      </c>
      <c r="AB17" s="25" t="str">
        <f>IF(INDEX('Shot Map'!$B$6:$V$26,CEILING($A17/5,1),CEILING(AB$2/5,1))=1,INDEX('Serial Reference'!$A$8:$W$8,1,FLOOR(($A17-1)/23,1)+1)&amp;INDEX('Serial Reference'!$A$8:$W$8,1,MOD($A17-1,23)+1)&amp;TEXT(AB$2+FLOOR((AB$2-1)/9,1),"000"),"")</f>
        <v>AR029</v>
      </c>
      <c r="AC17" s="25" t="str">
        <f>IF(INDEX('Shot Map'!$B$6:$V$26,CEILING($A17/5,1),CEILING(AC$2/5,1))=1,INDEX('Serial Reference'!$A$8:$W$8,1,FLOOR(($A17-1)/23,1)+1)&amp;INDEX('Serial Reference'!$A$8:$W$8,1,MOD($A17-1,23)+1)&amp;TEXT(AC$2+FLOOR((AC$2-1)/9,1),"000"),"")</f>
        <v>AR031</v>
      </c>
      <c r="AD17" s="25" t="str">
        <f>IF(INDEX('Shot Map'!$B$6:$V$26,CEILING($A17/5,1),CEILING(AD$2/5,1))=1,INDEX('Serial Reference'!$A$8:$W$8,1,FLOOR(($A17-1)/23,1)+1)&amp;INDEX('Serial Reference'!$A$8:$W$8,1,MOD($A17-1,23)+1)&amp;TEXT(AD$2+FLOOR((AD$2-1)/9,1),"000"),"")</f>
        <v>AR032</v>
      </c>
      <c r="AE17" s="26" t="str">
        <f>IF(INDEX('Shot Map'!$B$6:$V$26,CEILING($A17/5,1),CEILING(AE$2/5,1))=1,INDEX('Serial Reference'!$A$8:$W$8,1,FLOOR(($A17-1)/23,1)+1)&amp;INDEX('Serial Reference'!$A$8:$W$8,1,MOD($A17-1,23)+1)&amp;TEXT(AE$2+FLOOR((AE$2-1)/9,1),"000"),"")</f>
        <v>AR033</v>
      </c>
      <c r="AF17" s="24" t="str">
        <f>IF(INDEX('Shot Map'!$B$6:$V$26,CEILING($A17/5,1),CEILING(AF$2/5,1))=1,INDEX('Serial Reference'!$A$8:$W$8,1,FLOOR(($A17-1)/23,1)+1)&amp;INDEX('Serial Reference'!$A$8:$W$8,1,MOD($A17-1,23)+1)&amp;TEXT(AF$2+FLOOR((AF$2-1)/9,1),"000"),"")</f>
        <v>AR034</v>
      </c>
      <c r="AG17" s="25" t="str">
        <f>IF(INDEX('Shot Map'!$B$6:$V$26,CEILING($A17/5,1),CEILING(AG$2/5,1))=1,INDEX('Serial Reference'!$A$8:$W$8,1,FLOOR(($A17-1)/23,1)+1)&amp;INDEX('Serial Reference'!$A$8:$W$8,1,MOD($A17-1,23)+1)&amp;TEXT(AG$2+FLOOR((AG$2-1)/9,1),"000"),"")</f>
        <v>AR035</v>
      </c>
      <c r="AH17" s="25" t="str">
        <f>IF(INDEX('Shot Map'!$B$6:$V$26,CEILING($A17/5,1),CEILING(AH$2/5,1))=1,INDEX('Serial Reference'!$A$8:$W$8,1,FLOOR(($A17-1)/23,1)+1)&amp;INDEX('Serial Reference'!$A$8:$W$8,1,MOD($A17-1,23)+1)&amp;TEXT(AH$2+FLOOR((AH$2-1)/9,1),"000"),"")</f>
        <v>AR036</v>
      </c>
      <c r="AI17" s="25" t="str">
        <f>IF(INDEX('Shot Map'!$B$6:$V$26,CEILING($A17/5,1),CEILING(AI$2/5,1))=1,INDEX('Serial Reference'!$A$8:$W$8,1,FLOOR(($A17-1)/23,1)+1)&amp;INDEX('Serial Reference'!$A$8:$W$8,1,MOD($A17-1,23)+1)&amp;TEXT(AI$2+FLOOR((AI$2-1)/9,1),"000"),"")</f>
        <v>AR037</v>
      </c>
      <c r="AJ17" s="26" t="str">
        <f>IF(INDEX('Shot Map'!$B$6:$V$26,CEILING($A17/5,1),CEILING(AJ$2/5,1))=1,INDEX('Serial Reference'!$A$8:$W$8,1,FLOOR(($A17-1)/23,1)+1)&amp;INDEX('Serial Reference'!$A$8:$W$8,1,MOD($A17-1,23)+1)&amp;TEXT(AJ$2+FLOOR((AJ$2-1)/9,1),"000"),"")</f>
        <v>AR038</v>
      </c>
      <c r="AK17" s="24" t="str">
        <f>IF(INDEX('Shot Map'!$B$6:$V$26,CEILING($A17/5,1),CEILING(AK$2/5,1))=1,INDEX('Serial Reference'!$A$8:$W$8,1,FLOOR(($A17-1)/23,1)+1)&amp;INDEX('Serial Reference'!$A$8:$W$8,1,MOD($A17-1,23)+1)&amp;TEXT(AK$2+FLOOR((AK$2-1)/9,1),"000"),"")</f>
        <v>AR039</v>
      </c>
      <c r="AL17" s="25" t="str">
        <f>IF(INDEX('Shot Map'!$B$6:$V$26,CEILING($A17/5,1),CEILING(AL$2/5,1))=1,INDEX('Serial Reference'!$A$8:$W$8,1,FLOOR(($A17-1)/23,1)+1)&amp;INDEX('Serial Reference'!$A$8:$W$8,1,MOD($A17-1,23)+1)&amp;TEXT(AL$2+FLOOR((AL$2-1)/9,1),"000"),"")</f>
        <v>AR041</v>
      </c>
      <c r="AM17" s="25" t="str">
        <f>IF(INDEX('Shot Map'!$B$6:$V$26,CEILING($A17/5,1),CEILING(AM$2/5,1))=1,INDEX('Serial Reference'!$A$8:$W$8,1,FLOOR(($A17-1)/23,1)+1)&amp;INDEX('Serial Reference'!$A$8:$W$8,1,MOD($A17-1,23)+1)&amp;TEXT(AM$2+FLOOR((AM$2-1)/9,1),"000"),"")</f>
        <v>AR042</v>
      </c>
      <c r="AN17" s="25" t="str">
        <f>IF(INDEX('Shot Map'!$B$6:$V$26,CEILING($A17/5,1),CEILING(AN$2/5,1))=1,INDEX('Serial Reference'!$A$8:$W$8,1,FLOOR(($A17-1)/23,1)+1)&amp;INDEX('Serial Reference'!$A$8:$W$8,1,MOD($A17-1,23)+1)&amp;TEXT(AN$2+FLOOR((AN$2-1)/9,1),"000"),"")</f>
        <v>AR043</v>
      </c>
      <c r="AO17" s="26" t="str">
        <f>IF(INDEX('Shot Map'!$B$6:$V$26,CEILING($A17/5,1),CEILING(AO$2/5,1))=1,INDEX('Serial Reference'!$A$8:$W$8,1,FLOOR(($A17-1)/23,1)+1)&amp;INDEX('Serial Reference'!$A$8:$W$8,1,MOD($A17-1,23)+1)&amp;TEXT(AO$2+FLOOR((AO$2-1)/9,1),"000"),"")</f>
        <v>AR044</v>
      </c>
      <c r="AP17" s="24" t="str">
        <f>IF(INDEX('Shot Map'!$B$6:$V$26,CEILING($A17/5,1),CEILING(AP$2/5,1))=1,INDEX('Serial Reference'!$A$8:$W$8,1,FLOOR(($A17-1)/23,1)+1)&amp;INDEX('Serial Reference'!$A$8:$W$8,1,MOD($A17-1,23)+1)&amp;TEXT(AP$2+FLOOR((AP$2-1)/9,1),"000"),"")</f>
        <v>AR045</v>
      </c>
      <c r="AQ17" s="25" t="str">
        <f>IF(INDEX('Shot Map'!$B$6:$V$26,CEILING($A17/5,1),CEILING(AQ$2/5,1))=1,INDEX('Serial Reference'!$A$8:$W$8,1,FLOOR(($A17-1)/23,1)+1)&amp;INDEX('Serial Reference'!$A$8:$W$8,1,MOD($A17-1,23)+1)&amp;TEXT(AQ$2+FLOOR((AQ$2-1)/9,1),"000"),"")</f>
        <v>AR046</v>
      </c>
      <c r="AR17" s="25" t="str">
        <f>IF(INDEX('Shot Map'!$B$6:$V$26,CEILING($A17/5,1),CEILING(AR$2/5,1))=1,INDEX('Serial Reference'!$A$8:$W$8,1,FLOOR(($A17-1)/23,1)+1)&amp;INDEX('Serial Reference'!$A$8:$W$8,1,MOD($A17-1,23)+1)&amp;TEXT(AR$2+FLOOR((AR$2-1)/9,1),"000"),"")</f>
        <v>AR047</v>
      </c>
      <c r="AS17" s="25" t="str">
        <f>IF(INDEX('Shot Map'!$B$6:$V$26,CEILING($A17/5,1),CEILING(AS$2/5,1))=1,INDEX('Serial Reference'!$A$8:$W$8,1,FLOOR(($A17-1)/23,1)+1)&amp;INDEX('Serial Reference'!$A$8:$W$8,1,MOD($A17-1,23)+1)&amp;TEXT(AS$2+FLOOR((AS$2-1)/9,1),"000"),"")</f>
        <v>AR048</v>
      </c>
      <c r="AT17" s="26" t="str">
        <f>IF(INDEX('Shot Map'!$B$6:$V$26,CEILING($A17/5,1),CEILING(AT$2/5,1))=1,INDEX('Serial Reference'!$A$8:$W$8,1,FLOOR(($A17-1)/23,1)+1)&amp;INDEX('Serial Reference'!$A$8:$W$8,1,MOD($A17-1,23)+1)&amp;TEXT(AT$2+FLOOR((AT$2-1)/9,1),"000"),"")</f>
        <v>AR049</v>
      </c>
      <c r="AU17" s="24" t="str">
        <f>IF(INDEX('Shot Map'!$B$6:$V$26,CEILING($A17/5,1),CEILING(AU$2/5,1))=1,INDEX('Serial Reference'!$A$8:$W$8,1,FLOOR(($A17-1)/23,1)+1)&amp;INDEX('Serial Reference'!$A$8:$W$8,1,MOD($A17-1,23)+1)&amp;TEXT(AU$2+FLOOR((AU$2-1)/9,1),"000"),"")</f>
        <v>AR051</v>
      </c>
      <c r="AV17" s="25" t="str">
        <f>IF(INDEX('Shot Map'!$B$6:$V$26,CEILING($A17/5,1),CEILING(AV$2/5,1))=1,INDEX('Serial Reference'!$A$8:$W$8,1,FLOOR(($A17-1)/23,1)+1)&amp;INDEX('Serial Reference'!$A$8:$W$8,1,MOD($A17-1,23)+1)&amp;TEXT(AV$2+FLOOR((AV$2-1)/9,1),"000"),"")</f>
        <v>AR052</v>
      </c>
      <c r="AW17" s="25" t="str">
        <f>IF(INDEX('Shot Map'!$B$6:$V$26,CEILING($A17/5,1),CEILING(AW$2/5,1))=1,INDEX('Serial Reference'!$A$8:$W$8,1,FLOOR(($A17-1)/23,1)+1)&amp;INDEX('Serial Reference'!$A$8:$W$8,1,MOD($A17-1,23)+1)&amp;TEXT(AW$2+FLOOR((AW$2-1)/9,1),"000"),"")</f>
        <v>AR053</v>
      </c>
      <c r="AX17" s="25" t="str">
        <f>IF(INDEX('Shot Map'!$B$6:$V$26,CEILING($A17/5,1),CEILING(AX$2/5,1))=1,INDEX('Serial Reference'!$A$8:$W$8,1,FLOOR(($A17-1)/23,1)+1)&amp;INDEX('Serial Reference'!$A$8:$W$8,1,MOD($A17-1,23)+1)&amp;TEXT(AX$2+FLOOR((AX$2-1)/9,1),"000"),"")</f>
        <v>AR054</v>
      </c>
      <c r="AY17" s="26" t="str">
        <f>IF(INDEX('Shot Map'!$B$6:$V$26,CEILING($A17/5,1),CEILING(AY$2/5,1))=1,INDEX('Serial Reference'!$A$8:$W$8,1,FLOOR(($A17-1)/23,1)+1)&amp;INDEX('Serial Reference'!$A$8:$W$8,1,MOD($A17-1,23)+1)&amp;TEXT(AY$2+FLOOR((AY$2-1)/9,1),"000"),"")</f>
        <v>AR055</v>
      </c>
      <c r="AZ17" s="24" t="str">
        <f>IF(INDEX('Shot Map'!$B$6:$V$26,CEILING($A17/5,1),CEILING(AZ$2/5,1))=1,INDEX('Serial Reference'!$A$8:$W$8,1,FLOOR(($A17-1)/23,1)+1)&amp;INDEX('Serial Reference'!$A$8:$W$8,1,MOD($A17-1,23)+1)&amp;TEXT(AZ$2+FLOOR((AZ$2-1)/9,1),"000"),"")</f>
        <v>AR056</v>
      </c>
      <c r="BA17" s="25" t="str">
        <f>IF(INDEX('Shot Map'!$B$6:$V$26,CEILING($A17/5,1),CEILING(BA$2/5,1))=1,INDEX('Serial Reference'!$A$8:$W$8,1,FLOOR(($A17-1)/23,1)+1)&amp;INDEX('Serial Reference'!$A$8:$W$8,1,MOD($A17-1,23)+1)&amp;TEXT(BA$2+FLOOR((BA$2-1)/9,1),"000"),"")</f>
        <v>AR057</v>
      </c>
      <c r="BB17" s="25" t="str">
        <f>IF(INDEX('Shot Map'!$B$6:$V$26,CEILING($A17/5,1),CEILING(BB$2/5,1))=1,INDEX('Serial Reference'!$A$8:$W$8,1,FLOOR(($A17-1)/23,1)+1)&amp;INDEX('Serial Reference'!$A$8:$W$8,1,MOD($A17-1,23)+1)&amp;TEXT(BB$2+FLOOR((BB$2-1)/9,1),"000"),"")</f>
        <v>AR058</v>
      </c>
      <c r="BC17" s="25" t="str">
        <f>IF(INDEX('Shot Map'!$B$6:$V$26,CEILING($A17/5,1),CEILING(BC$2/5,1))=1,INDEX('Serial Reference'!$A$8:$W$8,1,FLOOR(($A17-1)/23,1)+1)&amp;INDEX('Serial Reference'!$A$8:$W$8,1,MOD($A17-1,23)+1)&amp;TEXT(BC$2+FLOOR((BC$2-1)/9,1),"000"),"")</f>
        <v>AR059</v>
      </c>
      <c r="BD17" s="26" t="str">
        <f>IF(INDEX('Shot Map'!$B$6:$V$26,CEILING($A17/5,1),CEILING(BD$2/5,1))=1,INDEX('Serial Reference'!$A$8:$W$8,1,FLOOR(($A17-1)/23,1)+1)&amp;INDEX('Serial Reference'!$A$8:$W$8,1,MOD($A17-1,23)+1)&amp;TEXT(BD$2+FLOOR((BD$2-1)/9,1),"000"),"")</f>
        <v>AR061</v>
      </c>
      <c r="BE17" s="24" t="str">
        <f>IF(INDEX('Shot Map'!$B$6:$V$26,CEILING($A17/5,1),CEILING(BE$2/5,1))=1,INDEX('Serial Reference'!$A$8:$W$8,1,FLOOR(($A17-1)/23,1)+1)&amp;INDEX('Serial Reference'!$A$8:$W$8,1,MOD($A17-1,23)+1)&amp;TEXT(BE$2+FLOOR((BE$2-1)/9,1),"000"),"")</f>
        <v>AR062</v>
      </c>
      <c r="BF17" s="25" t="str">
        <f>IF(INDEX('Shot Map'!$B$6:$V$26,CEILING($A17/5,1),CEILING(BF$2/5,1))=1,INDEX('Serial Reference'!$A$8:$W$8,1,FLOOR(($A17-1)/23,1)+1)&amp;INDEX('Serial Reference'!$A$8:$W$8,1,MOD($A17-1,23)+1)&amp;TEXT(BF$2+FLOOR((BF$2-1)/9,1),"000"),"")</f>
        <v>AR063</v>
      </c>
      <c r="BG17" s="25" t="str">
        <f>IF(INDEX('Shot Map'!$B$6:$V$26,CEILING($A17/5,1),CEILING(BG$2/5,1))=1,INDEX('Serial Reference'!$A$8:$W$8,1,FLOOR(($A17-1)/23,1)+1)&amp;INDEX('Serial Reference'!$A$8:$W$8,1,MOD($A17-1,23)+1)&amp;TEXT(BG$2+FLOOR((BG$2-1)/9,1),"000"),"")</f>
        <v>AR064</v>
      </c>
      <c r="BH17" s="25" t="str">
        <f>IF(INDEX('Shot Map'!$B$6:$V$26,CEILING($A17/5,1),CEILING(BH$2/5,1))=1,INDEX('Serial Reference'!$A$8:$W$8,1,FLOOR(($A17-1)/23,1)+1)&amp;INDEX('Serial Reference'!$A$8:$W$8,1,MOD($A17-1,23)+1)&amp;TEXT(BH$2+FLOOR((BH$2-1)/9,1),"000"),"")</f>
        <v>AR065</v>
      </c>
      <c r="BI17" s="26" t="str">
        <f>IF(INDEX('Shot Map'!$B$6:$V$26,CEILING($A17/5,1),CEILING(BI$2/5,1))=1,INDEX('Serial Reference'!$A$8:$W$8,1,FLOOR(($A17-1)/23,1)+1)&amp;INDEX('Serial Reference'!$A$8:$W$8,1,MOD($A17-1,23)+1)&amp;TEXT(BI$2+FLOOR((BI$2-1)/9,1),"000"),"")</f>
        <v>AR066</v>
      </c>
      <c r="BJ17" s="24" t="str">
        <f>IF(INDEX('Shot Map'!$B$6:$V$26,CEILING($A17/5,1),CEILING(BJ$2/5,1))=1,INDEX('Serial Reference'!$A$8:$W$8,1,FLOOR(($A17-1)/23,1)+1)&amp;INDEX('Serial Reference'!$A$8:$W$8,1,MOD($A17-1,23)+1)&amp;TEXT(BJ$2+FLOOR((BJ$2-1)/9,1),"000"),"")</f>
        <v>AR067</v>
      </c>
      <c r="BK17" s="25" t="str">
        <f>IF(INDEX('Shot Map'!$B$6:$V$26,CEILING($A17/5,1),CEILING(BK$2/5,1))=1,INDEX('Serial Reference'!$A$8:$W$8,1,FLOOR(($A17-1)/23,1)+1)&amp;INDEX('Serial Reference'!$A$8:$W$8,1,MOD($A17-1,23)+1)&amp;TEXT(BK$2+FLOOR((BK$2-1)/9,1),"000"),"")</f>
        <v>AR068</v>
      </c>
      <c r="BL17" s="25" t="str">
        <f>IF(INDEX('Shot Map'!$B$6:$V$26,CEILING($A17/5,1),CEILING(BL$2/5,1))=1,INDEX('Serial Reference'!$A$8:$W$8,1,FLOOR(($A17-1)/23,1)+1)&amp;INDEX('Serial Reference'!$A$8:$W$8,1,MOD($A17-1,23)+1)&amp;TEXT(BL$2+FLOOR((BL$2-1)/9,1),"000"),"")</f>
        <v>AR069</v>
      </c>
      <c r="BM17" s="25" t="str">
        <f>IF(INDEX('Shot Map'!$B$6:$V$26,CEILING($A17/5,1),CEILING(BM$2/5,1))=1,INDEX('Serial Reference'!$A$8:$W$8,1,FLOOR(($A17-1)/23,1)+1)&amp;INDEX('Serial Reference'!$A$8:$W$8,1,MOD($A17-1,23)+1)&amp;TEXT(BM$2+FLOOR((BM$2-1)/9,1),"000"),"")</f>
        <v>AR071</v>
      </c>
      <c r="BN17" s="26" t="str">
        <f>IF(INDEX('Shot Map'!$B$6:$V$26,CEILING($A17/5,1),CEILING(BN$2/5,1))=1,INDEX('Serial Reference'!$A$8:$W$8,1,FLOOR(($A17-1)/23,1)+1)&amp;INDEX('Serial Reference'!$A$8:$W$8,1,MOD($A17-1,23)+1)&amp;TEXT(BN$2+FLOOR((BN$2-1)/9,1),"000"),"")</f>
        <v>AR072</v>
      </c>
      <c r="BO17" s="24" t="str">
        <f>IF(INDEX('Shot Map'!$B$6:$V$26,CEILING($A17/5,1),CEILING(BO$2/5,1))=1,INDEX('Serial Reference'!$A$8:$W$8,1,FLOOR(($A17-1)/23,1)+1)&amp;INDEX('Serial Reference'!$A$8:$W$8,1,MOD($A17-1,23)+1)&amp;TEXT(BO$2+FLOOR((BO$2-1)/9,1),"000"),"")</f>
        <v>AR073</v>
      </c>
      <c r="BP17" s="25" t="str">
        <f>IF(INDEX('Shot Map'!$B$6:$V$26,CEILING($A17/5,1),CEILING(BP$2/5,1))=1,INDEX('Serial Reference'!$A$8:$W$8,1,FLOOR(($A17-1)/23,1)+1)&amp;INDEX('Serial Reference'!$A$8:$W$8,1,MOD($A17-1,23)+1)&amp;TEXT(BP$2+FLOOR((BP$2-1)/9,1),"000"),"")</f>
        <v>AR074</v>
      </c>
      <c r="BQ17" s="25" t="str">
        <f>IF(INDEX('Shot Map'!$B$6:$V$26,CEILING($A17/5,1),CEILING(BQ$2/5,1))=1,INDEX('Serial Reference'!$A$8:$W$8,1,FLOOR(($A17-1)/23,1)+1)&amp;INDEX('Serial Reference'!$A$8:$W$8,1,MOD($A17-1,23)+1)&amp;TEXT(BQ$2+FLOOR((BQ$2-1)/9,1),"000"),"")</f>
        <v>AR075</v>
      </c>
      <c r="BR17" s="25" t="str">
        <f>IF(INDEX('Shot Map'!$B$6:$V$26,CEILING($A17/5,1),CEILING(BR$2/5,1))=1,INDEX('Serial Reference'!$A$8:$W$8,1,FLOOR(($A17-1)/23,1)+1)&amp;INDEX('Serial Reference'!$A$8:$W$8,1,MOD($A17-1,23)+1)&amp;TEXT(BR$2+FLOOR((BR$2-1)/9,1),"000"),"")</f>
        <v>AR076</v>
      </c>
      <c r="BS17" s="26" t="str">
        <f>IF(INDEX('Shot Map'!$B$6:$V$26,CEILING($A17/5,1),CEILING(BS$2/5,1))=1,INDEX('Serial Reference'!$A$8:$W$8,1,FLOOR(($A17-1)/23,1)+1)&amp;INDEX('Serial Reference'!$A$8:$W$8,1,MOD($A17-1,23)+1)&amp;TEXT(BS$2+FLOOR((BS$2-1)/9,1),"000"),"")</f>
        <v>AR077</v>
      </c>
      <c r="BT17" s="24" t="str">
        <f>IF(INDEX('Shot Map'!$B$6:$V$26,CEILING($A17/5,1),CEILING(BT$2/5,1))=1,INDEX('Serial Reference'!$A$8:$W$8,1,FLOOR(($A17-1)/23,1)+1)&amp;INDEX('Serial Reference'!$A$8:$W$8,1,MOD($A17-1,23)+1)&amp;TEXT(BT$2+FLOOR((BT$2-1)/9,1),"000"),"")</f>
        <v>AR078</v>
      </c>
      <c r="BU17" s="25" t="str">
        <f>IF(INDEX('Shot Map'!$B$6:$V$26,CEILING($A17/5,1),CEILING(BU$2/5,1))=1,INDEX('Serial Reference'!$A$8:$W$8,1,FLOOR(($A17-1)/23,1)+1)&amp;INDEX('Serial Reference'!$A$8:$W$8,1,MOD($A17-1,23)+1)&amp;TEXT(BU$2+FLOOR((BU$2-1)/9,1),"000"),"")</f>
        <v>AR079</v>
      </c>
      <c r="BV17" s="25" t="str">
        <f>IF(INDEX('Shot Map'!$B$6:$V$26,CEILING($A17/5,1),CEILING(BV$2/5,1))=1,INDEX('Serial Reference'!$A$8:$W$8,1,FLOOR(($A17-1)/23,1)+1)&amp;INDEX('Serial Reference'!$A$8:$W$8,1,MOD($A17-1,23)+1)&amp;TEXT(BV$2+FLOOR((BV$2-1)/9,1),"000"),"")</f>
        <v>AR081</v>
      </c>
      <c r="BW17" s="25" t="str">
        <f>IF(INDEX('Shot Map'!$B$6:$V$26,CEILING($A17/5,1),CEILING(BW$2/5,1))=1,INDEX('Serial Reference'!$A$8:$W$8,1,FLOOR(($A17-1)/23,1)+1)&amp;INDEX('Serial Reference'!$A$8:$W$8,1,MOD($A17-1,23)+1)&amp;TEXT(BW$2+FLOOR((BW$2-1)/9,1),"000"),"")</f>
        <v>AR082</v>
      </c>
      <c r="BX17" s="26" t="str">
        <f>IF(INDEX('Shot Map'!$B$6:$V$26,CEILING($A17/5,1),CEILING(BX$2/5,1))=1,INDEX('Serial Reference'!$A$8:$W$8,1,FLOOR(($A17-1)/23,1)+1)&amp;INDEX('Serial Reference'!$A$8:$W$8,1,MOD($A17-1,23)+1)&amp;TEXT(BX$2+FLOOR((BX$2-1)/9,1),"000"),"")</f>
        <v>AR083</v>
      </c>
      <c r="BY17" s="24" t="str">
        <f>IF(INDEX('Shot Map'!$B$6:$V$26,CEILING($A17/5,1),CEILING(BY$2/5,1))=1,INDEX('Serial Reference'!$A$8:$W$8,1,FLOOR(($A17-1)/23,1)+1)&amp;INDEX('Serial Reference'!$A$8:$W$8,1,MOD($A17-1,23)+1)&amp;TEXT(BY$2+FLOOR((BY$2-1)/9,1),"000"),"")</f>
        <v>AR084</v>
      </c>
      <c r="BZ17" s="25" t="str">
        <f>IF(INDEX('Shot Map'!$B$6:$V$26,CEILING($A17/5,1),CEILING(BZ$2/5,1))=1,INDEX('Serial Reference'!$A$8:$W$8,1,FLOOR(($A17-1)/23,1)+1)&amp;INDEX('Serial Reference'!$A$8:$W$8,1,MOD($A17-1,23)+1)&amp;TEXT(BZ$2+FLOOR((BZ$2-1)/9,1),"000"),"")</f>
        <v>AR085</v>
      </c>
      <c r="CA17" s="25" t="str">
        <f>IF(INDEX('Shot Map'!$B$6:$V$26,CEILING($A17/5,1),CEILING(CA$2/5,1))=1,INDEX('Serial Reference'!$A$8:$W$8,1,FLOOR(($A17-1)/23,1)+1)&amp;INDEX('Serial Reference'!$A$8:$W$8,1,MOD($A17-1,23)+1)&amp;TEXT(CA$2+FLOOR((CA$2-1)/9,1),"000"),"")</f>
        <v>AR086</v>
      </c>
      <c r="CB17" s="25" t="str">
        <f>IF(INDEX('Shot Map'!$B$6:$V$26,CEILING($A17/5,1),CEILING(CB$2/5,1))=1,INDEX('Serial Reference'!$A$8:$W$8,1,FLOOR(($A17-1)/23,1)+1)&amp;INDEX('Serial Reference'!$A$8:$W$8,1,MOD($A17-1,23)+1)&amp;TEXT(CB$2+FLOOR((CB$2-1)/9,1),"000"),"")</f>
        <v>AR087</v>
      </c>
      <c r="CC17" s="26" t="str">
        <f>IF(INDEX('Shot Map'!$B$6:$V$26,CEILING($A17/5,1),CEILING(CC$2/5,1))=1,INDEX('Serial Reference'!$A$8:$W$8,1,FLOOR(($A17-1)/23,1)+1)&amp;INDEX('Serial Reference'!$A$8:$W$8,1,MOD($A17-1,23)+1)&amp;TEXT(CC$2+FLOOR((CC$2-1)/9,1),"000"),"")</f>
        <v>AR088</v>
      </c>
      <c r="CD17" s="24" t="str">
        <f>IF(INDEX('Shot Map'!$B$6:$V$26,CEILING($A17/5,1),CEILING(CD$2/5,1))=1,INDEX('Serial Reference'!$A$8:$W$8,1,FLOOR(($A17-1)/23,1)+1)&amp;INDEX('Serial Reference'!$A$8:$W$8,1,MOD($A17-1,23)+1)&amp;TEXT(CD$2+FLOOR((CD$2-1)/9,1),"000"),"")</f>
        <v>AR089</v>
      </c>
      <c r="CE17" s="25" t="str">
        <f>IF(INDEX('Shot Map'!$B$6:$V$26,CEILING($A17/5,1),CEILING(CE$2/5,1))=1,INDEX('Serial Reference'!$A$8:$W$8,1,FLOOR(($A17-1)/23,1)+1)&amp;INDEX('Serial Reference'!$A$8:$W$8,1,MOD($A17-1,23)+1)&amp;TEXT(CE$2+FLOOR((CE$2-1)/9,1),"000"),"")</f>
        <v>AR091</v>
      </c>
      <c r="CF17" s="25" t="str">
        <f>IF(INDEX('Shot Map'!$B$6:$V$26,CEILING($A17/5,1),CEILING(CF$2/5,1))=1,INDEX('Serial Reference'!$A$8:$W$8,1,FLOOR(($A17-1)/23,1)+1)&amp;INDEX('Serial Reference'!$A$8:$W$8,1,MOD($A17-1,23)+1)&amp;TEXT(CF$2+FLOOR((CF$2-1)/9,1),"000"),"")</f>
        <v>AR092</v>
      </c>
      <c r="CG17" s="25" t="str">
        <f>IF(INDEX('Shot Map'!$B$6:$V$26,CEILING($A17/5,1),CEILING(CG$2/5,1))=1,INDEX('Serial Reference'!$A$8:$W$8,1,FLOOR(($A17-1)/23,1)+1)&amp;INDEX('Serial Reference'!$A$8:$W$8,1,MOD($A17-1,23)+1)&amp;TEXT(CG$2+FLOOR((CG$2-1)/9,1),"000"),"")</f>
        <v>AR093</v>
      </c>
      <c r="CH17" s="26" t="str">
        <f>IF(INDEX('Shot Map'!$B$6:$V$26,CEILING($A17/5,1),CEILING(CH$2/5,1))=1,INDEX('Serial Reference'!$A$8:$W$8,1,FLOOR(($A17-1)/23,1)+1)&amp;INDEX('Serial Reference'!$A$8:$W$8,1,MOD($A17-1,23)+1)&amp;TEXT(CH$2+FLOOR((CH$2-1)/9,1),"000"),"")</f>
        <v>AR094</v>
      </c>
      <c r="CI17" s="24" t="str">
        <f>IF(INDEX('Shot Map'!$B$6:$V$26,CEILING($A17/5,1),CEILING(CI$2/5,1))=1,INDEX('Serial Reference'!$A$8:$W$8,1,FLOOR(($A17-1)/23,1)+1)&amp;INDEX('Serial Reference'!$A$8:$W$8,1,MOD($A17-1,23)+1)&amp;TEXT(CI$2+FLOOR((CI$2-1)/9,1),"000"),"")</f>
        <v/>
      </c>
      <c r="CJ17" s="25" t="str">
        <f>IF(INDEX('Shot Map'!$B$6:$V$26,CEILING($A17/5,1),CEILING(CJ$2/5,1))=1,INDEX('Serial Reference'!$A$8:$W$8,1,FLOOR(($A17-1)/23,1)+1)&amp;INDEX('Serial Reference'!$A$8:$W$8,1,MOD($A17-1,23)+1)&amp;TEXT(CJ$2+FLOOR((CJ$2-1)/9,1),"000"),"")</f>
        <v/>
      </c>
      <c r="CK17" s="25" t="str">
        <f>IF(INDEX('Shot Map'!$B$6:$V$26,CEILING($A17/5,1),CEILING(CK$2/5,1))=1,INDEX('Serial Reference'!$A$8:$W$8,1,FLOOR(($A17-1)/23,1)+1)&amp;INDEX('Serial Reference'!$A$8:$W$8,1,MOD($A17-1,23)+1)&amp;TEXT(CK$2+FLOOR((CK$2-1)/9,1),"000"),"")</f>
        <v/>
      </c>
      <c r="CL17" s="25" t="str">
        <f>IF(INDEX('Shot Map'!$B$6:$V$26,CEILING($A17/5,1),CEILING(CL$2/5,1))=1,INDEX('Serial Reference'!$A$8:$W$8,1,FLOOR(($A17-1)/23,1)+1)&amp;INDEX('Serial Reference'!$A$8:$W$8,1,MOD($A17-1,23)+1)&amp;TEXT(CL$2+FLOOR((CL$2-1)/9,1),"000"),"")</f>
        <v/>
      </c>
      <c r="CM17" s="26" t="str">
        <f>IF(INDEX('Shot Map'!$B$6:$V$26,CEILING($A17/5,1),CEILING(CM$2/5,1))=1,INDEX('Serial Reference'!$A$8:$W$8,1,FLOOR(($A17-1)/23,1)+1)&amp;INDEX('Serial Reference'!$A$8:$W$8,1,MOD($A17-1,23)+1)&amp;TEXT(CM$2+FLOOR((CM$2-1)/9,1),"000"),"")</f>
        <v/>
      </c>
      <c r="CN17" s="24" t="str">
        <f>IF(INDEX('Shot Map'!$B$6:$V$26,CEILING($A17/5,1),CEILING(CN$2/5,1))=1,INDEX('Serial Reference'!$A$8:$W$8,1,FLOOR(($A17-1)/23,1)+1)&amp;INDEX('Serial Reference'!$A$8:$W$8,1,MOD($A17-1,23)+1)&amp;TEXT(CN$2+FLOOR((CN$2-1)/9,1),"000"),"")</f>
        <v/>
      </c>
      <c r="CO17" s="25" t="str">
        <f>IF(INDEX('Shot Map'!$B$6:$V$26,CEILING($A17/5,1),CEILING(CO$2/5,1))=1,INDEX('Serial Reference'!$A$8:$W$8,1,FLOOR(($A17-1)/23,1)+1)&amp;INDEX('Serial Reference'!$A$8:$W$8,1,MOD($A17-1,23)+1)&amp;TEXT(CO$2+FLOOR((CO$2-1)/9,1),"000"),"")</f>
        <v/>
      </c>
      <c r="CP17" s="25" t="str">
        <f>IF(INDEX('Shot Map'!$B$6:$V$26,CEILING($A17/5,1),CEILING(CP$2/5,1))=1,INDEX('Serial Reference'!$A$8:$W$8,1,FLOOR(($A17-1)/23,1)+1)&amp;INDEX('Serial Reference'!$A$8:$W$8,1,MOD($A17-1,23)+1)&amp;TEXT(CP$2+FLOOR((CP$2-1)/9,1),"000"),"")</f>
        <v/>
      </c>
      <c r="CQ17" s="25" t="str">
        <f>IF(INDEX('Shot Map'!$B$6:$V$26,CEILING($A17/5,1),CEILING(CQ$2/5,1))=1,INDEX('Serial Reference'!$A$8:$W$8,1,FLOOR(($A17-1)/23,1)+1)&amp;INDEX('Serial Reference'!$A$8:$W$8,1,MOD($A17-1,23)+1)&amp;TEXT(CQ$2+FLOOR((CQ$2-1)/9,1),"000"),"")</f>
        <v/>
      </c>
      <c r="CR17" s="26" t="str">
        <f>IF(INDEX('Shot Map'!$B$6:$V$26,CEILING($A17/5,1),CEILING(CR$2/5,1))=1,INDEX('Serial Reference'!$A$8:$W$8,1,FLOOR(($A17-1)/23,1)+1)&amp;INDEX('Serial Reference'!$A$8:$W$8,1,MOD($A17-1,23)+1)&amp;TEXT(CR$2+FLOOR((CR$2-1)/9,1),"000"),"")</f>
        <v/>
      </c>
      <c r="CS17" s="24" t="str">
        <f>IF(INDEX('Shot Map'!$B$6:$V$26,CEILING($A17/5,1),CEILING(CS$2/5,1))=1,INDEX('Serial Reference'!$A$8:$W$8,1,FLOOR(($A17-1)/23,1)+1)&amp;INDEX('Serial Reference'!$A$8:$W$8,1,MOD($A17-1,23)+1)&amp;TEXT(CS$2+FLOOR((CS$2-1)/9,1),"000"),"")</f>
        <v/>
      </c>
      <c r="CT17" s="25" t="str">
        <f>IF(INDEX('Shot Map'!$B$6:$V$26,CEILING($A17/5,1),CEILING(CT$2/5,1))=1,INDEX('Serial Reference'!$A$8:$W$8,1,FLOOR(($A17-1)/23,1)+1)&amp;INDEX('Serial Reference'!$A$8:$W$8,1,MOD($A17-1,23)+1)&amp;TEXT(CT$2+FLOOR((CT$2-1)/9,1),"000"),"")</f>
        <v/>
      </c>
      <c r="CU17" s="25" t="str">
        <f>IF(INDEX('Shot Map'!$B$6:$V$26,CEILING($A17/5,1),CEILING(CU$2/5,1))=1,INDEX('Serial Reference'!$A$8:$W$8,1,FLOOR(($A17-1)/23,1)+1)&amp;INDEX('Serial Reference'!$A$8:$W$8,1,MOD($A17-1,23)+1)&amp;TEXT(CU$2+FLOOR((CU$2-1)/9,1),"000"),"")</f>
        <v/>
      </c>
      <c r="CV17" s="25" t="str">
        <f>IF(INDEX('Shot Map'!$B$6:$V$26,CEILING($A17/5,1),CEILING(CV$2/5,1))=1,INDEX('Serial Reference'!$A$8:$W$8,1,FLOOR(($A17-1)/23,1)+1)&amp;INDEX('Serial Reference'!$A$8:$W$8,1,MOD($A17-1,23)+1)&amp;TEXT(CV$2+FLOOR((CV$2-1)/9,1),"000"),"")</f>
        <v/>
      </c>
      <c r="CW17" s="26" t="str">
        <f>IF(INDEX('Shot Map'!$B$6:$V$26,CEILING($A17/5,1),CEILING(CW$2/5,1))=1,INDEX('Serial Reference'!$A$8:$W$8,1,FLOOR(($A17-1)/23,1)+1)&amp;INDEX('Serial Reference'!$A$8:$W$8,1,MOD($A17-1,23)+1)&amp;TEXT(CW$2+FLOOR((CW$2-1)/9,1),"000"),"")</f>
        <v/>
      </c>
      <c r="CX17" s="24" t="str">
        <f>IF(INDEX('Shot Map'!$B$6:$V$26,CEILING($A17/5,1),CEILING(CX$2/5,1))=1,INDEX('Serial Reference'!$A$8:$W$8,1,FLOOR(($A17-1)/23,1)+1)&amp;INDEX('Serial Reference'!$A$8:$W$8,1,MOD($A17-1,23)+1)&amp;TEXT(CX$2+FLOOR((CX$2-1)/9,1),"000"),"")</f>
        <v/>
      </c>
      <c r="CY17" s="25" t="str">
        <f>IF(INDEX('Shot Map'!$B$6:$V$26,CEILING($A17/5,1),CEILING(CY$2/5,1))=1,INDEX('Serial Reference'!$A$8:$W$8,1,FLOOR(($A17-1)/23,1)+1)&amp;INDEX('Serial Reference'!$A$8:$W$8,1,MOD($A17-1,23)+1)&amp;TEXT(CY$2+FLOOR((CY$2-1)/9,1),"000"),"")</f>
        <v/>
      </c>
      <c r="CZ17" s="25" t="str">
        <f>IF(INDEX('Shot Map'!$B$6:$V$26,CEILING($A17/5,1),CEILING(CZ$2/5,1))=1,INDEX('Serial Reference'!$A$8:$W$8,1,FLOOR(($A17-1)/23,1)+1)&amp;INDEX('Serial Reference'!$A$8:$W$8,1,MOD($A17-1,23)+1)&amp;TEXT(CZ$2+FLOOR((CZ$2-1)/9,1),"000"),"")</f>
        <v/>
      </c>
      <c r="DA17" s="25" t="str">
        <f>IF(INDEX('Shot Map'!$B$6:$V$26,CEILING($A17/5,1),CEILING(DA$2/5,1))=1,INDEX('Serial Reference'!$A$8:$W$8,1,FLOOR(($A17-1)/23,1)+1)&amp;INDEX('Serial Reference'!$A$8:$W$8,1,MOD($A17-1,23)+1)&amp;TEXT(DA$2+FLOOR((DA$2-1)/9,1),"000"),"")</f>
        <v/>
      </c>
      <c r="DB17" s="26" t="str">
        <f>IF(INDEX('Shot Map'!$B$6:$V$26,CEILING($A17/5,1),CEILING(DB$2/5,1))=1,INDEX('Serial Reference'!$A$8:$W$8,1,FLOOR(($A17-1)/23,1)+1)&amp;INDEX('Serial Reference'!$A$8:$W$8,1,MOD($A17-1,23)+1)&amp;TEXT(DB$2+FLOOR((DB$2-1)/9,1),"000"),"")</f>
        <v/>
      </c>
    </row>
    <row r="18" spans="1:106" ht="12.75" customHeight="1" x14ac:dyDescent="0.25">
      <c r="A18" s="17">
        <v>16</v>
      </c>
      <c r="B18" s="18" t="str">
        <f>IF(INDEX('Shot Map'!$B$6:$V$26,CEILING($A18/5,1),CEILING(B$2/5,1))=1,INDEX('Serial Reference'!$A$8:$W$8,1,FLOOR(($A18-1)/23,1)+1)&amp;INDEX('Serial Reference'!$A$8:$W$8,1,MOD($A18-1,23)+1)&amp;TEXT(B$2+FLOOR((B$2-1)/9,1),"000"),"")</f>
        <v/>
      </c>
      <c r="C18" s="19" t="str">
        <f>IF(INDEX('Shot Map'!$B$6:$V$26,CEILING($A18/5,1),CEILING(C$2/5,1))=1,INDEX('Serial Reference'!$A$8:$W$8,1,FLOOR(($A18-1)/23,1)+1)&amp;INDEX('Serial Reference'!$A$8:$W$8,1,MOD($A18-1,23)+1)&amp;TEXT(C$2+FLOOR((C$2-1)/9,1),"000"),"")</f>
        <v/>
      </c>
      <c r="D18" s="19" t="str">
        <f>IF(INDEX('Shot Map'!$B$6:$V$26,CEILING($A18/5,1),CEILING(D$2/5,1))=1,INDEX('Serial Reference'!$A$8:$W$8,1,FLOOR(($A18-1)/23,1)+1)&amp;INDEX('Serial Reference'!$A$8:$W$8,1,MOD($A18-1,23)+1)&amp;TEXT(D$2+FLOOR((D$2-1)/9,1),"000"),"")</f>
        <v/>
      </c>
      <c r="E18" s="19" t="str">
        <f>IF(INDEX('Shot Map'!$B$6:$V$26,CEILING($A18/5,1),CEILING(E$2/5,1))=1,INDEX('Serial Reference'!$A$8:$W$8,1,FLOOR(($A18-1)/23,1)+1)&amp;INDEX('Serial Reference'!$A$8:$W$8,1,MOD($A18-1,23)+1)&amp;TEXT(E$2+FLOOR((E$2-1)/9,1),"000"),"")</f>
        <v/>
      </c>
      <c r="F18" s="20" t="str">
        <f>IF(INDEX('Shot Map'!$B$6:$V$26,CEILING($A18/5,1),CEILING(F$2/5,1))=1,INDEX('Serial Reference'!$A$8:$W$8,1,FLOOR(($A18-1)/23,1)+1)&amp;INDEX('Serial Reference'!$A$8:$W$8,1,MOD($A18-1,23)+1)&amp;TEXT(F$2+FLOOR((F$2-1)/9,1),"000"),"")</f>
        <v/>
      </c>
      <c r="G18" s="18" t="str">
        <f>IF(INDEX('Shot Map'!$B$6:$V$26,CEILING($A18/5,1),CEILING(G$2/5,1))=1,INDEX('Serial Reference'!$A$8:$W$8,1,FLOOR(($A18-1)/23,1)+1)&amp;INDEX('Serial Reference'!$A$8:$W$8,1,MOD($A18-1,23)+1)&amp;TEXT(G$2+FLOOR((G$2-1)/9,1),"000"),"")</f>
        <v/>
      </c>
      <c r="H18" s="19" t="str">
        <f>IF(INDEX('Shot Map'!$B$6:$V$26,CEILING($A18/5,1),CEILING(H$2/5,1))=1,INDEX('Serial Reference'!$A$8:$W$8,1,FLOOR(($A18-1)/23,1)+1)&amp;INDEX('Serial Reference'!$A$8:$W$8,1,MOD($A18-1,23)+1)&amp;TEXT(H$2+FLOOR((H$2-1)/9,1),"000"),"")</f>
        <v/>
      </c>
      <c r="I18" s="19" t="str">
        <f>IF(INDEX('Shot Map'!$B$6:$V$26,CEILING($A18/5,1),CEILING(I$2/5,1))=1,INDEX('Serial Reference'!$A$8:$W$8,1,FLOOR(($A18-1)/23,1)+1)&amp;INDEX('Serial Reference'!$A$8:$W$8,1,MOD($A18-1,23)+1)&amp;TEXT(I$2+FLOOR((I$2-1)/9,1),"000"),"")</f>
        <v/>
      </c>
      <c r="J18" s="19" t="str">
        <f>IF(INDEX('Shot Map'!$B$6:$V$26,CEILING($A18/5,1),CEILING(J$2/5,1))=1,INDEX('Serial Reference'!$A$8:$W$8,1,FLOOR(($A18-1)/23,1)+1)&amp;INDEX('Serial Reference'!$A$8:$W$8,1,MOD($A18-1,23)+1)&amp;TEXT(J$2+FLOOR((J$2-1)/9,1),"000"),"")</f>
        <v/>
      </c>
      <c r="K18" s="20" t="str">
        <f>IF(INDEX('Shot Map'!$B$6:$V$26,CEILING($A18/5,1),CEILING(K$2/5,1))=1,INDEX('Serial Reference'!$A$8:$W$8,1,FLOOR(($A18-1)/23,1)+1)&amp;INDEX('Serial Reference'!$A$8:$W$8,1,MOD($A18-1,23)+1)&amp;TEXT(K$2+FLOOR((K$2-1)/9,1),"000"),"")</f>
        <v/>
      </c>
      <c r="L18" s="18" t="str">
        <f>IF(INDEX('Shot Map'!$B$6:$V$26,CEILING($A18/5,1),CEILING(L$2/5,1))=1,INDEX('Serial Reference'!$A$8:$W$8,1,FLOOR(($A18-1)/23,1)+1)&amp;INDEX('Serial Reference'!$A$8:$W$8,1,MOD($A18-1,23)+1)&amp;TEXT(L$2+FLOOR((L$2-1)/9,1),"000"),"")</f>
        <v/>
      </c>
      <c r="M18" s="19" t="str">
        <f>IF(INDEX('Shot Map'!$B$6:$V$26,CEILING($A18/5,1),CEILING(M$2/5,1))=1,INDEX('Serial Reference'!$A$8:$W$8,1,FLOOR(($A18-1)/23,1)+1)&amp;INDEX('Serial Reference'!$A$8:$W$8,1,MOD($A18-1,23)+1)&amp;TEXT(M$2+FLOOR((M$2-1)/9,1),"000"),"")</f>
        <v/>
      </c>
      <c r="N18" s="19" t="str">
        <f>IF(INDEX('Shot Map'!$B$6:$V$26,CEILING($A18/5,1),CEILING(N$2/5,1))=1,INDEX('Serial Reference'!$A$8:$W$8,1,FLOOR(($A18-1)/23,1)+1)&amp;INDEX('Serial Reference'!$A$8:$W$8,1,MOD($A18-1,23)+1)&amp;TEXT(N$2+FLOOR((N$2-1)/9,1),"000"),"")</f>
        <v/>
      </c>
      <c r="O18" s="19" t="str">
        <f>IF(INDEX('Shot Map'!$B$6:$V$26,CEILING($A18/5,1),CEILING(O$2/5,1))=1,INDEX('Serial Reference'!$A$8:$W$8,1,FLOOR(($A18-1)/23,1)+1)&amp;INDEX('Serial Reference'!$A$8:$W$8,1,MOD($A18-1,23)+1)&amp;TEXT(O$2+FLOOR((O$2-1)/9,1),"000"),"")</f>
        <v/>
      </c>
      <c r="P18" s="20" t="str">
        <f>IF(INDEX('Shot Map'!$B$6:$V$26,CEILING($A18/5,1),CEILING(P$2/5,1))=1,INDEX('Serial Reference'!$A$8:$W$8,1,FLOOR(($A18-1)/23,1)+1)&amp;INDEX('Serial Reference'!$A$8:$W$8,1,MOD($A18-1,23)+1)&amp;TEXT(P$2+FLOOR((P$2-1)/9,1),"000"),"")</f>
        <v/>
      </c>
      <c r="Q18" s="18" t="str">
        <f>IF(INDEX('Shot Map'!$B$6:$V$26,CEILING($A18/5,1),CEILING(Q$2/5,1))=1,INDEX('Serial Reference'!$A$8:$W$8,1,FLOOR(($A18-1)/23,1)+1)&amp;INDEX('Serial Reference'!$A$8:$W$8,1,MOD($A18-1,23)+1)&amp;TEXT(Q$2+FLOOR((Q$2-1)/9,1),"000"),"")</f>
        <v>AS017</v>
      </c>
      <c r="R18" s="19" t="str">
        <f>IF(INDEX('Shot Map'!$B$6:$V$26,CEILING($A18/5,1),CEILING(R$2/5,1))=1,INDEX('Serial Reference'!$A$8:$W$8,1,FLOOR(($A18-1)/23,1)+1)&amp;INDEX('Serial Reference'!$A$8:$W$8,1,MOD($A18-1,23)+1)&amp;TEXT(R$2+FLOOR((R$2-1)/9,1),"000"),"")</f>
        <v>AS018</v>
      </c>
      <c r="S18" s="19" t="str">
        <f>IF(INDEX('Shot Map'!$B$6:$V$26,CEILING($A18/5,1),CEILING(S$2/5,1))=1,INDEX('Serial Reference'!$A$8:$W$8,1,FLOOR(($A18-1)/23,1)+1)&amp;INDEX('Serial Reference'!$A$8:$W$8,1,MOD($A18-1,23)+1)&amp;TEXT(S$2+FLOOR((S$2-1)/9,1),"000"),"")</f>
        <v>AS019</v>
      </c>
      <c r="T18" s="19" t="str">
        <f>IF(INDEX('Shot Map'!$B$6:$V$26,CEILING($A18/5,1),CEILING(T$2/5,1))=1,INDEX('Serial Reference'!$A$8:$W$8,1,FLOOR(($A18-1)/23,1)+1)&amp;INDEX('Serial Reference'!$A$8:$W$8,1,MOD($A18-1,23)+1)&amp;TEXT(T$2+FLOOR((T$2-1)/9,1),"000"),"")</f>
        <v>AS021</v>
      </c>
      <c r="U18" s="20" t="str">
        <f>IF(INDEX('Shot Map'!$B$6:$V$26,CEILING($A18/5,1),CEILING(U$2/5,1))=1,INDEX('Serial Reference'!$A$8:$W$8,1,FLOOR(($A18-1)/23,1)+1)&amp;INDEX('Serial Reference'!$A$8:$W$8,1,MOD($A18-1,23)+1)&amp;TEXT(U$2+FLOOR((U$2-1)/9,1),"000"),"")</f>
        <v>AS022</v>
      </c>
      <c r="V18" s="18" t="str">
        <f>IF(INDEX('Shot Map'!$B$6:$V$26,CEILING($A18/5,1),CEILING(V$2/5,1))=1,INDEX('Serial Reference'!$A$8:$W$8,1,FLOOR(($A18-1)/23,1)+1)&amp;INDEX('Serial Reference'!$A$8:$W$8,1,MOD($A18-1,23)+1)&amp;TEXT(V$2+FLOOR((V$2-1)/9,1),"000"),"")</f>
        <v>AS023</v>
      </c>
      <c r="W18" s="19" t="str">
        <f>IF(INDEX('Shot Map'!$B$6:$V$26,CEILING($A18/5,1),CEILING(W$2/5,1))=1,INDEX('Serial Reference'!$A$8:$W$8,1,FLOOR(($A18-1)/23,1)+1)&amp;INDEX('Serial Reference'!$A$8:$W$8,1,MOD($A18-1,23)+1)&amp;TEXT(W$2+FLOOR((W$2-1)/9,1),"000"),"")</f>
        <v>AS024</v>
      </c>
      <c r="X18" s="19" t="str">
        <f>IF(INDEX('Shot Map'!$B$6:$V$26,CEILING($A18/5,1),CEILING(X$2/5,1))=1,INDEX('Serial Reference'!$A$8:$W$8,1,FLOOR(($A18-1)/23,1)+1)&amp;INDEX('Serial Reference'!$A$8:$W$8,1,MOD($A18-1,23)+1)&amp;TEXT(X$2+FLOOR((X$2-1)/9,1),"000"),"")</f>
        <v>AS025</v>
      </c>
      <c r="Y18" s="19" t="str">
        <f>IF(INDEX('Shot Map'!$B$6:$V$26,CEILING($A18/5,1),CEILING(Y$2/5,1))=1,INDEX('Serial Reference'!$A$8:$W$8,1,FLOOR(($A18-1)/23,1)+1)&amp;INDEX('Serial Reference'!$A$8:$W$8,1,MOD($A18-1,23)+1)&amp;TEXT(Y$2+FLOOR((Y$2-1)/9,1),"000"),"")</f>
        <v>AS026</v>
      </c>
      <c r="Z18" s="20" t="str">
        <f>IF(INDEX('Shot Map'!$B$6:$V$26,CEILING($A18/5,1),CEILING(Z$2/5,1))=1,INDEX('Serial Reference'!$A$8:$W$8,1,FLOOR(($A18-1)/23,1)+1)&amp;INDEX('Serial Reference'!$A$8:$W$8,1,MOD($A18-1,23)+1)&amp;TEXT(Z$2+FLOOR((Z$2-1)/9,1),"000"),"")</f>
        <v>AS027</v>
      </c>
      <c r="AA18" s="18" t="str">
        <f>IF(INDEX('Shot Map'!$B$6:$V$26,CEILING($A18/5,1),CEILING(AA$2/5,1))=1,INDEX('Serial Reference'!$A$8:$W$8,1,FLOOR(($A18-1)/23,1)+1)&amp;INDEX('Serial Reference'!$A$8:$W$8,1,MOD($A18-1,23)+1)&amp;TEXT(AA$2+FLOOR((AA$2-1)/9,1),"000"),"")</f>
        <v>AS028</v>
      </c>
      <c r="AB18" s="19" t="str">
        <f>IF(INDEX('Shot Map'!$B$6:$V$26,CEILING($A18/5,1),CEILING(AB$2/5,1))=1,INDEX('Serial Reference'!$A$8:$W$8,1,FLOOR(($A18-1)/23,1)+1)&amp;INDEX('Serial Reference'!$A$8:$W$8,1,MOD($A18-1,23)+1)&amp;TEXT(AB$2+FLOOR((AB$2-1)/9,1),"000"),"")</f>
        <v>AS029</v>
      </c>
      <c r="AC18" s="19" t="str">
        <f>IF(INDEX('Shot Map'!$B$6:$V$26,CEILING($A18/5,1),CEILING(AC$2/5,1))=1,INDEX('Serial Reference'!$A$8:$W$8,1,FLOOR(($A18-1)/23,1)+1)&amp;INDEX('Serial Reference'!$A$8:$W$8,1,MOD($A18-1,23)+1)&amp;TEXT(AC$2+FLOOR((AC$2-1)/9,1),"000"),"")</f>
        <v>AS031</v>
      </c>
      <c r="AD18" s="19" t="str">
        <f>IF(INDEX('Shot Map'!$B$6:$V$26,CEILING($A18/5,1),CEILING(AD$2/5,1))=1,INDEX('Serial Reference'!$A$8:$W$8,1,FLOOR(($A18-1)/23,1)+1)&amp;INDEX('Serial Reference'!$A$8:$W$8,1,MOD($A18-1,23)+1)&amp;TEXT(AD$2+FLOOR((AD$2-1)/9,1),"000"),"")</f>
        <v>AS032</v>
      </c>
      <c r="AE18" s="20" t="str">
        <f>IF(INDEX('Shot Map'!$B$6:$V$26,CEILING($A18/5,1),CEILING(AE$2/5,1))=1,INDEX('Serial Reference'!$A$8:$W$8,1,FLOOR(($A18-1)/23,1)+1)&amp;INDEX('Serial Reference'!$A$8:$W$8,1,MOD($A18-1,23)+1)&amp;TEXT(AE$2+FLOOR((AE$2-1)/9,1),"000"),"")</f>
        <v>AS033</v>
      </c>
      <c r="AF18" s="18" t="str">
        <f>IF(INDEX('Shot Map'!$B$6:$V$26,CEILING($A18/5,1),CEILING(AF$2/5,1))=1,INDEX('Serial Reference'!$A$8:$W$8,1,FLOOR(($A18-1)/23,1)+1)&amp;INDEX('Serial Reference'!$A$8:$W$8,1,MOD($A18-1,23)+1)&amp;TEXT(AF$2+FLOOR((AF$2-1)/9,1),"000"),"")</f>
        <v>AS034</v>
      </c>
      <c r="AG18" s="19" t="str">
        <f>IF(INDEX('Shot Map'!$B$6:$V$26,CEILING($A18/5,1),CEILING(AG$2/5,1))=1,INDEX('Serial Reference'!$A$8:$W$8,1,FLOOR(($A18-1)/23,1)+1)&amp;INDEX('Serial Reference'!$A$8:$W$8,1,MOD($A18-1,23)+1)&amp;TEXT(AG$2+FLOOR((AG$2-1)/9,1),"000"),"")</f>
        <v>AS035</v>
      </c>
      <c r="AH18" s="19" t="str">
        <f>IF(INDEX('Shot Map'!$B$6:$V$26,CEILING($A18/5,1),CEILING(AH$2/5,1))=1,INDEX('Serial Reference'!$A$8:$W$8,1,FLOOR(($A18-1)/23,1)+1)&amp;INDEX('Serial Reference'!$A$8:$W$8,1,MOD($A18-1,23)+1)&amp;TEXT(AH$2+FLOOR((AH$2-1)/9,1),"000"),"")</f>
        <v>AS036</v>
      </c>
      <c r="AI18" s="19" t="str">
        <f>IF(INDEX('Shot Map'!$B$6:$V$26,CEILING($A18/5,1),CEILING(AI$2/5,1))=1,INDEX('Serial Reference'!$A$8:$W$8,1,FLOOR(($A18-1)/23,1)+1)&amp;INDEX('Serial Reference'!$A$8:$W$8,1,MOD($A18-1,23)+1)&amp;TEXT(AI$2+FLOOR((AI$2-1)/9,1),"000"),"")</f>
        <v>AS037</v>
      </c>
      <c r="AJ18" s="20" t="str">
        <f>IF(INDEX('Shot Map'!$B$6:$V$26,CEILING($A18/5,1),CEILING(AJ$2/5,1))=1,INDEX('Serial Reference'!$A$8:$W$8,1,FLOOR(($A18-1)/23,1)+1)&amp;INDEX('Serial Reference'!$A$8:$W$8,1,MOD($A18-1,23)+1)&amp;TEXT(AJ$2+FLOOR((AJ$2-1)/9,1),"000"),"")</f>
        <v>AS038</v>
      </c>
      <c r="AK18" s="18" t="str">
        <f>IF(INDEX('Shot Map'!$B$6:$V$26,CEILING($A18/5,1),CEILING(AK$2/5,1))=1,INDEX('Serial Reference'!$A$8:$W$8,1,FLOOR(($A18-1)/23,1)+1)&amp;INDEX('Serial Reference'!$A$8:$W$8,1,MOD($A18-1,23)+1)&amp;TEXT(AK$2+FLOOR((AK$2-1)/9,1),"000"),"")</f>
        <v>AS039</v>
      </c>
      <c r="AL18" s="19" t="str">
        <f>IF(INDEX('Shot Map'!$B$6:$V$26,CEILING($A18/5,1),CEILING(AL$2/5,1))=1,INDEX('Serial Reference'!$A$8:$W$8,1,FLOOR(($A18-1)/23,1)+1)&amp;INDEX('Serial Reference'!$A$8:$W$8,1,MOD($A18-1,23)+1)&amp;TEXT(AL$2+FLOOR((AL$2-1)/9,1),"000"),"")</f>
        <v>AS041</v>
      </c>
      <c r="AM18" s="19" t="str">
        <f>IF(INDEX('Shot Map'!$B$6:$V$26,CEILING($A18/5,1),CEILING(AM$2/5,1))=1,INDEX('Serial Reference'!$A$8:$W$8,1,FLOOR(($A18-1)/23,1)+1)&amp;INDEX('Serial Reference'!$A$8:$W$8,1,MOD($A18-1,23)+1)&amp;TEXT(AM$2+FLOOR((AM$2-1)/9,1),"000"),"")</f>
        <v>AS042</v>
      </c>
      <c r="AN18" s="19" t="str">
        <f>IF(INDEX('Shot Map'!$B$6:$V$26,CEILING($A18/5,1),CEILING(AN$2/5,1))=1,INDEX('Serial Reference'!$A$8:$W$8,1,FLOOR(($A18-1)/23,1)+1)&amp;INDEX('Serial Reference'!$A$8:$W$8,1,MOD($A18-1,23)+1)&amp;TEXT(AN$2+FLOOR((AN$2-1)/9,1),"000"),"")</f>
        <v>AS043</v>
      </c>
      <c r="AO18" s="20" t="str">
        <f>IF(INDEX('Shot Map'!$B$6:$V$26,CEILING($A18/5,1),CEILING(AO$2/5,1))=1,INDEX('Serial Reference'!$A$8:$W$8,1,FLOOR(($A18-1)/23,1)+1)&amp;INDEX('Serial Reference'!$A$8:$W$8,1,MOD($A18-1,23)+1)&amp;TEXT(AO$2+FLOOR((AO$2-1)/9,1),"000"),"")</f>
        <v>AS044</v>
      </c>
      <c r="AP18" s="18" t="str">
        <f>IF(INDEX('Shot Map'!$B$6:$V$26,CEILING($A18/5,1),CEILING(AP$2/5,1))=1,INDEX('Serial Reference'!$A$8:$W$8,1,FLOOR(($A18-1)/23,1)+1)&amp;INDEX('Serial Reference'!$A$8:$W$8,1,MOD($A18-1,23)+1)&amp;TEXT(AP$2+FLOOR((AP$2-1)/9,1),"000"),"")</f>
        <v>AS045</v>
      </c>
      <c r="AQ18" s="19" t="str">
        <f>IF(INDEX('Shot Map'!$B$6:$V$26,CEILING($A18/5,1),CEILING(AQ$2/5,1))=1,INDEX('Serial Reference'!$A$8:$W$8,1,FLOOR(($A18-1)/23,1)+1)&amp;INDEX('Serial Reference'!$A$8:$W$8,1,MOD($A18-1,23)+1)&amp;TEXT(AQ$2+FLOOR((AQ$2-1)/9,1),"000"),"")</f>
        <v>AS046</v>
      </c>
      <c r="AR18" s="19" t="str">
        <f>IF(INDEX('Shot Map'!$B$6:$V$26,CEILING($A18/5,1),CEILING(AR$2/5,1))=1,INDEX('Serial Reference'!$A$8:$W$8,1,FLOOR(($A18-1)/23,1)+1)&amp;INDEX('Serial Reference'!$A$8:$W$8,1,MOD($A18-1,23)+1)&amp;TEXT(AR$2+FLOOR((AR$2-1)/9,1),"000"),"")</f>
        <v>AS047</v>
      </c>
      <c r="AS18" s="19" t="str">
        <f>IF(INDEX('Shot Map'!$B$6:$V$26,CEILING($A18/5,1),CEILING(AS$2/5,1))=1,INDEX('Serial Reference'!$A$8:$W$8,1,FLOOR(($A18-1)/23,1)+1)&amp;INDEX('Serial Reference'!$A$8:$W$8,1,MOD($A18-1,23)+1)&amp;TEXT(AS$2+FLOOR((AS$2-1)/9,1),"000"),"")</f>
        <v>AS048</v>
      </c>
      <c r="AT18" s="20" t="str">
        <f>IF(INDEX('Shot Map'!$B$6:$V$26,CEILING($A18/5,1),CEILING(AT$2/5,1))=1,INDEX('Serial Reference'!$A$8:$W$8,1,FLOOR(($A18-1)/23,1)+1)&amp;INDEX('Serial Reference'!$A$8:$W$8,1,MOD($A18-1,23)+1)&amp;TEXT(AT$2+FLOOR((AT$2-1)/9,1),"000"),"")</f>
        <v>AS049</v>
      </c>
      <c r="AU18" s="18" t="str">
        <f>IF(INDEX('Shot Map'!$B$6:$V$26,CEILING($A18/5,1),CEILING(AU$2/5,1))=1,INDEX('Serial Reference'!$A$8:$W$8,1,FLOOR(($A18-1)/23,1)+1)&amp;INDEX('Serial Reference'!$A$8:$W$8,1,MOD($A18-1,23)+1)&amp;TEXT(AU$2+FLOOR((AU$2-1)/9,1),"000"),"")</f>
        <v>AS051</v>
      </c>
      <c r="AV18" s="19" t="str">
        <f>IF(INDEX('Shot Map'!$B$6:$V$26,CEILING($A18/5,1),CEILING(AV$2/5,1))=1,INDEX('Serial Reference'!$A$8:$W$8,1,FLOOR(($A18-1)/23,1)+1)&amp;INDEX('Serial Reference'!$A$8:$W$8,1,MOD($A18-1,23)+1)&amp;TEXT(AV$2+FLOOR((AV$2-1)/9,1),"000"),"")</f>
        <v>AS052</v>
      </c>
      <c r="AW18" s="19" t="str">
        <f>IF(INDEX('Shot Map'!$B$6:$V$26,CEILING($A18/5,1),CEILING(AW$2/5,1))=1,INDEX('Serial Reference'!$A$8:$W$8,1,FLOOR(($A18-1)/23,1)+1)&amp;INDEX('Serial Reference'!$A$8:$W$8,1,MOD($A18-1,23)+1)&amp;TEXT(AW$2+FLOOR((AW$2-1)/9,1),"000"),"")</f>
        <v>AS053</v>
      </c>
      <c r="AX18" s="19" t="str">
        <f>IF(INDEX('Shot Map'!$B$6:$V$26,CEILING($A18/5,1),CEILING(AX$2/5,1))=1,INDEX('Serial Reference'!$A$8:$W$8,1,FLOOR(($A18-1)/23,1)+1)&amp;INDEX('Serial Reference'!$A$8:$W$8,1,MOD($A18-1,23)+1)&amp;TEXT(AX$2+FLOOR((AX$2-1)/9,1),"000"),"")</f>
        <v>AS054</v>
      </c>
      <c r="AY18" s="20" t="str">
        <f>IF(INDEX('Shot Map'!$B$6:$V$26,CEILING($A18/5,1),CEILING(AY$2/5,1))=1,INDEX('Serial Reference'!$A$8:$W$8,1,FLOOR(($A18-1)/23,1)+1)&amp;INDEX('Serial Reference'!$A$8:$W$8,1,MOD($A18-1,23)+1)&amp;TEXT(AY$2+FLOOR((AY$2-1)/9,1),"000"),"")</f>
        <v>AS055</v>
      </c>
      <c r="AZ18" s="18" t="str">
        <f>IF(INDEX('Shot Map'!$B$6:$V$26,CEILING($A18/5,1),CEILING(AZ$2/5,1))=1,INDEX('Serial Reference'!$A$8:$W$8,1,FLOOR(($A18-1)/23,1)+1)&amp;INDEX('Serial Reference'!$A$8:$W$8,1,MOD($A18-1,23)+1)&amp;TEXT(AZ$2+FLOOR((AZ$2-1)/9,1),"000"),"")</f>
        <v>AS056</v>
      </c>
      <c r="BA18" s="19" t="str">
        <f>IF(INDEX('Shot Map'!$B$6:$V$26,CEILING($A18/5,1),CEILING(BA$2/5,1))=1,INDEX('Serial Reference'!$A$8:$W$8,1,FLOOR(($A18-1)/23,1)+1)&amp;INDEX('Serial Reference'!$A$8:$W$8,1,MOD($A18-1,23)+1)&amp;TEXT(BA$2+FLOOR((BA$2-1)/9,1),"000"),"")</f>
        <v>AS057</v>
      </c>
      <c r="BB18" s="19" t="str">
        <f>IF(INDEX('Shot Map'!$B$6:$V$26,CEILING($A18/5,1),CEILING(BB$2/5,1))=1,INDEX('Serial Reference'!$A$8:$W$8,1,FLOOR(($A18-1)/23,1)+1)&amp;INDEX('Serial Reference'!$A$8:$W$8,1,MOD($A18-1,23)+1)&amp;TEXT(BB$2+FLOOR((BB$2-1)/9,1),"000"),"")</f>
        <v>AS058</v>
      </c>
      <c r="BC18" s="19" t="str">
        <f>IF(INDEX('Shot Map'!$B$6:$V$26,CEILING($A18/5,1),CEILING(BC$2/5,1))=1,INDEX('Serial Reference'!$A$8:$W$8,1,FLOOR(($A18-1)/23,1)+1)&amp;INDEX('Serial Reference'!$A$8:$W$8,1,MOD($A18-1,23)+1)&amp;TEXT(BC$2+FLOOR((BC$2-1)/9,1),"000"),"")</f>
        <v>AS059</v>
      </c>
      <c r="BD18" s="20" t="str">
        <f>IF(INDEX('Shot Map'!$B$6:$V$26,CEILING($A18/5,1),CEILING(BD$2/5,1))=1,INDEX('Serial Reference'!$A$8:$W$8,1,FLOOR(($A18-1)/23,1)+1)&amp;INDEX('Serial Reference'!$A$8:$W$8,1,MOD($A18-1,23)+1)&amp;TEXT(BD$2+FLOOR((BD$2-1)/9,1),"000"),"")</f>
        <v>AS061</v>
      </c>
      <c r="BE18" s="18" t="str">
        <f>IF(INDEX('Shot Map'!$B$6:$V$26,CEILING($A18/5,1),CEILING(BE$2/5,1))=1,INDEX('Serial Reference'!$A$8:$W$8,1,FLOOR(($A18-1)/23,1)+1)&amp;INDEX('Serial Reference'!$A$8:$W$8,1,MOD($A18-1,23)+1)&amp;TEXT(BE$2+FLOOR((BE$2-1)/9,1),"000"),"")</f>
        <v>AS062</v>
      </c>
      <c r="BF18" s="19" t="str">
        <f>IF(INDEX('Shot Map'!$B$6:$V$26,CEILING($A18/5,1),CEILING(BF$2/5,1))=1,INDEX('Serial Reference'!$A$8:$W$8,1,FLOOR(($A18-1)/23,1)+1)&amp;INDEX('Serial Reference'!$A$8:$W$8,1,MOD($A18-1,23)+1)&amp;TEXT(BF$2+FLOOR((BF$2-1)/9,1),"000"),"")</f>
        <v>AS063</v>
      </c>
      <c r="BG18" s="19" t="str">
        <f>IF(INDEX('Shot Map'!$B$6:$V$26,CEILING($A18/5,1),CEILING(BG$2/5,1))=1,INDEX('Serial Reference'!$A$8:$W$8,1,FLOOR(($A18-1)/23,1)+1)&amp;INDEX('Serial Reference'!$A$8:$W$8,1,MOD($A18-1,23)+1)&amp;TEXT(BG$2+FLOOR((BG$2-1)/9,1),"000"),"")</f>
        <v>AS064</v>
      </c>
      <c r="BH18" s="19" t="str">
        <f>IF(INDEX('Shot Map'!$B$6:$V$26,CEILING($A18/5,1),CEILING(BH$2/5,1))=1,INDEX('Serial Reference'!$A$8:$W$8,1,FLOOR(($A18-1)/23,1)+1)&amp;INDEX('Serial Reference'!$A$8:$W$8,1,MOD($A18-1,23)+1)&amp;TEXT(BH$2+FLOOR((BH$2-1)/9,1),"000"),"")</f>
        <v>AS065</v>
      </c>
      <c r="BI18" s="20" t="str">
        <f>IF(INDEX('Shot Map'!$B$6:$V$26,CEILING($A18/5,1),CEILING(BI$2/5,1))=1,INDEX('Serial Reference'!$A$8:$W$8,1,FLOOR(($A18-1)/23,1)+1)&amp;INDEX('Serial Reference'!$A$8:$W$8,1,MOD($A18-1,23)+1)&amp;TEXT(BI$2+FLOOR((BI$2-1)/9,1),"000"),"")</f>
        <v>AS066</v>
      </c>
      <c r="BJ18" s="18" t="str">
        <f>IF(INDEX('Shot Map'!$B$6:$V$26,CEILING($A18/5,1),CEILING(BJ$2/5,1))=1,INDEX('Serial Reference'!$A$8:$W$8,1,FLOOR(($A18-1)/23,1)+1)&amp;INDEX('Serial Reference'!$A$8:$W$8,1,MOD($A18-1,23)+1)&amp;TEXT(BJ$2+FLOOR((BJ$2-1)/9,1),"000"),"")</f>
        <v>AS067</v>
      </c>
      <c r="BK18" s="19" t="str">
        <f>IF(INDEX('Shot Map'!$B$6:$V$26,CEILING($A18/5,1),CEILING(BK$2/5,1))=1,INDEX('Serial Reference'!$A$8:$W$8,1,FLOOR(($A18-1)/23,1)+1)&amp;INDEX('Serial Reference'!$A$8:$W$8,1,MOD($A18-1,23)+1)&amp;TEXT(BK$2+FLOOR((BK$2-1)/9,1),"000"),"")</f>
        <v>AS068</v>
      </c>
      <c r="BL18" s="19" t="str">
        <f>IF(INDEX('Shot Map'!$B$6:$V$26,CEILING($A18/5,1),CEILING(BL$2/5,1))=1,INDEX('Serial Reference'!$A$8:$W$8,1,FLOOR(($A18-1)/23,1)+1)&amp;INDEX('Serial Reference'!$A$8:$W$8,1,MOD($A18-1,23)+1)&amp;TEXT(BL$2+FLOOR((BL$2-1)/9,1),"000"),"")</f>
        <v>AS069</v>
      </c>
      <c r="BM18" s="19" t="str">
        <f>IF(INDEX('Shot Map'!$B$6:$V$26,CEILING($A18/5,1),CEILING(BM$2/5,1))=1,INDEX('Serial Reference'!$A$8:$W$8,1,FLOOR(($A18-1)/23,1)+1)&amp;INDEX('Serial Reference'!$A$8:$W$8,1,MOD($A18-1,23)+1)&amp;TEXT(BM$2+FLOOR((BM$2-1)/9,1),"000"),"")</f>
        <v>AS071</v>
      </c>
      <c r="BN18" s="20" t="str">
        <f>IF(INDEX('Shot Map'!$B$6:$V$26,CEILING($A18/5,1),CEILING(BN$2/5,1))=1,INDEX('Serial Reference'!$A$8:$W$8,1,FLOOR(($A18-1)/23,1)+1)&amp;INDEX('Serial Reference'!$A$8:$W$8,1,MOD($A18-1,23)+1)&amp;TEXT(BN$2+FLOOR((BN$2-1)/9,1),"000"),"")</f>
        <v>AS072</v>
      </c>
      <c r="BO18" s="18" t="str">
        <f>IF(INDEX('Shot Map'!$B$6:$V$26,CEILING($A18/5,1),CEILING(BO$2/5,1))=1,INDEX('Serial Reference'!$A$8:$W$8,1,FLOOR(($A18-1)/23,1)+1)&amp;INDEX('Serial Reference'!$A$8:$W$8,1,MOD($A18-1,23)+1)&amp;TEXT(BO$2+FLOOR((BO$2-1)/9,1),"000"),"")</f>
        <v>AS073</v>
      </c>
      <c r="BP18" s="19" t="str">
        <f>IF(INDEX('Shot Map'!$B$6:$V$26,CEILING($A18/5,1),CEILING(BP$2/5,1))=1,INDEX('Serial Reference'!$A$8:$W$8,1,FLOOR(($A18-1)/23,1)+1)&amp;INDEX('Serial Reference'!$A$8:$W$8,1,MOD($A18-1,23)+1)&amp;TEXT(BP$2+FLOOR((BP$2-1)/9,1),"000"),"")</f>
        <v>AS074</v>
      </c>
      <c r="BQ18" s="19" t="str">
        <f>IF(INDEX('Shot Map'!$B$6:$V$26,CEILING($A18/5,1),CEILING(BQ$2/5,1))=1,INDEX('Serial Reference'!$A$8:$W$8,1,FLOOR(($A18-1)/23,1)+1)&amp;INDEX('Serial Reference'!$A$8:$W$8,1,MOD($A18-1,23)+1)&amp;TEXT(BQ$2+FLOOR((BQ$2-1)/9,1),"000"),"")</f>
        <v>AS075</v>
      </c>
      <c r="BR18" s="19" t="str">
        <f>IF(INDEX('Shot Map'!$B$6:$V$26,CEILING($A18/5,1),CEILING(BR$2/5,1))=1,INDEX('Serial Reference'!$A$8:$W$8,1,FLOOR(($A18-1)/23,1)+1)&amp;INDEX('Serial Reference'!$A$8:$W$8,1,MOD($A18-1,23)+1)&amp;TEXT(BR$2+FLOOR((BR$2-1)/9,1),"000"),"")</f>
        <v>AS076</v>
      </c>
      <c r="BS18" s="20" t="str">
        <f>IF(INDEX('Shot Map'!$B$6:$V$26,CEILING($A18/5,1),CEILING(BS$2/5,1))=1,INDEX('Serial Reference'!$A$8:$W$8,1,FLOOR(($A18-1)/23,1)+1)&amp;INDEX('Serial Reference'!$A$8:$W$8,1,MOD($A18-1,23)+1)&amp;TEXT(BS$2+FLOOR((BS$2-1)/9,1),"000"),"")</f>
        <v>AS077</v>
      </c>
      <c r="BT18" s="18" t="str">
        <f>IF(INDEX('Shot Map'!$B$6:$V$26,CEILING($A18/5,1),CEILING(BT$2/5,1))=1,INDEX('Serial Reference'!$A$8:$W$8,1,FLOOR(($A18-1)/23,1)+1)&amp;INDEX('Serial Reference'!$A$8:$W$8,1,MOD($A18-1,23)+1)&amp;TEXT(BT$2+FLOOR((BT$2-1)/9,1),"000"),"")</f>
        <v>AS078</v>
      </c>
      <c r="BU18" s="19" t="str">
        <f>IF(INDEX('Shot Map'!$B$6:$V$26,CEILING($A18/5,1),CEILING(BU$2/5,1))=1,INDEX('Serial Reference'!$A$8:$W$8,1,FLOOR(($A18-1)/23,1)+1)&amp;INDEX('Serial Reference'!$A$8:$W$8,1,MOD($A18-1,23)+1)&amp;TEXT(BU$2+FLOOR((BU$2-1)/9,1),"000"),"")</f>
        <v>AS079</v>
      </c>
      <c r="BV18" s="19" t="str">
        <f>IF(INDEX('Shot Map'!$B$6:$V$26,CEILING($A18/5,1),CEILING(BV$2/5,1))=1,INDEX('Serial Reference'!$A$8:$W$8,1,FLOOR(($A18-1)/23,1)+1)&amp;INDEX('Serial Reference'!$A$8:$W$8,1,MOD($A18-1,23)+1)&amp;TEXT(BV$2+FLOOR((BV$2-1)/9,1),"000"),"")</f>
        <v>AS081</v>
      </c>
      <c r="BW18" s="19" t="str">
        <f>IF(INDEX('Shot Map'!$B$6:$V$26,CEILING($A18/5,1),CEILING(BW$2/5,1))=1,INDEX('Serial Reference'!$A$8:$W$8,1,FLOOR(($A18-1)/23,1)+1)&amp;INDEX('Serial Reference'!$A$8:$W$8,1,MOD($A18-1,23)+1)&amp;TEXT(BW$2+FLOOR((BW$2-1)/9,1),"000"),"")</f>
        <v>AS082</v>
      </c>
      <c r="BX18" s="20" t="str">
        <f>IF(INDEX('Shot Map'!$B$6:$V$26,CEILING($A18/5,1),CEILING(BX$2/5,1))=1,INDEX('Serial Reference'!$A$8:$W$8,1,FLOOR(($A18-1)/23,1)+1)&amp;INDEX('Serial Reference'!$A$8:$W$8,1,MOD($A18-1,23)+1)&amp;TEXT(BX$2+FLOOR((BX$2-1)/9,1),"000"),"")</f>
        <v>AS083</v>
      </c>
      <c r="BY18" s="18" t="str">
        <f>IF(INDEX('Shot Map'!$B$6:$V$26,CEILING($A18/5,1),CEILING(BY$2/5,1))=1,INDEX('Serial Reference'!$A$8:$W$8,1,FLOOR(($A18-1)/23,1)+1)&amp;INDEX('Serial Reference'!$A$8:$W$8,1,MOD($A18-1,23)+1)&amp;TEXT(BY$2+FLOOR((BY$2-1)/9,1),"000"),"")</f>
        <v>AS084</v>
      </c>
      <c r="BZ18" s="19" t="str">
        <f>IF(INDEX('Shot Map'!$B$6:$V$26,CEILING($A18/5,1),CEILING(BZ$2/5,1))=1,INDEX('Serial Reference'!$A$8:$W$8,1,FLOOR(($A18-1)/23,1)+1)&amp;INDEX('Serial Reference'!$A$8:$W$8,1,MOD($A18-1,23)+1)&amp;TEXT(BZ$2+FLOOR((BZ$2-1)/9,1),"000"),"")</f>
        <v>AS085</v>
      </c>
      <c r="CA18" s="19" t="str">
        <f>IF(INDEX('Shot Map'!$B$6:$V$26,CEILING($A18/5,1),CEILING(CA$2/5,1))=1,INDEX('Serial Reference'!$A$8:$W$8,1,FLOOR(($A18-1)/23,1)+1)&amp;INDEX('Serial Reference'!$A$8:$W$8,1,MOD($A18-1,23)+1)&amp;TEXT(CA$2+FLOOR((CA$2-1)/9,1),"000"),"")</f>
        <v>AS086</v>
      </c>
      <c r="CB18" s="19" t="str">
        <f>IF(INDEX('Shot Map'!$B$6:$V$26,CEILING($A18/5,1),CEILING(CB$2/5,1))=1,INDEX('Serial Reference'!$A$8:$W$8,1,FLOOR(($A18-1)/23,1)+1)&amp;INDEX('Serial Reference'!$A$8:$W$8,1,MOD($A18-1,23)+1)&amp;TEXT(CB$2+FLOOR((CB$2-1)/9,1),"000"),"")</f>
        <v>AS087</v>
      </c>
      <c r="CC18" s="20" t="str">
        <f>IF(INDEX('Shot Map'!$B$6:$V$26,CEILING($A18/5,1),CEILING(CC$2/5,1))=1,INDEX('Serial Reference'!$A$8:$W$8,1,FLOOR(($A18-1)/23,1)+1)&amp;INDEX('Serial Reference'!$A$8:$W$8,1,MOD($A18-1,23)+1)&amp;TEXT(CC$2+FLOOR((CC$2-1)/9,1),"000"),"")</f>
        <v>AS088</v>
      </c>
      <c r="CD18" s="18" t="str">
        <f>IF(INDEX('Shot Map'!$B$6:$V$26,CEILING($A18/5,1),CEILING(CD$2/5,1))=1,INDEX('Serial Reference'!$A$8:$W$8,1,FLOOR(($A18-1)/23,1)+1)&amp;INDEX('Serial Reference'!$A$8:$W$8,1,MOD($A18-1,23)+1)&amp;TEXT(CD$2+FLOOR((CD$2-1)/9,1),"000"),"")</f>
        <v>AS089</v>
      </c>
      <c r="CE18" s="19" t="str">
        <f>IF(INDEX('Shot Map'!$B$6:$V$26,CEILING($A18/5,1),CEILING(CE$2/5,1))=1,INDEX('Serial Reference'!$A$8:$W$8,1,FLOOR(($A18-1)/23,1)+1)&amp;INDEX('Serial Reference'!$A$8:$W$8,1,MOD($A18-1,23)+1)&amp;TEXT(CE$2+FLOOR((CE$2-1)/9,1),"000"),"")</f>
        <v>AS091</v>
      </c>
      <c r="CF18" s="19" t="str">
        <f>IF(INDEX('Shot Map'!$B$6:$V$26,CEILING($A18/5,1),CEILING(CF$2/5,1))=1,INDEX('Serial Reference'!$A$8:$W$8,1,FLOOR(($A18-1)/23,1)+1)&amp;INDEX('Serial Reference'!$A$8:$W$8,1,MOD($A18-1,23)+1)&amp;TEXT(CF$2+FLOOR((CF$2-1)/9,1),"000"),"")</f>
        <v>AS092</v>
      </c>
      <c r="CG18" s="19" t="str">
        <f>IF(INDEX('Shot Map'!$B$6:$V$26,CEILING($A18/5,1),CEILING(CG$2/5,1))=1,INDEX('Serial Reference'!$A$8:$W$8,1,FLOOR(($A18-1)/23,1)+1)&amp;INDEX('Serial Reference'!$A$8:$W$8,1,MOD($A18-1,23)+1)&amp;TEXT(CG$2+FLOOR((CG$2-1)/9,1),"000"),"")</f>
        <v>AS093</v>
      </c>
      <c r="CH18" s="20" t="str">
        <f>IF(INDEX('Shot Map'!$B$6:$V$26,CEILING($A18/5,1),CEILING(CH$2/5,1))=1,INDEX('Serial Reference'!$A$8:$W$8,1,FLOOR(($A18-1)/23,1)+1)&amp;INDEX('Serial Reference'!$A$8:$W$8,1,MOD($A18-1,23)+1)&amp;TEXT(CH$2+FLOOR((CH$2-1)/9,1),"000"),"")</f>
        <v>AS094</v>
      </c>
      <c r="CI18" s="18" t="str">
        <f>IF(INDEX('Shot Map'!$B$6:$V$26,CEILING($A18/5,1),CEILING(CI$2/5,1))=1,INDEX('Serial Reference'!$A$8:$W$8,1,FLOOR(($A18-1)/23,1)+1)&amp;INDEX('Serial Reference'!$A$8:$W$8,1,MOD($A18-1,23)+1)&amp;TEXT(CI$2+FLOOR((CI$2-1)/9,1),"000"),"")</f>
        <v>AS095</v>
      </c>
      <c r="CJ18" s="19" t="str">
        <f>IF(INDEX('Shot Map'!$B$6:$V$26,CEILING($A18/5,1),CEILING(CJ$2/5,1))=1,INDEX('Serial Reference'!$A$8:$W$8,1,FLOOR(($A18-1)/23,1)+1)&amp;INDEX('Serial Reference'!$A$8:$W$8,1,MOD($A18-1,23)+1)&amp;TEXT(CJ$2+FLOOR((CJ$2-1)/9,1),"000"),"")</f>
        <v>AS096</v>
      </c>
      <c r="CK18" s="19" t="str">
        <f>IF(INDEX('Shot Map'!$B$6:$V$26,CEILING($A18/5,1),CEILING(CK$2/5,1))=1,INDEX('Serial Reference'!$A$8:$W$8,1,FLOOR(($A18-1)/23,1)+1)&amp;INDEX('Serial Reference'!$A$8:$W$8,1,MOD($A18-1,23)+1)&amp;TEXT(CK$2+FLOOR((CK$2-1)/9,1),"000"),"")</f>
        <v>AS097</v>
      </c>
      <c r="CL18" s="19" t="str">
        <f>IF(INDEX('Shot Map'!$B$6:$V$26,CEILING($A18/5,1),CEILING(CL$2/5,1))=1,INDEX('Serial Reference'!$A$8:$W$8,1,FLOOR(($A18-1)/23,1)+1)&amp;INDEX('Serial Reference'!$A$8:$W$8,1,MOD($A18-1,23)+1)&amp;TEXT(CL$2+FLOOR((CL$2-1)/9,1),"000"),"")</f>
        <v>AS098</v>
      </c>
      <c r="CM18" s="20" t="str">
        <f>IF(INDEX('Shot Map'!$B$6:$V$26,CEILING($A18/5,1),CEILING(CM$2/5,1))=1,INDEX('Serial Reference'!$A$8:$W$8,1,FLOOR(($A18-1)/23,1)+1)&amp;INDEX('Serial Reference'!$A$8:$W$8,1,MOD($A18-1,23)+1)&amp;TEXT(CM$2+FLOOR((CM$2-1)/9,1),"000"),"")</f>
        <v>AS099</v>
      </c>
      <c r="CN18" s="18" t="str">
        <f>IF(INDEX('Shot Map'!$B$6:$V$26,CEILING($A18/5,1),CEILING(CN$2/5,1))=1,INDEX('Serial Reference'!$A$8:$W$8,1,FLOOR(($A18-1)/23,1)+1)&amp;INDEX('Serial Reference'!$A$8:$W$8,1,MOD($A18-1,23)+1)&amp;TEXT(CN$2+FLOOR((CN$2-1)/9,1),"000"),"")</f>
        <v/>
      </c>
      <c r="CO18" s="19" t="str">
        <f>IF(INDEX('Shot Map'!$B$6:$V$26,CEILING($A18/5,1),CEILING(CO$2/5,1))=1,INDEX('Serial Reference'!$A$8:$W$8,1,FLOOR(($A18-1)/23,1)+1)&amp;INDEX('Serial Reference'!$A$8:$W$8,1,MOD($A18-1,23)+1)&amp;TEXT(CO$2+FLOOR((CO$2-1)/9,1),"000"),"")</f>
        <v/>
      </c>
      <c r="CP18" s="19" t="str">
        <f>IF(INDEX('Shot Map'!$B$6:$V$26,CEILING($A18/5,1),CEILING(CP$2/5,1))=1,INDEX('Serial Reference'!$A$8:$W$8,1,FLOOR(($A18-1)/23,1)+1)&amp;INDEX('Serial Reference'!$A$8:$W$8,1,MOD($A18-1,23)+1)&amp;TEXT(CP$2+FLOOR((CP$2-1)/9,1),"000"),"")</f>
        <v/>
      </c>
      <c r="CQ18" s="19" t="str">
        <f>IF(INDEX('Shot Map'!$B$6:$V$26,CEILING($A18/5,1),CEILING(CQ$2/5,1))=1,INDEX('Serial Reference'!$A$8:$W$8,1,FLOOR(($A18-1)/23,1)+1)&amp;INDEX('Serial Reference'!$A$8:$W$8,1,MOD($A18-1,23)+1)&amp;TEXT(CQ$2+FLOOR((CQ$2-1)/9,1),"000"),"")</f>
        <v/>
      </c>
      <c r="CR18" s="20" t="str">
        <f>IF(INDEX('Shot Map'!$B$6:$V$26,CEILING($A18/5,1),CEILING(CR$2/5,1))=1,INDEX('Serial Reference'!$A$8:$W$8,1,FLOOR(($A18-1)/23,1)+1)&amp;INDEX('Serial Reference'!$A$8:$W$8,1,MOD($A18-1,23)+1)&amp;TEXT(CR$2+FLOOR((CR$2-1)/9,1),"000"),"")</f>
        <v/>
      </c>
      <c r="CS18" s="18" t="str">
        <f>IF(INDEX('Shot Map'!$B$6:$V$26,CEILING($A18/5,1),CEILING(CS$2/5,1))=1,INDEX('Serial Reference'!$A$8:$W$8,1,FLOOR(($A18-1)/23,1)+1)&amp;INDEX('Serial Reference'!$A$8:$W$8,1,MOD($A18-1,23)+1)&amp;TEXT(CS$2+FLOOR((CS$2-1)/9,1),"000"),"")</f>
        <v/>
      </c>
      <c r="CT18" s="19" t="str">
        <f>IF(INDEX('Shot Map'!$B$6:$V$26,CEILING($A18/5,1),CEILING(CT$2/5,1))=1,INDEX('Serial Reference'!$A$8:$W$8,1,FLOOR(($A18-1)/23,1)+1)&amp;INDEX('Serial Reference'!$A$8:$W$8,1,MOD($A18-1,23)+1)&amp;TEXT(CT$2+FLOOR((CT$2-1)/9,1),"000"),"")</f>
        <v/>
      </c>
      <c r="CU18" s="19" t="str">
        <f>IF(INDEX('Shot Map'!$B$6:$V$26,CEILING($A18/5,1),CEILING(CU$2/5,1))=1,INDEX('Serial Reference'!$A$8:$W$8,1,FLOOR(($A18-1)/23,1)+1)&amp;INDEX('Serial Reference'!$A$8:$W$8,1,MOD($A18-1,23)+1)&amp;TEXT(CU$2+FLOOR((CU$2-1)/9,1),"000"),"")</f>
        <v/>
      </c>
      <c r="CV18" s="19" t="str">
        <f>IF(INDEX('Shot Map'!$B$6:$V$26,CEILING($A18/5,1),CEILING(CV$2/5,1))=1,INDEX('Serial Reference'!$A$8:$W$8,1,FLOOR(($A18-1)/23,1)+1)&amp;INDEX('Serial Reference'!$A$8:$W$8,1,MOD($A18-1,23)+1)&amp;TEXT(CV$2+FLOOR((CV$2-1)/9,1),"000"),"")</f>
        <v/>
      </c>
      <c r="CW18" s="20" t="str">
        <f>IF(INDEX('Shot Map'!$B$6:$V$26,CEILING($A18/5,1),CEILING(CW$2/5,1))=1,INDEX('Serial Reference'!$A$8:$W$8,1,FLOOR(($A18-1)/23,1)+1)&amp;INDEX('Serial Reference'!$A$8:$W$8,1,MOD($A18-1,23)+1)&amp;TEXT(CW$2+FLOOR((CW$2-1)/9,1),"000"),"")</f>
        <v/>
      </c>
      <c r="CX18" s="18" t="str">
        <f>IF(INDEX('Shot Map'!$B$6:$V$26,CEILING($A18/5,1),CEILING(CX$2/5,1))=1,INDEX('Serial Reference'!$A$8:$W$8,1,FLOOR(($A18-1)/23,1)+1)&amp;INDEX('Serial Reference'!$A$8:$W$8,1,MOD($A18-1,23)+1)&amp;TEXT(CX$2+FLOOR((CX$2-1)/9,1),"000"),"")</f>
        <v/>
      </c>
      <c r="CY18" s="19" t="str">
        <f>IF(INDEX('Shot Map'!$B$6:$V$26,CEILING($A18/5,1),CEILING(CY$2/5,1))=1,INDEX('Serial Reference'!$A$8:$W$8,1,FLOOR(($A18-1)/23,1)+1)&amp;INDEX('Serial Reference'!$A$8:$W$8,1,MOD($A18-1,23)+1)&amp;TEXT(CY$2+FLOOR((CY$2-1)/9,1),"000"),"")</f>
        <v/>
      </c>
      <c r="CZ18" s="19" t="str">
        <f>IF(INDEX('Shot Map'!$B$6:$V$26,CEILING($A18/5,1),CEILING(CZ$2/5,1))=1,INDEX('Serial Reference'!$A$8:$W$8,1,FLOOR(($A18-1)/23,1)+1)&amp;INDEX('Serial Reference'!$A$8:$W$8,1,MOD($A18-1,23)+1)&amp;TEXT(CZ$2+FLOOR((CZ$2-1)/9,1),"000"),"")</f>
        <v/>
      </c>
      <c r="DA18" s="19" t="str">
        <f>IF(INDEX('Shot Map'!$B$6:$V$26,CEILING($A18/5,1),CEILING(DA$2/5,1))=1,INDEX('Serial Reference'!$A$8:$W$8,1,FLOOR(($A18-1)/23,1)+1)&amp;INDEX('Serial Reference'!$A$8:$W$8,1,MOD($A18-1,23)+1)&amp;TEXT(DA$2+FLOOR((DA$2-1)/9,1),"000"),"")</f>
        <v/>
      </c>
      <c r="DB18" s="20" t="str">
        <f>IF(INDEX('Shot Map'!$B$6:$V$26,CEILING($A18/5,1),CEILING(DB$2/5,1))=1,INDEX('Serial Reference'!$A$8:$W$8,1,FLOOR(($A18-1)/23,1)+1)&amp;INDEX('Serial Reference'!$A$8:$W$8,1,MOD($A18-1,23)+1)&amp;TEXT(DB$2+FLOOR((DB$2-1)/9,1),"000"),"")</f>
        <v/>
      </c>
    </row>
    <row r="19" spans="1:106" ht="12.75" customHeight="1" x14ac:dyDescent="0.25">
      <c r="A19" s="17">
        <v>17</v>
      </c>
      <c r="B19" s="21" t="str">
        <f>IF(INDEX('Shot Map'!$B$6:$V$26,CEILING($A19/5,1),CEILING(B$2/5,1))=1,INDEX('Serial Reference'!$A$8:$W$8,1,FLOOR(($A19-1)/23,1)+1)&amp;INDEX('Serial Reference'!$A$8:$W$8,1,MOD($A19-1,23)+1)&amp;TEXT(B$2+FLOOR((B$2-1)/9,1),"000"),"")</f>
        <v/>
      </c>
      <c r="C19" s="22" t="str">
        <f>IF(INDEX('Shot Map'!$B$6:$V$26,CEILING($A19/5,1),CEILING(C$2/5,1))=1,INDEX('Serial Reference'!$A$8:$W$8,1,FLOOR(($A19-1)/23,1)+1)&amp;INDEX('Serial Reference'!$A$8:$W$8,1,MOD($A19-1,23)+1)&amp;TEXT(C$2+FLOOR((C$2-1)/9,1),"000"),"")</f>
        <v/>
      </c>
      <c r="D19" s="22" t="str">
        <f>IF(INDEX('Shot Map'!$B$6:$V$26,CEILING($A19/5,1),CEILING(D$2/5,1))=1,INDEX('Serial Reference'!$A$8:$W$8,1,FLOOR(($A19-1)/23,1)+1)&amp;INDEX('Serial Reference'!$A$8:$W$8,1,MOD($A19-1,23)+1)&amp;TEXT(D$2+FLOOR((D$2-1)/9,1),"000"),"")</f>
        <v/>
      </c>
      <c r="E19" s="22" t="str">
        <f>IF(INDEX('Shot Map'!$B$6:$V$26,CEILING($A19/5,1),CEILING(E$2/5,1))=1,INDEX('Serial Reference'!$A$8:$W$8,1,FLOOR(($A19-1)/23,1)+1)&amp;INDEX('Serial Reference'!$A$8:$W$8,1,MOD($A19-1,23)+1)&amp;TEXT(E$2+FLOOR((E$2-1)/9,1),"000"),"")</f>
        <v/>
      </c>
      <c r="F19" s="23" t="str">
        <f>IF(INDEX('Shot Map'!$B$6:$V$26,CEILING($A19/5,1),CEILING(F$2/5,1))=1,INDEX('Serial Reference'!$A$8:$W$8,1,FLOOR(($A19-1)/23,1)+1)&amp;INDEX('Serial Reference'!$A$8:$W$8,1,MOD($A19-1,23)+1)&amp;TEXT(F$2+FLOOR((F$2-1)/9,1),"000"),"")</f>
        <v/>
      </c>
      <c r="G19" s="21" t="str">
        <f>IF(INDEX('Shot Map'!$B$6:$V$26,CEILING($A19/5,1),CEILING(G$2/5,1))=1,INDEX('Serial Reference'!$A$8:$W$8,1,FLOOR(($A19-1)/23,1)+1)&amp;INDEX('Serial Reference'!$A$8:$W$8,1,MOD($A19-1,23)+1)&amp;TEXT(G$2+FLOOR((G$2-1)/9,1),"000"),"")</f>
        <v/>
      </c>
      <c r="H19" s="22" t="str">
        <f>IF(INDEX('Shot Map'!$B$6:$V$26,CEILING($A19/5,1),CEILING(H$2/5,1))=1,INDEX('Serial Reference'!$A$8:$W$8,1,FLOOR(($A19-1)/23,1)+1)&amp;INDEX('Serial Reference'!$A$8:$W$8,1,MOD($A19-1,23)+1)&amp;TEXT(H$2+FLOOR((H$2-1)/9,1),"000"),"")</f>
        <v/>
      </c>
      <c r="I19" s="22" t="str">
        <f>IF(INDEX('Shot Map'!$B$6:$V$26,CEILING($A19/5,1),CEILING(I$2/5,1))=1,INDEX('Serial Reference'!$A$8:$W$8,1,FLOOR(($A19-1)/23,1)+1)&amp;INDEX('Serial Reference'!$A$8:$W$8,1,MOD($A19-1,23)+1)&amp;TEXT(I$2+FLOOR((I$2-1)/9,1),"000"),"")</f>
        <v/>
      </c>
      <c r="J19" s="22" t="str">
        <f>IF(INDEX('Shot Map'!$B$6:$V$26,CEILING($A19/5,1),CEILING(J$2/5,1))=1,INDEX('Serial Reference'!$A$8:$W$8,1,FLOOR(($A19-1)/23,1)+1)&amp;INDEX('Serial Reference'!$A$8:$W$8,1,MOD($A19-1,23)+1)&amp;TEXT(J$2+FLOOR((J$2-1)/9,1),"000"),"")</f>
        <v/>
      </c>
      <c r="K19" s="23" t="str">
        <f>IF(INDEX('Shot Map'!$B$6:$V$26,CEILING($A19/5,1),CEILING(K$2/5,1))=1,INDEX('Serial Reference'!$A$8:$W$8,1,FLOOR(($A19-1)/23,1)+1)&amp;INDEX('Serial Reference'!$A$8:$W$8,1,MOD($A19-1,23)+1)&amp;TEXT(K$2+FLOOR((K$2-1)/9,1),"000"),"")</f>
        <v/>
      </c>
      <c r="L19" s="21" t="str">
        <f>IF(INDEX('Shot Map'!$B$6:$V$26,CEILING($A19/5,1),CEILING(L$2/5,1))=1,INDEX('Serial Reference'!$A$8:$W$8,1,FLOOR(($A19-1)/23,1)+1)&amp;INDEX('Serial Reference'!$A$8:$W$8,1,MOD($A19-1,23)+1)&amp;TEXT(L$2+FLOOR((L$2-1)/9,1),"000"),"")</f>
        <v/>
      </c>
      <c r="M19" s="22" t="str">
        <f>IF(INDEX('Shot Map'!$B$6:$V$26,CEILING($A19/5,1),CEILING(M$2/5,1))=1,INDEX('Serial Reference'!$A$8:$W$8,1,FLOOR(($A19-1)/23,1)+1)&amp;INDEX('Serial Reference'!$A$8:$W$8,1,MOD($A19-1,23)+1)&amp;TEXT(M$2+FLOOR((M$2-1)/9,1),"000"),"")</f>
        <v/>
      </c>
      <c r="N19" s="22" t="str">
        <f>IF(INDEX('Shot Map'!$B$6:$V$26,CEILING($A19/5,1),CEILING(N$2/5,1))=1,INDEX('Serial Reference'!$A$8:$W$8,1,FLOOR(($A19-1)/23,1)+1)&amp;INDEX('Serial Reference'!$A$8:$W$8,1,MOD($A19-1,23)+1)&amp;TEXT(N$2+FLOOR((N$2-1)/9,1),"000"),"")</f>
        <v/>
      </c>
      <c r="O19" s="22" t="str">
        <f>IF(INDEX('Shot Map'!$B$6:$V$26,CEILING($A19/5,1),CEILING(O$2/5,1))=1,INDEX('Serial Reference'!$A$8:$W$8,1,FLOOR(($A19-1)/23,1)+1)&amp;INDEX('Serial Reference'!$A$8:$W$8,1,MOD($A19-1,23)+1)&amp;TEXT(O$2+FLOOR((O$2-1)/9,1),"000"),"")</f>
        <v/>
      </c>
      <c r="P19" s="23" t="str">
        <f>IF(INDEX('Shot Map'!$B$6:$V$26,CEILING($A19/5,1),CEILING(P$2/5,1))=1,INDEX('Serial Reference'!$A$8:$W$8,1,FLOOR(($A19-1)/23,1)+1)&amp;INDEX('Serial Reference'!$A$8:$W$8,1,MOD($A19-1,23)+1)&amp;TEXT(P$2+FLOOR((P$2-1)/9,1),"000"),"")</f>
        <v/>
      </c>
      <c r="Q19" s="21" t="str">
        <f>IF(INDEX('Shot Map'!$B$6:$V$26,CEILING($A19/5,1),CEILING(Q$2/5,1))=1,INDEX('Serial Reference'!$A$8:$W$8,1,FLOOR(($A19-1)/23,1)+1)&amp;INDEX('Serial Reference'!$A$8:$W$8,1,MOD($A19-1,23)+1)&amp;TEXT(Q$2+FLOOR((Q$2-1)/9,1),"000"),"")</f>
        <v>AT017</v>
      </c>
      <c r="R19" s="22" t="str">
        <f>IF(INDEX('Shot Map'!$B$6:$V$26,CEILING($A19/5,1),CEILING(R$2/5,1))=1,INDEX('Serial Reference'!$A$8:$W$8,1,FLOOR(($A19-1)/23,1)+1)&amp;INDEX('Serial Reference'!$A$8:$W$8,1,MOD($A19-1,23)+1)&amp;TEXT(R$2+FLOOR((R$2-1)/9,1),"000"),"")</f>
        <v>AT018</v>
      </c>
      <c r="S19" s="22" t="str">
        <f>IF(INDEX('Shot Map'!$B$6:$V$26,CEILING($A19/5,1),CEILING(S$2/5,1))=1,INDEX('Serial Reference'!$A$8:$W$8,1,FLOOR(($A19-1)/23,1)+1)&amp;INDEX('Serial Reference'!$A$8:$W$8,1,MOD($A19-1,23)+1)&amp;TEXT(S$2+FLOOR((S$2-1)/9,1),"000"),"")</f>
        <v>AT019</v>
      </c>
      <c r="T19" s="22" t="str">
        <f>IF(INDEX('Shot Map'!$B$6:$V$26,CEILING($A19/5,1),CEILING(T$2/5,1))=1,INDEX('Serial Reference'!$A$8:$W$8,1,FLOOR(($A19-1)/23,1)+1)&amp;INDEX('Serial Reference'!$A$8:$W$8,1,MOD($A19-1,23)+1)&amp;TEXT(T$2+FLOOR((T$2-1)/9,1),"000"),"")</f>
        <v>AT021</v>
      </c>
      <c r="U19" s="23" t="str">
        <f>IF(INDEX('Shot Map'!$B$6:$V$26,CEILING($A19/5,1),CEILING(U$2/5,1))=1,INDEX('Serial Reference'!$A$8:$W$8,1,FLOOR(($A19-1)/23,1)+1)&amp;INDEX('Serial Reference'!$A$8:$W$8,1,MOD($A19-1,23)+1)&amp;TEXT(U$2+FLOOR((U$2-1)/9,1),"000"),"")</f>
        <v>AT022</v>
      </c>
      <c r="V19" s="21" t="str">
        <f>IF(INDEX('Shot Map'!$B$6:$V$26,CEILING($A19/5,1),CEILING(V$2/5,1))=1,INDEX('Serial Reference'!$A$8:$W$8,1,FLOOR(($A19-1)/23,1)+1)&amp;INDEX('Serial Reference'!$A$8:$W$8,1,MOD($A19-1,23)+1)&amp;TEXT(V$2+FLOOR((V$2-1)/9,1),"000"),"")</f>
        <v>AT023</v>
      </c>
      <c r="W19" s="22" t="str">
        <f>IF(INDEX('Shot Map'!$B$6:$V$26,CEILING($A19/5,1),CEILING(W$2/5,1))=1,INDEX('Serial Reference'!$A$8:$W$8,1,FLOOR(($A19-1)/23,1)+1)&amp;INDEX('Serial Reference'!$A$8:$W$8,1,MOD($A19-1,23)+1)&amp;TEXT(W$2+FLOOR((W$2-1)/9,1),"000"),"")</f>
        <v>AT024</v>
      </c>
      <c r="X19" s="22" t="str">
        <f>IF(INDEX('Shot Map'!$B$6:$V$26,CEILING($A19/5,1),CEILING(X$2/5,1))=1,INDEX('Serial Reference'!$A$8:$W$8,1,FLOOR(($A19-1)/23,1)+1)&amp;INDEX('Serial Reference'!$A$8:$W$8,1,MOD($A19-1,23)+1)&amp;TEXT(X$2+FLOOR((X$2-1)/9,1),"000"),"")</f>
        <v>AT025</v>
      </c>
      <c r="Y19" s="22" t="str">
        <f>IF(INDEX('Shot Map'!$B$6:$V$26,CEILING($A19/5,1),CEILING(Y$2/5,1))=1,INDEX('Serial Reference'!$A$8:$W$8,1,FLOOR(($A19-1)/23,1)+1)&amp;INDEX('Serial Reference'!$A$8:$W$8,1,MOD($A19-1,23)+1)&amp;TEXT(Y$2+FLOOR((Y$2-1)/9,1),"000"),"")</f>
        <v>AT026</v>
      </c>
      <c r="Z19" s="23" t="str">
        <f>IF(INDEX('Shot Map'!$B$6:$V$26,CEILING($A19/5,1),CEILING(Z$2/5,1))=1,INDEX('Serial Reference'!$A$8:$W$8,1,FLOOR(($A19-1)/23,1)+1)&amp;INDEX('Serial Reference'!$A$8:$W$8,1,MOD($A19-1,23)+1)&amp;TEXT(Z$2+FLOOR((Z$2-1)/9,1),"000"),"")</f>
        <v>AT027</v>
      </c>
      <c r="AA19" s="21" t="str">
        <f>IF(INDEX('Shot Map'!$B$6:$V$26,CEILING($A19/5,1),CEILING(AA$2/5,1))=1,INDEX('Serial Reference'!$A$8:$W$8,1,FLOOR(($A19-1)/23,1)+1)&amp;INDEX('Serial Reference'!$A$8:$W$8,1,MOD($A19-1,23)+1)&amp;TEXT(AA$2+FLOOR((AA$2-1)/9,1),"000"),"")</f>
        <v>AT028</v>
      </c>
      <c r="AB19" s="22" t="str">
        <f>IF(INDEX('Shot Map'!$B$6:$V$26,CEILING($A19/5,1),CEILING(AB$2/5,1))=1,INDEX('Serial Reference'!$A$8:$W$8,1,FLOOR(($A19-1)/23,1)+1)&amp;INDEX('Serial Reference'!$A$8:$W$8,1,MOD($A19-1,23)+1)&amp;TEXT(AB$2+FLOOR((AB$2-1)/9,1),"000"),"")</f>
        <v>AT029</v>
      </c>
      <c r="AC19" s="22" t="str">
        <f>IF(INDEX('Shot Map'!$B$6:$V$26,CEILING($A19/5,1),CEILING(AC$2/5,1))=1,INDEX('Serial Reference'!$A$8:$W$8,1,FLOOR(($A19-1)/23,1)+1)&amp;INDEX('Serial Reference'!$A$8:$W$8,1,MOD($A19-1,23)+1)&amp;TEXT(AC$2+FLOOR((AC$2-1)/9,1),"000"),"")</f>
        <v>AT031</v>
      </c>
      <c r="AD19" s="22" t="str">
        <f>IF(INDEX('Shot Map'!$B$6:$V$26,CEILING($A19/5,1),CEILING(AD$2/5,1))=1,INDEX('Serial Reference'!$A$8:$W$8,1,FLOOR(($A19-1)/23,1)+1)&amp;INDEX('Serial Reference'!$A$8:$W$8,1,MOD($A19-1,23)+1)&amp;TEXT(AD$2+FLOOR((AD$2-1)/9,1),"000"),"")</f>
        <v>AT032</v>
      </c>
      <c r="AE19" s="23" t="str">
        <f>IF(INDEX('Shot Map'!$B$6:$V$26,CEILING($A19/5,1),CEILING(AE$2/5,1))=1,INDEX('Serial Reference'!$A$8:$W$8,1,FLOOR(($A19-1)/23,1)+1)&amp;INDEX('Serial Reference'!$A$8:$W$8,1,MOD($A19-1,23)+1)&amp;TEXT(AE$2+FLOOR((AE$2-1)/9,1),"000"),"")</f>
        <v>AT033</v>
      </c>
      <c r="AF19" s="21" t="str">
        <f>IF(INDEX('Shot Map'!$B$6:$V$26,CEILING($A19/5,1),CEILING(AF$2/5,1))=1,INDEX('Serial Reference'!$A$8:$W$8,1,FLOOR(($A19-1)/23,1)+1)&amp;INDEX('Serial Reference'!$A$8:$W$8,1,MOD($A19-1,23)+1)&amp;TEXT(AF$2+FLOOR((AF$2-1)/9,1),"000"),"")</f>
        <v>AT034</v>
      </c>
      <c r="AG19" s="22" t="str">
        <f>IF(INDEX('Shot Map'!$B$6:$V$26,CEILING($A19/5,1),CEILING(AG$2/5,1))=1,INDEX('Serial Reference'!$A$8:$W$8,1,FLOOR(($A19-1)/23,1)+1)&amp;INDEX('Serial Reference'!$A$8:$W$8,1,MOD($A19-1,23)+1)&amp;TEXT(AG$2+FLOOR((AG$2-1)/9,1),"000"),"")</f>
        <v>AT035</v>
      </c>
      <c r="AH19" s="22" t="str">
        <f>IF(INDEX('Shot Map'!$B$6:$V$26,CEILING($A19/5,1),CEILING(AH$2/5,1))=1,INDEX('Serial Reference'!$A$8:$W$8,1,FLOOR(($A19-1)/23,1)+1)&amp;INDEX('Serial Reference'!$A$8:$W$8,1,MOD($A19-1,23)+1)&amp;TEXT(AH$2+FLOOR((AH$2-1)/9,1),"000"),"")</f>
        <v>AT036</v>
      </c>
      <c r="AI19" s="22" t="str">
        <f>IF(INDEX('Shot Map'!$B$6:$V$26,CEILING($A19/5,1),CEILING(AI$2/5,1))=1,INDEX('Serial Reference'!$A$8:$W$8,1,FLOOR(($A19-1)/23,1)+1)&amp;INDEX('Serial Reference'!$A$8:$W$8,1,MOD($A19-1,23)+1)&amp;TEXT(AI$2+FLOOR((AI$2-1)/9,1),"000"),"")</f>
        <v>AT037</v>
      </c>
      <c r="AJ19" s="23" t="str">
        <f>IF(INDEX('Shot Map'!$B$6:$V$26,CEILING($A19/5,1),CEILING(AJ$2/5,1))=1,INDEX('Serial Reference'!$A$8:$W$8,1,FLOOR(($A19-1)/23,1)+1)&amp;INDEX('Serial Reference'!$A$8:$W$8,1,MOD($A19-1,23)+1)&amp;TEXT(AJ$2+FLOOR((AJ$2-1)/9,1),"000"),"")</f>
        <v>AT038</v>
      </c>
      <c r="AK19" s="21" t="str">
        <f>IF(INDEX('Shot Map'!$B$6:$V$26,CEILING($A19/5,1),CEILING(AK$2/5,1))=1,INDEX('Serial Reference'!$A$8:$W$8,1,FLOOR(($A19-1)/23,1)+1)&amp;INDEX('Serial Reference'!$A$8:$W$8,1,MOD($A19-1,23)+1)&amp;TEXT(AK$2+FLOOR((AK$2-1)/9,1),"000"),"")</f>
        <v>AT039</v>
      </c>
      <c r="AL19" s="22" t="str">
        <f>IF(INDEX('Shot Map'!$B$6:$V$26,CEILING($A19/5,1),CEILING(AL$2/5,1))=1,INDEX('Serial Reference'!$A$8:$W$8,1,FLOOR(($A19-1)/23,1)+1)&amp;INDEX('Serial Reference'!$A$8:$W$8,1,MOD($A19-1,23)+1)&amp;TEXT(AL$2+FLOOR((AL$2-1)/9,1),"000"),"")</f>
        <v>AT041</v>
      </c>
      <c r="AM19" s="22" t="str">
        <f>IF(INDEX('Shot Map'!$B$6:$V$26,CEILING($A19/5,1),CEILING(AM$2/5,1))=1,INDEX('Serial Reference'!$A$8:$W$8,1,FLOOR(($A19-1)/23,1)+1)&amp;INDEX('Serial Reference'!$A$8:$W$8,1,MOD($A19-1,23)+1)&amp;TEXT(AM$2+FLOOR((AM$2-1)/9,1),"000"),"")</f>
        <v>AT042</v>
      </c>
      <c r="AN19" s="22" t="str">
        <f>IF(INDEX('Shot Map'!$B$6:$V$26,CEILING($A19/5,1),CEILING(AN$2/5,1))=1,INDEX('Serial Reference'!$A$8:$W$8,1,FLOOR(($A19-1)/23,1)+1)&amp;INDEX('Serial Reference'!$A$8:$W$8,1,MOD($A19-1,23)+1)&amp;TEXT(AN$2+FLOOR((AN$2-1)/9,1),"000"),"")</f>
        <v>AT043</v>
      </c>
      <c r="AO19" s="23" t="str">
        <f>IF(INDEX('Shot Map'!$B$6:$V$26,CEILING($A19/5,1),CEILING(AO$2/5,1))=1,INDEX('Serial Reference'!$A$8:$W$8,1,FLOOR(($A19-1)/23,1)+1)&amp;INDEX('Serial Reference'!$A$8:$W$8,1,MOD($A19-1,23)+1)&amp;TEXT(AO$2+FLOOR((AO$2-1)/9,1),"000"),"")</f>
        <v>AT044</v>
      </c>
      <c r="AP19" s="21" t="str">
        <f>IF(INDEX('Shot Map'!$B$6:$V$26,CEILING($A19/5,1),CEILING(AP$2/5,1))=1,INDEX('Serial Reference'!$A$8:$W$8,1,FLOOR(($A19-1)/23,1)+1)&amp;INDEX('Serial Reference'!$A$8:$W$8,1,MOD($A19-1,23)+1)&amp;TEXT(AP$2+FLOOR((AP$2-1)/9,1),"000"),"")</f>
        <v>AT045</v>
      </c>
      <c r="AQ19" s="22" t="str">
        <f>IF(INDEX('Shot Map'!$B$6:$V$26,CEILING($A19/5,1),CEILING(AQ$2/5,1))=1,INDEX('Serial Reference'!$A$8:$W$8,1,FLOOR(($A19-1)/23,1)+1)&amp;INDEX('Serial Reference'!$A$8:$W$8,1,MOD($A19-1,23)+1)&amp;TEXT(AQ$2+FLOOR((AQ$2-1)/9,1),"000"),"")</f>
        <v>AT046</v>
      </c>
      <c r="AR19" s="22" t="str">
        <f>IF(INDEX('Shot Map'!$B$6:$V$26,CEILING($A19/5,1),CEILING(AR$2/5,1))=1,INDEX('Serial Reference'!$A$8:$W$8,1,FLOOR(($A19-1)/23,1)+1)&amp;INDEX('Serial Reference'!$A$8:$W$8,1,MOD($A19-1,23)+1)&amp;TEXT(AR$2+FLOOR((AR$2-1)/9,1),"000"),"")</f>
        <v>AT047</v>
      </c>
      <c r="AS19" s="22" t="str">
        <f>IF(INDEX('Shot Map'!$B$6:$V$26,CEILING($A19/5,1),CEILING(AS$2/5,1))=1,INDEX('Serial Reference'!$A$8:$W$8,1,FLOOR(($A19-1)/23,1)+1)&amp;INDEX('Serial Reference'!$A$8:$W$8,1,MOD($A19-1,23)+1)&amp;TEXT(AS$2+FLOOR((AS$2-1)/9,1),"000"),"")</f>
        <v>AT048</v>
      </c>
      <c r="AT19" s="23" t="str">
        <f>IF(INDEX('Shot Map'!$B$6:$V$26,CEILING($A19/5,1),CEILING(AT$2/5,1))=1,INDEX('Serial Reference'!$A$8:$W$8,1,FLOOR(($A19-1)/23,1)+1)&amp;INDEX('Serial Reference'!$A$8:$W$8,1,MOD($A19-1,23)+1)&amp;TEXT(AT$2+FLOOR((AT$2-1)/9,1),"000"),"")</f>
        <v>AT049</v>
      </c>
      <c r="AU19" s="21" t="str">
        <f>IF(INDEX('Shot Map'!$B$6:$V$26,CEILING($A19/5,1),CEILING(AU$2/5,1))=1,INDEX('Serial Reference'!$A$8:$W$8,1,FLOOR(($A19-1)/23,1)+1)&amp;INDEX('Serial Reference'!$A$8:$W$8,1,MOD($A19-1,23)+1)&amp;TEXT(AU$2+FLOOR((AU$2-1)/9,1),"000"),"")</f>
        <v>AT051</v>
      </c>
      <c r="AV19" s="22" t="str">
        <f>IF(INDEX('Shot Map'!$B$6:$V$26,CEILING($A19/5,1),CEILING(AV$2/5,1))=1,INDEX('Serial Reference'!$A$8:$W$8,1,FLOOR(($A19-1)/23,1)+1)&amp;INDEX('Serial Reference'!$A$8:$W$8,1,MOD($A19-1,23)+1)&amp;TEXT(AV$2+FLOOR((AV$2-1)/9,1),"000"),"")</f>
        <v>AT052</v>
      </c>
      <c r="AW19" s="22" t="str">
        <f>IF(INDEX('Shot Map'!$B$6:$V$26,CEILING($A19/5,1),CEILING(AW$2/5,1))=1,INDEX('Serial Reference'!$A$8:$W$8,1,FLOOR(($A19-1)/23,1)+1)&amp;INDEX('Serial Reference'!$A$8:$W$8,1,MOD($A19-1,23)+1)&amp;TEXT(AW$2+FLOOR((AW$2-1)/9,1),"000"),"")</f>
        <v>AT053</v>
      </c>
      <c r="AX19" s="22" t="str">
        <f>IF(INDEX('Shot Map'!$B$6:$V$26,CEILING($A19/5,1),CEILING(AX$2/5,1))=1,INDEX('Serial Reference'!$A$8:$W$8,1,FLOOR(($A19-1)/23,1)+1)&amp;INDEX('Serial Reference'!$A$8:$W$8,1,MOD($A19-1,23)+1)&amp;TEXT(AX$2+FLOOR((AX$2-1)/9,1),"000"),"")</f>
        <v>AT054</v>
      </c>
      <c r="AY19" s="23" t="str">
        <f>IF(INDEX('Shot Map'!$B$6:$V$26,CEILING($A19/5,1),CEILING(AY$2/5,1))=1,INDEX('Serial Reference'!$A$8:$W$8,1,FLOOR(($A19-1)/23,1)+1)&amp;INDEX('Serial Reference'!$A$8:$W$8,1,MOD($A19-1,23)+1)&amp;TEXT(AY$2+FLOOR((AY$2-1)/9,1),"000"),"")</f>
        <v>AT055</v>
      </c>
      <c r="AZ19" s="21" t="str">
        <f>IF(INDEX('Shot Map'!$B$6:$V$26,CEILING($A19/5,1),CEILING(AZ$2/5,1))=1,INDEX('Serial Reference'!$A$8:$W$8,1,FLOOR(($A19-1)/23,1)+1)&amp;INDEX('Serial Reference'!$A$8:$W$8,1,MOD($A19-1,23)+1)&amp;TEXT(AZ$2+FLOOR((AZ$2-1)/9,1),"000"),"")</f>
        <v>AT056</v>
      </c>
      <c r="BA19" s="22" t="str">
        <f>IF(INDEX('Shot Map'!$B$6:$V$26,CEILING($A19/5,1),CEILING(BA$2/5,1))=1,INDEX('Serial Reference'!$A$8:$W$8,1,FLOOR(($A19-1)/23,1)+1)&amp;INDEX('Serial Reference'!$A$8:$W$8,1,MOD($A19-1,23)+1)&amp;TEXT(BA$2+FLOOR((BA$2-1)/9,1),"000"),"")</f>
        <v>AT057</v>
      </c>
      <c r="BB19" s="22" t="str">
        <f>IF(INDEX('Shot Map'!$B$6:$V$26,CEILING($A19/5,1),CEILING(BB$2/5,1))=1,INDEX('Serial Reference'!$A$8:$W$8,1,FLOOR(($A19-1)/23,1)+1)&amp;INDEX('Serial Reference'!$A$8:$W$8,1,MOD($A19-1,23)+1)&amp;TEXT(BB$2+FLOOR((BB$2-1)/9,1),"000"),"")</f>
        <v>AT058</v>
      </c>
      <c r="BC19" s="22" t="str">
        <f>IF(INDEX('Shot Map'!$B$6:$V$26,CEILING($A19/5,1),CEILING(BC$2/5,1))=1,INDEX('Serial Reference'!$A$8:$W$8,1,FLOOR(($A19-1)/23,1)+1)&amp;INDEX('Serial Reference'!$A$8:$W$8,1,MOD($A19-1,23)+1)&amp;TEXT(BC$2+FLOOR((BC$2-1)/9,1),"000"),"")</f>
        <v>AT059</v>
      </c>
      <c r="BD19" s="23" t="str">
        <f>IF(INDEX('Shot Map'!$B$6:$V$26,CEILING($A19/5,1),CEILING(BD$2/5,1))=1,INDEX('Serial Reference'!$A$8:$W$8,1,FLOOR(($A19-1)/23,1)+1)&amp;INDEX('Serial Reference'!$A$8:$W$8,1,MOD($A19-1,23)+1)&amp;TEXT(BD$2+FLOOR((BD$2-1)/9,1),"000"),"")</f>
        <v>AT061</v>
      </c>
      <c r="BE19" s="21" t="str">
        <f>IF(INDEX('Shot Map'!$B$6:$V$26,CEILING($A19/5,1),CEILING(BE$2/5,1))=1,INDEX('Serial Reference'!$A$8:$W$8,1,FLOOR(($A19-1)/23,1)+1)&amp;INDEX('Serial Reference'!$A$8:$W$8,1,MOD($A19-1,23)+1)&amp;TEXT(BE$2+FLOOR((BE$2-1)/9,1),"000"),"")</f>
        <v>AT062</v>
      </c>
      <c r="BF19" s="22" t="str">
        <f>IF(INDEX('Shot Map'!$B$6:$V$26,CEILING($A19/5,1),CEILING(BF$2/5,1))=1,INDEX('Serial Reference'!$A$8:$W$8,1,FLOOR(($A19-1)/23,1)+1)&amp;INDEX('Serial Reference'!$A$8:$W$8,1,MOD($A19-1,23)+1)&amp;TEXT(BF$2+FLOOR((BF$2-1)/9,1),"000"),"")</f>
        <v>AT063</v>
      </c>
      <c r="BG19" s="22" t="str">
        <f>IF(INDEX('Shot Map'!$B$6:$V$26,CEILING($A19/5,1),CEILING(BG$2/5,1))=1,INDEX('Serial Reference'!$A$8:$W$8,1,FLOOR(($A19-1)/23,1)+1)&amp;INDEX('Serial Reference'!$A$8:$W$8,1,MOD($A19-1,23)+1)&amp;TEXT(BG$2+FLOOR((BG$2-1)/9,1),"000"),"")</f>
        <v>AT064</v>
      </c>
      <c r="BH19" s="22" t="str">
        <f>IF(INDEX('Shot Map'!$B$6:$V$26,CEILING($A19/5,1),CEILING(BH$2/5,1))=1,INDEX('Serial Reference'!$A$8:$W$8,1,FLOOR(($A19-1)/23,1)+1)&amp;INDEX('Serial Reference'!$A$8:$W$8,1,MOD($A19-1,23)+1)&amp;TEXT(BH$2+FLOOR((BH$2-1)/9,1),"000"),"")</f>
        <v>AT065</v>
      </c>
      <c r="BI19" s="23" t="str">
        <f>IF(INDEX('Shot Map'!$B$6:$V$26,CEILING($A19/5,1),CEILING(BI$2/5,1))=1,INDEX('Serial Reference'!$A$8:$W$8,1,FLOOR(($A19-1)/23,1)+1)&amp;INDEX('Serial Reference'!$A$8:$W$8,1,MOD($A19-1,23)+1)&amp;TEXT(BI$2+FLOOR((BI$2-1)/9,1),"000"),"")</f>
        <v>AT066</v>
      </c>
      <c r="BJ19" s="21" t="str">
        <f>IF(INDEX('Shot Map'!$B$6:$V$26,CEILING($A19/5,1),CEILING(BJ$2/5,1))=1,INDEX('Serial Reference'!$A$8:$W$8,1,FLOOR(($A19-1)/23,1)+1)&amp;INDEX('Serial Reference'!$A$8:$W$8,1,MOD($A19-1,23)+1)&amp;TEXT(BJ$2+FLOOR((BJ$2-1)/9,1),"000"),"")</f>
        <v>AT067</v>
      </c>
      <c r="BK19" s="22" t="str">
        <f>IF(INDEX('Shot Map'!$B$6:$V$26,CEILING($A19/5,1),CEILING(BK$2/5,1))=1,INDEX('Serial Reference'!$A$8:$W$8,1,FLOOR(($A19-1)/23,1)+1)&amp;INDEX('Serial Reference'!$A$8:$W$8,1,MOD($A19-1,23)+1)&amp;TEXT(BK$2+FLOOR((BK$2-1)/9,1),"000"),"")</f>
        <v>AT068</v>
      </c>
      <c r="BL19" s="22" t="str">
        <f>IF(INDEX('Shot Map'!$B$6:$V$26,CEILING($A19/5,1),CEILING(BL$2/5,1))=1,INDEX('Serial Reference'!$A$8:$W$8,1,FLOOR(($A19-1)/23,1)+1)&amp;INDEX('Serial Reference'!$A$8:$W$8,1,MOD($A19-1,23)+1)&amp;TEXT(BL$2+FLOOR((BL$2-1)/9,1),"000"),"")</f>
        <v>AT069</v>
      </c>
      <c r="BM19" s="22" t="str">
        <f>IF(INDEX('Shot Map'!$B$6:$V$26,CEILING($A19/5,1),CEILING(BM$2/5,1))=1,INDEX('Serial Reference'!$A$8:$W$8,1,FLOOR(($A19-1)/23,1)+1)&amp;INDEX('Serial Reference'!$A$8:$W$8,1,MOD($A19-1,23)+1)&amp;TEXT(BM$2+FLOOR((BM$2-1)/9,1),"000"),"")</f>
        <v>AT071</v>
      </c>
      <c r="BN19" s="23" t="str">
        <f>IF(INDEX('Shot Map'!$B$6:$V$26,CEILING($A19/5,1),CEILING(BN$2/5,1))=1,INDEX('Serial Reference'!$A$8:$W$8,1,FLOOR(($A19-1)/23,1)+1)&amp;INDEX('Serial Reference'!$A$8:$W$8,1,MOD($A19-1,23)+1)&amp;TEXT(BN$2+FLOOR((BN$2-1)/9,1),"000"),"")</f>
        <v>AT072</v>
      </c>
      <c r="BO19" s="21" t="str">
        <f>IF(INDEX('Shot Map'!$B$6:$V$26,CEILING($A19/5,1),CEILING(BO$2/5,1))=1,INDEX('Serial Reference'!$A$8:$W$8,1,FLOOR(($A19-1)/23,1)+1)&amp;INDEX('Serial Reference'!$A$8:$W$8,1,MOD($A19-1,23)+1)&amp;TEXT(BO$2+FLOOR((BO$2-1)/9,1),"000"),"")</f>
        <v>AT073</v>
      </c>
      <c r="BP19" s="22" t="str">
        <f>IF(INDEX('Shot Map'!$B$6:$V$26,CEILING($A19/5,1),CEILING(BP$2/5,1))=1,INDEX('Serial Reference'!$A$8:$W$8,1,FLOOR(($A19-1)/23,1)+1)&amp;INDEX('Serial Reference'!$A$8:$W$8,1,MOD($A19-1,23)+1)&amp;TEXT(BP$2+FLOOR((BP$2-1)/9,1),"000"),"")</f>
        <v>AT074</v>
      </c>
      <c r="BQ19" s="22" t="str">
        <f>IF(INDEX('Shot Map'!$B$6:$V$26,CEILING($A19/5,1),CEILING(BQ$2/5,1))=1,INDEX('Serial Reference'!$A$8:$W$8,1,FLOOR(($A19-1)/23,1)+1)&amp;INDEX('Serial Reference'!$A$8:$W$8,1,MOD($A19-1,23)+1)&amp;TEXT(BQ$2+FLOOR((BQ$2-1)/9,1),"000"),"")</f>
        <v>AT075</v>
      </c>
      <c r="BR19" s="22" t="str">
        <f>IF(INDEX('Shot Map'!$B$6:$V$26,CEILING($A19/5,1),CEILING(BR$2/5,1))=1,INDEX('Serial Reference'!$A$8:$W$8,1,FLOOR(($A19-1)/23,1)+1)&amp;INDEX('Serial Reference'!$A$8:$W$8,1,MOD($A19-1,23)+1)&amp;TEXT(BR$2+FLOOR((BR$2-1)/9,1),"000"),"")</f>
        <v>AT076</v>
      </c>
      <c r="BS19" s="23" t="str">
        <f>IF(INDEX('Shot Map'!$B$6:$V$26,CEILING($A19/5,1),CEILING(BS$2/5,1))=1,INDEX('Serial Reference'!$A$8:$W$8,1,FLOOR(($A19-1)/23,1)+1)&amp;INDEX('Serial Reference'!$A$8:$W$8,1,MOD($A19-1,23)+1)&amp;TEXT(BS$2+FLOOR((BS$2-1)/9,1),"000"),"")</f>
        <v>AT077</v>
      </c>
      <c r="BT19" s="21" t="str">
        <f>IF(INDEX('Shot Map'!$B$6:$V$26,CEILING($A19/5,1),CEILING(BT$2/5,1))=1,INDEX('Serial Reference'!$A$8:$W$8,1,FLOOR(($A19-1)/23,1)+1)&amp;INDEX('Serial Reference'!$A$8:$W$8,1,MOD($A19-1,23)+1)&amp;TEXT(BT$2+FLOOR((BT$2-1)/9,1),"000"),"")</f>
        <v>AT078</v>
      </c>
      <c r="BU19" s="22" t="str">
        <f>IF(INDEX('Shot Map'!$B$6:$V$26,CEILING($A19/5,1),CEILING(BU$2/5,1))=1,INDEX('Serial Reference'!$A$8:$W$8,1,FLOOR(($A19-1)/23,1)+1)&amp;INDEX('Serial Reference'!$A$8:$W$8,1,MOD($A19-1,23)+1)&amp;TEXT(BU$2+FLOOR((BU$2-1)/9,1),"000"),"")</f>
        <v>AT079</v>
      </c>
      <c r="BV19" s="22" t="str">
        <f>IF(INDEX('Shot Map'!$B$6:$V$26,CEILING($A19/5,1),CEILING(BV$2/5,1))=1,INDEX('Serial Reference'!$A$8:$W$8,1,FLOOR(($A19-1)/23,1)+1)&amp;INDEX('Serial Reference'!$A$8:$W$8,1,MOD($A19-1,23)+1)&amp;TEXT(BV$2+FLOOR((BV$2-1)/9,1),"000"),"")</f>
        <v>AT081</v>
      </c>
      <c r="BW19" s="22" t="str">
        <f>IF(INDEX('Shot Map'!$B$6:$V$26,CEILING($A19/5,1),CEILING(BW$2/5,1))=1,INDEX('Serial Reference'!$A$8:$W$8,1,FLOOR(($A19-1)/23,1)+1)&amp;INDEX('Serial Reference'!$A$8:$W$8,1,MOD($A19-1,23)+1)&amp;TEXT(BW$2+FLOOR((BW$2-1)/9,1),"000"),"")</f>
        <v>AT082</v>
      </c>
      <c r="BX19" s="23" t="str">
        <f>IF(INDEX('Shot Map'!$B$6:$V$26,CEILING($A19/5,1),CEILING(BX$2/5,1))=1,INDEX('Serial Reference'!$A$8:$W$8,1,FLOOR(($A19-1)/23,1)+1)&amp;INDEX('Serial Reference'!$A$8:$W$8,1,MOD($A19-1,23)+1)&amp;TEXT(BX$2+FLOOR((BX$2-1)/9,1),"000"),"")</f>
        <v>AT083</v>
      </c>
      <c r="BY19" s="21" t="str">
        <f>IF(INDEX('Shot Map'!$B$6:$V$26,CEILING($A19/5,1),CEILING(BY$2/5,1))=1,INDEX('Serial Reference'!$A$8:$W$8,1,FLOOR(($A19-1)/23,1)+1)&amp;INDEX('Serial Reference'!$A$8:$W$8,1,MOD($A19-1,23)+1)&amp;TEXT(BY$2+FLOOR((BY$2-1)/9,1),"000"),"")</f>
        <v>AT084</v>
      </c>
      <c r="BZ19" s="22" t="str">
        <f>IF(INDEX('Shot Map'!$B$6:$V$26,CEILING($A19/5,1),CEILING(BZ$2/5,1))=1,INDEX('Serial Reference'!$A$8:$W$8,1,FLOOR(($A19-1)/23,1)+1)&amp;INDEX('Serial Reference'!$A$8:$W$8,1,MOD($A19-1,23)+1)&amp;TEXT(BZ$2+FLOOR((BZ$2-1)/9,1),"000"),"")</f>
        <v>AT085</v>
      </c>
      <c r="CA19" s="22" t="str">
        <f>IF(INDEX('Shot Map'!$B$6:$V$26,CEILING($A19/5,1),CEILING(CA$2/5,1))=1,INDEX('Serial Reference'!$A$8:$W$8,1,FLOOR(($A19-1)/23,1)+1)&amp;INDEX('Serial Reference'!$A$8:$W$8,1,MOD($A19-1,23)+1)&amp;TEXT(CA$2+FLOOR((CA$2-1)/9,1),"000"),"")</f>
        <v>AT086</v>
      </c>
      <c r="CB19" s="22" t="str">
        <f>IF(INDEX('Shot Map'!$B$6:$V$26,CEILING($A19/5,1),CEILING(CB$2/5,1))=1,INDEX('Serial Reference'!$A$8:$W$8,1,FLOOR(($A19-1)/23,1)+1)&amp;INDEX('Serial Reference'!$A$8:$W$8,1,MOD($A19-1,23)+1)&amp;TEXT(CB$2+FLOOR((CB$2-1)/9,1),"000"),"")</f>
        <v>AT087</v>
      </c>
      <c r="CC19" s="23" t="str">
        <f>IF(INDEX('Shot Map'!$B$6:$V$26,CEILING($A19/5,1),CEILING(CC$2/5,1))=1,INDEX('Serial Reference'!$A$8:$W$8,1,FLOOR(($A19-1)/23,1)+1)&amp;INDEX('Serial Reference'!$A$8:$W$8,1,MOD($A19-1,23)+1)&amp;TEXT(CC$2+FLOOR((CC$2-1)/9,1),"000"),"")</f>
        <v>AT088</v>
      </c>
      <c r="CD19" s="21" t="str">
        <f>IF(INDEX('Shot Map'!$B$6:$V$26,CEILING($A19/5,1),CEILING(CD$2/5,1))=1,INDEX('Serial Reference'!$A$8:$W$8,1,FLOOR(($A19-1)/23,1)+1)&amp;INDEX('Serial Reference'!$A$8:$W$8,1,MOD($A19-1,23)+1)&amp;TEXT(CD$2+FLOOR((CD$2-1)/9,1),"000"),"")</f>
        <v>AT089</v>
      </c>
      <c r="CE19" s="22" t="str">
        <f>IF(INDEX('Shot Map'!$B$6:$V$26,CEILING($A19/5,1),CEILING(CE$2/5,1))=1,INDEX('Serial Reference'!$A$8:$W$8,1,FLOOR(($A19-1)/23,1)+1)&amp;INDEX('Serial Reference'!$A$8:$W$8,1,MOD($A19-1,23)+1)&amp;TEXT(CE$2+FLOOR((CE$2-1)/9,1),"000"),"")</f>
        <v>AT091</v>
      </c>
      <c r="CF19" s="22" t="str">
        <f>IF(INDEX('Shot Map'!$B$6:$V$26,CEILING($A19/5,1),CEILING(CF$2/5,1))=1,INDEX('Serial Reference'!$A$8:$W$8,1,FLOOR(($A19-1)/23,1)+1)&amp;INDEX('Serial Reference'!$A$8:$W$8,1,MOD($A19-1,23)+1)&amp;TEXT(CF$2+FLOOR((CF$2-1)/9,1),"000"),"")</f>
        <v>AT092</v>
      </c>
      <c r="CG19" s="22" t="str">
        <f>IF(INDEX('Shot Map'!$B$6:$V$26,CEILING($A19/5,1),CEILING(CG$2/5,1))=1,INDEX('Serial Reference'!$A$8:$W$8,1,FLOOR(($A19-1)/23,1)+1)&amp;INDEX('Serial Reference'!$A$8:$W$8,1,MOD($A19-1,23)+1)&amp;TEXT(CG$2+FLOOR((CG$2-1)/9,1),"000"),"")</f>
        <v>AT093</v>
      </c>
      <c r="CH19" s="23" t="str">
        <f>IF(INDEX('Shot Map'!$B$6:$V$26,CEILING($A19/5,1),CEILING(CH$2/5,1))=1,INDEX('Serial Reference'!$A$8:$W$8,1,FLOOR(($A19-1)/23,1)+1)&amp;INDEX('Serial Reference'!$A$8:$W$8,1,MOD($A19-1,23)+1)&amp;TEXT(CH$2+FLOOR((CH$2-1)/9,1),"000"),"")</f>
        <v>AT094</v>
      </c>
      <c r="CI19" s="21" t="str">
        <f>IF(INDEX('Shot Map'!$B$6:$V$26,CEILING($A19/5,1),CEILING(CI$2/5,1))=1,INDEX('Serial Reference'!$A$8:$W$8,1,FLOOR(($A19-1)/23,1)+1)&amp;INDEX('Serial Reference'!$A$8:$W$8,1,MOD($A19-1,23)+1)&amp;TEXT(CI$2+FLOOR((CI$2-1)/9,1),"000"),"")</f>
        <v>AT095</v>
      </c>
      <c r="CJ19" s="22" t="str">
        <f>IF(INDEX('Shot Map'!$B$6:$V$26,CEILING($A19/5,1),CEILING(CJ$2/5,1))=1,INDEX('Serial Reference'!$A$8:$W$8,1,FLOOR(($A19-1)/23,1)+1)&amp;INDEX('Serial Reference'!$A$8:$W$8,1,MOD($A19-1,23)+1)&amp;TEXT(CJ$2+FLOOR((CJ$2-1)/9,1),"000"),"")</f>
        <v>AT096</v>
      </c>
      <c r="CK19" s="22" t="str">
        <f>IF(INDEX('Shot Map'!$B$6:$V$26,CEILING($A19/5,1),CEILING(CK$2/5,1))=1,INDEX('Serial Reference'!$A$8:$W$8,1,FLOOR(($A19-1)/23,1)+1)&amp;INDEX('Serial Reference'!$A$8:$W$8,1,MOD($A19-1,23)+1)&amp;TEXT(CK$2+FLOOR((CK$2-1)/9,1),"000"),"")</f>
        <v>AT097</v>
      </c>
      <c r="CL19" s="22" t="str">
        <f>IF(INDEX('Shot Map'!$B$6:$V$26,CEILING($A19/5,1),CEILING(CL$2/5,1))=1,INDEX('Serial Reference'!$A$8:$W$8,1,FLOOR(($A19-1)/23,1)+1)&amp;INDEX('Serial Reference'!$A$8:$W$8,1,MOD($A19-1,23)+1)&amp;TEXT(CL$2+FLOOR((CL$2-1)/9,1),"000"),"")</f>
        <v>AT098</v>
      </c>
      <c r="CM19" s="23" t="str">
        <f>IF(INDEX('Shot Map'!$B$6:$V$26,CEILING($A19/5,1),CEILING(CM$2/5,1))=1,INDEX('Serial Reference'!$A$8:$W$8,1,FLOOR(($A19-1)/23,1)+1)&amp;INDEX('Serial Reference'!$A$8:$W$8,1,MOD($A19-1,23)+1)&amp;TEXT(CM$2+FLOOR((CM$2-1)/9,1),"000"),"")</f>
        <v>AT099</v>
      </c>
      <c r="CN19" s="21" t="str">
        <f>IF(INDEX('Shot Map'!$B$6:$V$26,CEILING($A19/5,1),CEILING(CN$2/5,1))=1,INDEX('Serial Reference'!$A$8:$W$8,1,FLOOR(($A19-1)/23,1)+1)&amp;INDEX('Serial Reference'!$A$8:$W$8,1,MOD($A19-1,23)+1)&amp;TEXT(CN$2+FLOOR((CN$2-1)/9,1),"000"),"")</f>
        <v/>
      </c>
      <c r="CO19" s="22" t="str">
        <f>IF(INDEX('Shot Map'!$B$6:$V$26,CEILING($A19/5,1),CEILING(CO$2/5,1))=1,INDEX('Serial Reference'!$A$8:$W$8,1,FLOOR(($A19-1)/23,1)+1)&amp;INDEX('Serial Reference'!$A$8:$W$8,1,MOD($A19-1,23)+1)&amp;TEXT(CO$2+FLOOR((CO$2-1)/9,1),"000"),"")</f>
        <v/>
      </c>
      <c r="CP19" s="22" t="str">
        <f>IF(INDEX('Shot Map'!$B$6:$V$26,CEILING($A19/5,1),CEILING(CP$2/5,1))=1,INDEX('Serial Reference'!$A$8:$W$8,1,FLOOR(($A19-1)/23,1)+1)&amp;INDEX('Serial Reference'!$A$8:$W$8,1,MOD($A19-1,23)+1)&amp;TEXT(CP$2+FLOOR((CP$2-1)/9,1),"000"),"")</f>
        <v/>
      </c>
      <c r="CQ19" s="22" t="str">
        <f>IF(INDEX('Shot Map'!$B$6:$V$26,CEILING($A19/5,1),CEILING(CQ$2/5,1))=1,INDEX('Serial Reference'!$A$8:$W$8,1,FLOOR(($A19-1)/23,1)+1)&amp;INDEX('Serial Reference'!$A$8:$W$8,1,MOD($A19-1,23)+1)&amp;TEXT(CQ$2+FLOOR((CQ$2-1)/9,1),"000"),"")</f>
        <v/>
      </c>
      <c r="CR19" s="23" t="str">
        <f>IF(INDEX('Shot Map'!$B$6:$V$26,CEILING($A19/5,1),CEILING(CR$2/5,1))=1,INDEX('Serial Reference'!$A$8:$W$8,1,FLOOR(($A19-1)/23,1)+1)&amp;INDEX('Serial Reference'!$A$8:$W$8,1,MOD($A19-1,23)+1)&amp;TEXT(CR$2+FLOOR((CR$2-1)/9,1),"000"),"")</f>
        <v/>
      </c>
      <c r="CS19" s="21" t="str">
        <f>IF(INDEX('Shot Map'!$B$6:$V$26,CEILING($A19/5,1),CEILING(CS$2/5,1))=1,INDEX('Serial Reference'!$A$8:$W$8,1,FLOOR(($A19-1)/23,1)+1)&amp;INDEX('Serial Reference'!$A$8:$W$8,1,MOD($A19-1,23)+1)&amp;TEXT(CS$2+FLOOR((CS$2-1)/9,1),"000"),"")</f>
        <v/>
      </c>
      <c r="CT19" s="22" t="str">
        <f>IF(INDEX('Shot Map'!$B$6:$V$26,CEILING($A19/5,1),CEILING(CT$2/5,1))=1,INDEX('Serial Reference'!$A$8:$W$8,1,FLOOR(($A19-1)/23,1)+1)&amp;INDEX('Serial Reference'!$A$8:$W$8,1,MOD($A19-1,23)+1)&amp;TEXT(CT$2+FLOOR((CT$2-1)/9,1),"000"),"")</f>
        <v/>
      </c>
      <c r="CU19" s="22" t="str">
        <f>IF(INDEX('Shot Map'!$B$6:$V$26,CEILING($A19/5,1),CEILING(CU$2/5,1))=1,INDEX('Serial Reference'!$A$8:$W$8,1,FLOOR(($A19-1)/23,1)+1)&amp;INDEX('Serial Reference'!$A$8:$W$8,1,MOD($A19-1,23)+1)&amp;TEXT(CU$2+FLOOR((CU$2-1)/9,1),"000"),"")</f>
        <v/>
      </c>
      <c r="CV19" s="22" t="str">
        <f>IF(INDEX('Shot Map'!$B$6:$V$26,CEILING($A19/5,1),CEILING(CV$2/5,1))=1,INDEX('Serial Reference'!$A$8:$W$8,1,FLOOR(($A19-1)/23,1)+1)&amp;INDEX('Serial Reference'!$A$8:$W$8,1,MOD($A19-1,23)+1)&amp;TEXT(CV$2+FLOOR((CV$2-1)/9,1),"000"),"")</f>
        <v/>
      </c>
      <c r="CW19" s="23" t="str">
        <f>IF(INDEX('Shot Map'!$B$6:$V$26,CEILING($A19/5,1),CEILING(CW$2/5,1))=1,INDEX('Serial Reference'!$A$8:$W$8,1,FLOOR(($A19-1)/23,1)+1)&amp;INDEX('Serial Reference'!$A$8:$W$8,1,MOD($A19-1,23)+1)&amp;TEXT(CW$2+FLOOR((CW$2-1)/9,1),"000"),"")</f>
        <v/>
      </c>
      <c r="CX19" s="21" t="str">
        <f>IF(INDEX('Shot Map'!$B$6:$V$26,CEILING($A19/5,1),CEILING(CX$2/5,1))=1,INDEX('Serial Reference'!$A$8:$W$8,1,FLOOR(($A19-1)/23,1)+1)&amp;INDEX('Serial Reference'!$A$8:$W$8,1,MOD($A19-1,23)+1)&amp;TEXT(CX$2+FLOOR((CX$2-1)/9,1),"000"),"")</f>
        <v/>
      </c>
      <c r="CY19" s="22" t="str">
        <f>IF(INDEX('Shot Map'!$B$6:$V$26,CEILING($A19/5,1),CEILING(CY$2/5,1))=1,INDEX('Serial Reference'!$A$8:$W$8,1,FLOOR(($A19-1)/23,1)+1)&amp;INDEX('Serial Reference'!$A$8:$W$8,1,MOD($A19-1,23)+1)&amp;TEXT(CY$2+FLOOR((CY$2-1)/9,1),"000"),"")</f>
        <v/>
      </c>
      <c r="CZ19" s="22" t="str">
        <f>IF(INDEX('Shot Map'!$B$6:$V$26,CEILING($A19/5,1),CEILING(CZ$2/5,1))=1,INDEX('Serial Reference'!$A$8:$W$8,1,FLOOR(($A19-1)/23,1)+1)&amp;INDEX('Serial Reference'!$A$8:$W$8,1,MOD($A19-1,23)+1)&amp;TEXT(CZ$2+FLOOR((CZ$2-1)/9,1),"000"),"")</f>
        <v/>
      </c>
      <c r="DA19" s="22" t="str">
        <f>IF(INDEX('Shot Map'!$B$6:$V$26,CEILING($A19/5,1),CEILING(DA$2/5,1))=1,INDEX('Serial Reference'!$A$8:$W$8,1,FLOOR(($A19-1)/23,1)+1)&amp;INDEX('Serial Reference'!$A$8:$W$8,1,MOD($A19-1,23)+1)&amp;TEXT(DA$2+FLOOR((DA$2-1)/9,1),"000"),"")</f>
        <v/>
      </c>
      <c r="DB19" s="23" t="str">
        <f>IF(INDEX('Shot Map'!$B$6:$V$26,CEILING($A19/5,1),CEILING(DB$2/5,1))=1,INDEX('Serial Reference'!$A$8:$W$8,1,FLOOR(($A19-1)/23,1)+1)&amp;INDEX('Serial Reference'!$A$8:$W$8,1,MOD($A19-1,23)+1)&amp;TEXT(DB$2+FLOOR((DB$2-1)/9,1),"000"),"")</f>
        <v/>
      </c>
    </row>
    <row r="20" spans="1:106" ht="12.75" customHeight="1" x14ac:dyDescent="0.25">
      <c r="A20" s="17">
        <v>18</v>
      </c>
      <c r="B20" s="21" t="str">
        <f>IF(INDEX('Shot Map'!$B$6:$V$26,CEILING($A20/5,1),CEILING(B$2/5,1))=1,INDEX('Serial Reference'!$A$8:$W$8,1,FLOOR(($A20-1)/23,1)+1)&amp;INDEX('Serial Reference'!$A$8:$W$8,1,MOD($A20-1,23)+1)&amp;TEXT(B$2+FLOOR((B$2-1)/9,1),"000"),"")</f>
        <v/>
      </c>
      <c r="C20" s="22" t="str">
        <f>IF(INDEX('Shot Map'!$B$6:$V$26,CEILING($A20/5,1),CEILING(C$2/5,1))=1,INDEX('Serial Reference'!$A$8:$W$8,1,FLOOR(($A20-1)/23,1)+1)&amp;INDEX('Serial Reference'!$A$8:$W$8,1,MOD($A20-1,23)+1)&amp;TEXT(C$2+FLOOR((C$2-1)/9,1),"000"),"")</f>
        <v/>
      </c>
      <c r="D20" s="22" t="str">
        <f>IF(INDEX('Shot Map'!$B$6:$V$26,CEILING($A20/5,1),CEILING(D$2/5,1))=1,INDEX('Serial Reference'!$A$8:$W$8,1,FLOOR(($A20-1)/23,1)+1)&amp;INDEX('Serial Reference'!$A$8:$W$8,1,MOD($A20-1,23)+1)&amp;TEXT(D$2+FLOOR((D$2-1)/9,1),"000"),"")</f>
        <v/>
      </c>
      <c r="E20" s="22" t="str">
        <f>IF(INDEX('Shot Map'!$B$6:$V$26,CEILING($A20/5,1),CEILING(E$2/5,1))=1,INDEX('Serial Reference'!$A$8:$W$8,1,FLOOR(($A20-1)/23,1)+1)&amp;INDEX('Serial Reference'!$A$8:$W$8,1,MOD($A20-1,23)+1)&amp;TEXT(E$2+FLOOR((E$2-1)/9,1),"000"),"")</f>
        <v/>
      </c>
      <c r="F20" s="23" t="str">
        <f>IF(INDEX('Shot Map'!$B$6:$V$26,CEILING($A20/5,1),CEILING(F$2/5,1))=1,INDEX('Serial Reference'!$A$8:$W$8,1,FLOOR(($A20-1)/23,1)+1)&amp;INDEX('Serial Reference'!$A$8:$W$8,1,MOD($A20-1,23)+1)&amp;TEXT(F$2+FLOOR((F$2-1)/9,1),"000"),"")</f>
        <v/>
      </c>
      <c r="G20" s="21" t="str">
        <f>IF(INDEX('Shot Map'!$B$6:$V$26,CEILING($A20/5,1),CEILING(G$2/5,1))=1,INDEX('Serial Reference'!$A$8:$W$8,1,FLOOR(($A20-1)/23,1)+1)&amp;INDEX('Serial Reference'!$A$8:$W$8,1,MOD($A20-1,23)+1)&amp;TEXT(G$2+FLOOR((G$2-1)/9,1),"000"),"")</f>
        <v/>
      </c>
      <c r="H20" s="22" t="str">
        <f>IF(INDEX('Shot Map'!$B$6:$V$26,CEILING($A20/5,1),CEILING(H$2/5,1))=1,INDEX('Serial Reference'!$A$8:$W$8,1,FLOOR(($A20-1)/23,1)+1)&amp;INDEX('Serial Reference'!$A$8:$W$8,1,MOD($A20-1,23)+1)&amp;TEXT(H$2+FLOOR((H$2-1)/9,1),"000"),"")</f>
        <v/>
      </c>
      <c r="I20" s="22" t="str">
        <f>IF(INDEX('Shot Map'!$B$6:$V$26,CEILING($A20/5,1),CEILING(I$2/5,1))=1,INDEX('Serial Reference'!$A$8:$W$8,1,FLOOR(($A20-1)/23,1)+1)&amp;INDEX('Serial Reference'!$A$8:$W$8,1,MOD($A20-1,23)+1)&amp;TEXT(I$2+FLOOR((I$2-1)/9,1),"000"),"")</f>
        <v/>
      </c>
      <c r="J20" s="22" t="str">
        <f>IF(INDEX('Shot Map'!$B$6:$V$26,CEILING($A20/5,1),CEILING(J$2/5,1))=1,INDEX('Serial Reference'!$A$8:$W$8,1,FLOOR(($A20-1)/23,1)+1)&amp;INDEX('Serial Reference'!$A$8:$W$8,1,MOD($A20-1,23)+1)&amp;TEXT(J$2+FLOOR((J$2-1)/9,1),"000"),"")</f>
        <v/>
      </c>
      <c r="K20" s="23" t="str">
        <f>IF(INDEX('Shot Map'!$B$6:$V$26,CEILING($A20/5,1),CEILING(K$2/5,1))=1,INDEX('Serial Reference'!$A$8:$W$8,1,FLOOR(($A20-1)/23,1)+1)&amp;INDEX('Serial Reference'!$A$8:$W$8,1,MOD($A20-1,23)+1)&amp;TEXT(K$2+FLOOR((K$2-1)/9,1),"000"),"")</f>
        <v/>
      </c>
      <c r="L20" s="21" t="str">
        <f>IF(INDEX('Shot Map'!$B$6:$V$26,CEILING($A20/5,1),CEILING(L$2/5,1))=1,INDEX('Serial Reference'!$A$8:$W$8,1,FLOOR(($A20-1)/23,1)+1)&amp;INDEX('Serial Reference'!$A$8:$W$8,1,MOD($A20-1,23)+1)&amp;TEXT(L$2+FLOOR((L$2-1)/9,1),"000"),"")</f>
        <v/>
      </c>
      <c r="M20" s="22" t="str">
        <f>IF(INDEX('Shot Map'!$B$6:$V$26,CEILING($A20/5,1),CEILING(M$2/5,1))=1,INDEX('Serial Reference'!$A$8:$W$8,1,FLOOR(($A20-1)/23,1)+1)&amp;INDEX('Serial Reference'!$A$8:$W$8,1,MOD($A20-1,23)+1)&amp;TEXT(M$2+FLOOR((M$2-1)/9,1),"000"),"")</f>
        <v/>
      </c>
      <c r="N20" s="22" t="str">
        <f>IF(INDEX('Shot Map'!$B$6:$V$26,CEILING($A20/5,1),CEILING(N$2/5,1))=1,INDEX('Serial Reference'!$A$8:$W$8,1,FLOOR(($A20-1)/23,1)+1)&amp;INDEX('Serial Reference'!$A$8:$W$8,1,MOD($A20-1,23)+1)&amp;TEXT(N$2+FLOOR((N$2-1)/9,1),"000"),"")</f>
        <v/>
      </c>
      <c r="O20" s="22" t="str">
        <f>IF(INDEX('Shot Map'!$B$6:$V$26,CEILING($A20/5,1),CEILING(O$2/5,1))=1,INDEX('Serial Reference'!$A$8:$W$8,1,FLOOR(($A20-1)/23,1)+1)&amp;INDEX('Serial Reference'!$A$8:$W$8,1,MOD($A20-1,23)+1)&amp;TEXT(O$2+FLOOR((O$2-1)/9,1),"000"),"")</f>
        <v/>
      </c>
      <c r="P20" s="23" t="str">
        <f>IF(INDEX('Shot Map'!$B$6:$V$26,CEILING($A20/5,1),CEILING(P$2/5,1))=1,INDEX('Serial Reference'!$A$8:$W$8,1,FLOOR(($A20-1)/23,1)+1)&amp;INDEX('Serial Reference'!$A$8:$W$8,1,MOD($A20-1,23)+1)&amp;TEXT(P$2+FLOOR((P$2-1)/9,1),"000"),"")</f>
        <v/>
      </c>
      <c r="Q20" s="21" t="str">
        <f>IF(INDEX('Shot Map'!$B$6:$V$26,CEILING($A20/5,1),CEILING(Q$2/5,1))=1,INDEX('Serial Reference'!$A$8:$W$8,1,FLOOR(($A20-1)/23,1)+1)&amp;INDEX('Serial Reference'!$A$8:$W$8,1,MOD($A20-1,23)+1)&amp;TEXT(Q$2+FLOOR((Q$2-1)/9,1),"000"),"")</f>
        <v>AU017</v>
      </c>
      <c r="R20" s="22" t="str">
        <f>IF(INDEX('Shot Map'!$B$6:$V$26,CEILING($A20/5,1),CEILING(R$2/5,1))=1,INDEX('Serial Reference'!$A$8:$W$8,1,FLOOR(($A20-1)/23,1)+1)&amp;INDEX('Serial Reference'!$A$8:$W$8,1,MOD($A20-1,23)+1)&amp;TEXT(R$2+FLOOR((R$2-1)/9,1),"000"),"")</f>
        <v>AU018</v>
      </c>
      <c r="S20" s="22" t="str">
        <f>IF(INDEX('Shot Map'!$B$6:$V$26,CEILING($A20/5,1),CEILING(S$2/5,1))=1,INDEX('Serial Reference'!$A$8:$W$8,1,FLOOR(($A20-1)/23,1)+1)&amp;INDEX('Serial Reference'!$A$8:$W$8,1,MOD($A20-1,23)+1)&amp;TEXT(S$2+FLOOR((S$2-1)/9,1),"000"),"")</f>
        <v>AU019</v>
      </c>
      <c r="T20" s="22" t="str">
        <f>IF(INDEX('Shot Map'!$B$6:$V$26,CEILING($A20/5,1),CEILING(T$2/5,1))=1,INDEX('Serial Reference'!$A$8:$W$8,1,FLOOR(($A20-1)/23,1)+1)&amp;INDEX('Serial Reference'!$A$8:$W$8,1,MOD($A20-1,23)+1)&amp;TEXT(T$2+FLOOR((T$2-1)/9,1),"000"),"")</f>
        <v>AU021</v>
      </c>
      <c r="U20" s="23" t="str">
        <f>IF(INDEX('Shot Map'!$B$6:$V$26,CEILING($A20/5,1),CEILING(U$2/5,1))=1,INDEX('Serial Reference'!$A$8:$W$8,1,FLOOR(($A20-1)/23,1)+1)&amp;INDEX('Serial Reference'!$A$8:$W$8,1,MOD($A20-1,23)+1)&amp;TEXT(U$2+FLOOR((U$2-1)/9,1),"000"),"")</f>
        <v>AU022</v>
      </c>
      <c r="V20" s="21" t="str">
        <f>IF(INDEX('Shot Map'!$B$6:$V$26,CEILING($A20/5,1),CEILING(V$2/5,1))=1,INDEX('Serial Reference'!$A$8:$W$8,1,FLOOR(($A20-1)/23,1)+1)&amp;INDEX('Serial Reference'!$A$8:$W$8,1,MOD($A20-1,23)+1)&amp;TEXT(V$2+FLOOR((V$2-1)/9,1),"000"),"")</f>
        <v>AU023</v>
      </c>
      <c r="W20" s="22" t="str">
        <f>IF(INDEX('Shot Map'!$B$6:$V$26,CEILING($A20/5,1),CEILING(W$2/5,1))=1,INDEX('Serial Reference'!$A$8:$W$8,1,FLOOR(($A20-1)/23,1)+1)&amp;INDEX('Serial Reference'!$A$8:$W$8,1,MOD($A20-1,23)+1)&amp;TEXT(W$2+FLOOR((W$2-1)/9,1),"000"),"")</f>
        <v>AU024</v>
      </c>
      <c r="X20" s="22" t="str">
        <f>IF(INDEX('Shot Map'!$B$6:$V$26,CEILING($A20/5,1),CEILING(X$2/5,1))=1,INDEX('Serial Reference'!$A$8:$W$8,1,FLOOR(($A20-1)/23,1)+1)&amp;INDEX('Serial Reference'!$A$8:$W$8,1,MOD($A20-1,23)+1)&amp;TEXT(X$2+FLOOR((X$2-1)/9,1),"000"),"")</f>
        <v>AU025</v>
      </c>
      <c r="Y20" s="22" t="str">
        <f>IF(INDEX('Shot Map'!$B$6:$V$26,CEILING($A20/5,1),CEILING(Y$2/5,1))=1,INDEX('Serial Reference'!$A$8:$W$8,1,FLOOR(($A20-1)/23,1)+1)&amp;INDEX('Serial Reference'!$A$8:$W$8,1,MOD($A20-1,23)+1)&amp;TEXT(Y$2+FLOOR((Y$2-1)/9,1),"000"),"")</f>
        <v>AU026</v>
      </c>
      <c r="Z20" s="23" t="str">
        <f>IF(INDEX('Shot Map'!$B$6:$V$26,CEILING($A20/5,1),CEILING(Z$2/5,1))=1,INDEX('Serial Reference'!$A$8:$W$8,1,FLOOR(($A20-1)/23,1)+1)&amp;INDEX('Serial Reference'!$A$8:$W$8,1,MOD($A20-1,23)+1)&amp;TEXT(Z$2+FLOOR((Z$2-1)/9,1),"000"),"")</f>
        <v>AU027</v>
      </c>
      <c r="AA20" s="21" t="str">
        <f>IF(INDEX('Shot Map'!$B$6:$V$26,CEILING($A20/5,1),CEILING(AA$2/5,1))=1,INDEX('Serial Reference'!$A$8:$W$8,1,FLOOR(($A20-1)/23,1)+1)&amp;INDEX('Serial Reference'!$A$8:$W$8,1,MOD($A20-1,23)+1)&amp;TEXT(AA$2+FLOOR((AA$2-1)/9,1),"000"),"")</f>
        <v>AU028</v>
      </c>
      <c r="AB20" s="22" t="str">
        <f>IF(INDEX('Shot Map'!$B$6:$V$26,CEILING($A20/5,1),CEILING(AB$2/5,1))=1,INDEX('Serial Reference'!$A$8:$W$8,1,FLOOR(($A20-1)/23,1)+1)&amp;INDEX('Serial Reference'!$A$8:$W$8,1,MOD($A20-1,23)+1)&amp;TEXT(AB$2+FLOOR((AB$2-1)/9,1),"000"),"")</f>
        <v>AU029</v>
      </c>
      <c r="AC20" s="22" t="str">
        <f>IF(INDEX('Shot Map'!$B$6:$V$26,CEILING($A20/5,1),CEILING(AC$2/5,1))=1,INDEX('Serial Reference'!$A$8:$W$8,1,FLOOR(($A20-1)/23,1)+1)&amp;INDEX('Serial Reference'!$A$8:$W$8,1,MOD($A20-1,23)+1)&amp;TEXT(AC$2+FLOOR((AC$2-1)/9,1),"000"),"")</f>
        <v>AU031</v>
      </c>
      <c r="AD20" s="22" t="str">
        <f>IF(INDEX('Shot Map'!$B$6:$V$26,CEILING($A20/5,1),CEILING(AD$2/5,1))=1,INDEX('Serial Reference'!$A$8:$W$8,1,FLOOR(($A20-1)/23,1)+1)&amp;INDEX('Serial Reference'!$A$8:$W$8,1,MOD($A20-1,23)+1)&amp;TEXT(AD$2+FLOOR((AD$2-1)/9,1),"000"),"")</f>
        <v>AU032</v>
      </c>
      <c r="AE20" s="23" t="str">
        <f>IF(INDEX('Shot Map'!$B$6:$V$26,CEILING($A20/5,1),CEILING(AE$2/5,1))=1,INDEX('Serial Reference'!$A$8:$W$8,1,FLOOR(($A20-1)/23,1)+1)&amp;INDEX('Serial Reference'!$A$8:$W$8,1,MOD($A20-1,23)+1)&amp;TEXT(AE$2+FLOOR((AE$2-1)/9,1),"000"),"")</f>
        <v>AU033</v>
      </c>
      <c r="AF20" s="21" t="str">
        <f>IF(INDEX('Shot Map'!$B$6:$V$26,CEILING($A20/5,1),CEILING(AF$2/5,1))=1,INDEX('Serial Reference'!$A$8:$W$8,1,FLOOR(($A20-1)/23,1)+1)&amp;INDEX('Serial Reference'!$A$8:$W$8,1,MOD($A20-1,23)+1)&amp;TEXT(AF$2+FLOOR((AF$2-1)/9,1),"000"),"")</f>
        <v>AU034</v>
      </c>
      <c r="AG20" s="22" t="str">
        <f>IF(INDEX('Shot Map'!$B$6:$V$26,CEILING($A20/5,1),CEILING(AG$2/5,1))=1,INDEX('Serial Reference'!$A$8:$W$8,1,FLOOR(($A20-1)/23,1)+1)&amp;INDEX('Serial Reference'!$A$8:$W$8,1,MOD($A20-1,23)+1)&amp;TEXT(AG$2+FLOOR((AG$2-1)/9,1),"000"),"")</f>
        <v>AU035</v>
      </c>
      <c r="AH20" s="22" t="str">
        <f>IF(INDEX('Shot Map'!$B$6:$V$26,CEILING($A20/5,1),CEILING(AH$2/5,1))=1,INDEX('Serial Reference'!$A$8:$W$8,1,FLOOR(($A20-1)/23,1)+1)&amp;INDEX('Serial Reference'!$A$8:$W$8,1,MOD($A20-1,23)+1)&amp;TEXT(AH$2+FLOOR((AH$2-1)/9,1),"000"),"")</f>
        <v>AU036</v>
      </c>
      <c r="AI20" s="22" t="str">
        <f>IF(INDEX('Shot Map'!$B$6:$V$26,CEILING($A20/5,1),CEILING(AI$2/5,1))=1,INDEX('Serial Reference'!$A$8:$W$8,1,FLOOR(($A20-1)/23,1)+1)&amp;INDEX('Serial Reference'!$A$8:$W$8,1,MOD($A20-1,23)+1)&amp;TEXT(AI$2+FLOOR((AI$2-1)/9,1),"000"),"")</f>
        <v>AU037</v>
      </c>
      <c r="AJ20" s="23" t="str">
        <f>IF(INDEX('Shot Map'!$B$6:$V$26,CEILING($A20/5,1),CEILING(AJ$2/5,1))=1,INDEX('Serial Reference'!$A$8:$W$8,1,FLOOR(($A20-1)/23,1)+1)&amp;INDEX('Serial Reference'!$A$8:$W$8,1,MOD($A20-1,23)+1)&amp;TEXT(AJ$2+FLOOR((AJ$2-1)/9,1),"000"),"")</f>
        <v>AU038</v>
      </c>
      <c r="AK20" s="21" t="str">
        <f>IF(INDEX('Shot Map'!$B$6:$V$26,CEILING($A20/5,1),CEILING(AK$2/5,1))=1,INDEX('Serial Reference'!$A$8:$W$8,1,FLOOR(($A20-1)/23,1)+1)&amp;INDEX('Serial Reference'!$A$8:$W$8,1,MOD($A20-1,23)+1)&amp;TEXT(AK$2+FLOOR((AK$2-1)/9,1),"000"),"")</f>
        <v>AU039</v>
      </c>
      <c r="AL20" s="22" t="str">
        <f>IF(INDEX('Shot Map'!$B$6:$V$26,CEILING($A20/5,1),CEILING(AL$2/5,1))=1,INDEX('Serial Reference'!$A$8:$W$8,1,FLOOR(($A20-1)/23,1)+1)&amp;INDEX('Serial Reference'!$A$8:$W$8,1,MOD($A20-1,23)+1)&amp;TEXT(AL$2+FLOOR((AL$2-1)/9,1),"000"),"")</f>
        <v>AU041</v>
      </c>
      <c r="AM20" s="22" t="str">
        <f>IF(INDEX('Shot Map'!$B$6:$V$26,CEILING($A20/5,1),CEILING(AM$2/5,1))=1,INDEX('Serial Reference'!$A$8:$W$8,1,FLOOR(($A20-1)/23,1)+1)&amp;INDEX('Serial Reference'!$A$8:$W$8,1,MOD($A20-1,23)+1)&amp;TEXT(AM$2+FLOOR((AM$2-1)/9,1),"000"),"")</f>
        <v>AU042</v>
      </c>
      <c r="AN20" s="22" t="str">
        <f>IF(INDEX('Shot Map'!$B$6:$V$26,CEILING($A20/5,1),CEILING(AN$2/5,1))=1,INDEX('Serial Reference'!$A$8:$W$8,1,FLOOR(($A20-1)/23,1)+1)&amp;INDEX('Serial Reference'!$A$8:$W$8,1,MOD($A20-1,23)+1)&amp;TEXT(AN$2+FLOOR((AN$2-1)/9,1),"000"),"")</f>
        <v>AU043</v>
      </c>
      <c r="AO20" s="23" t="str">
        <f>IF(INDEX('Shot Map'!$B$6:$V$26,CEILING($A20/5,1),CEILING(AO$2/5,1))=1,INDEX('Serial Reference'!$A$8:$W$8,1,FLOOR(($A20-1)/23,1)+1)&amp;INDEX('Serial Reference'!$A$8:$W$8,1,MOD($A20-1,23)+1)&amp;TEXT(AO$2+FLOOR((AO$2-1)/9,1),"000"),"")</f>
        <v>AU044</v>
      </c>
      <c r="AP20" s="21" t="str">
        <f>IF(INDEX('Shot Map'!$B$6:$V$26,CEILING($A20/5,1),CEILING(AP$2/5,1))=1,INDEX('Serial Reference'!$A$8:$W$8,1,FLOOR(($A20-1)/23,1)+1)&amp;INDEX('Serial Reference'!$A$8:$W$8,1,MOD($A20-1,23)+1)&amp;TEXT(AP$2+FLOOR((AP$2-1)/9,1),"000"),"")</f>
        <v>AU045</v>
      </c>
      <c r="AQ20" s="22" t="str">
        <f>IF(INDEX('Shot Map'!$B$6:$V$26,CEILING($A20/5,1),CEILING(AQ$2/5,1))=1,INDEX('Serial Reference'!$A$8:$W$8,1,FLOOR(($A20-1)/23,1)+1)&amp;INDEX('Serial Reference'!$A$8:$W$8,1,MOD($A20-1,23)+1)&amp;TEXT(AQ$2+FLOOR((AQ$2-1)/9,1),"000"),"")</f>
        <v>AU046</v>
      </c>
      <c r="AR20" s="22" t="str">
        <f>IF(INDEX('Shot Map'!$B$6:$V$26,CEILING($A20/5,1),CEILING(AR$2/5,1))=1,INDEX('Serial Reference'!$A$8:$W$8,1,FLOOR(($A20-1)/23,1)+1)&amp;INDEX('Serial Reference'!$A$8:$W$8,1,MOD($A20-1,23)+1)&amp;TEXT(AR$2+FLOOR((AR$2-1)/9,1),"000"),"")</f>
        <v>AU047</v>
      </c>
      <c r="AS20" s="22" t="str">
        <f>IF(INDEX('Shot Map'!$B$6:$V$26,CEILING($A20/5,1),CEILING(AS$2/5,1))=1,INDEX('Serial Reference'!$A$8:$W$8,1,FLOOR(($A20-1)/23,1)+1)&amp;INDEX('Serial Reference'!$A$8:$W$8,1,MOD($A20-1,23)+1)&amp;TEXT(AS$2+FLOOR((AS$2-1)/9,1),"000"),"")</f>
        <v>AU048</v>
      </c>
      <c r="AT20" s="23" t="str">
        <f>IF(INDEX('Shot Map'!$B$6:$V$26,CEILING($A20/5,1),CEILING(AT$2/5,1))=1,INDEX('Serial Reference'!$A$8:$W$8,1,FLOOR(($A20-1)/23,1)+1)&amp;INDEX('Serial Reference'!$A$8:$W$8,1,MOD($A20-1,23)+1)&amp;TEXT(AT$2+FLOOR((AT$2-1)/9,1),"000"),"")</f>
        <v>AU049</v>
      </c>
      <c r="AU20" s="21" t="str">
        <f>IF(INDEX('Shot Map'!$B$6:$V$26,CEILING($A20/5,1),CEILING(AU$2/5,1))=1,INDEX('Serial Reference'!$A$8:$W$8,1,FLOOR(($A20-1)/23,1)+1)&amp;INDEX('Serial Reference'!$A$8:$W$8,1,MOD($A20-1,23)+1)&amp;TEXT(AU$2+FLOOR((AU$2-1)/9,1),"000"),"")</f>
        <v>AU051</v>
      </c>
      <c r="AV20" s="22" t="str">
        <f>IF(INDEX('Shot Map'!$B$6:$V$26,CEILING($A20/5,1),CEILING(AV$2/5,1))=1,INDEX('Serial Reference'!$A$8:$W$8,1,FLOOR(($A20-1)/23,1)+1)&amp;INDEX('Serial Reference'!$A$8:$W$8,1,MOD($A20-1,23)+1)&amp;TEXT(AV$2+FLOOR((AV$2-1)/9,1),"000"),"")</f>
        <v>AU052</v>
      </c>
      <c r="AW20" s="22" t="str">
        <f>IF(INDEX('Shot Map'!$B$6:$V$26,CEILING($A20/5,1),CEILING(AW$2/5,1))=1,INDEX('Serial Reference'!$A$8:$W$8,1,FLOOR(($A20-1)/23,1)+1)&amp;INDEX('Serial Reference'!$A$8:$W$8,1,MOD($A20-1,23)+1)&amp;TEXT(AW$2+FLOOR((AW$2-1)/9,1),"000"),"")</f>
        <v>AU053</v>
      </c>
      <c r="AX20" s="22" t="str">
        <f>IF(INDEX('Shot Map'!$B$6:$V$26,CEILING($A20/5,1),CEILING(AX$2/5,1))=1,INDEX('Serial Reference'!$A$8:$W$8,1,FLOOR(($A20-1)/23,1)+1)&amp;INDEX('Serial Reference'!$A$8:$W$8,1,MOD($A20-1,23)+1)&amp;TEXT(AX$2+FLOOR((AX$2-1)/9,1),"000"),"")</f>
        <v>AU054</v>
      </c>
      <c r="AY20" s="23" t="str">
        <f>IF(INDEX('Shot Map'!$B$6:$V$26,CEILING($A20/5,1),CEILING(AY$2/5,1))=1,INDEX('Serial Reference'!$A$8:$W$8,1,FLOOR(($A20-1)/23,1)+1)&amp;INDEX('Serial Reference'!$A$8:$W$8,1,MOD($A20-1,23)+1)&amp;TEXT(AY$2+FLOOR((AY$2-1)/9,1),"000"),"")</f>
        <v>AU055</v>
      </c>
      <c r="AZ20" s="21" t="str">
        <f>IF(INDEX('Shot Map'!$B$6:$V$26,CEILING($A20/5,1),CEILING(AZ$2/5,1))=1,INDEX('Serial Reference'!$A$8:$W$8,1,FLOOR(($A20-1)/23,1)+1)&amp;INDEX('Serial Reference'!$A$8:$W$8,1,MOD($A20-1,23)+1)&amp;TEXT(AZ$2+FLOOR((AZ$2-1)/9,1),"000"),"")</f>
        <v>AU056</v>
      </c>
      <c r="BA20" s="22" t="str">
        <f>IF(INDEX('Shot Map'!$B$6:$V$26,CEILING($A20/5,1),CEILING(BA$2/5,1))=1,INDEX('Serial Reference'!$A$8:$W$8,1,FLOOR(($A20-1)/23,1)+1)&amp;INDEX('Serial Reference'!$A$8:$W$8,1,MOD($A20-1,23)+1)&amp;TEXT(BA$2+FLOOR((BA$2-1)/9,1),"000"),"")</f>
        <v>AU057</v>
      </c>
      <c r="BB20" s="22" t="str">
        <f>IF(INDEX('Shot Map'!$B$6:$V$26,CEILING($A20/5,1),CEILING(BB$2/5,1))=1,INDEX('Serial Reference'!$A$8:$W$8,1,FLOOR(($A20-1)/23,1)+1)&amp;INDEX('Serial Reference'!$A$8:$W$8,1,MOD($A20-1,23)+1)&amp;TEXT(BB$2+FLOOR((BB$2-1)/9,1),"000"),"")</f>
        <v>AU058</v>
      </c>
      <c r="BC20" s="22" t="str">
        <f>IF(INDEX('Shot Map'!$B$6:$V$26,CEILING($A20/5,1),CEILING(BC$2/5,1))=1,INDEX('Serial Reference'!$A$8:$W$8,1,FLOOR(($A20-1)/23,1)+1)&amp;INDEX('Serial Reference'!$A$8:$W$8,1,MOD($A20-1,23)+1)&amp;TEXT(BC$2+FLOOR((BC$2-1)/9,1),"000"),"")</f>
        <v>AU059</v>
      </c>
      <c r="BD20" s="23" t="str">
        <f>IF(INDEX('Shot Map'!$B$6:$V$26,CEILING($A20/5,1),CEILING(BD$2/5,1))=1,INDEX('Serial Reference'!$A$8:$W$8,1,FLOOR(($A20-1)/23,1)+1)&amp;INDEX('Serial Reference'!$A$8:$W$8,1,MOD($A20-1,23)+1)&amp;TEXT(BD$2+FLOOR((BD$2-1)/9,1),"000"),"")</f>
        <v>AU061</v>
      </c>
      <c r="BE20" s="21" t="str">
        <f>IF(INDEX('Shot Map'!$B$6:$V$26,CEILING($A20/5,1),CEILING(BE$2/5,1))=1,INDEX('Serial Reference'!$A$8:$W$8,1,FLOOR(($A20-1)/23,1)+1)&amp;INDEX('Serial Reference'!$A$8:$W$8,1,MOD($A20-1,23)+1)&amp;TEXT(BE$2+FLOOR((BE$2-1)/9,1),"000"),"")</f>
        <v>AU062</v>
      </c>
      <c r="BF20" s="22" t="str">
        <f>IF(INDEX('Shot Map'!$B$6:$V$26,CEILING($A20/5,1),CEILING(BF$2/5,1))=1,INDEX('Serial Reference'!$A$8:$W$8,1,FLOOR(($A20-1)/23,1)+1)&amp;INDEX('Serial Reference'!$A$8:$W$8,1,MOD($A20-1,23)+1)&amp;TEXT(BF$2+FLOOR((BF$2-1)/9,1),"000"),"")</f>
        <v>AU063</v>
      </c>
      <c r="BG20" s="22" t="str">
        <f>IF(INDEX('Shot Map'!$B$6:$V$26,CEILING($A20/5,1),CEILING(BG$2/5,1))=1,INDEX('Serial Reference'!$A$8:$W$8,1,FLOOR(($A20-1)/23,1)+1)&amp;INDEX('Serial Reference'!$A$8:$W$8,1,MOD($A20-1,23)+1)&amp;TEXT(BG$2+FLOOR((BG$2-1)/9,1),"000"),"")</f>
        <v>AU064</v>
      </c>
      <c r="BH20" s="22" t="str">
        <f>IF(INDEX('Shot Map'!$B$6:$V$26,CEILING($A20/5,1),CEILING(BH$2/5,1))=1,INDEX('Serial Reference'!$A$8:$W$8,1,FLOOR(($A20-1)/23,1)+1)&amp;INDEX('Serial Reference'!$A$8:$W$8,1,MOD($A20-1,23)+1)&amp;TEXT(BH$2+FLOOR((BH$2-1)/9,1),"000"),"")</f>
        <v>AU065</v>
      </c>
      <c r="BI20" s="23" t="str">
        <f>IF(INDEX('Shot Map'!$B$6:$V$26,CEILING($A20/5,1),CEILING(BI$2/5,1))=1,INDEX('Serial Reference'!$A$8:$W$8,1,FLOOR(($A20-1)/23,1)+1)&amp;INDEX('Serial Reference'!$A$8:$W$8,1,MOD($A20-1,23)+1)&amp;TEXT(BI$2+FLOOR((BI$2-1)/9,1),"000"),"")</f>
        <v>AU066</v>
      </c>
      <c r="BJ20" s="21" t="str">
        <f>IF(INDEX('Shot Map'!$B$6:$V$26,CEILING($A20/5,1),CEILING(BJ$2/5,1))=1,INDEX('Serial Reference'!$A$8:$W$8,1,FLOOR(($A20-1)/23,1)+1)&amp;INDEX('Serial Reference'!$A$8:$W$8,1,MOD($A20-1,23)+1)&amp;TEXT(BJ$2+FLOOR((BJ$2-1)/9,1),"000"),"")</f>
        <v>AU067</v>
      </c>
      <c r="BK20" s="22" t="str">
        <f>IF(INDEX('Shot Map'!$B$6:$V$26,CEILING($A20/5,1),CEILING(BK$2/5,1))=1,INDEX('Serial Reference'!$A$8:$W$8,1,FLOOR(($A20-1)/23,1)+1)&amp;INDEX('Serial Reference'!$A$8:$W$8,1,MOD($A20-1,23)+1)&amp;TEXT(BK$2+FLOOR((BK$2-1)/9,1),"000"),"")</f>
        <v>AU068</v>
      </c>
      <c r="BL20" s="22" t="str">
        <f>IF(INDEX('Shot Map'!$B$6:$V$26,CEILING($A20/5,1),CEILING(BL$2/5,1))=1,INDEX('Serial Reference'!$A$8:$W$8,1,FLOOR(($A20-1)/23,1)+1)&amp;INDEX('Serial Reference'!$A$8:$W$8,1,MOD($A20-1,23)+1)&amp;TEXT(BL$2+FLOOR((BL$2-1)/9,1),"000"),"")</f>
        <v>AU069</v>
      </c>
      <c r="BM20" s="22" t="str">
        <f>IF(INDEX('Shot Map'!$B$6:$V$26,CEILING($A20/5,1),CEILING(BM$2/5,1))=1,INDEX('Serial Reference'!$A$8:$W$8,1,FLOOR(($A20-1)/23,1)+1)&amp;INDEX('Serial Reference'!$A$8:$W$8,1,MOD($A20-1,23)+1)&amp;TEXT(BM$2+FLOOR((BM$2-1)/9,1),"000"),"")</f>
        <v>AU071</v>
      </c>
      <c r="BN20" s="23" t="str">
        <f>IF(INDEX('Shot Map'!$B$6:$V$26,CEILING($A20/5,1),CEILING(BN$2/5,1))=1,INDEX('Serial Reference'!$A$8:$W$8,1,FLOOR(($A20-1)/23,1)+1)&amp;INDEX('Serial Reference'!$A$8:$W$8,1,MOD($A20-1,23)+1)&amp;TEXT(BN$2+FLOOR((BN$2-1)/9,1),"000"),"")</f>
        <v>AU072</v>
      </c>
      <c r="BO20" s="21" t="str">
        <f>IF(INDEX('Shot Map'!$B$6:$V$26,CEILING($A20/5,1),CEILING(BO$2/5,1))=1,INDEX('Serial Reference'!$A$8:$W$8,1,FLOOR(($A20-1)/23,1)+1)&amp;INDEX('Serial Reference'!$A$8:$W$8,1,MOD($A20-1,23)+1)&amp;TEXT(BO$2+FLOOR((BO$2-1)/9,1),"000"),"")</f>
        <v>AU073</v>
      </c>
      <c r="BP20" s="22" t="str">
        <f>IF(INDEX('Shot Map'!$B$6:$V$26,CEILING($A20/5,1),CEILING(BP$2/5,1))=1,INDEX('Serial Reference'!$A$8:$W$8,1,FLOOR(($A20-1)/23,1)+1)&amp;INDEX('Serial Reference'!$A$8:$W$8,1,MOD($A20-1,23)+1)&amp;TEXT(BP$2+FLOOR((BP$2-1)/9,1),"000"),"")</f>
        <v>AU074</v>
      </c>
      <c r="BQ20" s="22" t="str">
        <f>IF(INDEX('Shot Map'!$B$6:$V$26,CEILING($A20/5,1),CEILING(BQ$2/5,1))=1,INDEX('Serial Reference'!$A$8:$W$8,1,FLOOR(($A20-1)/23,1)+1)&amp;INDEX('Serial Reference'!$A$8:$W$8,1,MOD($A20-1,23)+1)&amp;TEXT(BQ$2+FLOOR((BQ$2-1)/9,1),"000"),"")</f>
        <v>AU075</v>
      </c>
      <c r="BR20" s="22" t="str">
        <f>IF(INDEX('Shot Map'!$B$6:$V$26,CEILING($A20/5,1),CEILING(BR$2/5,1))=1,INDEX('Serial Reference'!$A$8:$W$8,1,FLOOR(($A20-1)/23,1)+1)&amp;INDEX('Serial Reference'!$A$8:$W$8,1,MOD($A20-1,23)+1)&amp;TEXT(BR$2+FLOOR((BR$2-1)/9,1),"000"),"")</f>
        <v>AU076</v>
      </c>
      <c r="BS20" s="23" t="str">
        <f>IF(INDEX('Shot Map'!$B$6:$V$26,CEILING($A20/5,1),CEILING(BS$2/5,1))=1,INDEX('Serial Reference'!$A$8:$W$8,1,FLOOR(($A20-1)/23,1)+1)&amp;INDEX('Serial Reference'!$A$8:$W$8,1,MOD($A20-1,23)+1)&amp;TEXT(BS$2+FLOOR((BS$2-1)/9,1),"000"),"")</f>
        <v>AU077</v>
      </c>
      <c r="BT20" s="21" t="str">
        <f>IF(INDEX('Shot Map'!$B$6:$V$26,CEILING($A20/5,1),CEILING(BT$2/5,1))=1,INDEX('Serial Reference'!$A$8:$W$8,1,FLOOR(($A20-1)/23,1)+1)&amp;INDEX('Serial Reference'!$A$8:$W$8,1,MOD($A20-1,23)+1)&amp;TEXT(BT$2+FLOOR((BT$2-1)/9,1),"000"),"")</f>
        <v>AU078</v>
      </c>
      <c r="BU20" s="22" t="str">
        <f>IF(INDEX('Shot Map'!$B$6:$V$26,CEILING($A20/5,1),CEILING(BU$2/5,1))=1,INDEX('Serial Reference'!$A$8:$W$8,1,FLOOR(($A20-1)/23,1)+1)&amp;INDEX('Serial Reference'!$A$8:$W$8,1,MOD($A20-1,23)+1)&amp;TEXT(BU$2+FLOOR((BU$2-1)/9,1),"000"),"")</f>
        <v>AU079</v>
      </c>
      <c r="BV20" s="22" t="str">
        <f>IF(INDEX('Shot Map'!$B$6:$V$26,CEILING($A20/5,1),CEILING(BV$2/5,1))=1,INDEX('Serial Reference'!$A$8:$W$8,1,FLOOR(($A20-1)/23,1)+1)&amp;INDEX('Serial Reference'!$A$8:$W$8,1,MOD($A20-1,23)+1)&amp;TEXT(BV$2+FLOOR((BV$2-1)/9,1),"000"),"")</f>
        <v>AU081</v>
      </c>
      <c r="BW20" s="22" t="str">
        <f>IF(INDEX('Shot Map'!$B$6:$V$26,CEILING($A20/5,1),CEILING(BW$2/5,1))=1,INDEX('Serial Reference'!$A$8:$W$8,1,FLOOR(($A20-1)/23,1)+1)&amp;INDEX('Serial Reference'!$A$8:$W$8,1,MOD($A20-1,23)+1)&amp;TEXT(BW$2+FLOOR((BW$2-1)/9,1),"000"),"")</f>
        <v>AU082</v>
      </c>
      <c r="BX20" s="23" t="str">
        <f>IF(INDEX('Shot Map'!$B$6:$V$26,CEILING($A20/5,1),CEILING(BX$2/5,1))=1,INDEX('Serial Reference'!$A$8:$W$8,1,FLOOR(($A20-1)/23,1)+1)&amp;INDEX('Serial Reference'!$A$8:$W$8,1,MOD($A20-1,23)+1)&amp;TEXT(BX$2+FLOOR((BX$2-1)/9,1),"000"),"")</f>
        <v>AU083</v>
      </c>
      <c r="BY20" s="21" t="str">
        <f>IF(INDEX('Shot Map'!$B$6:$V$26,CEILING($A20/5,1),CEILING(BY$2/5,1))=1,INDEX('Serial Reference'!$A$8:$W$8,1,FLOOR(($A20-1)/23,1)+1)&amp;INDEX('Serial Reference'!$A$8:$W$8,1,MOD($A20-1,23)+1)&amp;TEXT(BY$2+FLOOR((BY$2-1)/9,1),"000"),"")</f>
        <v>AU084</v>
      </c>
      <c r="BZ20" s="22" t="str">
        <f>IF(INDEX('Shot Map'!$B$6:$V$26,CEILING($A20/5,1),CEILING(BZ$2/5,1))=1,INDEX('Serial Reference'!$A$8:$W$8,1,FLOOR(($A20-1)/23,1)+1)&amp;INDEX('Serial Reference'!$A$8:$W$8,1,MOD($A20-1,23)+1)&amp;TEXT(BZ$2+FLOOR((BZ$2-1)/9,1),"000"),"")</f>
        <v>AU085</v>
      </c>
      <c r="CA20" s="22" t="str">
        <f>IF(INDEX('Shot Map'!$B$6:$V$26,CEILING($A20/5,1),CEILING(CA$2/5,1))=1,INDEX('Serial Reference'!$A$8:$W$8,1,FLOOR(($A20-1)/23,1)+1)&amp;INDEX('Serial Reference'!$A$8:$W$8,1,MOD($A20-1,23)+1)&amp;TEXT(CA$2+FLOOR((CA$2-1)/9,1),"000"),"")</f>
        <v>AU086</v>
      </c>
      <c r="CB20" s="22" t="str">
        <f>IF(INDEX('Shot Map'!$B$6:$V$26,CEILING($A20/5,1),CEILING(CB$2/5,1))=1,INDEX('Serial Reference'!$A$8:$W$8,1,FLOOR(($A20-1)/23,1)+1)&amp;INDEX('Serial Reference'!$A$8:$W$8,1,MOD($A20-1,23)+1)&amp;TEXT(CB$2+FLOOR((CB$2-1)/9,1),"000"),"")</f>
        <v>AU087</v>
      </c>
      <c r="CC20" s="23" t="str">
        <f>IF(INDEX('Shot Map'!$B$6:$V$26,CEILING($A20/5,1),CEILING(CC$2/5,1))=1,INDEX('Serial Reference'!$A$8:$W$8,1,FLOOR(($A20-1)/23,1)+1)&amp;INDEX('Serial Reference'!$A$8:$W$8,1,MOD($A20-1,23)+1)&amp;TEXT(CC$2+FLOOR((CC$2-1)/9,1),"000"),"")</f>
        <v>AU088</v>
      </c>
      <c r="CD20" s="21" t="str">
        <f>IF(INDEX('Shot Map'!$B$6:$V$26,CEILING($A20/5,1),CEILING(CD$2/5,1))=1,INDEX('Serial Reference'!$A$8:$W$8,1,FLOOR(($A20-1)/23,1)+1)&amp;INDEX('Serial Reference'!$A$8:$W$8,1,MOD($A20-1,23)+1)&amp;TEXT(CD$2+FLOOR((CD$2-1)/9,1),"000"),"")</f>
        <v>AU089</v>
      </c>
      <c r="CE20" s="22" t="str">
        <f>IF(INDEX('Shot Map'!$B$6:$V$26,CEILING($A20/5,1),CEILING(CE$2/5,1))=1,INDEX('Serial Reference'!$A$8:$W$8,1,FLOOR(($A20-1)/23,1)+1)&amp;INDEX('Serial Reference'!$A$8:$W$8,1,MOD($A20-1,23)+1)&amp;TEXT(CE$2+FLOOR((CE$2-1)/9,1),"000"),"")</f>
        <v>AU091</v>
      </c>
      <c r="CF20" s="22" t="str">
        <f>IF(INDEX('Shot Map'!$B$6:$V$26,CEILING($A20/5,1),CEILING(CF$2/5,1))=1,INDEX('Serial Reference'!$A$8:$W$8,1,FLOOR(($A20-1)/23,1)+1)&amp;INDEX('Serial Reference'!$A$8:$W$8,1,MOD($A20-1,23)+1)&amp;TEXT(CF$2+FLOOR((CF$2-1)/9,1),"000"),"")</f>
        <v>AU092</v>
      </c>
      <c r="CG20" s="22" t="str">
        <f>IF(INDEX('Shot Map'!$B$6:$V$26,CEILING($A20/5,1),CEILING(CG$2/5,1))=1,INDEX('Serial Reference'!$A$8:$W$8,1,FLOOR(($A20-1)/23,1)+1)&amp;INDEX('Serial Reference'!$A$8:$W$8,1,MOD($A20-1,23)+1)&amp;TEXT(CG$2+FLOOR((CG$2-1)/9,1),"000"),"")</f>
        <v>AU093</v>
      </c>
      <c r="CH20" s="23" t="str">
        <f>IF(INDEX('Shot Map'!$B$6:$V$26,CEILING($A20/5,1),CEILING(CH$2/5,1))=1,INDEX('Serial Reference'!$A$8:$W$8,1,FLOOR(($A20-1)/23,1)+1)&amp;INDEX('Serial Reference'!$A$8:$W$8,1,MOD($A20-1,23)+1)&amp;TEXT(CH$2+FLOOR((CH$2-1)/9,1),"000"),"")</f>
        <v>AU094</v>
      </c>
      <c r="CI20" s="21" t="str">
        <f>IF(INDEX('Shot Map'!$B$6:$V$26,CEILING($A20/5,1),CEILING(CI$2/5,1))=1,INDEX('Serial Reference'!$A$8:$W$8,1,FLOOR(($A20-1)/23,1)+1)&amp;INDEX('Serial Reference'!$A$8:$W$8,1,MOD($A20-1,23)+1)&amp;TEXT(CI$2+FLOOR((CI$2-1)/9,1),"000"),"")</f>
        <v>AU095</v>
      </c>
      <c r="CJ20" s="22" t="str">
        <f>IF(INDEX('Shot Map'!$B$6:$V$26,CEILING($A20/5,1),CEILING(CJ$2/5,1))=1,INDEX('Serial Reference'!$A$8:$W$8,1,FLOOR(($A20-1)/23,1)+1)&amp;INDEX('Serial Reference'!$A$8:$W$8,1,MOD($A20-1,23)+1)&amp;TEXT(CJ$2+FLOOR((CJ$2-1)/9,1),"000"),"")</f>
        <v>AU096</v>
      </c>
      <c r="CK20" s="22" t="str">
        <f>IF(INDEX('Shot Map'!$B$6:$V$26,CEILING($A20/5,1),CEILING(CK$2/5,1))=1,INDEX('Serial Reference'!$A$8:$W$8,1,FLOOR(($A20-1)/23,1)+1)&amp;INDEX('Serial Reference'!$A$8:$W$8,1,MOD($A20-1,23)+1)&amp;TEXT(CK$2+FLOOR((CK$2-1)/9,1),"000"),"")</f>
        <v>AU097</v>
      </c>
      <c r="CL20" s="22" t="str">
        <f>IF(INDEX('Shot Map'!$B$6:$V$26,CEILING($A20/5,1),CEILING(CL$2/5,1))=1,INDEX('Serial Reference'!$A$8:$W$8,1,FLOOR(($A20-1)/23,1)+1)&amp;INDEX('Serial Reference'!$A$8:$W$8,1,MOD($A20-1,23)+1)&amp;TEXT(CL$2+FLOOR((CL$2-1)/9,1),"000"),"")</f>
        <v>AU098</v>
      </c>
      <c r="CM20" s="23" t="str">
        <f>IF(INDEX('Shot Map'!$B$6:$V$26,CEILING($A20/5,1),CEILING(CM$2/5,1))=1,INDEX('Serial Reference'!$A$8:$W$8,1,FLOOR(($A20-1)/23,1)+1)&amp;INDEX('Serial Reference'!$A$8:$W$8,1,MOD($A20-1,23)+1)&amp;TEXT(CM$2+FLOOR((CM$2-1)/9,1),"000"),"")</f>
        <v>AU099</v>
      </c>
      <c r="CN20" s="21" t="str">
        <f>IF(INDEX('Shot Map'!$B$6:$V$26,CEILING($A20/5,1),CEILING(CN$2/5,1))=1,INDEX('Serial Reference'!$A$8:$W$8,1,FLOOR(($A20-1)/23,1)+1)&amp;INDEX('Serial Reference'!$A$8:$W$8,1,MOD($A20-1,23)+1)&amp;TEXT(CN$2+FLOOR((CN$2-1)/9,1),"000"),"")</f>
        <v/>
      </c>
      <c r="CO20" s="22" t="str">
        <f>IF(INDEX('Shot Map'!$B$6:$V$26,CEILING($A20/5,1),CEILING(CO$2/5,1))=1,INDEX('Serial Reference'!$A$8:$W$8,1,FLOOR(($A20-1)/23,1)+1)&amp;INDEX('Serial Reference'!$A$8:$W$8,1,MOD($A20-1,23)+1)&amp;TEXT(CO$2+FLOOR((CO$2-1)/9,1),"000"),"")</f>
        <v/>
      </c>
      <c r="CP20" s="22" t="str">
        <f>IF(INDEX('Shot Map'!$B$6:$V$26,CEILING($A20/5,1),CEILING(CP$2/5,1))=1,INDEX('Serial Reference'!$A$8:$W$8,1,FLOOR(($A20-1)/23,1)+1)&amp;INDEX('Serial Reference'!$A$8:$W$8,1,MOD($A20-1,23)+1)&amp;TEXT(CP$2+FLOOR((CP$2-1)/9,1),"000"),"")</f>
        <v/>
      </c>
      <c r="CQ20" s="22" t="str">
        <f>IF(INDEX('Shot Map'!$B$6:$V$26,CEILING($A20/5,1),CEILING(CQ$2/5,1))=1,INDEX('Serial Reference'!$A$8:$W$8,1,FLOOR(($A20-1)/23,1)+1)&amp;INDEX('Serial Reference'!$A$8:$W$8,1,MOD($A20-1,23)+1)&amp;TEXT(CQ$2+FLOOR((CQ$2-1)/9,1),"000"),"")</f>
        <v/>
      </c>
      <c r="CR20" s="23" t="str">
        <f>IF(INDEX('Shot Map'!$B$6:$V$26,CEILING($A20/5,1),CEILING(CR$2/5,1))=1,INDEX('Serial Reference'!$A$8:$W$8,1,FLOOR(($A20-1)/23,1)+1)&amp;INDEX('Serial Reference'!$A$8:$W$8,1,MOD($A20-1,23)+1)&amp;TEXT(CR$2+FLOOR((CR$2-1)/9,1),"000"),"")</f>
        <v/>
      </c>
      <c r="CS20" s="21" t="str">
        <f>IF(INDEX('Shot Map'!$B$6:$V$26,CEILING($A20/5,1),CEILING(CS$2/5,1))=1,INDEX('Serial Reference'!$A$8:$W$8,1,FLOOR(($A20-1)/23,1)+1)&amp;INDEX('Serial Reference'!$A$8:$W$8,1,MOD($A20-1,23)+1)&amp;TEXT(CS$2+FLOOR((CS$2-1)/9,1),"000"),"")</f>
        <v/>
      </c>
      <c r="CT20" s="22" t="str">
        <f>IF(INDEX('Shot Map'!$B$6:$V$26,CEILING($A20/5,1),CEILING(CT$2/5,1))=1,INDEX('Serial Reference'!$A$8:$W$8,1,FLOOR(($A20-1)/23,1)+1)&amp;INDEX('Serial Reference'!$A$8:$W$8,1,MOD($A20-1,23)+1)&amp;TEXT(CT$2+FLOOR((CT$2-1)/9,1),"000"),"")</f>
        <v/>
      </c>
      <c r="CU20" s="22" t="str">
        <f>IF(INDEX('Shot Map'!$B$6:$V$26,CEILING($A20/5,1),CEILING(CU$2/5,1))=1,INDEX('Serial Reference'!$A$8:$W$8,1,FLOOR(($A20-1)/23,1)+1)&amp;INDEX('Serial Reference'!$A$8:$W$8,1,MOD($A20-1,23)+1)&amp;TEXT(CU$2+FLOOR((CU$2-1)/9,1),"000"),"")</f>
        <v/>
      </c>
      <c r="CV20" s="22" t="str">
        <f>IF(INDEX('Shot Map'!$B$6:$V$26,CEILING($A20/5,1),CEILING(CV$2/5,1))=1,INDEX('Serial Reference'!$A$8:$W$8,1,FLOOR(($A20-1)/23,1)+1)&amp;INDEX('Serial Reference'!$A$8:$W$8,1,MOD($A20-1,23)+1)&amp;TEXT(CV$2+FLOOR((CV$2-1)/9,1),"000"),"")</f>
        <v/>
      </c>
      <c r="CW20" s="23" t="str">
        <f>IF(INDEX('Shot Map'!$B$6:$V$26,CEILING($A20/5,1),CEILING(CW$2/5,1))=1,INDEX('Serial Reference'!$A$8:$W$8,1,FLOOR(($A20-1)/23,1)+1)&amp;INDEX('Serial Reference'!$A$8:$W$8,1,MOD($A20-1,23)+1)&amp;TEXT(CW$2+FLOOR((CW$2-1)/9,1),"000"),"")</f>
        <v/>
      </c>
      <c r="CX20" s="21" t="str">
        <f>IF(INDEX('Shot Map'!$B$6:$V$26,CEILING($A20/5,1),CEILING(CX$2/5,1))=1,INDEX('Serial Reference'!$A$8:$W$8,1,FLOOR(($A20-1)/23,1)+1)&amp;INDEX('Serial Reference'!$A$8:$W$8,1,MOD($A20-1,23)+1)&amp;TEXT(CX$2+FLOOR((CX$2-1)/9,1),"000"),"")</f>
        <v/>
      </c>
      <c r="CY20" s="22" t="str">
        <f>IF(INDEX('Shot Map'!$B$6:$V$26,CEILING($A20/5,1),CEILING(CY$2/5,1))=1,INDEX('Serial Reference'!$A$8:$W$8,1,FLOOR(($A20-1)/23,1)+1)&amp;INDEX('Serial Reference'!$A$8:$W$8,1,MOD($A20-1,23)+1)&amp;TEXT(CY$2+FLOOR((CY$2-1)/9,1),"000"),"")</f>
        <v/>
      </c>
      <c r="CZ20" s="22" t="str">
        <f>IF(INDEX('Shot Map'!$B$6:$V$26,CEILING($A20/5,1),CEILING(CZ$2/5,1))=1,INDEX('Serial Reference'!$A$8:$W$8,1,FLOOR(($A20-1)/23,1)+1)&amp;INDEX('Serial Reference'!$A$8:$W$8,1,MOD($A20-1,23)+1)&amp;TEXT(CZ$2+FLOOR((CZ$2-1)/9,1),"000"),"")</f>
        <v/>
      </c>
      <c r="DA20" s="22" t="str">
        <f>IF(INDEX('Shot Map'!$B$6:$V$26,CEILING($A20/5,1),CEILING(DA$2/5,1))=1,INDEX('Serial Reference'!$A$8:$W$8,1,FLOOR(($A20-1)/23,1)+1)&amp;INDEX('Serial Reference'!$A$8:$W$8,1,MOD($A20-1,23)+1)&amp;TEXT(DA$2+FLOOR((DA$2-1)/9,1),"000"),"")</f>
        <v/>
      </c>
      <c r="DB20" s="23" t="str">
        <f>IF(INDEX('Shot Map'!$B$6:$V$26,CEILING($A20/5,1),CEILING(DB$2/5,1))=1,INDEX('Serial Reference'!$A$8:$W$8,1,FLOOR(($A20-1)/23,1)+1)&amp;INDEX('Serial Reference'!$A$8:$W$8,1,MOD($A20-1,23)+1)&amp;TEXT(DB$2+FLOOR((DB$2-1)/9,1),"000"),"")</f>
        <v/>
      </c>
    </row>
    <row r="21" spans="1:106" ht="12.75" customHeight="1" x14ac:dyDescent="0.25">
      <c r="A21" s="17">
        <v>19</v>
      </c>
      <c r="B21" s="21" t="str">
        <f>IF(INDEX('Shot Map'!$B$6:$V$26,CEILING($A21/5,1),CEILING(B$2/5,1))=1,INDEX('Serial Reference'!$A$8:$W$8,1,FLOOR(($A21-1)/23,1)+1)&amp;INDEX('Serial Reference'!$A$8:$W$8,1,MOD($A21-1,23)+1)&amp;TEXT(B$2+FLOOR((B$2-1)/9,1),"000"),"")</f>
        <v/>
      </c>
      <c r="C21" s="22" t="str">
        <f>IF(INDEX('Shot Map'!$B$6:$V$26,CEILING($A21/5,1),CEILING(C$2/5,1))=1,INDEX('Serial Reference'!$A$8:$W$8,1,FLOOR(($A21-1)/23,1)+1)&amp;INDEX('Serial Reference'!$A$8:$W$8,1,MOD($A21-1,23)+1)&amp;TEXT(C$2+FLOOR((C$2-1)/9,1),"000"),"")</f>
        <v/>
      </c>
      <c r="D21" s="22" t="str">
        <f>IF(INDEX('Shot Map'!$B$6:$V$26,CEILING($A21/5,1),CEILING(D$2/5,1))=1,INDEX('Serial Reference'!$A$8:$W$8,1,FLOOR(($A21-1)/23,1)+1)&amp;INDEX('Serial Reference'!$A$8:$W$8,1,MOD($A21-1,23)+1)&amp;TEXT(D$2+FLOOR((D$2-1)/9,1),"000"),"")</f>
        <v/>
      </c>
      <c r="E21" s="22" t="str">
        <f>IF(INDEX('Shot Map'!$B$6:$V$26,CEILING($A21/5,1),CEILING(E$2/5,1))=1,INDEX('Serial Reference'!$A$8:$W$8,1,FLOOR(($A21-1)/23,1)+1)&amp;INDEX('Serial Reference'!$A$8:$W$8,1,MOD($A21-1,23)+1)&amp;TEXT(E$2+FLOOR((E$2-1)/9,1),"000"),"")</f>
        <v/>
      </c>
      <c r="F21" s="23" t="str">
        <f>IF(INDEX('Shot Map'!$B$6:$V$26,CEILING($A21/5,1),CEILING(F$2/5,1))=1,INDEX('Serial Reference'!$A$8:$W$8,1,FLOOR(($A21-1)/23,1)+1)&amp;INDEX('Serial Reference'!$A$8:$W$8,1,MOD($A21-1,23)+1)&amp;TEXT(F$2+FLOOR((F$2-1)/9,1),"000"),"")</f>
        <v/>
      </c>
      <c r="G21" s="21" t="str">
        <f>IF(INDEX('Shot Map'!$B$6:$V$26,CEILING($A21/5,1),CEILING(G$2/5,1))=1,INDEX('Serial Reference'!$A$8:$W$8,1,FLOOR(($A21-1)/23,1)+1)&amp;INDEX('Serial Reference'!$A$8:$W$8,1,MOD($A21-1,23)+1)&amp;TEXT(G$2+FLOOR((G$2-1)/9,1),"000"),"")</f>
        <v/>
      </c>
      <c r="H21" s="22" t="str">
        <f>IF(INDEX('Shot Map'!$B$6:$V$26,CEILING($A21/5,1),CEILING(H$2/5,1))=1,INDEX('Serial Reference'!$A$8:$W$8,1,FLOOR(($A21-1)/23,1)+1)&amp;INDEX('Serial Reference'!$A$8:$W$8,1,MOD($A21-1,23)+1)&amp;TEXT(H$2+FLOOR((H$2-1)/9,1),"000"),"")</f>
        <v/>
      </c>
      <c r="I21" s="22" t="str">
        <f>IF(INDEX('Shot Map'!$B$6:$V$26,CEILING($A21/5,1),CEILING(I$2/5,1))=1,INDEX('Serial Reference'!$A$8:$W$8,1,FLOOR(($A21-1)/23,1)+1)&amp;INDEX('Serial Reference'!$A$8:$W$8,1,MOD($A21-1,23)+1)&amp;TEXT(I$2+FLOOR((I$2-1)/9,1),"000"),"")</f>
        <v/>
      </c>
      <c r="J21" s="22" t="str">
        <f>IF(INDEX('Shot Map'!$B$6:$V$26,CEILING($A21/5,1),CEILING(J$2/5,1))=1,INDEX('Serial Reference'!$A$8:$W$8,1,FLOOR(($A21-1)/23,1)+1)&amp;INDEX('Serial Reference'!$A$8:$W$8,1,MOD($A21-1,23)+1)&amp;TEXT(J$2+FLOOR((J$2-1)/9,1),"000"),"")</f>
        <v/>
      </c>
      <c r="K21" s="23" t="str">
        <f>IF(INDEX('Shot Map'!$B$6:$V$26,CEILING($A21/5,1),CEILING(K$2/5,1))=1,INDEX('Serial Reference'!$A$8:$W$8,1,FLOOR(($A21-1)/23,1)+1)&amp;INDEX('Serial Reference'!$A$8:$W$8,1,MOD($A21-1,23)+1)&amp;TEXT(K$2+FLOOR((K$2-1)/9,1),"000"),"")</f>
        <v/>
      </c>
      <c r="L21" s="21" t="str">
        <f>IF(INDEX('Shot Map'!$B$6:$V$26,CEILING($A21/5,1),CEILING(L$2/5,1))=1,INDEX('Serial Reference'!$A$8:$W$8,1,FLOOR(($A21-1)/23,1)+1)&amp;INDEX('Serial Reference'!$A$8:$W$8,1,MOD($A21-1,23)+1)&amp;TEXT(L$2+FLOOR((L$2-1)/9,1),"000"),"")</f>
        <v/>
      </c>
      <c r="M21" s="22" t="str">
        <f>IF(INDEX('Shot Map'!$B$6:$V$26,CEILING($A21/5,1),CEILING(M$2/5,1))=1,INDEX('Serial Reference'!$A$8:$W$8,1,FLOOR(($A21-1)/23,1)+1)&amp;INDEX('Serial Reference'!$A$8:$W$8,1,MOD($A21-1,23)+1)&amp;TEXT(M$2+FLOOR((M$2-1)/9,1),"000"),"")</f>
        <v/>
      </c>
      <c r="N21" s="22" t="str">
        <f>IF(INDEX('Shot Map'!$B$6:$V$26,CEILING($A21/5,1),CEILING(N$2/5,1))=1,INDEX('Serial Reference'!$A$8:$W$8,1,FLOOR(($A21-1)/23,1)+1)&amp;INDEX('Serial Reference'!$A$8:$W$8,1,MOD($A21-1,23)+1)&amp;TEXT(N$2+FLOOR((N$2-1)/9,1),"000"),"")</f>
        <v/>
      </c>
      <c r="O21" s="22" t="str">
        <f>IF(INDEX('Shot Map'!$B$6:$V$26,CEILING($A21/5,1),CEILING(O$2/5,1))=1,INDEX('Serial Reference'!$A$8:$W$8,1,FLOOR(($A21-1)/23,1)+1)&amp;INDEX('Serial Reference'!$A$8:$W$8,1,MOD($A21-1,23)+1)&amp;TEXT(O$2+FLOOR((O$2-1)/9,1),"000"),"")</f>
        <v/>
      </c>
      <c r="P21" s="23" t="str">
        <f>IF(INDEX('Shot Map'!$B$6:$V$26,CEILING($A21/5,1),CEILING(P$2/5,1))=1,INDEX('Serial Reference'!$A$8:$W$8,1,FLOOR(($A21-1)/23,1)+1)&amp;INDEX('Serial Reference'!$A$8:$W$8,1,MOD($A21-1,23)+1)&amp;TEXT(P$2+FLOOR((P$2-1)/9,1),"000"),"")</f>
        <v/>
      </c>
      <c r="Q21" s="21" t="str">
        <f>IF(INDEX('Shot Map'!$B$6:$V$26,CEILING($A21/5,1),CEILING(Q$2/5,1))=1,INDEX('Serial Reference'!$A$8:$W$8,1,FLOOR(($A21-1)/23,1)+1)&amp;INDEX('Serial Reference'!$A$8:$W$8,1,MOD($A21-1,23)+1)&amp;TEXT(Q$2+FLOOR((Q$2-1)/9,1),"000"),"")</f>
        <v>AV017</v>
      </c>
      <c r="R21" s="22" t="str">
        <f>IF(INDEX('Shot Map'!$B$6:$V$26,CEILING($A21/5,1),CEILING(R$2/5,1))=1,INDEX('Serial Reference'!$A$8:$W$8,1,FLOOR(($A21-1)/23,1)+1)&amp;INDEX('Serial Reference'!$A$8:$W$8,1,MOD($A21-1,23)+1)&amp;TEXT(R$2+FLOOR((R$2-1)/9,1),"000"),"")</f>
        <v>AV018</v>
      </c>
      <c r="S21" s="22" t="str">
        <f>IF(INDEX('Shot Map'!$B$6:$V$26,CEILING($A21/5,1),CEILING(S$2/5,1))=1,INDEX('Serial Reference'!$A$8:$W$8,1,FLOOR(($A21-1)/23,1)+1)&amp;INDEX('Serial Reference'!$A$8:$W$8,1,MOD($A21-1,23)+1)&amp;TEXT(S$2+FLOOR((S$2-1)/9,1),"000"),"")</f>
        <v>AV019</v>
      </c>
      <c r="T21" s="22" t="str">
        <f>IF(INDEX('Shot Map'!$B$6:$V$26,CEILING($A21/5,1),CEILING(T$2/5,1))=1,INDEX('Serial Reference'!$A$8:$W$8,1,FLOOR(($A21-1)/23,1)+1)&amp;INDEX('Serial Reference'!$A$8:$W$8,1,MOD($A21-1,23)+1)&amp;TEXT(T$2+FLOOR((T$2-1)/9,1),"000"),"")</f>
        <v>AV021</v>
      </c>
      <c r="U21" s="23" t="str">
        <f>IF(INDEX('Shot Map'!$B$6:$V$26,CEILING($A21/5,1),CEILING(U$2/5,1))=1,INDEX('Serial Reference'!$A$8:$W$8,1,FLOOR(($A21-1)/23,1)+1)&amp;INDEX('Serial Reference'!$A$8:$W$8,1,MOD($A21-1,23)+1)&amp;TEXT(U$2+FLOOR((U$2-1)/9,1),"000"),"")</f>
        <v>AV022</v>
      </c>
      <c r="V21" s="21" t="str">
        <f>IF(INDEX('Shot Map'!$B$6:$V$26,CEILING($A21/5,1),CEILING(V$2/5,1))=1,INDEX('Serial Reference'!$A$8:$W$8,1,FLOOR(($A21-1)/23,1)+1)&amp;INDEX('Serial Reference'!$A$8:$W$8,1,MOD($A21-1,23)+1)&amp;TEXT(V$2+FLOOR((V$2-1)/9,1),"000"),"")</f>
        <v>AV023</v>
      </c>
      <c r="W21" s="22" t="str">
        <f>IF(INDEX('Shot Map'!$B$6:$V$26,CEILING($A21/5,1),CEILING(W$2/5,1))=1,INDEX('Serial Reference'!$A$8:$W$8,1,FLOOR(($A21-1)/23,1)+1)&amp;INDEX('Serial Reference'!$A$8:$W$8,1,MOD($A21-1,23)+1)&amp;TEXT(W$2+FLOOR((W$2-1)/9,1),"000"),"")</f>
        <v>AV024</v>
      </c>
      <c r="X21" s="22" t="str">
        <f>IF(INDEX('Shot Map'!$B$6:$V$26,CEILING($A21/5,1),CEILING(X$2/5,1))=1,INDEX('Serial Reference'!$A$8:$W$8,1,FLOOR(($A21-1)/23,1)+1)&amp;INDEX('Serial Reference'!$A$8:$W$8,1,MOD($A21-1,23)+1)&amp;TEXT(X$2+FLOOR((X$2-1)/9,1),"000"),"")</f>
        <v>AV025</v>
      </c>
      <c r="Y21" s="22" t="str">
        <f>IF(INDEX('Shot Map'!$B$6:$V$26,CEILING($A21/5,1),CEILING(Y$2/5,1))=1,INDEX('Serial Reference'!$A$8:$W$8,1,FLOOR(($A21-1)/23,1)+1)&amp;INDEX('Serial Reference'!$A$8:$W$8,1,MOD($A21-1,23)+1)&amp;TEXT(Y$2+FLOOR((Y$2-1)/9,1),"000"),"")</f>
        <v>AV026</v>
      </c>
      <c r="Z21" s="23" t="str">
        <f>IF(INDEX('Shot Map'!$B$6:$V$26,CEILING($A21/5,1),CEILING(Z$2/5,1))=1,INDEX('Serial Reference'!$A$8:$W$8,1,FLOOR(($A21-1)/23,1)+1)&amp;INDEX('Serial Reference'!$A$8:$W$8,1,MOD($A21-1,23)+1)&amp;TEXT(Z$2+FLOOR((Z$2-1)/9,1),"000"),"")</f>
        <v>AV027</v>
      </c>
      <c r="AA21" s="21" t="str">
        <f>IF(INDEX('Shot Map'!$B$6:$V$26,CEILING($A21/5,1),CEILING(AA$2/5,1))=1,INDEX('Serial Reference'!$A$8:$W$8,1,FLOOR(($A21-1)/23,1)+1)&amp;INDEX('Serial Reference'!$A$8:$W$8,1,MOD($A21-1,23)+1)&amp;TEXT(AA$2+FLOOR((AA$2-1)/9,1),"000"),"")</f>
        <v>AV028</v>
      </c>
      <c r="AB21" s="22" t="str">
        <f>IF(INDEX('Shot Map'!$B$6:$V$26,CEILING($A21/5,1),CEILING(AB$2/5,1))=1,INDEX('Serial Reference'!$A$8:$W$8,1,FLOOR(($A21-1)/23,1)+1)&amp;INDEX('Serial Reference'!$A$8:$W$8,1,MOD($A21-1,23)+1)&amp;TEXT(AB$2+FLOOR((AB$2-1)/9,1),"000"),"")</f>
        <v>AV029</v>
      </c>
      <c r="AC21" s="22" t="str">
        <f>IF(INDEX('Shot Map'!$B$6:$V$26,CEILING($A21/5,1),CEILING(AC$2/5,1))=1,INDEX('Serial Reference'!$A$8:$W$8,1,FLOOR(($A21-1)/23,1)+1)&amp;INDEX('Serial Reference'!$A$8:$W$8,1,MOD($A21-1,23)+1)&amp;TEXT(AC$2+FLOOR((AC$2-1)/9,1),"000"),"")</f>
        <v>AV031</v>
      </c>
      <c r="AD21" s="22" t="str">
        <f>IF(INDEX('Shot Map'!$B$6:$V$26,CEILING($A21/5,1),CEILING(AD$2/5,1))=1,INDEX('Serial Reference'!$A$8:$W$8,1,FLOOR(($A21-1)/23,1)+1)&amp;INDEX('Serial Reference'!$A$8:$W$8,1,MOD($A21-1,23)+1)&amp;TEXT(AD$2+FLOOR((AD$2-1)/9,1),"000"),"")</f>
        <v>AV032</v>
      </c>
      <c r="AE21" s="23" t="str">
        <f>IF(INDEX('Shot Map'!$B$6:$V$26,CEILING($A21/5,1),CEILING(AE$2/5,1))=1,INDEX('Serial Reference'!$A$8:$W$8,1,FLOOR(($A21-1)/23,1)+1)&amp;INDEX('Serial Reference'!$A$8:$W$8,1,MOD($A21-1,23)+1)&amp;TEXT(AE$2+FLOOR((AE$2-1)/9,1),"000"),"")</f>
        <v>AV033</v>
      </c>
      <c r="AF21" s="21" t="str">
        <f>IF(INDEX('Shot Map'!$B$6:$V$26,CEILING($A21/5,1),CEILING(AF$2/5,1))=1,INDEX('Serial Reference'!$A$8:$W$8,1,FLOOR(($A21-1)/23,1)+1)&amp;INDEX('Serial Reference'!$A$8:$W$8,1,MOD($A21-1,23)+1)&amp;TEXT(AF$2+FLOOR((AF$2-1)/9,1),"000"),"")</f>
        <v>AV034</v>
      </c>
      <c r="AG21" s="22" t="str">
        <f>IF(INDEX('Shot Map'!$B$6:$V$26,CEILING($A21/5,1),CEILING(AG$2/5,1))=1,INDEX('Serial Reference'!$A$8:$W$8,1,FLOOR(($A21-1)/23,1)+1)&amp;INDEX('Serial Reference'!$A$8:$W$8,1,MOD($A21-1,23)+1)&amp;TEXT(AG$2+FLOOR((AG$2-1)/9,1),"000"),"")</f>
        <v>AV035</v>
      </c>
      <c r="AH21" s="22" t="str">
        <f>IF(INDEX('Shot Map'!$B$6:$V$26,CEILING($A21/5,1),CEILING(AH$2/5,1))=1,INDEX('Serial Reference'!$A$8:$W$8,1,FLOOR(($A21-1)/23,1)+1)&amp;INDEX('Serial Reference'!$A$8:$W$8,1,MOD($A21-1,23)+1)&amp;TEXT(AH$2+FLOOR((AH$2-1)/9,1),"000"),"")</f>
        <v>AV036</v>
      </c>
      <c r="AI21" s="22" t="str">
        <f>IF(INDEX('Shot Map'!$B$6:$V$26,CEILING($A21/5,1),CEILING(AI$2/5,1))=1,INDEX('Serial Reference'!$A$8:$W$8,1,FLOOR(($A21-1)/23,1)+1)&amp;INDEX('Serial Reference'!$A$8:$W$8,1,MOD($A21-1,23)+1)&amp;TEXT(AI$2+FLOOR((AI$2-1)/9,1),"000"),"")</f>
        <v>AV037</v>
      </c>
      <c r="AJ21" s="23" t="str">
        <f>IF(INDEX('Shot Map'!$B$6:$V$26,CEILING($A21/5,1),CEILING(AJ$2/5,1))=1,INDEX('Serial Reference'!$A$8:$W$8,1,FLOOR(($A21-1)/23,1)+1)&amp;INDEX('Serial Reference'!$A$8:$W$8,1,MOD($A21-1,23)+1)&amp;TEXT(AJ$2+FLOOR((AJ$2-1)/9,1),"000"),"")</f>
        <v>AV038</v>
      </c>
      <c r="AK21" s="21" t="str">
        <f>IF(INDEX('Shot Map'!$B$6:$V$26,CEILING($A21/5,1),CEILING(AK$2/5,1))=1,INDEX('Serial Reference'!$A$8:$W$8,1,FLOOR(($A21-1)/23,1)+1)&amp;INDEX('Serial Reference'!$A$8:$W$8,1,MOD($A21-1,23)+1)&amp;TEXT(AK$2+FLOOR((AK$2-1)/9,1),"000"),"")</f>
        <v>AV039</v>
      </c>
      <c r="AL21" s="22" t="str">
        <f>IF(INDEX('Shot Map'!$B$6:$V$26,CEILING($A21/5,1),CEILING(AL$2/5,1))=1,INDEX('Serial Reference'!$A$8:$W$8,1,FLOOR(($A21-1)/23,1)+1)&amp;INDEX('Serial Reference'!$A$8:$W$8,1,MOD($A21-1,23)+1)&amp;TEXT(AL$2+FLOOR((AL$2-1)/9,1),"000"),"")</f>
        <v>AV041</v>
      </c>
      <c r="AM21" s="22" t="str">
        <f>IF(INDEX('Shot Map'!$B$6:$V$26,CEILING($A21/5,1),CEILING(AM$2/5,1))=1,INDEX('Serial Reference'!$A$8:$W$8,1,FLOOR(($A21-1)/23,1)+1)&amp;INDEX('Serial Reference'!$A$8:$W$8,1,MOD($A21-1,23)+1)&amp;TEXT(AM$2+FLOOR((AM$2-1)/9,1),"000"),"")</f>
        <v>AV042</v>
      </c>
      <c r="AN21" s="22" t="str">
        <f>IF(INDEX('Shot Map'!$B$6:$V$26,CEILING($A21/5,1),CEILING(AN$2/5,1))=1,INDEX('Serial Reference'!$A$8:$W$8,1,FLOOR(($A21-1)/23,1)+1)&amp;INDEX('Serial Reference'!$A$8:$W$8,1,MOD($A21-1,23)+1)&amp;TEXT(AN$2+FLOOR((AN$2-1)/9,1),"000"),"")</f>
        <v>AV043</v>
      </c>
      <c r="AO21" s="23" t="str">
        <f>IF(INDEX('Shot Map'!$B$6:$V$26,CEILING($A21/5,1),CEILING(AO$2/5,1))=1,INDEX('Serial Reference'!$A$8:$W$8,1,FLOOR(($A21-1)/23,1)+1)&amp;INDEX('Serial Reference'!$A$8:$W$8,1,MOD($A21-1,23)+1)&amp;TEXT(AO$2+FLOOR((AO$2-1)/9,1),"000"),"")</f>
        <v>AV044</v>
      </c>
      <c r="AP21" s="21" t="str">
        <f>IF(INDEX('Shot Map'!$B$6:$V$26,CEILING($A21/5,1),CEILING(AP$2/5,1))=1,INDEX('Serial Reference'!$A$8:$W$8,1,FLOOR(($A21-1)/23,1)+1)&amp;INDEX('Serial Reference'!$A$8:$W$8,1,MOD($A21-1,23)+1)&amp;TEXT(AP$2+FLOOR((AP$2-1)/9,1),"000"),"")</f>
        <v>AV045</v>
      </c>
      <c r="AQ21" s="22" t="str">
        <f>IF(INDEX('Shot Map'!$B$6:$V$26,CEILING($A21/5,1),CEILING(AQ$2/5,1))=1,INDEX('Serial Reference'!$A$8:$W$8,1,FLOOR(($A21-1)/23,1)+1)&amp;INDEX('Serial Reference'!$A$8:$W$8,1,MOD($A21-1,23)+1)&amp;TEXT(AQ$2+FLOOR((AQ$2-1)/9,1),"000"),"")</f>
        <v>AV046</v>
      </c>
      <c r="AR21" s="22" t="str">
        <f>IF(INDEX('Shot Map'!$B$6:$V$26,CEILING($A21/5,1),CEILING(AR$2/5,1))=1,INDEX('Serial Reference'!$A$8:$W$8,1,FLOOR(($A21-1)/23,1)+1)&amp;INDEX('Serial Reference'!$A$8:$W$8,1,MOD($A21-1,23)+1)&amp;TEXT(AR$2+FLOOR((AR$2-1)/9,1),"000"),"")</f>
        <v>AV047</v>
      </c>
      <c r="AS21" s="22" t="str">
        <f>IF(INDEX('Shot Map'!$B$6:$V$26,CEILING($A21/5,1),CEILING(AS$2/5,1))=1,INDEX('Serial Reference'!$A$8:$W$8,1,FLOOR(($A21-1)/23,1)+1)&amp;INDEX('Serial Reference'!$A$8:$W$8,1,MOD($A21-1,23)+1)&amp;TEXT(AS$2+FLOOR((AS$2-1)/9,1),"000"),"")</f>
        <v>AV048</v>
      </c>
      <c r="AT21" s="23" t="str">
        <f>IF(INDEX('Shot Map'!$B$6:$V$26,CEILING($A21/5,1),CEILING(AT$2/5,1))=1,INDEX('Serial Reference'!$A$8:$W$8,1,FLOOR(($A21-1)/23,1)+1)&amp;INDEX('Serial Reference'!$A$8:$W$8,1,MOD($A21-1,23)+1)&amp;TEXT(AT$2+FLOOR((AT$2-1)/9,1),"000"),"")</f>
        <v>AV049</v>
      </c>
      <c r="AU21" s="21" t="str">
        <f>IF(INDEX('Shot Map'!$B$6:$V$26,CEILING($A21/5,1),CEILING(AU$2/5,1))=1,INDEX('Serial Reference'!$A$8:$W$8,1,FLOOR(($A21-1)/23,1)+1)&amp;INDEX('Serial Reference'!$A$8:$W$8,1,MOD($A21-1,23)+1)&amp;TEXT(AU$2+FLOOR((AU$2-1)/9,1),"000"),"")</f>
        <v>AV051</v>
      </c>
      <c r="AV21" s="22" t="str">
        <f>IF(INDEX('Shot Map'!$B$6:$V$26,CEILING($A21/5,1),CEILING(AV$2/5,1))=1,INDEX('Serial Reference'!$A$8:$W$8,1,FLOOR(($A21-1)/23,1)+1)&amp;INDEX('Serial Reference'!$A$8:$W$8,1,MOD($A21-1,23)+1)&amp;TEXT(AV$2+FLOOR((AV$2-1)/9,1),"000"),"")</f>
        <v>AV052</v>
      </c>
      <c r="AW21" s="22" t="str">
        <f>IF(INDEX('Shot Map'!$B$6:$V$26,CEILING($A21/5,1),CEILING(AW$2/5,1))=1,INDEX('Serial Reference'!$A$8:$W$8,1,FLOOR(($A21-1)/23,1)+1)&amp;INDEX('Serial Reference'!$A$8:$W$8,1,MOD($A21-1,23)+1)&amp;TEXT(AW$2+FLOOR((AW$2-1)/9,1),"000"),"")</f>
        <v>AV053</v>
      </c>
      <c r="AX21" s="22" t="str">
        <f>IF(INDEX('Shot Map'!$B$6:$V$26,CEILING($A21/5,1),CEILING(AX$2/5,1))=1,INDEX('Serial Reference'!$A$8:$W$8,1,FLOOR(($A21-1)/23,1)+1)&amp;INDEX('Serial Reference'!$A$8:$W$8,1,MOD($A21-1,23)+1)&amp;TEXT(AX$2+FLOOR((AX$2-1)/9,1),"000"),"")</f>
        <v>AV054</v>
      </c>
      <c r="AY21" s="23" t="str">
        <f>IF(INDEX('Shot Map'!$B$6:$V$26,CEILING($A21/5,1),CEILING(AY$2/5,1))=1,INDEX('Serial Reference'!$A$8:$W$8,1,FLOOR(($A21-1)/23,1)+1)&amp;INDEX('Serial Reference'!$A$8:$W$8,1,MOD($A21-1,23)+1)&amp;TEXT(AY$2+FLOOR((AY$2-1)/9,1),"000"),"")</f>
        <v>AV055</v>
      </c>
      <c r="AZ21" s="21" t="str">
        <f>IF(INDEX('Shot Map'!$B$6:$V$26,CEILING($A21/5,1),CEILING(AZ$2/5,1))=1,INDEX('Serial Reference'!$A$8:$W$8,1,FLOOR(($A21-1)/23,1)+1)&amp;INDEX('Serial Reference'!$A$8:$W$8,1,MOD($A21-1,23)+1)&amp;TEXT(AZ$2+FLOOR((AZ$2-1)/9,1),"000"),"")</f>
        <v>AV056</v>
      </c>
      <c r="BA21" s="22" t="str">
        <f>IF(INDEX('Shot Map'!$B$6:$V$26,CEILING($A21/5,1),CEILING(BA$2/5,1))=1,INDEX('Serial Reference'!$A$8:$W$8,1,FLOOR(($A21-1)/23,1)+1)&amp;INDEX('Serial Reference'!$A$8:$W$8,1,MOD($A21-1,23)+1)&amp;TEXT(BA$2+FLOOR((BA$2-1)/9,1),"000"),"")</f>
        <v>AV057</v>
      </c>
      <c r="BB21" s="22" t="str">
        <f>IF(INDEX('Shot Map'!$B$6:$V$26,CEILING($A21/5,1),CEILING(BB$2/5,1))=1,INDEX('Serial Reference'!$A$8:$W$8,1,FLOOR(($A21-1)/23,1)+1)&amp;INDEX('Serial Reference'!$A$8:$W$8,1,MOD($A21-1,23)+1)&amp;TEXT(BB$2+FLOOR((BB$2-1)/9,1),"000"),"")</f>
        <v>AV058</v>
      </c>
      <c r="BC21" s="22" t="str">
        <f>IF(INDEX('Shot Map'!$B$6:$V$26,CEILING($A21/5,1),CEILING(BC$2/5,1))=1,INDEX('Serial Reference'!$A$8:$W$8,1,FLOOR(($A21-1)/23,1)+1)&amp;INDEX('Serial Reference'!$A$8:$W$8,1,MOD($A21-1,23)+1)&amp;TEXT(BC$2+FLOOR((BC$2-1)/9,1),"000"),"")</f>
        <v>AV059</v>
      </c>
      <c r="BD21" s="23" t="str">
        <f>IF(INDEX('Shot Map'!$B$6:$V$26,CEILING($A21/5,1),CEILING(BD$2/5,1))=1,INDEX('Serial Reference'!$A$8:$W$8,1,FLOOR(($A21-1)/23,1)+1)&amp;INDEX('Serial Reference'!$A$8:$W$8,1,MOD($A21-1,23)+1)&amp;TEXT(BD$2+FLOOR((BD$2-1)/9,1),"000"),"")</f>
        <v>AV061</v>
      </c>
      <c r="BE21" s="21" t="str">
        <f>IF(INDEX('Shot Map'!$B$6:$V$26,CEILING($A21/5,1),CEILING(BE$2/5,1))=1,INDEX('Serial Reference'!$A$8:$W$8,1,FLOOR(($A21-1)/23,1)+1)&amp;INDEX('Serial Reference'!$A$8:$W$8,1,MOD($A21-1,23)+1)&amp;TEXT(BE$2+FLOOR((BE$2-1)/9,1),"000"),"")</f>
        <v>AV062</v>
      </c>
      <c r="BF21" s="22" t="str">
        <f>IF(INDEX('Shot Map'!$B$6:$V$26,CEILING($A21/5,1),CEILING(BF$2/5,1))=1,INDEX('Serial Reference'!$A$8:$W$8,1,FLOOR(($A21-1)/23,1)+1)&amp;INDEX('Serial Reference'!$A$8:$W$8,1,MOD($A21-1,23)+1)&amp;TEXT(BF$2+FLOOR((BF$2-1)/9,1),"000"),"")</f>
        <v>AV063</v>
      </c>
      <c r="BG21" s="22" t="str">
        <f>IF(INDEX('Shot Map'!$B$6:$V$26,CEILING($A21/5,1),CEILING(BG$2/5,1))=1,INDEX('Serial Reference'!$A$8:$W$8,1,FLOOR(($A21-1)/23,1)+1)&amp;INDEX('Serial Reference'!$A$8:$W$8,1,MOD($A21-1,23)+1)&amp;TEXT(BG$2+FLOOR((BG$2-1)/9,1),"000"),"")</f>
        <v>AV064</v>
      </c>
      <c r="BH21" s="22" t="str">
        <f>IF(INDEX('Shot Map'!$B$6:$V$26,CEILING($A21/5,1),CEILING(BH$2/5,1))=1,INDEX('Serial Reference'!$A$8:$W$8,1,FLOOR(($A21-1)/23,1)+1)&amp;INDEX('Serial Reference'!$A$8:$W$8,1,MOD($A21-1,23)+1)&amp;TEXT(BH$2+FLOOR((BH$2-1)/9,1),"000"),"")</f>
        <v>AV065</v>
      </c>
      <c r="BI21" s="23" t="str">
        <f>IF(INDEX('Shot Map'!$B$6:$V$26,CEILING($A21/5,1),CEILING(BI$2/5,1))=1,INDEX('Serial Reference'!$A$8:$W$8,1,FLOOR(($A21-1)/23,1)+1)&amp;INDEX('Serial Reference'!$A$8:$W$8,1,MOD($A21-1,23)+1)&amp;TEXT(BI$2+FLOOR((BI$2-1)/9,1),"000"),"")</f>
        <v>AV066</v>
      </c>
      <c r="BJ21" s="21" t="str">
        <f>IF(INDEX('Shot Map'!$B$6:$V$26,CEILING($A21/5,1),CEILING(BJ$2/5,1))=1,INDEX('Serial Reference'!$A$8:$W$8,1,FLOOR(($A21-1)/23,1)+1)&amp;INDEX('Serial Reference'!$A$8:$W$8,1,MOD($A21-1,23)+1)&amp;TEXT(BJ$2+FLOOR((BJ$2-1)/9,1),"000"),"")</f>
        <v>AV067</v>
      </c>
      <c r="BK21" s="22" t="str">
        <f>IF(INDEX('Shot Map'!$B$6:$V$26,CEILING($A21/5,1),CEILING(BK$2/5,1))=1,INDEX('Serial Reference'!$A$8:$W$8,1,FLOOR(($A21-1)/23,1)+1)&amp;INDEX('Serial Reference'!$A$8:$W$8,1,MOD($A21-1,23)+1)&amp;TEXT(BK$2+FLOOR((BK$2-1)/9,1),"000"),"")</f>
        <v>AV068</v>
      </c>
      <c r="BL21" s="22" t="str">
        <f>IF(INDEX('Shot Map'!$B$6:$V$26,CEILING($A21/5,1),CEILING(BL$2/5,1))=1,INDEX('Serial Reference'!$A$8:$W$8,1,FLOOR(($A21-1)/23,1)+1)&amp;INDEX('Serial Reference'!$A$8:$W$8,1,MOD($A21-1,23)+1)&amp;TEXT(BL$2+FLOOR((BL$2-1)/9,1),"000"),"")</f>
        <v>AV069</v>
      </c>
      <c r="BM21" s="22" t="str">
        <f>IF(INDEX('Shot Map'!$B$6:$V$26,CEILING($A21/5,1),CEILING(BM$2/5,1))=1,INDEX('Serial Reference'!$A$8:$W$8,1,FLOOR(($A21-1)/23,1)+1)&amp;INDEX('Serial Reference'!$A$8:$W$8,1,MOD($A21-1,23)+1)&amp;TEXT(BM$2+FLOOR((BM$2-1)/9,1),"000"),"")</f>
        <v>AV071</v>
      </c>
      <c r="BN21" s="23" t="str">
        <f>IF(INDEX('Shot Map'!$B$6:$V$26,CEILING($A21/5,1),CEILING(BN$2/5,1))=1,INDEX('Serial Reference'!$A$8:$W$8,1,FLOOR(($A21-1)/23,1)+1)&amp;INDEX('Serial Reference'!$A$8:$W$8,1,MOD($A21-1,23)+1)&amp;TEXT(BN$2+FLOOR((BN$2-1)/9,1),"000"),"")</f>
        <v>AV072</v>
      </c>
      <c r="BO21" s="21" t="str">
        <f>IF(INDEX('Shot Map'!$B$6:$V$26,CEILING($A21/5,1),CEILING(BO$2/5,1))=1,INDEX('Serial Reference'!$A$8:$W$8,1,FLOOR(($A21-1)/23,1)+1)&amp;INDEX('Serial Reference'!$A$8:$W$8,1,MOD($A21-1,23)+1)&amp;TEXT(BO$2+FLOOR((BO$2-1)/9,1),"000"),"")</f>
        <v>AV073</v>
      </c>
      <c r="BP21" s="22" t="str">
        <f>IF(INDEX('Shot Map'!$B$6:$V$26,CEILING($A21/5,1),CEILING(BP$2/5,1))=1,INDEX('Serial Reference'!$A$8:$W$8,1,FLOOR(($A21-1)/23,1)+1)&amp;INDEX('Serial Reference'!$A$8:$W$8,1,MOD($A21-1,23)+1)&amp;TEXT(BP$2+FLOOR((BP$2-1)/9,1),"000"),"")</f>
        <v>AV074</v>
      </c>
      <c r="BQ21" s="22" t="str">
        <f>IF(INDEX('Shot Map'!$B$6:$V$26,CEILING($A21/5,1),CEILING(BQ$2/5,1))=1,INDEX('Serial Reference'!$A$8:$W$8,1,FLOOR(($A21-1)/23,1)+1)&amp;INDEX('Serial Reference'!$A$8:$W$8,1,MOD($A21-1,23)+1)&amp;TEXT(BQ$2+FLOOR((BQ$2-1)/9,1),"000"),"")</f>
        <v>AV075</v>
      </c>
      <c r="BR21" s="22" t="str">
        <f>IF(INDEX('Shot Map'!$B$6:$V$26,CEILING($A21/5,1),CEILING(BR$2/5,1))=1,INDEX('Serial Reference'!$A$8:$W$8,1,FLOOR(($A21-1)/23,1)+1)&amp;INDEX('Serial Reference'!$A$8:$W$8,1,MOD($A21-1,23)+1)&amp;TEXT(BR$2+FLOOR((BR$2-1)/9,1),"000"),"")</f>
        <v>AV076</v>
      </c>
      <c r="BS21" s="23" t="str">
        <f>IF(INDEX('Shot Map'!$B$6:$V$26,CEILING($A21/5,1),CEILING(BS$2/5,1))=1,INDEX('Serial Reference'!$A$8:$W$8,1,FLOOR(($A21-1)/23,1)+1)&amp;INDEX('Serial Reference'!$A$8:$W$8,1,MOD($A21-1,23)+1)&amp;TEXT(BS$2+FLOOR((BS$2-1)/9,1),"000"),"")</f>
        <v>AV077</v>
      </c>
      <c r="BT21" s="21" t="str">
        <f>IF(INDEX('Shot Map'!$B$6:$V$26,CEILING($A21/5,1),CEILING(BT$2/5,1))=1,INDEX('Serial Reference'!$A$8:$W$8,1,FLOOR(($A21-1)/23,1)+1)&amp;INDEX('Serial Reference'!$A$8:$W$8,1,MOD($A21-1,23)+1)&amp;TEXT(BT$2+FLOOR((BT$2-1)/9,1),"000"),"")</f>
        <v>AV078</v>
      </c>
      <c r="BU21" s="22" t="str">
        <f>IF(INDEX('Shot Map'!$B$6:$V$26,CEILING($A21/5,1),CEILING(BU$2/5,1))=1,INDEX('Serial Reference'!$A$8:$W$8,1,FLOOR(($A21-1)/23,1)+1)&amp;INDEX('Serial Reference'!$A$8:$W$8,1,MOD($A21-1,23)+1)&amp;TEXT(BU$2+FLOOR((BU$2-1)/9,1),"000"),"")</f>
        <v>AV079</v>
      </c>
      <c r="BV21" s="22" t="str">
        <f>IF(INDEX('Shot Map'!$B$6:$V$26,CEILING($A21/5,1),CEILING(BV$2/5,1))=1,INDEX('Serial Reference'!$A$8:$W$8,1,FLOOR(($A21-1)/23,1)+1)&amp;INDEX('Serial Reference'!$A$8:$W$8,1,MOD($A21-1,23)+1)&amp;TEXT(BV$2+FLOOR((BV$2-1)/9,1),"000"),"")</f>
        <v>AV081</v>
      </c>
      <c r="BW21" s="22" t="str">
        <f>IF(INDEX('Shot Map'!$B$6:$V$26,CEILING($A21/5,1),CEILING(BW$2/5,1))=1,INDEX('Serial Reference'!$A$8:$W$8,1,FLOOR(($A21-1)/23,1)+1)&amp;INDEX('Serial Reference'!$A$8:$W$8,1,MOD($A21-1,23)+1)&amp;TEXT(BW$2+FLOOR((BW$2-1)/9,1),"000"),"")</f>
        <v>AV082</v>
      </c>
      <c r="BX21" s="23" t="str">
        <f>IF(INDEX('Shot Map'!$B$6:$V$26,CEILING($A21/5,1),CEILING(BX$2/5,1))=1,INDEX('Serial Reference'!$A$8:$W$8,1,FLOOR(($A21-1)/23,1)+1)&amp;INDEX('Serial Reference'!$A$8:$W$8,1,MOD($A21-1,23)+1)&amp;TEXT(BX$2+FLOOR((BX$2-1)/9,1),"000"),"")</f>
        <v>AV083</v>
      </c>
      <c r="BY21" s="21" t="str">
        <f>IF(INDEX('Shot Map'!$B$6:$V$26,CEILING($A21/5,1),CEILING(BY$2/5,1))=1,INDEX('Serial Reference'!$A$8:$W$8,1,FLOOR(($A21-1)/23,1)+1)&amp;INDEX('Serial Reference'!$A$8:$W$8,1,MOD($A21-1,23)+1)&amp;TEXT(BY$2+FLOOR((BY$2-1)/9,1),"000"),"")</f>
        <v>AV084</v>
      </c>
      <c r="BZ21" s="22" t="str">
        <f>IF(INDEX('Shot Map'!$B$6:$V$26,CEILING($A21/5,1),CEILING(BZ$2/5,1))=1,INDEX('Serial Reference'!$A$8:$W$8,1,FLOOR(($A21-1)/23,1)+1)&amp;INDEX('Serial Reference'!$A$8:$W$8,1,MOD($A21-1,23)+1)&amp;TEXT(BZ$2+FLOOR((BZ$2-1)/9,1),"000"),"")</f>
        <v>AV085</v>
      </c>
      <c r="CA21" s="22" t="str">
        <f>IF(INDEX('Shot Map'!$B$6:$V$26,CEILING($A21/5,1),CEILING(CA$2/5,1))=1,INDEX('Serial Reference'!$A$8:$W$8,1,FLOOR(($A21-1)/23,1)+1)&amp;INDEX('Serial Reference'!$A$8:$W$8,1,MOD($A21-1,23)+1)&amp;TEXT(CA$2+FLOOR((CA$2-1)/9,1),"000"),"")</f>
        <v>AV086</v>
      </c>
      <c r="CB21" s="22" t="str">
        <f>IF(INDEX('Shot Map'!$B$6:$V$26,CEILING($A21/5,1),CEILING(CB$2/5,1))=1,INDEX('Serial Reference'!$A$8:$W$8,1,FLOOR(($A21-1)/23,1)+1)&amp;INDEX('Serial Reference'!$A$8:$W$8,1,MOD($A21-1,23)+1)&amp;TEXT(CB$2+FLOOR((CB$2-1)/9,1),"000"),"")</f>
        <v>AV087</v>
      </c>
      <c r="CC21" s="23" t="str">
        <f>IF(INDEX('Shot Map'!$B$6:$V$26,CEILING($A21/5,1),CEILING(CC$2/5,1))=1,INDEX('Serial Reference'!$A$8:$W$8,1,FLOOR(($A21-1)/23,1)+1)&amp;INDEX('Serial Reference'!$A$8:$W$8,1,MOD($A21-1,23)+1)&amp;TEXT(CC$2+FLOOR((CC$2-1)/9,1),"000"),"")</f>
        <v>AV088</v>
      </c>
      <c r="CD21" s="21" t="str">
        <f>IF(INDEX('Shot Map'!$B$6:$V$26,CEILING($A21/5,1),CEILING(CD$2/5,1))=1,INDEX('Serial Reference'!$A$8:$W$8,1,FLOOR(($A21-1)/23,1)+1)&amp;INDEX('Serial Reference'!$A$8:$W$8,1,MOD($A21-1,23)+1)&amp;TEXT(CD$2+FLOOR((CD$2-1)/9,1),"000"),"")</f>
        <v>AV089</v>
      </c>
      <c r="CE21" s="22" t="str">
        <f>IF(INDEX('Shot Map'!$B$6:$V$26,CEILING($A21/5,1),CEILING(CE$2/5,1))=1,INDEX('Serial Reference'!$A$8:$W$8,1,FLOOR(($A21-1)/23,1)+1)&amp;INDEX('Serial Reference'!$A$8:$W$8,1,MOD($A21-1,23)+1)&amp;TEXT(CE$2+FLOOR((CE$2-1)/9,1),"000"),"")</f>
        <v>AV091</v>
      </c>
      <c r="CF21" s="22" t="str">
        <f>IF(INDEX('Shot Map'!$B$6:$V$26,CEILING($A21/5,1),CEILING(CF$2/5,1))=1,INDEX('Serial Reference'!$A$8:$W$8,1,FLOOR(($A21-1)/23,1)+1)&amp;INDEX('Serial Reference'!$A$8:$W$8,1,MOD($A21-1,23)+1)&amp;TEXT(CF$2+FLOOR((CF$2-1)/9,1),"000"),"")</f>
        <v>AV092</v>
      </c>
      <c r="CG21" s="22" t="str">
        <f>IF(INDEX('Shot Map'!$B$6:$V$26,CEILING($A21/5,1),CEILING(CG$2/5,1))=1,INDEX('Serial Reference'!$A$8:$W$8,1,FLOOR(($A21-1)/23,1)+1)&amp;INDEX('Serial Reference'!$A$8:$W$8,1,MOD($A21-1,23)+1)&amp;TEXT(CG$2+FLOOR((CG$2-1)/9,1),"000"),"")</f>
        <v>AV093</v>
      </c>
      <c r="CH21" s="23" t="str">
        <f>IF(INDEX('Shot Map'!$B$6:$V$26,CEILING($A21/5,1),CEILING(CH$2/5,1))=1,INDEX('Serial Reference'!$A$8:$W$8,1,FLOOR(($A21-1)/23,1)+1)&amp;INDEX('Serial Reference'!$A$8:$W$8,1,MOD($A21-1,23)+1)&amp;TEXT(CH$2+FLOOR((CH$2-1)/9,1),"000"),"")</f>
        <v>AV094</v>
      </c>
      <c r="CI21" s="21" t="str">
        <f>IF(INDEX('Shot Map'!$B$6:$V$26,CEILING($A21/5,1),CEILING(CI$2/5,1))=1,INDEX('Serial Reference'!$A$8:$W$8,1,FLOOR(($A21-1)/23,1)+1)&amp;INDEX('Serial Reference'!$A$8:$W$8,1,MOD($A21-1,23)+1)&amp;TEXT(CI$2+FLOOR((CI$2-1)/9,1),"000"),"")</f>
        <v>AV095</v>
      </c>
      <c r="CJ21" s="22" t="str">
        <f>IF(INDEX('Shot Map'!$B$6:$V$26,CEILING($A21/5,1),CEILING(CJ$2/5,1))=1,INDEX('Serial Reference'!$A$8:$W$8,1,FLOOR(($A21-1)/23,1)+1)&amp;INDEX('Serial Reference'!$A$8:$W$8,1,MOD($A21-1,23)+1)&amp;TEXT(CJ$2+FLOOR((CJ$2-1)/9,1),"000"),"")</f>
        <v>AV096</v>
      </c>
      <c r="CK21" s="22" t="str">
        <f>IF(INDEX('Shot Map'!$B$6:$V$26,CEILING($A21/5,1),CEILING(CK$2/5,1))=1,INDEX('Serial Reference'!$A$8:$W$8,1,FLOOR(($A21-1)/23,1)+1)&amp;INDEX('Serial Reference'!$A$8:$W$8,1,MOD($A21-1,23)+1)&amp;TEXT(CK$2+FLOOR((CK$2-1)/9,1),"000"),"")</f>
        <v>AV097</v>
      </c>
      <c r="CL21" s="22" t="str">
        <f>IF(INDEX('Shot Map'!$B$6:$V$26,CEILING($A21/5,1),CEILING(CL$2/5,1))=1,INDEX('Serial Reference'!$A$8:$W$8,1,FLOOR(($A21-1)/23,1)+1)&amp;INDEX('Serial Reference'!$A$8:$W$8,1,MOD($A21-1,23)+1)&amp;TEXT(CL$2+FLOOR((CL$2-1)/9,1),"000"),"")</f>
        <v>AV098</v>
      </c>
      <c r="CM21" s="23" t="str">
        <f>IF(INDEX('Shot Map'!$B$6:$V$26,CEILING($A21/5,1),CEILING(CM$2/5,1))=1,INDEX('Serial Reference'!$A$8:$W$8,1,FLOOR(($A21-1)/23,1)+1)&amp;INDEX('Serial Reference'!$A$8:$W$8,1,MOD($A21-1,23)+1)&amp;TEXT(CM$2+FLOOR((CM$2-1)/9,1),"000"),"")</f>
        <v>AV099</v>
      </c>
      <c r="CN21" s="21" t="str">
        <f>IF(INDEX('Shot Map'!$B$6:$V$26,CEILING($A21/5,1),CEILING(CN$2/5,1))=1,INDEX('Serial Reference'!$A$8:$W$8,1,FLOOR(($A21-1)/23,1)+1)&amp;INDEX('Serial Reference'!$A$8:$W$8,1,MOD($A21-1,23)+1)&amp;TEXT(CN$2+FLOOR((CN$2-1)/9,1),"000"),"")</f>
        <v/>
      </c>
      <c r="CO21" s="22" t="str">
        <f>IF(INDEX('Shot Map'!$B$6:$V$26,CEILING($A21/5,1),CEILING(CO$2/5,1))=1,INDEX('Serial Reference'!$A$8:$W$8,1,FLOOR(($A21-1)/23,1)+1)&amp;INDEX('Serial Reference'!$A$8:$W$8,1,MOD($A21-1,23)+1)&amp;TEXT(CO$2+FLOOR((CO$2-1)/9,1),"000"),"")</f>
        <v/>
      </c>
      <c r="CP21" s="22" t="str">
        <f>IF(INDEX('Shot Map'!$B$6:$V$26,CEILING($A21/5,1),CEILING(CP$2/5,1))=1,INDEX('Serial Reference'!$A$8:$W$8,1,FLOOR(($A21-1)/23,1)+1)&amp;INDEX('Serial Reference'!$A$8:$W$8,1,MOD($A21-1,23)+1)&amp;TEXT(CP$2+FLOOR((CP$2-1)/9,1),"000"),"")</f>
        <v/>
      </c>
      <c r="CQ21" s="22" t="str">
        <f>IF(INDEX('Shot Map'!$B$6:$V$26,CEILING($A21/5,1),CEILING(CQ$2/5,1))=1,INDEX('Serial Reference'!$A$8:$W$8,1,FLOOR(($A21-1)/23,1)+1)&amp;INDEX('Serial Reference'!$A$8:$W$8,1,MOD($A21-1,23)+1)&amp;TEXT(CQ$2+FLOOR((CQ$2-1)/9,1),"000"),"")</f>
        <v/>
      </c>
      <c r="CR21" s="23" t="str">
        <f>IF(INDEX('Shot Map'!$B$6:$V$26,CEILING($A21/5,1),CEILING(CR$2/5,1))=1,INDEX('Serial Reference'!$A$8:$W$8,1,FLOOR(($A21-1)/23,1)+1)&amp;INDEX('Serial Reference'!$A$8:$W$8,1,MOD($A21-1,23)+1)&amp;TEXT(CR$2+FLOOR((CR$2-1)/9,1),"000"),"")</f>
        <v/>
      </c>
      <c r="CS21" s="21" t="str">
        <f>IF(INDEX('Shot Map'!$B$6:$V$26,CEILING($A21/5,1),CEILING(CS$2/5,1))=1,INDEX('Serial Reference'!$A$8:$W$8,1,FLOOR(($A21-1)/23,1)+1)&amp;INDEX('Serial Reference'!$A$8:$W$8,1,MOD($A21-1,23)+1)&amp;TEXT(CS$2+FLOOR((CS$2-1)/9,1),"000"),"")</f>
        <v/>
      </c>
      <c r="CT21" s="22" t="str">
        <f>IF(INDEX('Shot Map'!$B$6:$V$26,CEILING($A21/5,1),CEILING(CT$2/5,1))=1,INDEX('Serial Reference'!$A$8:$W$8,1,FLOOR(($A21-1)/23,1)+1)&amp;INDEX('Serial Reference'!$A$8:$W$8,1,MOD($A21-1,23)+1)&amp;TEXT(CT$2+FLOOR((CT$2-1)/9,1),"000"),"")</f>
        <v/>
      </c>
      <c r="CU21" s="22" t="str">
        <f>IF(INDEX('Shot Map'!$B$6:$V$26,CEILING($A21/5,1),CEILING(CU$2/5,1))=1,INDEX('Serial Reference'!$A$8:$W$8,1,FLOOR(($A21-1)/23,1)+1)&amp;INDEX('Serial Reference'!$A$8:$W$8,1,MOD($A21-1,23)+1)&amp;TEXT(CU$2+FLOOR((CU$2-1)/9,1),"000"),"")</f>
        <v/>
      </c>
      <c r="CV21" s="22" t="str">
        <f>IF(INDEX('Shot Map'!$B$6:$V$26,CEILING($A21/5,1),CEILING(CV$2/5,1))=1,INDEX('Serial Reference'!$A$8:$W$8,1,FLOOR(($A21-1)/23,1)+1)&amp;INDEX('Serial Reference'!$A$8:$W$8,1,MOD($A21-1,23)+1)&amp;TEXT(CV$2+FLOOR((CV$2-1)/9,1),"000"),"")</f>
        <v/>
      </c>
      <c r="CW21" s="23" t="str">
        <f>IF(INDEX('Shot Map'!$B$6:$V$26,CEILING($A21/5,1),CEILING(CW$2/5,1))=1,INDEX('Serial Reference'!$A$8:$W$8,1,FLOOR(($A21-1)/23,1)+1)&amp;INDEX('Serial Reference'!$A$8:$W$8,1,MOD($A21-1,23)+1)&amp;TEXT(CW$2+FLOOR((CW$2-1)/9,1),"000"),"")</f>
        <v/>
      </c>
      <c r="CX21" s="21" t="str">
        <f>IF(INDEX('Shot Map'!$B$6:$V$26,CEILING($A21/5,1),CEILING(CX$2/5,1))=1,INDEX('Serial Reference'!$A$8:$W$8,1,FLOOR(($A21-1)/23,1)+1)&amp;INDEX('Serial Reference'!$A$8:$W$8,1,MOD($A21-1,23)+1)&amp;TEXT(CX$2+FLOOR((CX$2-1)/9,1),"000"),"")</f>
        <v/>
      </c>
      <c r="CY21" s="22" t="str">
        <f>IF(INDEX('Shot Map'!$B$6:$V$26,CEILING($A21/5,1),CEILING(CY$2/5,1))=1,INDEX('Serial Reference'!$A$8:$W$8,1,FLOOR(($A21-1)/23,1)+1)&amp;INDEX('Serial Reference'!$A$8:$W$8,1,MOD($A21-1,23)+1)&amp;TEXT(CY$2+FLOOR((CY$2-1)/9,1),"000"),"")</f>
        <v/>
      </c>
      <c r="CZ21" s="22" t="str">
        <f>IF(INDEX('Shot Map'!$B$6:$V$26,CEILING($A21/5,1),CEILING(CZ$2/5,1))=1,INDEX('Serial Reference'!$A$8:$W$8,1,FLOOR(($A21-1)/23,1)+1)&amp;INDEX('Serial Reference'!$A$8:$W$8,1,MOD($A21-1,23)+1)&amp;TEXT(CZ$2+FLOOR((CZ$2-1)/9,1),"000"),"")</f>
        <v/>
      </c>
      <c r="DA21" s="22" t="str">
        <f>IF(INDEX('Shot Map'!$B$6:$V$26,CEILING($A21/5,1),CEILING(DA$2/5,1))=1,INDEX('Serial Reference'!$A$8:$W$8,1,FLOOR(($A21-1)/23,1)+1)&amp;INDEX('Serial Reference'!$A$8:$W$8,1,MOD($A21-1,23)+1)&amp;TEXT(DA$2+FLOOR((DA$2-1)/9,1),"000"),"")</f>
        <v/>
      </c>
      <c r="DB21" s="23" t="str">
        <f>IF(INDEX('Shot Map'!$B$6:$V$26,CEILING($A21/5,1),CEILING(DB$2/5,1))=1,INDEX('Serial Reference'!$A$8:$W$8,1,FLOOR(($A21-1)/23,1)+1)&amp;INDEX('Serial Reference'!$A$8:$W$8,1,MOD($A21-1,23)+1)&amp;TEXT(DB$2+FLOOR((DB$2-1)/9,1),"000"),"")</f>
        <v/>
      </c>
    </row>
    <row r="22" spans="1:106" ht="12.75" customHeight="1" x14ac:dyDescent="0.25">
      <c r="A22" s="17">
        <v>20</v>
      </c>
      <c r="B22" s="24" t="str">
        <f>IF(INDEX('Shot Map'!$B$6:$V$26,CEILING($A22/5,1),CEILING(B$2/5,1))=1,INDEX('Serial Reference'!$A$8:$W$8,1,FLOOR(($A22-1)/23,1)+1)&amp;INDEX('Serial Reference'!$A$8:$W$8,1,MOD($A22-1,23)+1)&amp;TEXT(B$2+FLOOR((B$2-1)/9,1),"000"),"")</f>
        <v/>
      </c>
      <c r="C22" s="25" t="str">
        <f>IF(INDEX('Shot Map'!$B$6:$V$26,CEILING($A22/5,1),CEILING(C$2/5,1))=1,INDEX('Serial Reference'!$A$8:$W$8,1,FLOOR(($A22-1)/23,1)+1)&amp;INDEX('Serial Reference'!$A$8:$W$8,1,MOD($A22-1,23)+1)&amp;TEXT(C$2+FLOOR((C$2-1)/9,1),"000"),"")</f>
        <v/>
      </c>
      <c r="D22" s="25" t="str">
        <f>IF(INDEX('Shot Map'!$B$6:$V$26,CEILING($A22/5,1),CEILING(D$2/5,1))=1,INDEX('Serial Reference'!$A$8:$W$8,1,FLOOR(($A22-1)/23,1)+1)&amp;INDEX('Serial Reference'!$A$8:$W$8,1,MOD($A22-1,23)+1)&amp;TEXT(D$2+FLOOR((D$2-1)/9,1),"000"),"")</f>
        <v/>
      </c>
      <c r="E22" s="25" t="str">
        <f>IF(INDEX('Shot Map'!$B$6:$V$26,CEILING($A22/5,1),CEILING(E$2/5,1))=1,INDEX('Serial Reference'!$A$8:$W$8,1,FLOOR(($A22-1)/23,1)+1)&amp;INDEX('Serial Reference'!$A$8:$W$8,1,MOD($A22-1,23)+1)&amp;TEXT(E$2+FLOOR((E$2-1)/9,1),"000"),"")</f>
        <v/>
      </c>
      <c r="F22" s="26" t="str">
        <f>IF(INDEX('Shot Map'!$B$6:$V$26,CEILING($A22/5,1),CEILING(F$2/5,1))=1,INDEX('Serial Reference'!$A$8:$W$8,1,FLOOR(($A22-1)/23,1)+1)&amp;INDEX('Serial Reference'!$A$8:$W$8,1,MOD($A22-1,23)+1)&amp;TEXT(F$2+FLOOR((F$2-1)/9,1),"000"),"")</f>
        <v/>
      </c>
      <c r="G22" s="24" t="str">
        <f>IF(INDEX('Shot Map'!$B$6:$V$26,CEILING($A22/5,1),CEILING(G$2/5,1))=1,INDEX('Serial Reference'!$A$8:$W$8,1,FLOOR(($A22-1)/23,1)+1)&amp;INDEX('Serial Reference'!$A$8:$W$8,1,MOD($A22-1,23)+1)&amp;TEXT(G$2+FLOOR((G$2-1)/9,1),"000"),"")</f>
        <v/>
      </c>
      <c r="H22" s="25" t="str">
        <f>IF(INDEX('Shot Map'!$B$6:$V$26,CEILING($A22/5,1),CEILING(H$2/5,1))=1,INDEX('Serial Reference'!$A$8:$W$8,1,FLOOR(($A22-1)/23,1)+1)&amp;INDEX('Serial Reference'!$A$8:$W$8,1,MOD($A22-1,23)+1)&amp;TEXT(H$2+FLOOR((H$2-1)/9,1),"000"),"")</f>
        <v/>
      </c>
      <c r="I22" s="25" t="str">
        <f>IF(INDEX('Shot Map'!$B$6:$V$26,CEILING($A22/5,1),CEILING(I$2/5,1))=1,INDEX('Serial Reference'!$A$8:$W$8,1,FLOOR(($A22-1)/23,1)+1)&amp;INDEX('Serial Reference'!$A$8:$W$8,1,MOD($A22-1,23)+1)&amp;TEXT(I$2+FLOOR((I$2-1)/9,1),"000"),"")</f>
        <v/>
      </c>
      <c r="J22" s="25" t="str">
        <f>IF(INDEX('Shot Map'!$B$6:$V$26,CEILING($A22/5,1),CEILING(J$2/5,1))=1,INDEX('Serial Reference'!$A$8:$W$8,1,FLOOR(($A22-1)/23,1)+1)&amp;INDEX('Serial Reference'!$A$8:$W$8,1,MOD($A22-1,23)+1)&amp;TEXT(J$2+FLOOR((J$2-1)/9,1),"000"),"")</f>
        <v/>
      </c>
      <c r="K22" s="26" t="str">
        <f>IF(INDEX('Shot Map'!$B$6:$V$26,CEILING($A22/5,1),CEILING(K$2/5,1))=1,INDEX('Serial Reference'!$A$8:$W$8,1,FLOOR(($A22-1)/23,1)+1)&amp;INDEX('Serial Reference'!$A$8:$W$8,1,MOD($A22-1,23)+1)&amp;TEXT(K$2+FLOOR((K$2-1)/9,1),"000"),"")</f>
        <v/>
      </c>
      <c r="L22" s="24" t="str">
        <f>IF(INDEX('Shot Map'!$B$6:$V$26,CEILING($A22/5,1),CEILING(L$2/5,1))=1,INDEX('Serial Reference'!$A$8:$W$8,1,FLOOR(($A22-1)/23,1)+1)&amp;INDEX('Serial Reference'!$A$8:$W$8,1,MOD($A22-1,23)+1)&amp;TEXT(L$2+FLOOR((L$2-1)/9,1),"000"),"")</f>
        <v/>
      </c>
      <c r="M22" s="25" t="str">
        <f>IF(INDEX('Shot Map'!$B$6:$V$26,CEILING($A22/5,1),CEILING(M$2/5,1))=1,INDEX('Serial Reference'!$A$8:$W$8,1,FLOOR(($A22-1)/23,1)+1)&amp;INDEX('Serial Reference'!$A$8:$W$8,1,MOD($A22-1,23)+1)&amp;TEXT(M$2+FLOOR((M$2-1)/9,1),"000"),"")</f>
        <v/>
      </c>
      <c r="N22" s="25" t="str">
        <f>IF(INDEX('Shot Map'!$B$6:$V$26,CEILING($A22/5,1),CEILING(N$2/5,1))=1,INDEX('Serial Reference'!$A$8:$W$8,1,FLOOR(($A22-1)/23,1)+1)&amp;INDEX('Serial Reference'!$A$8:$W$8,1,MOD($A22-1,23)+1)&amp;TEXT(N$2+FLOOR((N$2-1)/9,1),"000"),"")</f>
        <v/>
      </c>
      <c r="O22" s="25" t="str">
        <f>IF(INDEX('Shot Map'!$B$6:$V$26,CEILING($A22/5,1),CEILING(O$2/5,1))=1,INDEX('Serial Reference'!$A$8:$W$8,1,FLOOR(($A22-1)/23,1)+1)&amp;INDEX('Serial Reference'!$A$8:$W$8,1,MOD($A22-1,23)+1)&amp;TEXT(O$2+FLOOR((O$2-1)/9,1),"000"),"")</f>
        <v/>
      </c>
      <c r="P22" s="26" t="str">
        <f>IF(INDEX('Shot Map'!$B$6:$V$26,CEILING($A22/5,1),CEILING(P$2/5,1))=1,INDEX('Serial Reference'!$A$8:$W$8,1,FLOOR(($A22-1)/23,1)+1)&amp;INDEX('Serial Reference'!$A$8:$W$8,1,MOD($A22-1,23)+1)&amp;TEXT(P$2+FLOOR((P$2-1)/9,1),"000"),"")</f>
        <v/>
      </c>
      <c r="Q22" s="24" t="str">
        <f>IF(INDEX('Shot Map'!$B$6:$V$26,CEILING($A22/5,1),CEILING(Q$2/5,1))=1,INDEX('Serial Reference'!$A$8:$W$8,1,FLOOR(($A22-1)/23,1)+1)&amp;INDEX('Serial Reference'!$A$8:$W$8,1,MOD($A22-1,23)+1)&amp;TEXT(Q$2+FLOOR((Q$2-1)/9,1),"000"),"")</f>
        <v>AW017</v>
      </c>
      <c r="R22" s="25" t="str">
        <f>IF(INDEX('Shot Map'!$B$6:$V$26,CEILING($A22/5,1),CEILING(R$2/5,1))=1,INDEX('Serial Reference'!$A$8:$W$8,1,FLOOR(($A22-1)/23,1)+1)&amp;INDEX('Serial Reference'!$A$8:$W$8,1,MOD($A22-1,23)+1)&amp;TEXT(R$2+FLOOR((R$2-1)/9,1),"000"),"")</f>
        <v>AW018</v>
      </c>
      <c r="S22" s="25" t="str">
        <f>IF(INDEX('Shot Map'!$B$6:$V$26,CEILING($A22/5,1),CEILING(S$2/5,1))=1,INDEX('Serial Reference'!$A$8:$W$8,1,FLOOR(($A22-1)/23,1)+1)&amp;INDEX('Serial Reference'!$A$8:$W$8,1,MOD($A22-1,23)+1)&amp;TEXT(S$2+FLOOR((S$2-1)/9,1),"000"),"")</f>
        <v>AW019</v>
      </c>
      <c r="T22" s="25" t="str">
        <f>IF(INDEX('Shot Map'!$B$6:$V$26,CEILING($A22/5,1),CEILING(T$2/5,1))=1,INDEX('Serial Reference'!$A$8:$W$8,1,FLOOR(($A22-1)/23,1)+1)&amp;INDEX('Serial Reference'!$A$8:$W$8,1,MOD($A22-1,23)+1)&amp;TEXT(T$2+FLOOR((T$2-1)/9,1),"000"),"")</f>
        <v>AW021</v>
      </c>
      <c r="U22" s="26" t="str">
        <f>IF(INDEX('Shot Map'!$B$6:$V$26,CEILING($A22/5,1),CEILING(U$2/5,1))=1,INDEX('Serial Reference'!$A$8:$W$8,1,FLOOR(($A22-1)/23,1)+1)&amp;INDEX('Serial Reference'!$A$8:$W$8,1,MOD($A22-1,23)+1)&amp;TEXT(U$2+FLOOR((U$2-1)/9,1),"000"),"")</f>
        <v>AW022</v>
      </c>
      <c r="V22" s="24" t="str">
        <f>IF(INDEX('Shot Map'!$B$6:$V$26,CEILING($A22/5,1),CEILING(V$2/5,1))=1,INDEX('Serial Reference'!$A$8:$W$8,1,FLOOR(($A22-1)/23,1)+1)&amp;INDEX('Serial Reference'!$A$8:$W$8,1,MOD($A22-1,23)+1)&amp;TEXT(V$2+FLOOR((V$2-1)/9,1),"000"),"")</f>
        <v>AW023</v>
      </c>
      <c r="W22" s="25" t="str">
        <f>IF(INDEX('Shot Map'!$B$6:$V$26,CEILING($A22/5,1),CEILING(W$2/5,1))=1,INDEX('Serial Reference'!$A$8:$W$8,1,FLOOR(($A22-1)/23,1)+1)&amp;INDEX('Serial Reference'!$A$8:$W$8,1,MOD($A22-1,23)+1)&amp;TEXT(W$2+FLOOR((W$2-1)/9,1),"000"),"")</f>
        <v>AW024</v>
      </c>
      <c r="X22" s="25" t="str">
        <f>IF(INDEX('Shot Map'!$B$6:$V$26,CEILING($A22/5,1),CEILING(X$2/5,1))=1,INDEX('Serial Reference'!$A$8:$W$8,1,FLOOR(($A22-1)/23,1)+1)&amp;INDEX('Serial Reference'!$A$8:$W$8,1,MOD($A22-1,23)+1)&amp;TEXT(X$2+FLOOR((X$2-1)/9,1),"000"),"")</f>
        <v>AW025</v>
      </c>
      <c r="Y22" s="25" t="str">
        <f>IF(INDEX('Shot Map'!$B$6:$V$26,CEILING($A22/5,1),CEILING(Y$2/5,1))=1,INDEX('Serial Reference'!$A$8:$W$8,1,FLOOR(($A22-1)/23,1)+1)&amp;INDEX('Serial Reference'!$A$8:$W$8,1,MOD($A22-1,23)+1)&amp;TEXT(Y$2+FLOOR((Y$2-1)/9,1),"000"),"")</f>
        <v>AW026</v>
      </c>
      <c r="Z22" s="26" t="str">
        <f>IF(INDEX('Shot Map'!$B$6:$V$26,CEILING($A22/5,1),CEILING(Z$2/5,1))=1,INDEX('Serial Reference'!$A$8:$W$8,1,FLOOR(($A22-1)/23,1)+1)&amp;INDEX('Serial Reference'!$A$8:$W$8,1,MOD($A22-1,23)+1)&amp;TEXT(Z$2+FLOOR((Z$2-1)/9,1),"000"),"")</f>
        <v>AW027</v>
      </c>
      <c r="AA22" s="24" t="str">
        <f>IF(INDEX('Shot Map'!$B$6:$V$26,CEILING($A22/5,1),CEILING(AA$2/5,1))=1,INDEX('Serial Reference'!$A$8:$W$8,1,FLOOR(($A22-1)/23,1)+1)&amp;INDEX('Serial Reference'!$A$8:$W$8,1,MOD($A22-1,23)+1)&amp;TEXT(AA$2+FLOOR((AA$2-1)/9,1),"000"),"")</f>
        <v>AW028</v>
      </c>
      <c r="AB22" s="25" t="str">
        <f>IF(INDEX('Shot Map'!$B$6:$V$26,CEILING($A22/5,1),CEILING(AB$2/5,1))=1,INDEX('Serial Reference'!$A$8:$W$8,1,FLOOR(($A22-1)/23,1)+1)&amp;INDEX('Serial Reference'!$A$8:$W$8,1,MOD($A22-1,23)+1)&amp;TEXT(AB$2+FLOOR((AB$2-1)/9,1),"000"),"")</f>
        <v>AW029</v>
      </c>
      <c r="AC22" s="25" t="str">
        <f>IF(INDEX('Shot Map'!$B$6:$V$26,CEILING($A22/5,1),CEILING(AC$2/5,1))=1,INDEX('Serial Reference'!$A$8:$W$8,1,FLOOR(($A22-1)/23,1)+1)&amp;INDEX('Serial Reference'!$A$8:$W$8,1,MOD($A22-1,23)+1)&amp;TEXT(AC$2+FLOOR((AC$2-1)/9,1),"000"),"")</f>
        <v>AW031</v>
      </c>
      <c r="AD22" s="25" t="str">
        <f>IF(INDEX('Shot Map'!$B$6:$V$26,CEILING($A22/5,1),CEILING(AD$2/5,1))=1,INDEX('Serial Reference'!$A$8:$W$8,1,FLOOR(($A22-1)/23,1)+1)&amp;INDEX('Serial Reference'!$A$8:$W$8,1,MOD($A22-1,23)+1)&amp;TEXT(AD$2+FLOOR((AD$2-1)/9,1),"000"),"")</f>
        <v>AW032</v>
      </c>
      <c r="AE22" s="26" t="str">
        <f>IF(INDEX('Shot Map'!$B$6:$V$26,CEILING($A22/5,1),CEILING(AE$2/5,1))=1,INDEX('Serial Reference'!$A$8:$W$8,1,FLOOR(($A22-1)/23,1)+1)&amp;INDEX('Serial Reference'!$A$8:$W$8,1,MOD($A22-1,23)+1)&amp;TEXT(AE$2+FLOOR((AE$2-1)/9,1),"000"),"")</f>
        <v>AW033</v>
      </c>
      <c r="AF22" s="24" t="str">
        <f>IF(INDEX('Shot Map'!$B$6:$V$26,CEILING($A22/5,1),CEILING(AF$2/5,1))=1,INDEX('Serial Reference'!$A$8:$W$8,1,FLOOR(($A22-1)/23,1)+1)&amp;INDEX('Serial Reference'!$A$8:$W$8,1,MOD($A22-1,23)+1)&amp;TEXT(AF$2+FLOOR((AF$2-1)/9,1),"000"),"")</f>
        <v>AW034</v>
      </c>
      <c r="AG22" s="25" t="str">
        <f>IF(INDEX('Shot Map'!$B$6:$V$26,CEILING($A22/5,1),CEILING(AG$2/5,1))=1,INDEX('Serial Reference'!$A$8:$W$8,1,FLOOR(($A22-1)/23,1)+1)&amp;INDEX('Serial Reference'!$A$8:$W$8,1,MOD($A22-1,23)+1)&amp;TEXT(AG$2+FLOOR((AG$2-1)/9,1),"000"),"")</f>
        <v>AW035</v>
      </c>
      <c r="AH22" s="25" t="str">
        <f>IF(INDEX('Shot Map'!$B$6:$V$26,CEILING($A22/5,1),CEILING(AH$2/5,1))=1,INDEX('Serial Reference'!$A$8:$W$8,1,FLOOR(($A22-1)/23,1)+1)&amp;INDEX('Serial Reference'!$A$8:$W$8,1,MOD($A22-1,23)+1)&amp;TEXT(AH$2+FLOOR((AH$2-1)/9,1),"000"),"")</f>
        <v>AW036</v>
      </c>
      <c r="AI22" s="25" t="str">
        <f>IF(INDEX('Shot Map'!$B$6:$V$26,CEILING($A22/5,1),CEILING(AI$2/5,1))=1,INDEX('Serial Reference'!$A$8:$W$8,1,FLOOR(($A22-1)/23,1)+1)&amp;INDEX('Serial Reference'!$A$8:$W$8,1,MOD($A22-1,23)+1)&amp;TEXT(AI$2+FLOOR((AI$2-1)/9,1),"000"),"")</f>
        <v>AW037</v>
      </c>
      <c r="AJ22" s="26" t="str">
        <f>IF(INDEX('Shot Map'!$B$6:$V$26,CEILING($A22/5,1),CEILING(AJ$2/5,1))=1,INDEX('Serial Reference'!$A$8:$W$8,1,FLOOR(($A22-1)/23,1)+1)&amp;INDEX('Serial Reference'!$A$8:$W$8,1,MOD($A22-1,23)+1)&amp;TEXT(AJ$2+FLOOR((AJ$2-1)/9,1),"000"),"")</f>
        <v>AW038</v>
      </c>
      <c r="AK22" s="24" t="str">
        <f>IF(INDEX('Shot Map'!$B$6:$V$26,CEILING($A22/5,1),CEILING(AK$2/5,1))=1,INDEX('Serial Reference'!$A$8:$W$8,1,FLOOR(($A22-1)/23,1)+1)&amp;INDEX('Serial Reference'!$A$8:$W$8,1,MOD($A22-1,23)+1)&amp;TEXT(AK$2+FLOOR((AK$2-1)/9,1),"000"),"")</f>
        <v>AW039</v>
      </c>
      <c r="AL22" s="25" t="str">
        <f>IF(INDEX('Shot Map'!$B$6:$V$26,CEILING($A22/5,1),CEILING(AL$2/5,1))=1,INDEX('Serial Reference'!$A$8:$W$8,1,FLOOR(($A22-1)/23,1)+1)&amp;INDEX('Serial Reference'!$A$8:$W$8,1,MOD($A22-1,23)+1)&amp;TEXT(AL$2+FLOOR((AL$2-1)/9,1),"000"),"")</f>
        <v>AW041</v>
      </c>
      <c r="AM22" s="25" t="str">
        <f>IF(INDEX('Shot Map'!$B$6:$V$26,CEILING($A22/5,1),CEILING(AM$2/5,1))=1,INDEX('Serial Reference'!$A$8:$W$8,1,FLOOR(($A22-1)/23,1)+1)&amp;INDEX('Serial Reference'!$A$8:$W$8,1,MOD($A22-1,23)+1)&amp;TEXT(AM$2+FLOOR((AM$2-1)/9,1),"000"),"")</f>
        <v>AW042</v>
      </c>
      <c r="AN22" s="25" t="str">
        <f>IF(INDEX('Shot Map'!$B$6:$V$26,CEILING($A22/5,1),CEILING(AN$2/5,1))=1,INDEX('Serial Reference'!$A$8:$W$8,1,FLOOR(($A22-1)/23,1)+1)&amp;INDEX('Serial Reference'!$A$8:$W$8,1,MOD($A22-1,23)+1)&amp;TEXT(AN$2+FLOOR((AN$2-1)/9,1),"000"),"")</f>
        <v>AW043</v>
      </c>
      <c r="AO22" s="26" t="str">
        <f>IF(INDEX('Shot Map'!$B$6:$V$26,CEILING($A22/5,1),CEILING(AO$2/5,1))=1,INDEX('Serial Reference'!$A$8:$W$8,1,FLOOR(($A22-1)/23,1)+1)&amp;INDEX('Serial Reference'!$A$8:$W$8,1,MOD($A22-1,23)+1)&amp;TEXT(AO$2+FLOOR((AO$2-1)/9,1),"000"),"")</f>
        <v>AW044</v>
      </c>
      <c r="AP22" s="24" t="str">
        <f>IF(INDEX('Shot Map'!$B$6:$V$26,CEILING($A22/5,1),CEILING(AP$2/5,1))=1,INDEX('Serial Reference'!$A$8:$W$8,1,FLOOR(($A22-1)/23,1)+1)&amp;INDEX('Serial Reference'!$A$8:$W$8,1,MOD($A22-1,23)+1)&amp;TEXT(AP$2+FLOOR((AP$2-1)/9,1),"000"),"")</f>
        <v>AW045</v>
      </c>
      <c r="AQ22" s="25" t="str">
        <f>IF(INDEX('Shot Map'!$B$6:$V$26,CEILING($A22/5,1),CEILING(AQ$2/5,1))=1,INDEX('Serial Reference'!$A$8:$W$8,1,FLOOR(($A22-1)/23,1)+1)&amp;INDEX('Serial Reference'!$A$8:$W$8,1,MOD($A22-1,23)+1)&amp;TEXT(AQ$2+FLOOR((AQ$2-1)/9,1),"000"),"")</f>
        <v>AW046</v>
      </c>
      <c r="AR22" s="25" t="str">
        <f>IF(INDEX('Shot Map'!$B$6:$V$26,CEILING($A22/5,1),CEILING(AR$2/5,1))=1,INDEX('Serial Reference'!$A$8:$W$8,1,FLOOR(($A22-1)/23,1)+1)&amp;INDEX('Serial Reference'!$A$8:$W$8,1,MOD($A22-1,23)+1)&amp;TEXT(AR$2+FLOOR((AR$2-1)/9,1),"000"),"")</f>
        <v>AW047</v>
      </c>
      <c r="AS22" s="25" t="str">
        <f>IF(INDEX('Shot Map'!$B$6:$V$26,CEILING($A22/5,1),CEILING(AS$2/5,1))=1,INDEX('Serial Reference'!$A$8:$W$8,1,FLOOR(($A22-1)/23,1)+1)&amp;INDEX('Serial Reference'!$A$8:$W$8,1,MOD($A22-1,23)+1)&amp;TEXT(AS$2+FLOOR((AS$2-1)/9,1),"000"),"")</f>
        <v>AW048</v>
      </c>
      <c r="AT22" s="26" t="str">
        <f>IF(INDEX('Shot Map'!$B$6:$V$26,CEILING($A22/5,1),CEILING(AT$2/5,1))=1,INDEX('Serial Reference'!$A$8:$W$8,1,FLOOR(($A22-1)/23,1)+1)&amp;INDEX('Serial Reference'!$A$8:$W$8,1,MOD($A22-1,23)+1)&amp;TEXT(AT$2+FLOOR((AT$2-1)/9,1),"000"),"")</f>
        <v>AW049</v>
      </c>
      <c r="AU22" s="24" t="str">
        <f>IF(INDEX('Shot Map'!$B$6:$V$26,CEILING($A22/5,1),CEILING(AU$2/5,1))=1,INDEX('Serial Reference'!$A$8:$W$8,1,FLOOR(($A22-1)/23,1)+1)&amp;INDEX('Serial Reference'!$A$8:$W$8,1,MOD($A22-1,23)+1)&amp;TEXT(AU$2+FLOOR((AU$2-1)/9,1),"000"),"")</f>
        <v>AW051</v>
      </c>
      <c r="AV22" s="25" t="str">
        <f>IF(INDEX('Shot Map'!$B$6:$V$26,CEILING($A22/5,1),CEILING(AV$2/5,1))=1,INDEX('Serial Reference'!$A$8:$W$8,1,FLOOR(($A22-1)/23,1)+1)&amp;INDEX('Serial Reference'!$A$8:$W$8,1,MOD($A22-1,23)+1)&amp;TEXT(AV$2+FLOOR((AV$2-1)/9,1),"000"),"")</f>
        <v>AW052</v>
      </c>
      <c r="AW22" s="25" t="str">
        <f>IF(INDEX('Shot Map'!$B$6:$V$26,CEILING($A22/5,1),CEILING(AW$2/5,1))=1,INDEX('Serial Reference'!$A$8:$W$8,1,FLOOR(($A22-1)/23,1)+1)&amp;INDEX('Serial Reference'!$A$8:$W$8,1,MOD($A22-1,23)+1)&amp;TEXT(AW$2+FLOOR((AW$2-1)/9,1),"000"),"")</f>
        <v>AW053</v>
      </c>
      <c r="AX22" s="25" t="str">
        <f>IF(INDEX('Shot Map'!$B$6:$V$26,CEILING($A22/5,1),CEILING(AX$2/5,1))=1,INDEX('Serial Reference'!$A$8:$W$8,1,FLOOR(($A22-1)/23,1)+1)&amp;INDEX('Serial Reference'!$A$8:$W$8,1,MOD($A22-1,23)+1)&amp;TEXT(AX$2+FLOOR((AX$2-1)/9,1),"000"),"")</f>
        <v>AW054</v>
      </c>
      <c r="AY22" s="26" t="str">
        <f>IF(INDEX('Shot Map'!$B$6:$V$26,CEILING($A22/5,1),CEILING(AY$2/5,1))=1,INDEX('Serial Reference'!$A$8:$W$8,1,FLOOR(($A22-1)/23,1)+1)&amp;INDEX('Serial Reference'!$A$8:$W$8,1,MOD($A22-1,23)+1)&amp;TEXT(AY$2+FLOOR((AY$2-1)/9,1),"000"),"")</f>
        <v>AW055</v>
      </c>
      <c r="AZ22" s="24" t="str">
        <f>IF(INDEX('Shot Map'!$B$6:$V$26,CEILING($A22/5,1),CEILING(AZ$2/5,1))=1,INDEX('Serial Reference'!$A$8:$W$8,1,FLOOR(($A22-1)/23,1)+1)&amp;INDEX('Serial Reference'!$A$8:$W$8,1,MOD($A22-1,23)+1)&amp;TEXT(AZ$2+FLOOR((AZ$2-1)/9,1),"000"),"")</f>
        <v>AW056</v>
      </c>
      <c r="BA22" s="25" t="str">
        <f>IF(INDEX('Shot Map'!$B$6:$V$26,CEILING($A22/5,1),CEILING(BA$2/5,1))=1,INDEX('Serial Reference'!$A$8:$W$8,1,FLOOR(($A22-1)/23,1)+1)&amp;INDEX('Serial Reference'!$A$8:$W$8,1,MOD($A22-1,23)+1)&amp;TEXT(BA$2+FLOOR((BA$2-1)/9,1),"000"),"")</f>
        <v>AW057</v>
      </c>
      <c r="BB22" s="25" t="str">
        <f>IF(INDEX('Shot Map'!$B$6:$V$26,CEILING($A22/5,1),CEILING(BB$2/5,1))=1,INDEX('Serial Reference'!$A$8:$W$8,1,FLOOR(($A22-1)/23,1)+1)&amp;INDEX('Serial Reference'!$A$8:$W$8,1,MOD($A22-1,23)+1)&amp;TEXT(BB$2+FLOOR((BB$2-1)/9,1),"000"),"")</f>
        <v>AW058</v>
      </c>
      <c r="BC22" s="25" t="str">
        <f>IF(INDEX('Shot Map'!$B$6:$V$26,CEILING($A22/5,1),CEILING(BC$2/5,1))=1,INDEX('Serial Reference'!$A$8:$W$8,1,FLOOR(($A22-1)/23,1)+1)&amp;INDEX('Serial Reference'!$A$8:$W$8,1,MOD($A22-1,23)+1)&amp;TEXT(BC$2+FLOOR((BC$2-1)/9,1),"000"),"")</f>
        <v>AW059</v>
      </c>
      <c r="BD22" s="26" t="str">
        <f>IF(INDEX('Shot Map'!$B$6:$V$26,CEILING($A22/5,1),CEILING(BD$2/5,1))=1,INDEX('Serial Reference'!$A$8:$W$8,1,FLOOR(($A22-1)/23,1)+1)&amp;INDEX('Serial Reference'!$A$8:$W$8,1,MOD($A22-1,23)+1)&amp;TEXT(BD$2+FLOOR((BD$2-1)/9,1),"000"),"")</f>
        <v>AW061</v>
      </c>
      <c r="BE22" s="24" t="str">
        <f>IF(INDEX('Shot Map'!$B$6:$V$26,CEILING($A22/5,1),CEILING(BE$2/5,1))=1,INDEX('Serial Reference'!$A$8:$W$8,1,FLOOR(($A22-1)/23,1)+1)&amp;INDEX('Serial Reference'!$A$8:$W$8,1,MOD($A22-1,23)+1)&amp;TEXT(BE$2+FLOOR((BE$2-1)/9,1),"000"),"")</f>
        <v>AW062</v>
      </c>
      <c r="BF22" s="25" t="str">
        <f>IF(INDEX('Shot Map'!$B$6:$V$26,CEILING($A22/5,1),CEILING(BF$2/5,1))=1,INDEX('Serial Reference'!$A$8:$W$8,1,FLOOR(($A22-1)/23,1)+1)&amp;INDEX('Serial Reference'!$A$8:$W$8,1,MOD($A22-1,23)+1)&amp;TEXT(BF$2+FLOOR((BF$2-1)/9,1),"000"),"")</f>
        <v>AW063</v>
      </c>
      <c r="BG22" s="25" t="str">
        <f>IF(INDEX('Shot Map'!$B$6:$V$26,CEILING($A22/5,1),CEILING(BG$2/5,1))=1,INDEX('Serial Reference'!$A$8:$W$8,1,FLOOR(($A22-1)/23,1)+1)&amp;INDEX('Serial Reference'!$A$8:$W$8,1,MOD($A22-1,23)+1)&amp;TEXT(BG$2+FLOOR((BG$2-1)/9,1),"000"),"")</f>
        <v>AW064</v>
      </c>
      <c r="BH22" s="25" t="str">
        <f>IF(INDEX('Shot Map'!$B$6:$V$26,CEILING($A22/5,1),CEILING(BH$2/5,1))=1,INDEX('Serial Reference'!$A$8:$W$8,1,FLOOR(($A22-1)/23,1)+1)&amp;INDEX('Serial Reference'!$A$8:$W$8,1,MOD($A22-1,23)+1)&amp;TEXT(BH$2+FLOOR((BH$2-1)/9,1),"000"),"")</f>
        <v>AW065</v>
      </c>
      <c r="BI22" s="26" t="str">
        <f>IF(INDEX('Shot Map'!$B$6:$V$26,CEILING($A22/5,1),CEILING(BI$2/5,1))=1,INDEX('Serial Reference'!$A$8:$W$8,1,FLOOR(($A22-1)/23,1)+1)&amp;INDEX('Serial Reference'!$A$8:$W$8,1,MOD($A22-1,23)+1)&amp;TEXT(BI$2+FLOOR((BI$2-1)/9,1),"000"),"")</f>
        <v>AW066</v>
      </c>
      <c r="BJ22" s="24" t="str">
        <f>IF(INDEX('Shot Map'!$B$6:$V$26,CEILING($A22/5,1),CEILING(BJ$2/5,1))=1,INDEX('Serial Reference'!$A$8:$W$8,1,FLOOR(($A22-1)/23,1)+1)&amp;INDEX('Serial Reference'!$A$8:$W$8,1,MOD($A22-1,23)+1)&amp;TEXT(BJ$2+FLOOR((BJ$2-1)/9,1),"000"),"")</f>
        <v>AW067</v>
      </c>
      <c r="BK22" s="25" t="str">
        <f>IF(INDEX('Shot Map'!$B$6:$V$26,CEILING($A22/5,1),CEILING(BK$2/5,1))=1,INDEX('Serial Reference'!$A$8:$W$8,1,FLOOR(($A22-1)/23,1)+1)&amp;INDEX('Serial Reference'!$A$8:$W$8,1,MOD($A22-1,23)+1)&amp;TEXT(BK$2+FLOOR((BK$2-1)/9,1),"000"),"")</f>
        <v>AW068</v>
      </c>
      <c r="BL22" s="25" t="str">
        <f>IF(INDEX('Shot Map'!$B$6:$V$26,CEILING($A22/5,1),CEILING(BL$2/5,1))=1,INDEX('Serial Reference'!$A$8:$W$8,1,FLOOR(($A22-1)/23,1)+1)&amp;INDEX('Serial Reference'!$A$8:$W$8,1,MOD($A22-1,23)+1)&amp;TEXT(BL$2+FLOOR((BL$2-1)/9,1),"000"),"")</f>
        <v>AW069</v>
      </c>
      <c r="BM22" s="25" t="str">
        <f>IF(INDEX('Shot Map'!$B$6:$V$26,CEILING($A22/5,1),CEILING(BM$2/5,1))=1,INDEX('Serial Reference'!$A$8:$W$8,1,FLOOR(($A22-1)/23,1)+1)&amp;INDEX('Serial Reference'!$A$8:$W$8,1,MOD($A22-1,23)+1)&amp;TEXT(BM$2+FLOOR((BM$2-1)/9,1),"000"),"")</f>
        <v>AW071</v>
      </c>
      <c r="BN22" s="26" t="str">
        <f>IF(INDEX('Shot Map'!$B$6:$V$26,CEILING($A22/5,1),CEILING(BN$2/5,1))=1,INDEX('Serial Reference'!$A$8:$W$8,1,FLOOR(($A22-1)/23,1)+1)&amp;INDEX('Serial Reference'!$A$8:$W$8,1,MOD($A22-1,23)+1)&amp;TEXT(BN$2+FLOOR((BN$2-1)/9,1),"000"),"")</f>
        <v>AW072</v>
      </c>
      <c r="BO22" s="24" t="str">
        <f>IF(INDEX('Shot Map'!$B$6:$V$26,CEILING($A22/5,1),CEILING(BO$2/5,1))=1,INDEX('Serial Reference'!$A$8:$W$8,1,FLOOR(($A22-1)/23,1)+1)&amp;INDEX('Serial Reference'!$A$8:$W$8,1,MOD($A22-1,23)+1)&amp;TEXT(BO$2+FLOOR((BO$2-1)/9,1),"000"),"")</f>
        <v>AW073</v>
      </c>
      <c r="BP22" s="25" t="str">
        <f>IF(INDEX('Shot Map'!$B$6:$V$26,CEILING($A22/5,1),CEILING(BP$2/5,1))=1,INDEX('Serial Reference'!$A$8:$W$8,1,FLOOR(($A22-1)/23,1)+1)&amp;INDEX('Serial Reference'!$A$8:$W$8,1,MOD($A22-1,23)+1)&amp;TEXT(BP$2+FLOOR((BP$2-1)/9,1),"000"),"")</f>
        <v>AW074</v>
      </c>
      <c r="BQ22" s="25" t="str">
        <f>IF(INDEX('Shot Map'!$B$6:$V$26,CEILING($A22/5,1),CEILING(BQ$2/5,1))=1,INDEX('Serial Reference'!$A$8:$W$8,1,FLOOR(($A22-1)/23,1)+1)&amp;INDEX('Serial Reference'!$A$8:$W$8,1,MOD($A22-1,23)+1)&amp;TEXT(BQ$2+FLOOR((BQ$2-1)/9,1),"000"),"")</f>
        <v>AW075</v>
      </c>
      <c r="BR22" s="25" t="str">
        <f>IF(INDEX('Shot Map'!$B$6:$V$26,CEILING($A22/5,1),CEILING(BR$2/5,1))=1,INDEX('Serial Reference'!$A$8:$W$8,1,FLOOR(($A22-1)/23,1)+1)&amp;INDEX('Serial Reference'!$A$8:$W$8,1,MOD($A22-1,23)+1)&amp;TEXT(BR$2+FLOOR((BR$2-1)/9,1),"000"),"")</f>
        <v>AW076</v>
      </c>
      <c r="BS22" s="26" t="str">
        <f>IF(INDEX('Shot Map'!$B$6:$V$26,CEILING($A22/5,1),CEILING(BS$2/5,1))=1,INDEX('Serial Reference'!$A$8:$W$8,1,FLOOR(($A22-1)/23,1)+1)&amp;INDEX('Serial Reference'!$A$8:$W$8,1,MOD($A22-1,23)+1)&amp;TEXT(BS$2+FLOOR((BS$2-1)/9,1),"000"),"")</f>
        <v>AW077</v>
      </c>
      <c r="BT22" s="24" t="str">
        <f>IF(INDEX('Shot Map'!$B$6:$V$26,CEILING($A22/5,1),CEILING(BT$2/5,1))=1,INDEX('Serial Reference'!$A$8:$W$8,1,FLOOR(($A22-1)/23,1)+1)&amp;INDEX('Serial Reference'!$A$8:$W$8,1,MOD($A22-1,23)+1)&amp;TEXT(BT$2+FLOOR((BT$2-1)/9,1),"000"),"")</f>
        <v>AW078</v>
      </c>
      <c r="BU22" s="25" t="str">
        <f>IF(INDEX('Shot Map'!$B$6:$V$26,CEILING($A22/5,1),CEILING(BU$2/5,1))=1,INDEX('Serial Reference'!$A$8:$W$8,1,FLOOR(($A22-1)/23,1)+1)&amp;INDEX('Serial Reference'!$A$8:$W$8,1,MOD($A22-1,23)+1)&amp;TEXT(BU$2+FLOOR((BU$2-1)/9,1),"000"),"")</f>
        <v>AW079</v>
      </c>
      <c r="BV22" s="25" t="str">
        <f>IF(INDEX('Shot Map'!$B$6:$V$26,CEILING($A22/5,1),CEILING(BV$2/5,1))=1,INDEX('Serial Reference'!$A$8:$W$8,1,FLOOR(($A22-1)/23,1)+1)&amp;INDEX('Serial Reference'!$A$8:$W$8,1,MOD($A22-1,23)+1)&amp;TEXT(BV$2+FLOOR((BV$2-1)/9,1),"000"),"")</f>
        <v>AW081</v>
      </c>
      <c r="BW22" s="25" t="str">
        <f>IF(INDEX('Shot Map'!$B$6:$V$26,CEILING($A22/5,1),CEILING(BW$2/5,1))=1,INDEX('Serial Reference'!$A$8:$W$8,1,FLOOR(($A22-1)/23,1)+1)&amp;INDEX('Serial Reference'!$A$8:$W$8,1,MOD($A22-1,23)+1)&amp;TEXT(BW$2+FLOOR((BW$2-1)/9,1),"000"),"")</f>
        <v>AW082</v>
      </c>
      <c r="BX22" s="26" t="str">
        <f>IF(INDEX('Shot Map'!$B$6:$V$26,CEILING($A22/5,1),CEILING(BX$2/5,1))=1,INDEX('Serial Reference'!$A$8:$W$8,1,FLOOR(($A22-1)/23,1)+1)&amp;INDEX('Serial Reference'!$A$8:$W$8,1,MOD($A22-1,23)+1)&amp;TEXT(BX$2+FLOOR((BX$2-1)/9,1),"000"),"")</f>
        <v>AW083</v>
      </c>
      <c r="BY22" s="24" t="str">
        <f>IF(INDEX('Shot Map'!$B$6:$V$26,CEILING($A22/5,1),CEILING(BY$2/5,1))=1,INDEX('Serial Reference'!$A$8:$W$8,1,FLOOR(($A22-1)/23,1)+1)&amp;INDEX('Serial Reference'!$A$8:$W$8,1,MOD($A22-1,23)+1)&amp;TEXT(BY$2+FLOOR((BY$2-1)/9,1),"000"),"")</f>
        <v>AW084</v>
      </c>
      <c r="BZ22" s="25" t="str">
        <f>IF(INDEX('Shot Map'!$B$6:$V$26,CEILING($A22/5,1),CEILING(BZ$2/5,1))=1,INDEX('Serial Reference'!$A$8:$W$8,1,FLOOR(($A22-1)/23,1)+1)&amp;INDEX('Serial Reference'!$A$8:$W$8,1,MOD($A22-1,23)+1)&amp;TEXT(BZ$2+FLOOR((BZ$2-1)/9,1),"000"),"")</f>
        <v>AW085</v>
      </c>
      <c r="CA22" s="25" t="str">
        <f>IF(INDEX('Shot Map'!$B$6:$V$26,CEILING($A22/5,1),CEILING(CA$2/5,1))=1,INDEX('Serial Reference'!$A$8:$W$8,1,FLOOR(($A22-1)/23,1)+1)&amp;INDEX('Serial Reference'!$A$8:$W$8,1,MOD($A22-1,23)+1)&amp;TEXT(CA$2+FLOOR((CA$2-1)/9,1),"000"),"")</f>
        <v>AW086</v>
      </c>
      <c r="CB22" s="25" t="str">
        <f>IF(INDEX('Shot Map'!$B$6:$V$26,CEILING($A22/5,1),CEILING(CB$2/5,1))=1,INDEX('Serial Reference'!$A$8:$W$8,1,FLOOR(($A22-1)/23,1)+1)&amp;INDEX('Serial Reference'!$A$8:$W$8,1,MOD($A22-1,23)+1)&amp;TEXT(CB$2+FLOOR((CB$2-1)/9,1),"000"),"")</f>
        <v>AW087</v>
      </c>
      <c r="CC22" s="26" t="str">
        <f>IF(INDEX('Shot Map'!$B$6:$V$26,CEILING($A22/5,1),CEILING(CC$2/5,1))=1,INDEX('Serial Reference'!$A$8:$W$8,1,FLOOR(($A22-1)/23,1)+1)&amp;INDEX('Serial Reference'!$A$8:$W$8,1,MOD($A22-1,23)+1)&amp;TEXT(CC$2+FLOOR((CC$2-1)/9,1),"000"),"")</f>
        <v>AW088</v>
      </c>
      <c r="CD22" s="24" t="str">
        <f>IF(INDEX('Shot Map'!$B$6:$V$26,CEILING($A22/5,1),CEILING(CD$2/5,1))=1,INDEX('Serial Reference'!$A$8:$W$8,1,FLOOR(($A22-1)/23,1)+1)&amp;INDEX('Serial Reference'!$A$8:$W$8,1,MOD($A22-1,23)+1)&amp;TEXT(CD$2+FLOOR((CD$2-1)/9,1),"000"),"")</f>
        <v>AW089</v>
      </c>
      <c r="CE22" s="25" t="str">
        <f>IF(INDEX('Shot Map'!$B$6:$V$26,CEILING($A22/5,1),CEILING(CE$2/5,1))=1,INDEX('Serial Reference'!$A$8:$W$8,1,FLOOR(($A22-1)/23,1)+1)&amp;INDEX('Serial Reference'!$A$8:$W$8,1,MOD($A22-1,23)+1)&amp;TEXT(CE$2+FLOOR((CE$2-1)/9,1),"000"),"")</f>
        <v>AW091</v>
      </c>
      <c r="CF22" s="25" t="str">
        <f>IF(INDEX('Shot Map'!$B$6:$V$26,CEILING($A22/5,1),CEILING(CF$2/5,1))=1,INDEX('Serial Reference'!$A$8:$W$8,1,FLOOR(($A22-1)/23,1)+1)&amp;INDEX('Serial Reference'!$A$8:$W$8,1,MOD($A22-1,23)+1)&amp;TEXT(CF$2+FLOOR((CF$2-1)/9,1),"000"),"")</f>
        <v>AW092</v>
      </c>
      <c r="CG22" s="25" t="str">
        <f>IF(INDEX('Shot Map'!$B$6:$V$26,CEILING($A22/5,1),CEILING(CG$2/5,1))=1,INDEX('Serial Reference'!$A$8:$W$8,1,FLOOR(($A22-1)/23,1)+1)&amp;INDEX('Serial Reference'!$A$8:$W$8,1,MOD($A22-1,23)+1)&amp;TEXT(CG$2+FLOOR((CG$2-1)/9,1),"000"),"")</f>
        <v>AW093</v>
      </c>
      <c r="CH22" s="26" t="str">
        <f>IF(INDEX('Shot Map'!$B$6:$V$26,CEILING($A22/5,1),CEILING(CH$2/5,1))=1,INDEX('Serial Reference'!$A$8:$W$8,1,FLOOR(($A22-1)/23,1)+1)&amp;INDEX('Serial Reference'!$A$8:$W$8,1,MOD($A22-1,23)+1)&amp;TEXT(CH$2+FLOOR((CH$2-1)/9,1),"000"),"")</f>
        <v>AW094</v>
      </c>
      <c r="CI22" s="24" t="str">
        <f>IF(INDEX('Shot Map'!$B$6:$V$26,CEILING($A22/5,1),CEILING(CI$2/5,1))=1,INDEX('Serial Reference'!$A$8:$W$8,1,FLOOR(($A22-1)/23,1)+1)&amp;INDEX('Serial Reference'!$A$8:$W$8,1,MOD($A22-1,23)+1)&amp;TEXT(CI$2+FLOOR((CI$2-1)/9,1),"000"),"")</f>
        <v>AW095</v>
      </c>
      <c r="CJ22" s="25" t="str">
        <f>IF(INDEX('Shot Map'!$B$6:$V$26,CEILING($A22/5,1),CEILING(CJ$2/5,1))=1,INDEX('Serial Reference'!$A$8:$W$8,1,FLOOR(($A22-1)/23,1)+1)&amp;INDEX('Serial Reference'!$A$8:$W$8,1,MOD($A22-1,23)+1)&amp;TEXT(CJ$2+FLOOR((CJ$2-1)/9,1),"000"),"")</f>
        <v>AW096</v>
      </c>
      <c r="CK22" s="25" t="str">
        <f>IF(INDEX('Shot Map'!$B$6:$V$26,CEILING($A22/5,1),CEILING(CK$2/5,1))=1,INDEX('Serial Reference'!$A$8:$W$8,1,FLOOR(($A22-1)/23,1)+1)&amp;INDEX('Serial Reference'!$A$8:$W$8,1,MOD($A22-1,23)+1)&amp;TEXT(CK$2+FLOOR((CK$2-1)/9,1),"000"),"")</f>
        <v>AW097</v>
      </c>
      <c r="CL22" s="25" t="str">
        <f>IF(INDEX('Shot Map'!$B$6:$V$26,CEILING($A22/5,1),CEILING(CL$2/5,1))=1,INDEX('Serial Reference'!$A$8:$W$8,1,FLOOR(($A22-1)/23,1)+1)&amp;INDEX('Serial Reference'!$A$8:$W$8,1,MOD($A22-1,23)+1)&amp;TEXT(CL$2+FLOOR((CL$2-1)/9,1),"000"),"")</f>
        <v>AW098</v>
      </c>
      <c r="CM22" s="26" t="str">
        <f>IF(INDEX('Shot Map'!$B$6:$V$26,CEILING($A22/5,1),CEILING(CM$2/5,1))=1,INDEX('Serial Reference'!$A$8:$W$8,1,FLOOR(($A22-1)/23,1)+1)&amp;INDEX('Serial Reference'!$A$8:$W$8,1,MOD($A22-1,23)+1)&amp;TEXT(CM$2+FLOOR((CM$2-1)/9,1),"000"),"")</f>
        <v>AW099</v>
      </c>
      <c r="CN22" s="24" t="str">
        <f>IF(INDEX('Shot Map'!$B$6:$V$26,CEILING($A22/5,1),CEILING(CN$2/5,1))=1,INDEX('Serial Reference'!$A$8:$W$8,1,FLOOR(($A22-1)/23,1)+1)&amp;INDEX('Serial Reference'!$A$8:$W$8,1,MOD($A22-1,23)+1)&amp;TEXT(CN$2+FLOOR((CN$2-1)/9,1),"000"),"")</f>
        <v/>
      </c>
      <c r="CO22" s="25" t="str">
        <f>IF(INDEX('Shot Map'!$B$6:$V$26,CEILING($A22/5,1),CEILING(CO$2/5,1))=1,INDEX('Serial Reference'!$A$8:$W$8,1,FLOOR(($A22-1)/23,1)+1)&amp;INDEX('Serial Reference'!$A$8:$W$8,1,MOD($A22-1,23)+1)&amp;TEXT(CO$2+FLOOR((CO$2-1)/9,1),"000"),"")</f>
        <v/>
      </c>
      <c r="CP22" s="25" t="str">
        <f>IF(INDEX('Shot Map'!$B$6:$V$26,CEILING($A22/5,1),CEILING(CP$2/5,1))=1,INDEX('Serial Reference'!$A$8:$W$8,1,FLOOR(($A22-1)/23,1)+1)&amp;INDEX('Serial Reference'!$A$8:$W$8,1,MOD($A22-1,23)+1)&amp;TEXT(CP$2+FLOOR((CP$2-1)/9,1),"000"),"")</f>
        <v/>
      </c>
      <c r="CQ22" s="25" t="str">
        <f>IF(INDEX('Shot Map'!$B$6:$V$26,CEILING($A22/5,1),CEILING(CQ$2/5,1))=1,INDEX('Serial Reference'!$A$8:$W$8,1,FLOOR(($A22-1)/23,1)+1)&amp;INDEX('Serial Reference'!$A$8:$W$8,1,MOD($A22-1,23)+1)&amp;TEXT(CQ$2+FLOOR((CQ$2-1)/9,1),"000"),"")</f>
        <v/>
      </c>
      <c r="CR22" s="26" t="str">
        <f>IF(INDEX('Shot Map'!$B$6:$V$26,CEILING($A22/5,1),CEILING(CR$2/5,1))=1,INDEX('Serial Reference'!$A$8:$W$8,1,FLOOR(($A22-1)/23,1)+1)&amp;INDEX('Serial Reference'!$A$8:$W$8,1,MOD($A22-1,23)+1)&amp;TEXT(CR$2+FLOOR((CR$2-1)/9,1),"000"),"")</f>
        <v/>
      </c>
      <c r="CS22" s="24" t="str">
        <f>IF(INDEX('Shot Map'!$B$6:$V$26,CEILING($A22/5,1),CEILING(CS$2/5,1))=1,INDEX('Serial Reference'!$A$8:$W$8,1,FLOOR(($A22-1)/23,1)+1)&amp;INDEX('Serial Reference'!$A$8:$W$8,1,MOD($A22-1,23)+1)&amp;TEXT(CS$2+FLOOR((CS$2-1)/9,1),"000"),"")</f>
        <v/>
      </c>
      <c r="CT22" s="25" t="str">
        <f>IF(INDEX('Shot Map'!$B$6:$V$26,CEILING($A22/5,1),CEILING(CT$2/5,1))=1,INDEX('Serial Reference'!$A$8:$W$8,1,FLOOR(($A22-1)/23,1)+1)&amp;INDEX('Serial Reference'!$A$8:$W$8,1,MOD($A22-1,23)+1)&amp;TEXT(CT$2+FLOOR((CT$2-1)/9,1),"000"),"")</f>
        <v/>
      </c>
      <c r="CU22" s="25" t="str">
        <f>IF(INDEX('Shot Map'!$B$6:$V$26,CEILING($A22/5,1),CEILING(CU$2/5,1))=1,INDEX('Serial Reference'!$A$8:$W$8,1,FLOOR(($A22-1)/23,1)+1)&amp;INDEX('Serial Reference'!$A$8:$W$8,1,MOD($A22-1,23)+1)&amp;TEXT(CU$2+FLOOR((CU$2-1)/9,1),"000"),"")</f>
        <v/>
      </c>
      <c r="CV22" s="25" t="str">
        <f>IF(INDEX('Shot Map'!$B$6:$V$26,CEILING($A22/5,1),CEILING(CV$2/5,1))=1,INDEX('Serial Reference'!$A$8:$W$8,1,FLOOR(($A22-1)/23,1)+1)&amp;INDEX('Serial Reference'!$A$8:$W$8,1,MOD($A22-1,23)+1)&amp;TEXT(CV$2+FLOOR((CV$2-1)/9,1),"000"),"")</f>
        <v/>
      </c>
      <c r="CW22" s="26" t="str">
        <f>IF(INDEX('Shot Map'!$B$6:$V$26,CEILING($A22/5,1),CEILING(CW$2/5,1))=1,INDEX('Serial Reference'!$A$8:$W$8,1,FLOOR(($A22-1)/23,1)+1)&amp;INDEX('Serial Reference'!$A$8:$W$8,1,MOD($A22-1,23)+1)&amp;TEXT(CW$2+FLOOR((CW$2-1)/9,1),"000"),"")</f>
        <v/>
      </c>
      <c r="CX22" s="24" t="str">
        <f>IF(INDEX('Shot Map'!$B$6:$V$26,CEILING($A22/5,1),CEILING(CX$2/5,1))=1,INDEX('Serial Reference'!$A$8:$W$8,1,FLOOR(($A22-1)/23,1)+1)&amp;INDEX('Serial Reference'!$A$8:$W$8,1,MOD($A22-1,23)+1)&amp;TEXT(CX$2+FLOOR((CX$2-1)/9,1),"000"),"")</f>
        <v/>
      </c>
      <c r="CY22" s="25" t="str">
        <f>IF(INDEX('Shot Map'!$B$6:$V$26,CEILING($A22/5,1),CEILING(CY$2/5,1))=1,INDEX('Serial Reference'!$A$8:$W$8,1,FLOOR(($A22-1)/23,1)+1)&amp;INDEX('Serial Reference'!$A$8:$W$8,1,MOD($A22-1,23)+1)&amp;TEXT(CY$2+FLOOR((CY$2-1)/9,1),"000"),"")</f>
        <v/>
      </c>
      <c r="CZ22" s="25" t="str">
        <f>IF(INDEX('Shot Map'!$B$6:$V$26,CEILING($A22/5,1),CEILING(CZ$2/5,1))=1,INDEX('Serial Reference'!$A$8:$W$8,1,FLOOR(($A22-1)/23,1)+1)&amp;INDEX('Serial Reference'!$A$8:$W$8,1,MOD($A22-1,23)+1)&amp;TEXT(CZ$2+FLOOR((CZ$2-1)/9,1),"000"),"")</f>
        <v/>
      </c>
      <c r="DA22" s="25" t="str">
        <f>IF(INDEX('Shot Map'!$B$6:$V$26,CEILING($A22/5,1),CEILING(DA$2/5,1))=1,INDEX('Serial Reference'!$A$8:$W$8,1,FLOOR(($A22-1)/23,1)+1)&amp;INDEX('Serial Reference'!$A$8:$W$8,1,MOD($A22-1,23)+1)&amp;TEXT(DA$2+FLOOR((DA$2-1)/9,1),"000"),"")</f>
        <v/>
      </c>
      <c r="DB22" s="26" t="str">
        <f>IF(INDEX('Shot Map'!$B$6:$V$26,CEILING($A22/5,1),CEILING(DB$2/5,1))=1,INDEX('Serial Reference'!$A$8:$W$8,1,FLOOR(($A22-1)/23,1)+1)&amp;INDEX('Serial Reference'!$A$8:$W$8,1,MOD($A22-1,23)+1)&amp;TEXT(DB$2+FLOOR((DB$2-1)/9,1),"000"),"")</f>
        <v/>
      </c>
    </row>
    <row r="23" spans="1:106" ht="12.75" customHeight="1" x14ac:dyDescent="0.25">
      <c r="A23" s="17">
        <v>21</v>
      </c>
      <c r="B23" s="18" t="str">
        <f>IF(INDEX('Shot Map'!$B$6:$V$26,CEILING($A23/5,1),CEILING(B$2/5,1))=1,INDEX('Serial Reference'!$A$8:$W$8,1,FLOOR(($A23-1)/23,1)+1)&amp;INDEX('Serial Reference'!$A$8:$W$8,1,MOD($A23-1,23)+1)&amp;TEXT(B$2+FLOOR((B$2-1)/9,1),"000"),"")</f>
        <v/>
      </c>
      <c r="C23" s="19" t="str">
        <f>IF(INDEX('Shot Map'!$B$6:$V$26,CEILING($A23/5,1),CEILING(C$2/5,1))=1,INDEX('Serial Reference'!$A$8:$W$8,1,FLOOR(($A23-1)/23,1)+1)&amp;INDEX('Serial Reference'!$A$8:$W$8,1,MOD($A23-1,23)+1)&amp;TEXT(C$2+FLOOR((C$2-1)/9,1),"000"),"")</f>
        <v/>
      </c>
      <c r="D23" s="19" t="str">
        <f>IF(INDEX('Shot Map'!$B$6:$V$26,CEILING($A23/5,1),CEILING(D$2/5,1))=1,INDEX('Serial Reference'!$A$8:$W$8,1,FLOOR(($A23-1)/23,1)+1)&amp;INDEX('Serial Reference'!$A$8:$W$8,1,MOD($A23-1,23)+1)&amp;TEXT(D$2+FLOOR((D$2-1)/9,1),"000"),"")</f>
        <v/>
      </c>
      <c r="E23" s="19" t="str">
        <f>IF(INDEX('Shot Map'!$B$6:$V$26,CEILING($A23/5,1),CEILING(E$2/5,1))=1,INDEX('Serial Reference'!$A$8:$W$8,1,FLOOR(($A23-1)/23,1)+1)&amp;INDEX('Serial Reference'!$A$8:$W$8,1,MOD($A23-1,23)+1)&amp;TEXT(E$2+FLOOR((E$2-1)/9,1),"000"),"")</f>
        <v/>
      </c>
      <c r="F23" s="20" t="str">
        <f>IF(INDEX('Shot Map'!$B$6:$V$26,CEILING($A23/5,1),CEILING(F$2/5,1))=1,INDEX('Serial Reference'!$A$8:$W$8,1,FLOOR(($A23-1)/23,1)+1)&amp;INDEX('Serial Reference'!$A$8:$W$8,1,MOD($A23-1,23)+1)&amp;TEXT(F$2+FLOOR((F$2-1)/9,1),"000"),"")</f>
        <v/>
      </c>
      <c r="G23" s="18" t="str">
        <f>IF(INDEX('Shot Map'!$B$6:$V$26,CEILING($A23/5,1),CEILING(G$2/5,1))=1,INDEX('Serial Reference'!$A$8:$W$8,1,FLOOR(($A23-1)/23,1)+1)&amp;INDEX('Serial Reference'!$A$8:$W$8,1,MOD($A23-1,23)+1)&amp;TEXT(G$2+FLOOR((G$2-1)/9,1),"000"),"")</f>
        <v/>
      </c>
      <c r="H23" s="19" t="str">
        <f>IF(INDEX('Shot Map'!$B$6:$V$26,CEILING($A23/5,1),CEILING(H$2/5,1))=1,INDEX('Serial Reference'!$A$8:$W$8,1,FLOOR(($A23-1)/23,1)+1)&amp;INDEX('Serial Reference'!$A$8:$W$8,1,MOD($A23-1,23)+1)&amp;TEXT(H$2+FLOOR((H$2-1)/9,1),"000"),"")</f>
        <v/>
      </c>
      <c r="I23" s="19" t="str">
        <f>IF(INDEX('Shot Map'!$B$6:$V$26,CEILING($A23/5,1),CEILING(I$2/5,1))=1,INDEX('Serial Reference'!$A$8:$W$8,1,FLOOR(($A23-1)/23,1)+1)&amp;INDEX('Serial Reference'!$A$8:$W$8,1,MOD($A23-1,23)+1)&amp;TEXT(I$2+FLOOR((I$2-1)/9,1),"000"),"")</f>
        <v/>
      </c>
      <c r="J23" s="19" t="str">
        <f>IF(INDEX('Shot Map'!$B$6:$V$26,CEILING($A23/5,1),CEILING(J$2/5,1))=1,INDEX('Serial Reference'!$A$8:$W$8,1,FLOOR(($A23-1)/23,1)+1)&amp;INDEX('Serial Reference'!$A$8:$W$8,1,MOD($A23-1,23)+1)&amp;TEXT(J$2+FLOOR((J$2-1)/9,1),"000"),"")</f>
        <v/>
      </c>
      <c r="K23" s="20" t="str">
        <f>IF(INDEX('Shot Map'!$B$6:$V$26,CEILING($A23/5,1),CEILING(K$2/5,1))=1,INDEX('Serial Reference'!$A$8:$W$8,1,FLOOR(($A23-1)/23,1)+1)&amp;INDEX('Serial Reference'!$A$8:$W$8,1,MOD($A23-1,23)+1)&amp;TEXT(K$2+FLOOR((K$2-1)/9,1),"000"),"")</f>
        <v/>
      </c>
      <c r="L23" s="18" t="str">
        <f>IF(INDEX('Shot Map'!$B$6:$V$26,CEILING($A23/5,1),CEILING(L$2/5,1))=1,INDEX('Serial Reference'!$A$8:$W$8,1,FLOOR(($A23-1)/23,1)+1)&amp;INDEX('Serial Reference'!$A$8:$W$8,1,MOD($A23-1,23)+1)&amp;TEXT(L$2+FLOOR((L$2-1)/9,1),"000"),"")</f>
        <v>AX012</v>
      </c>
      <c r="M23" s="19" t="str">
        <f>IF(INDEX('Shot Map'!$B$6:$V$26,CEILING($A23/5,1),CEILING(M$2/5,1))=1,INDEX('Serial Reference'!$A$8:$W$8,1,FLOOR(($A23-1)/23,1)+1)&amp;INDEX('Serial Reference'!$A$8:$W$8,1,MOD($A23-1,23)+1)&amp;TEXT(M$2+FLOOR((M$2-1)/9,1),"000"),"")</f>
        <v>AX013</v>
      </c>
      <c r="N23" s="19" t="str">
        <f>IF(INDEX('Shot Map'!$B$6:$V$26,CEILING($A23/5,1),CEILING(N$2/5,1))=1,INDEX('Serial Reference'!$A$8:$W$8,1,FLOOR(($A23-1)/23,1)+1)&amp;INDEX('Serial Reference'!$A$8:$W$8,1,MOD($A23-1,23)+1)&amp;TEXT(N$2+FLOOR((N$2-1)/9,1),"000"),"")</f>
        <v>AX014</v>
      </c>
      <c r="O23" s="19" t="str">
        <f>IF(INDEX('Shot Map'!$B$6:$V$26,CEILING($A23/5,1),CEILING(O$2/5,1))=1,INDEX('Serial Reference'!$A$8:$W$8,1,FLOOR(($A23-1)/23,1)+1)&amp;INDEX('Serial Reference'!$A$8:$W$8,1,MOD($A23-1,23)+1)&amp;TEXT(O$2+FLOOR((O$2-1)/9,1),"000"),"")</f>
        <v>AX015</v>
      </c>
      <c r="P23" s="20" t="str">
        <f>IF(INDEX('Shot Map'!$B$6:$V$26,CEILING($A23/5,1),CEILING(P$2/5,1))=1,INDEX('Serial Reference'!$A$8:$W$8,1,FLOOR(($A23-1)/23,1)+1)&amp;INDEX('Serial Reference'!$A$8:$W$8,1,MOD($A23-1,23)+1)&amp;TEXT(P$2+FLOOR((P$2-1)/9,1),"000"),"")</f>
        <v>AX016</v>
      </c>
      <c r="Q23" s="18" t="str">
        <f>IF(INDEX('Shot Map'!$B$6:$V$26,CEILING($A23/5,1),CEILING(Q$2/5,1))=1,INDEX('Serial Reference'!$A$8:$W$8,1,FLOOR(($A23-1)/23,1)+1)&amp;INDEX('Serial Reference'!$A$8:$W$8,1,MOD($A23-1,23)+1)&amp;TEXT(Q$2+FLOOR((Q$2-1)/9,1),"000"),"")</f>
        <v>AX017</v>
      </c>
      <c r="R23" s="19" t="str">
        <f>IF(INDEX('Shot Map'!$B$6:$V$26,CEILING($A23/5,1),CEILING(R$2/5,1))=1,INDEX('Serial Reference'!$A$8:$W$8,1,FLOOR(($A23-1)/23,1)+1)&amp;INDEX('Serial Reference'!$A$8:$W$8,1,MOD($A23-1,23)+1)&amp;TEXT(R$2+FLOOR((R$2-1)/9,1),"000"),"")</f>
        <v>AX018</v>
      </c>
      <c r="S23" s="19" t="str">
        <f>IF(INDEX('Shot Map'!$B$6:$V$26,CEILING($A23/5,1),CEILING(S$2/5,1))=1,INDEX('Serial Reference'!$A$8:$W$8,1,FLOOR(($A23-1)/23,1)+1)&amp;INDEX('Serial Reference'!$A$8:$W$8,1,MOD($A23-1,23)+1)&amp;TEXT(S$2+FLOOR((S$2-1)/9,1),"000"),"")</f>
        <v>AX019</v>
      </c>
      <c r="T23" s="19" t="str">
        <f>IF(INDEX('Shot Map'!$B$6:$V$26,CEILING($A23/5,1),CEILING(T$2/5,1))=1,INDEX('Serial Reference'!$A$8:$W$8,1,FLOOR(($A23-1)/23,1)+1)&amp;INDEX('Serial Reference'!$A$8:$W$8,1,MOD($A23-1,23)+1)&amp;TEXT(T$2+FLOOR((T$2-1)/9,1),"000"),"")</f>
        <v>AX021</v>
      </c>
      <c r="U23" s="20" t="str">
        <f>IF(INDEX('Shot Map'!$B$6:$V$26,CEILING($A23/5,1),CEILING(U$2/5,1))=1,INDEX('Serial Reference'!$A$8:$W$8,1,FLOOR(($A23-1)/23,1)+1)&amp;INDEX('Serial Reference'!$A$8:$W$8,1,MOD($A23-1,23)+1)&amp;TEXT(U$2+FLOOR((U$2-1)/9,1),"000"),"")</f>
        <v>AX022</v>
      </c>
      <c r="V23" s="18" t="str">
        <f>IF(INDEX('Shot Map'!$B$6:$V$26,CEILING($A23/5,1),CEILING(V$2/5,1))=1,INDEX('Serial Reference'!$A$8:$W$8,1,FLOOR(($A23-1)/23,1)+1)&amp;INDEX('Serial Reference'!$A$8:$W$8,1,MOD($A23-1,23)+1)&amp;TEXT(V$2+FLOOR((V$2-1)/9,1),"000"),"")</f>
        <v>AX023</v>
      </c>
      <c r="W23" s="19" t="str">
        <f>IF(INDEX('Shot Map'!$B$6:$V$26,CEILING($A23/5,1),CEILING(W$2/5,1))=1,INDEX('Serial Reference'!$A$8:$W$8,1,FLOOR(($A23-1)/23,1)+1)&amp;INDEX('Serial Reference'!$A$8:$W$8,1,MOD($A23-1,23)+1)&amp;TEXT(W$2+FLOOR((W$2-1)/9,1),"000"),"")</f>
        <v>AX024</v>
      </c>
      <c r="X23" s="19" t="str">
        <f>IF(INDEX('Shot Map'!$B$6:$V$26,CEILING($A23/5,1),CEILING(X$2/5,1))=1,INDEX('Serial Reference'!$A$8:$W$8,1,FLOOR(($A23-1)/23,1)+1)&amp;INDEX('Serial Reference'!$A$8:$W$8,1,MOD($A23-1,23)+1)&amp;TEXT(X$2+FLOOR((X$2-1)/9,1),"000"),"")</f>
        <v>AX025</v>
      </c>
      <c r="Y23" s="19" t="str">
        <f>IF(INDEX('Shot Map'!$B$6:$V$26,CEILING($A23/5,1),CEILING(Y$2/5,1))=1,INDEX('Serial Reference'!$A$8:$W$8,1,FLOOR(($A23-1)/23,1)+1)&amp;INDEX('Serial Reference'!$A$8:$W$8,1,MOD($A23-1,23)+1)&amp;TEXT(Y$2+FLOOR((Y$2-1)/9,1),"000"),"")</f>
        <v>AX026</v>
      </c>
      <c r="Z23" s="20" t="str">
        <f>IF(INDEX('Shot Map'!$B$6:$V$26,CEILING($A23/5,1),CEILING(Z$2/5,1))=1,INDEX('Serial Reference'!$A$8:$W$8,1,FLOOR(($A23-1)/23,1)+1)&amp;INDEX('Serial Reference'!$A$8:$W$8,1,MOD($A23-1,23)+1)&amp;TEXT(Z$2+FLOOR((Z$2-1)/9,1),"000"),"")</f>
        <v>AX027</v>
      </c>
      <c r="AA23" s="18" t="str">
        <f>IF(INDEX('Shot Map'!$B$6:$V$26,CEILING($A23/5,1),CEILING(AA$2/5,1))=1,INDEX('Serial Reference'!$A$8:$W$8,1,FLOOR(($A23-1)/23,1)+1)&amp;INDEX('Serial Reference'!$A$8:$W$8,1,MOD($A23-1,23)+1)&amp;TEXT(AA$2+FLOOR((AA$2-1)/9,1),"000"),"")</f>
        <v>AX028</v>
      </c>
      <c r="AB23" s="19" t="str">
        <f>IF(INDEX('Shot Map'!$B$6:$V$26,CEILING($A23/5,1),CEILING(AB$2/5,1))=1,INDEX('Serial Reference'!$A$8:$W$8,1,FLOOR(($A23-1)/23,1)+1)&amp;INDEX('Serial Reference'!$A$8:$W$8,1,MOD($A23-1,23)+1)&amp;TEXT(AB$2+FLOOR((AB$2-1)/9,1),"000"),"")</f>
        <v>AX029</v>
      </c>
      <c r="AC23" s="19" t="str">
        <f>IF(INDEX('Shot Map'!$B$6:$V$26,CEILING($A23/5,1),CEILING(AC$2/5,1))=1,INDEX('Serial Reference'!$A$8:$W$8,1,FLOOR(($A23-1)/23,1)+1)&amp;INDEX('Serial Reference'!$A$8:$W$8,1,MOD($A23-1,23)+1)&amp;TEXT(AC$2+FLOOR((AC$2-1)/9,1),"000"),"")</f>
        <v>AX031</v>
      </c>
      <c r="AD23" s="19" t="str">
        <f>IF(INDEX('Shot Map'!$B$6:$V$26,CEILING($A23/5,1),CEILING(AD$2/5,1))=1,INDEX('Serial Reference'!$A$8:$W$8,1,FLOOR(($A23-1)/23,1)+1)&amp;INDEX('Serial Reference'!$A$8:$W$8,1,MOD($A23-1,23)+1)&amp;TEXT(AD$2+FLOOR((AD$2-1)/9,1),"000"),"")</f>
        <v>AX032</v>
      </c>
      <c r="AE23" s="20" t="str">
        <f>IF(INDEX('Shot Map'!$B$6:$V$26,CEILING($A23/5,1),CEILING(AE$2/5,1))=1,INDEX('Serial Reference'!$A$8:$W$8,1,FLOOR(($A23-1)/23,1)+1)&amp;INDEX('Serial Reference'!$A$8:$W$8,1,MOD($A23-1,23)+1)&amp;TEXT(AE$2+FLOOR((AE$2-1)/9,1),"000"),"")</f>
        <v>AX033</v>
      </c>
      <c r="AF23" s="18" t="str">
        <f>IF(INDEX('Shot Map'!$B$6:$V$26,CEILING($A23/5,1),CEILING(AF$2/5,1))=1,INDEX('Serial Reference'!$A$8:$W$8,1,FLOOR(($A23-1)/23,1)+1)&amp;INDEX('Serial Reference'!$A$8:$W$8,1,MOD($A23-1,23)+1)&amp;TEXT(AF$2+FLOOR((AF$2-1)/9,1),"000"),"")</f>
        <v>AX034</v>
      </c>
      <c r="AG23" s="19" t="str">
        <f>IF(INDEX('Shot Map'!$B$6:$V$26,CEILING($A23/5,1),CEILING(AG$2/5,1))=1,INDEX('Serial Reference'!$A$8:$W$8,1,FLOOR(($A23-1)/23,1)+1)&amp;INDEX('Serial Reference'!$A$8:$W$8,1,MOD($A23-1,23)+1)&amp;TEXT(AG$2+FLOOR((AG$2-1)/9,1),"000"),"")</f>
        <v>AX035</v>
      </c>
      <c r="AH23" s="19" t="str">
        <f>IF(INDEX('Shot Map'!$B$6:$V$26,CEILING($A23/5,1),CEILING(AH$2/5,1))=1,INDEX('Serial Reference'!$A$8:$W$8,1,FLOOR(($A23-1)/23,1)+1)&amp;INDEX('Serial Reference'!$A$8:$W$8,1,MOD($A23-1,23)+1)&amp;TEXT(AH$2+FLOOR((AH$2-1)/9,1),"000"),"")</f>
        <v>AX036</v>
      </c>
      <c r="AI23" s="19" t="str">
        <f>IF(INDEX('Shot Map'!$B$6:$V$26,CEILING($A23/5,1),CEILING(AI$2/5,1))=1,INDEX('Serial Reference'!$A$8:$W$8,1,FLOOR(($A23-1)/23,1)+1)&amp;INDEX('Serial Reference'!$A$8:$W$8,1,MOD($A23-1,23)+1)&amp;TEXT(AI$2+FLOOR((AI$2-1)/9,1),"000"),"")</f>
        <v>AX037</v>
      </c>
      <c r="AJ23" s="20" t="str">
        <f>IF(INDEX('Shot Map'!$B$6:$V$26,CEILING($A23/5,1),CEILING(AJ$2/5,1))=1,INDEX('Serial Reference'!$A$8:$W$8,1,FLOOR(($A23-1)/23,1)+1)&amp;INDEX('Serial Reference'!$A$8:$W$8,1,MOD($A23-1,23)+1)&amp;TEXT(AJ$2+FLOOR((AJ$2-1)/9,1),"000"),"")</f>
        <v>AX038</v>
      </c>
      <c r="AK23" s="18" t="str">
        <f>IF(INDEX('Shot Map'!$B$6:$V$26,CEILING($A23/5,1),CEILING(AK$2/5,1))=1,INDEX('Serial Reference'!$A$8:$W$8,1,FLOOR(($A23-1)/23,1)+1)&amp;INDEX('Serial Reference'!$A$8:$W$8,1,MOD($A23-1,23)+1)&amp;TEXT(AK$2+FLOOR((AK$2-1)/9,1),"000"),"")</f>
        <v>AX039</v>
      </c>
      <c r="AL23" s="19" t="str">
        <f>IF(INDEX('Shot Map'!$B$6:$V$26,CEILING($A23/5,1),CEILING(AL$2/5,1))=1,INDEX('Serial Reference'!$A$8:$W$8,1,FLOOR(($A23-1)/23,1)+1)&amp;INDEX('Serial Reference'!$A$8:$W$8,1,MOD($A23-1,23)+1)&amp;TEXT(AL$2+FLOOR((AL$2-1)/9,1),"000"),"")</f>
        <v>AX041</v>
      </c>
      <c r="AM23" s="19" t="str">
        <f>IF(INDEX('Shot Map'!$B$6:$V$26,CEILING($A23/5,1),CEILING(AM$2/5,1))=1,INDEX('Serial Reference'!$A$8:$W$8,1,FLOOR(($A23-1)/23,1)+1)&amp;INDEX('Serial Reference'!$A$8:$W$8,1,MOD($A23-1,23)+1)&amp;TEXT(AM$2+FLOOR((AM$2-1)/9,1),"000"),"")</f>
        <v>AX042</v>
      </c>
      <c r="AN23" s="19" t="str">
        <f>IF(INDEX('Shot Map'!$B$6:$V$26,CEILING($A23/5,1),CEILING(AN$2/5,1))=1,INDEX('Serial Reference'!$A$8:$W$8,1,FLOOR(($A23-1)/23,1)+1)&amp;INDEX('Serial Reference'!$A$8:$W$8,1,MOD($A23-1,23)+1)&amp;TEXT(AN$2+FLOOR((AN$2-1)/9,1),"000"),"")</f>
        <v>AX043</v>
      </c>
      <c r="AO23" s="20" t="str">
        <f>IF(INDEX('Shot Map'!$B$6:$V$26,CEILING($A23/5,1),CEILING(AO$2/5,1))=1,INDEX('Serial Reference'!$A$8:$W$8,1,FLOOR(($A23-1)/23,1)+1)&amp;INDEX('Serial Reference'!$A$8:$W$8,1,MOD($A23-1,23)+1)&amp;TEXT(AO$2+FLOOR((AO$2-1)/9,1),"000"),"")</f>
        <v>AX044</v>
      </c>
      <c r="AP23" s="18" t="str">
        <f>IF(INDEX('Shot Map'!$B$6:$V$26,CEILING($A23/5,1),CEILING(AP$2/5,1))=1,INDEX('Serial Reference'!$A$8:$W$8,1,FLOOR(($A23-1)/23,1)+1)&amp;INDEX('Serial Reference'!$A$8:$W$8,1,MOD($A23-1,23)+1)&amp;TEXT(AP$2+FLOOR((AP$2-1)/9,1),"000"),"")</f>
        <v>AX045</v>
      </c>
      <c r="AQ23" s="19" t="str">
        <f>IF(INDEX('Shot Map'!$B$6:$V$26,CEILING($A23/5,1),CEILING(AQ$2/5,1))=1,INDEX('Serial Reference'!$A$8:$W$8,1,FLOOR(($A23-1)/23,1)+1)&amp;INDEX('Serial Reference'!$A$8:$W$8,1,MOD($A23-1,23)+1)&amp;TEXT(AQ$2+FLOOR((AQ$2-1)/9,1),"000"),"")</f>
        <v>AX046</v>
      </c>
      <c r="AR23" s="19" t="str">
        <f>IF(INDEX('Shot Map'!$B$6:$V$26,CEILING($A23/5,1),CEILING(AR$2/5,1))=1,INDEX('Serial Reference'!$A$8:$W$8,1,FLOOR(($A23-1)/23,1)+1)&amp;INDEX('Serial Reference'!$A$8:$W$8,1,MOD($A23-1,23)+1)&amp;TEXT(AR$2+FLOOR((AR$2-1)/9,1),"000"),"")</f>
        <v>AX047</v>
      </c>
      <c r="AS23" s="19" t="str">
        <f>IF(INDEX('Shot Map'!$B$6:$V$26,CEILING($A23/5,1),CEILING(AS$2/5,1))=1,INDEX('Serial Reference'!$A$8:$W$8,1,FLOOR(($A23-1)/23,1)+1)&amp;INDEX('Serial Reference'!$A$8:$W$8,1,MOD($A23-1,23)+1)&amp;TEXT(AS$2+FLOOR((AS$2-1)/9,1),"000"),"")</f>
        <v>AX048</v>
      </c>
      <c r="AT23" s="20" t="str">
        <f>IF(INDEX('Shot Map'!$B$6:$V$26,CEILING($A23/5,1),CEILING(AT$2/5,1))=1,INDEX('Serial Reference'!$A$8:$W$8,1,FLOOR(($A23-1)/23,1)+1)&amp;INDEX('Serial Reference'!$A$8:$W$8,1,MOD($A23-1,23)+1)&amp;TEXT(AT$2+FLOOR((AT$2-1)/9,1),"000"),"")</f>
        <v>AX049</v>
      </c>
      <c r="AU23" s="18" t="str">
        <f>IF(INDEX('Shot Map'!$B$6:$V$26,CEILING($A23/5,1),CEILING(AU$2/5,1))=1,INDEX('Serial Reference'!$A$8:$W$8,1,FLOOR(($A23-1)/23,1)+1)&amp;INDEX('Serial Reference'!$A$8:$W$8,1,MOD($A23-1,23)+1)&amp;TEXT(AU$2+FLOOR((AU$2-1)/9,1),"000"),"")</f>
        <v>AX051</v>
      </c>
      <c r="AV23" s="19" t="str">
        <f>IF(INDEX('Shot Map'!$B$6:$V$26,CEILING($A23/5,1),CEILING(AV$2/5,1))=1,INDEX('Serial Reference'!$A$8:$W$8,1,FLOOR(($A23-1)/23,1)+1)&amp;INDEX('Serial Reference'!$A$8:$W$8,1,MOD($A23-1,23)+1)&amp;TEXT(AV$2+FLOOR((AV$2-1)/9,1),"000"),"")</f>
        <v>AX052</v>
      </c>
      <c r="AW23" s="19" t="str">
        <f>IF(INDEX('Shot Map'!$B$6:$V$26,CEILING($A23/5,1),CEILING(AW$2/5,1))=1,INDEX('Serial Reference'!$A$8:$W$8,1,FLOOR(($A23-1)/23,1)+1)&amp;INDEX('Serial Reference'!$A$8:$W$8,1,MOD($A23-1,23)+1)&amp;TEXT(AW$2+FLOOR((AW$2-1)/9,1),"000"),"")</f>
        <v>AX053</v>
      </c>
      <c r="AX23" s="19" t="str">
        <f>IF(INDEX('Shot Map'!$B$6:$V$26,CEILING($A23/5,1),CEILING(AX$2/5,1))=1,INDEX('Serial Reference'!$A$8:$W$8,1,FLOOR(($A23-1)/23,1)+1)&amp;INDEX('Serial Reference'!$A$8:$W$8,1,MOD($A23-1,23)+1)&amp;TEXT(AX$2+FLOOR((AX$2-1)/9,1),"000"),"")</f>
        <v>AX054</v>
      </c>
      <c r="AY23" s="20" t="str">
        <f>IF(INDEX('Shot Map'!$B$6:$V$26,CEILING($A23/5,1),CEILING(AY$2/5,1))=1,INDEX('Serial Reference'!$A$8:$W$8,1,FLOOR(($A23-1)/23,1)+1)&amp;INDEX('Serial Reference'!$A$8:$W$8,1,MOD($A23-1,23)+1)&amp;TEXT(AY$2+FLOOR((AY$2-1)/9,1),"000"),"")</f>
        <v>AX055</v>
      </c>
      <c r="AZ23" s="18" t="str">
        <f>IF(INDEX('Shot Map'!$B$6:$V$26,CEILING($A23/5,1),CEILING(AZ$2/5,1))=1,INDEX('Serial Reference'!$A$8:$W$8,1,FLOOR(($A23-1)/23,1)+1)&amp;INDEX('Serial Reference'!$A$8:$W$8,1,MOD($A23-1,23)+1)&amp;TEXT(AZ$2+FLOOR((AZ$2-1)/9,1),"000"),"")</f>
        <v>AX056</v>
      </c>
      <c r="BA23" s="19" t="str">
        <f>IF(INDEX('Shot Map'!$B$6:$V$26,CEILING($A23/5,1),CEILING(BA$2/5,1))=1,INDEX('Serial Reference'!$A$8:$W$8,1,FLOOR(($A23-1)/23,1)+1)&amp;INDEX('Serial Reference'!$A$8:$W$8,1,MOD($A23-1,23)+1)&amp;TEXT(BA$2+FLOOR((BA$2-1)/9,1),"000"),"")</f>
        <v>AX057</v>
      </c>
      <c r="BB23" s="19" t="str">
        <f>IF(INDEX('Shot Map'!$B$6:$V$26,CEILING($A23/5,1),CEILING(BB$2/5,1))=1,INDEX('Serial Reference'!$A$8:$W$8,1,FLOOR(($A23-1)/23,1)+1)&amp;INDEX('Serial Reference'!$A$8:$W$8,1,MOD($A23-1,23)+1)&amp;TEXT(BB$2+FLOOR((BB$2-1)/9,1),"000"),"")</f>
        <v>AX058</v>
      </c>
      <c r="BC23" s="19" t="str">
        <f>IF(INDEX('Shot Map'!$B$6:$V$26,CEILING($A23/5,1),CEILING(BC$2/5,1))=1,INDEX('Serial Reference'!$A$8:$W$8,1,FLOOR(($A23-1)/23,1)+1)&amp;INDEX('Serial Reference'!$A$8:$W$8,1,MOD($A23-1,23)+1)&amp;TEXT(BC$2+FLOOR((BC$2-1)/9,1),"000"),"")</f>
        <v>AX059</v>
      </c>
      <c r="BD23" s="20" t="str">
        <f>IF(INDEX('Shot Map'!$B$6:$V$26,CEILING($A23/5,1),CEILING(BD$2/5,1))=1,INDEX('Serial Reference'!$A$8:$W$8,1,FLOOR(($A23-1)/23,1)+1)&amp;INDEX('Serial Reference'!$A$8:$W$8,1,MOD($A23-1,23)+1)&amp;TEXT(BD$2+FLOOR((BD$2-1)/9,1),"000"),"")</f>
        <v>AX061</v>
      </c>
      <c r="BE23" s="18" t="str">
        <f>IF(INDEX('Shot Map'!$B$6:$V$26,CEILING($A23/5,1),CEILING(BE$2/5,1))=1,INDEX('Serial Reference'!$A$8:$W$8,1,FLOOR(($A23-1)/23,1)+1)&amp;INDEX('Serial Reference'!$A$8:$W$8,1,MOD($A23-1,23)+1)&amp;TEXT(BE$2+FLOOR((BE$2-1)/9,1),"000"),"")</f>
        <v>AX062</v>
      </c>
      <c r="BF23" s="19" t="str">
        <f>IF(INDEX('Shot Map'!$B$6:$V$26,CEILING($A23/5,1),CEILING(BF$2/5,1))=1,INDEX('Serial Reference'!$A$8:$W$8,1,FLOOR(($A23-1)/23,1)+1)&amp;INDEX('Serial Reference'!$A$8:$W$8,1,MOD($A23-1,23)+1)&amp;TEXT(BF$2+FLOOR((BF$2-1)/9,1),"000"),"")</f>
        <v>AX063</v>
      </c>
      <c r="BG23" s="19" t="str">
        <f>IF(INDEX('Shot Map'!$B$6:$V$26,CEILING($A23/5,1),CEILING(BG$2/5,1))=1,INDEX('Serial Reference'!$A$8:$W$8,1,FLOOR(($A23-1)/23,1)+1)&amp;INDEX('Serial Reference'!$A$8:$W$8,1,MOD($A23-1,23)+1)&amp;TEXT(BG$2+FLOOR((BG$2-1)/9,1),"000"),"")</f>
        <v>AX064</v>
      </c>
      <c r="BH23" s="19" t="str">
        <f>IF(INDEX('Shot Map'!$B$6:$V$26,CEILING($A23/5,1),CEILING(BH$2/5,1))=1,INDEX('Serial Reference'!$A$8:$W$8,1,FLOOR(($A23-1)/23,1)+1)&amp;INDEX('Serial Reference'!$A$8:$W$8,1,MOD($A23-1,23)+1)&amp;TEXT(BH$2+FLOOR((BH$2-1)/9,1),"000"),"")</f>
        <v>AX065</v>
      </c>
      <c r="BI23" s="20" t="str">
        <f>IF(INDEX('Shot Map'!$B$6:$V$26,CEILING($A23/5,1),CEILING(BI$2/5,1))=1,INDEX('Serial Reference'!$A$8:$W$8,1,FLOOR(($A23-1)/23,1)+1)&amp;INDEX('Serial Reference'!$A$8:$W$8,1,MOD($A23-1,23)+1)&amp;TEXT(BI$2+FLOOR((BI$2-1)/9,1),"000"),"")</f>
        <v>AX066</v>
      </c>
      <c r="BJ23" s="18" t="str">
        <f>IF(INDEX('Shot Map'!$B$6:$V$26,CEILING($A23/5,1),CEILING(BJ$2/5,1))=1,INDEX('Serial Reference'!$A$8:$W$8,1,FLOOR(($A23-1)/23,1)+1)&amp;INDEX('Serial Reference'!$A$8:$W$8,1,MOD($A23-1,23)+1)&amp;TEXT(BJ$2+FLOOR((BJ$2-1)/9,1),"000"),"")</f>
        <v>AX067</v>
      </c>
      <c r="BK23" s="19" t="str">
        <f>IF(INDEX('Shot Map'!$B$6:$V$26,CEILING($A23/5,1),CEILING(BK$2/5,1))=1,INDEX('Serial Reference'!$A$8:$W$8,1,FLOOR(($A23-1)/23,1)+1)&amp;INDEX('Serial Reference'!$A$8:$W$8,1,MOD($A23-1,23)+1)&amp;TEXT(BK$2+FLOOR((BK$2-1)/9,1),"000"),"")</f>
        <v>AX068</v>
      </c>
      <c r="BL23" s="19" t="str">
        <f>IF(INDEX('Shot Map'!$B$6:$V$26,CEILING($A23/5,1),CEILING(BL$2/5,1))=1,INDEX('Serial Reference'!$A$8:$W$8,1,FLOOR(($A23-1)/23,1)+1)&amp;INDEX('Serial Reference'!$A$8:$W$8,1,MOD($A23-1,23)+1)&amp;TEXT(BL$2+FLOOR((BL$2-1)/9,1),"000"),"")</f>
        <v>AX069</v>
      </c>
      <c r="BM23" s="19" t="str">
        <f>IF(INDEX('Shot Map'!$B$6:$V$26,CEILING($A23/5,1),CEILING(BM$2/5,1))=1,INDEX('Serial Reference'!$A$8:$W$8,1,FLOOR(($A23-1)/23,1)+1)&amp;INDEX('Serial Reference'!$A$8:$W$8,1,MOD($A23-1,23)+1)&amp;TEXT(BM$2+FLOOR((BM$2-1)/9,1),"000"),"")</f>
        <v>AX071</v>
      </c>
      <c r="BN23" s="20" t="str">
        <f>IF(INDEX('Shot Map'!$B$6:$V$26,CEILING($A23/5,1),CEILING(BN$2/5,1))=1,INDEX('Serial Reference'!$A$8:$W$8,1,FLOOR(($A23-1)/23,1)+1)&amp;INDEX('Serial Reference'!$A$8:$W$8,1,MOD($A23-1,23)+1)&amp;TEXT(BN$2+FLOOR((BN$2-1)/9,1),"000"),"")</f>
        <v>AX072</v>
      </c>
      <c r="BO23" s="18" t="str">
        <f>IF(INDEX('Shot Map'!$B$6:$V$26,CEILING($A23/5,1),CEILING(BO$2/5,1))=1,INDEX('Serial Reference'!$A$8:$W$8,1,FLOOR(($A23-1)/23,1)+1)&amp;INDEX('Serial Reference'!$A$8:$W$8,1,MOD($A23-1,23)+1)&amp;TEXT(BO$2+FLOOR((BO$2-1)/9,1),"000"),"")</f>
        <v>AX073</v>
      </c>
      <c r="BP23" s="19" t="str">
        <f>IF(INDEX('Shot Map'!$B$6:$V$26,CEILING($A23/5,1),CEILING(BP$2/5,1))=1,INDEX('Serial Reference'!$A$8:$W$8,1,FLOOR(($A23-1)/23,1)+1)&amp;INDEX('Serial Reference'!$A$8:$W$8,1,MOD($A23-1,23)+1)&amp;TEXT(BP$2+FLOOR((BP$2-1)/9,1),"000"),"")</f>
        <v>AX074</v>
      </c>
      <c r="BQ23" s="19" t="str">
        <f>IF(INDEX('Shot Map'!$B$6:$V$26,CEILING($A23/5,1),CEILING(BQ$2/5,1))=1,INDEX('Serial Reference'!$A$8:$W$8,1,FLOOR(($A23-1)/23,1)+1)&amp;INDEX('Serial Reference'!$A$8:$W$8,1,MOD($A23-1,23)+1)&amp;TEXT(BQ$2+FLOOR((BQ$2-1)/9,1),"000"),"")</f>
        <v>AX075</v>
      </c>
      <c r="BR23" s="19" t="str">
        <f>IF(INDEX('Shot Map'!$B$6:$V$26,CEILING($A23/5,1),CEILING(BR$2/5,1))=1,INDEX('Serial Reference'!$A$8:$W$8,1,FLOOR(($A23-1)/23,1)+1)&amp;INDEX('Serial Reference'!$A$8:$W$8,1,MOD($A23-1,23)+1)&amp;TEXT(BR$2+FLOOR((BR$2-1)/9,1),"000"),"")</f>
        <v>AX076</v>
      </c>
      <c r="BS23" s="20" t="str">
        <f>IF(INDEX('Shot Map'!$B$6:$V$26,CEILING($A23/5,1),CEILING(BS$2/5,1))=1,INDEX('Serial Reference'!$A$8:$W$8,1,FLOOR(($A23-1)/23,1)+1)&amp;INDEX('Serial Reference'!$A$8:$W$8,1,MOD($A23-1,23)+1)&amp;TEXT(BS$2+FLOOR((BS$2-1)/9,1),"000"),"")</f>
        <v>AX077</v>
      </c>
      <c r="BT23" s="18" t="str">
        <f>IF(INDEX('Shot Map'!$B$6:$V$26,CEILING($A23/5,1),CEILING(BT$2/5,1))=1,INDEX('Serial Reference'!$A$8:$W$8,1,FLOOR(($A23-1)/23,1)+1)&amp;INDEX('Serial Reference'!$A$8:$W$8,1,MOD($A23-1,23)+1)&amp;TEXT(BT$2+FLOOR((BT$2-1)/9,1),"000"),"")</f>
        <v>AX078</v>
      </c>
      <c r="BU23" s="19" t="str">
        <f>IF(INDEX('Shot Map'!$B$6:$V$26,CEILING($A23/5,1),CEILING(BU$2/5,1))=1,INDEX('Serial Reference'!$A$8:$W$8,1,FLOOR(($A23-1)/23,1)+1)&amp;INDEX('Serial Reference'!$A$8:$W$8,1,MOD($A23-1,23)+1)&amp;TEXT(BU$2+FLOOR((BU$2-1)/9,1),"000"),"")</f>
        <v>AX079</v>
      </c>
      <c r="BV23" s="19" t="str">
        <f>IF(INDEX('Shot Map'!$B$6:$V$26,CEILING($A23/5,1),CEILING(BV$2/5,1))=1,INDEX('Serial Reference'!$A$8:$W$8,1,FLOOR(($A23-1)/23,1)+1)&amp;INDEX('Serial Reference'!$A$8:$W$8,1,MOD($A23-1,23)+1)&amp;TEXT(BV$2+FLOOR((BV$2-1)/9,1),"000"),"")</f>
        <v>AX081</v>
      </c>
      <c r="BW23" s="19" t="str">
        <f>IF(INDEX('Shot Map'!$B$6:$V$26,CEILING($A23/5,1),CEILING(BW$2/5,1))=1,INDEX('Serial Reference'!$A$8:$W$8,1,FLOOR(($A23-1)/23,1)+1)&amp;INDEX('Serial Reference'!$A$8:$W$8,1,MOD($A23-1,23)+1)&amp;TEXT(BW$2+FLOOR((BW$2-1)/9,1),"000"),"")</f>
        <v>AX082</v>
      </c>
      <c r="BX23" s="20" t="str">
        <f>IF(INDEX('Shot Map'!$B$6:$V$26,CEILING($A23/5,1),CEILING(BX$2/5,1))=1,INDEX('Serial Reference'!$A$8:$W$8,1,FLOOR(($A23-1)/23,1)+1)&amp;INDEX('Serial Reference'!$A$8:$W$8,1,MOD($A23-1,23)+1)&amp;TEXT(BX$2+FLOOR((BX$2-1)/9,1),"000"),"")</f>
        <v>AX083</v>
      </c>
      <c r="BY23" s="18" t="str">
        <f>IF(INDEX('Shot Map'!$B$6:$V$26,CEILING($A23/5,1),CEILING(BY$2/5,1))=1,INDEX('Serial Reference'!$A$8:$W$8,1,FLOOR(($A23-1)/23,1)+1)&amp;INDEX('Serial Reference'!$A$8:$W$8,1,MOD($A23-1,23)+1)&amp;TEXT(BY$2+FLOOR((BY$2-1)/9,1),"000"),"")</f>
        <v>AX084</v>
      </c>
      <c r="BZ23" s="19" t="str">
        <f>IF(INDEX('Shot Map'!$B$6:$V$26,CEILING($A23/5,1),CEILING(BZ$2/5,1))=1,INDEX('Serial Reference'!$A$8:$W$8,1,FLOOR(($A23-1)/23,1)+1)&amp;INDEX('Serial Reference'!$A$8:$W$8,1,MOD($A23-1,23)+1)&amp;TEXT(BZ$2+FLOOR((BZ$2-1)/9,1),"000"),"")</f>
        <v>AX085</v>
      </c>
      <c r="CA23" s="19" t="str">
        <f>IF(INDEX('Shot Map'!$B$6:$V$26,CEILING($A23/5,1),CEILING(CA$2/5,1))=1,INDEX('Serial Reference'!$A$8:$W$8,1,FLOOR(($A23-1)/23,1)+1)&amp;INDEX('Serial Reference'!$A$8:$W$8,1,MOD($A23-1,23)+1)&amp;TEXT(CA$2+FLOOR((CA$2-1)/9,1),"000"),"")</f>
        <v>AX086</v>
      </c>
      <c r="CB23" s="19" t="str">
        <f>IF(INDEX('Shot Map'!$B$6:$V$26,CEILING($A23/5,1),CEILING(CB$2/5,1))=1,INDEX('Serial Reference'!$A$8:$W$8,1,FLOOR(($A23-1)/23,1)+1)&amp;INDEX('Serial Reference'!$A$8:$W$8,1,MOD($A23-1,23)+1)&amp;TEXT(CB$2+FLOOR((CB$2-1)/9,1),"000"),"")</f>
        <v>AX087</v>
      </c>
      <c r="CC23" s="20" t="str">
        <f>IF(INDEX('Shot Map'!$B$6:$V$26,CEILING($A23/5,1),CEILING(CC$2/5,1))=1,INDEX('Serial Reference'!$A$8:$W$8,1,FLOOR(($A23-1)/23,1)+1)&amp;INDEX('Serial Reference'!$A$8:$W$8,1,MOD($A23-1,23)+1)&amp;TEXT(CC$2+FLOOR((CC$2-1)/9,1),"000"),"")</f>
        <v>AX088</v>
      </c>
      <c r="CD23" s="18" t="str">
        <f>IF(INDEX('Shot Map'!$B$6:$V$26,CEILING($A23/5,1),CEILING(CD$2/5,1))=1,INDEX('Serial Reference'!$A$8:$W$8,1,FLOOR(($A23-1)/23,1)+1)&amp;INDEX('Serial Reference'!$A$8:$W$8,1,MOD($A23-1,23)+1)&amp;TEXT(CD$2+FLOOR((CD$2-1)/9,1),"000"),"")</f>
        <v>AX089</v>
      </c>
      <c r="CE23" s="19" t="str">
        <f>IF(INDEX('Shot Map'!$B$6:$V$26,CEILING($A23/5,1),CEILING(CE$2/5,1))=1,INDEX('Serial Reference'!$A$8:$W$8,1,FLOOR(($A23-1)/23,1)+1)&amp;INDEX('Serial Reference'!$A$8:$W$8,1,MOD($A23-1,23)+1)&amp;TEXT(CE$2+FLOOR((CE$2-1)/9,1),"000"),"")</f>
        <v>AX091</v>
      </c>
      <c r="CF23" s="19" t="str">
        <f>IF(INDEX('Shot Map'!$B$6:$V$26,CEILING($A23/5,1),CEILING(CF$2/5,1))=1,INDEX('Serial Reference'!$A$8:$W$8,1,FLOOR(($A23-1)/23,1)+1)&amp;INDEX('Serial Reference'!$A$8:$W$8,1,MOD($A23-1,23)+1)&amp;TEXT(CF$2+FLOOR((CF$2-1)/9,1),"000"),"")</f>
        <v>AX092</v>
      </c>
      <c r="CG23" s="19" t="str">
        <f>IF(INDEX('Shot Map'!$B$6:$V$26,CEILING($A23/5,1),CEILING(CG$2/5,1))=1,INDEX('Serial Reference'!$A$8:$W$8,1,FLOOR(($A23-1)/23,1)+1)&amp;INDEX('Serial Reference'!$A$8:$W$8,1,MOD($A23-1,23)+1)&amp;TEXT(CG$2+FLOOR((CG$2-1)/9,1),"000"),"")</f>
        <v>AX093</v>
      </c>
      <c r="CH23" s="20" t="str">
        <f>IF(INDEX('Shot Map'!$B$6:$V$26,CEILING($A23/5,1),CEILING(CH$2/5,1))=1,INDEX('Serial Reference'!$A$8:$W$8,1,FLOOR(($A23-1)/23,1)+1)&amp;INDEX('Serial Reference'!$A$8:$W$8,1,MOD($A23-1,23)+1)&amp;TEXT(CH$2+FLOOR((CH$2-1)/9,1),"000"),"")</f>
        <v>AX094</v>
      </c>
      <c r="CI23" s="18" t="str">
        <f>IF(INDEX('Shot Map'!$B$6:$V$26,CEILING($A23/5,1),CEILING(CI$2/5,1))=1,INDEX('Serial Reference'!$A$8:$W$8,1,FLOOR(($A23-1)/23,1)+1)&amp;INDEX('Serial Reference'!$A$8:$W$8,1,MOD($A23-1,23)+1)&amp;TEXT(CI$2+FLOOR((CI$2-1)/9,1),"000"),"")</f>
        <v>AX095</v>
      </c>
      <c r="CJ23" s="19" t="str">
        <f>IF(INDEX('Shot Map'!$B$6:$V$26,CEILING($A23/5,1),CEILING(CJ$2/5,1))=1,INDEX('Serial Reference'!$A$8:$W$8,1,FLOOR(($A23-1)/23,1)+1)&amp;INDEX('Serial Reference'!$A$8:$W$8,1,MOD($A23-1,23)+1)&amp;TEXT(CJ$2+FLOOR((CJ$2-1)/9,1),"000"),"")</f>
        <v>AX096</v>
      </c>
      <c r="CK23" s="19" t="str">
        <f>IF(INDEX('Shot Map'!$B$6:$V$26,CEILING($A23/5,1),CEILING(CK$2/5,1))=1,INDEX('Serial Reference'!$A$8:$W$8,1,FLOOR(($A23-1)/23,1)+1)&amp;INDEX('Serial Reference'!$A$8:$W$8,1,MOD($A23-1,23)+1)&amp;TEXT(CK$2+FLOOR((CK$2-1)/9,1),"000"),"")</f>
        <v>AX097</v>
      </c>
      <c r="CL23" s="19" t="str">
        <f>IF(INDEX('Shot Map'!$B$6:$V$26,CEILING($A23/5,1),CEILING(CL$2/5,1))=1,INDEX('Serial Reference'!$A$8:$W$8,1,FLOOR(($A23-1)/23,1)+1)&amp;INDEX('Serial Reference'!$A$8:$W$8,1,MOD($A23-1,23)+1)&amp;TEXT(CL$2+FLOOR((CL$2-1)/9,1),"000"),"")</f>
        <v>AX098</v>
      </c>
      <c r="CM23" s="20" t="str">
        <f>IF(INDEX('Shot Map'!$B$6:$V$26,CEILING($A23/5,1),CEILING(CM$2/5,1))=1,INDEX('Serial Reference'!$A$8:$W$8,1,FLOOR(($A23-1)/23,1)+1)&amp;INDEX('Serial Reference'!$A$8:$W$8,1,MOD($A23-1,23)+1)&amp;TEXT(CM$2+FLOOR((CM$2-1)/9,1),"000"),"")</f>
        <v>AX099</v>
      </c>
      <c r="CN23" s="18" t="str">
        <f>IF(INDEX('Shot Map'!$B$6:$V$26,CEILING($A23/5,1),CEILING(CN$2/5,1))=1,INDEX('Serial Reference'!$A$8:$W$8,1,FLOOR(($A23-1)/23,1)+1)&amp;INDEX('Serial Reference'!$A$8:$W$8,1,MOD($A23-1,23)+1)&amp;TEXT(CN$2+FLOOR((CN$2-1)/9,1),"000"),"")</f>
        <v>AX101</v>
      </c>
      <c r="CO23" s="19" t="str">
        <f>IF(INDEX('Shot Map'!$B$6:$V$26,CEILING($A23/5,1),CEILING(CO$2/5,1))=1,INDEX('Serial Reference'!$A$8:$W$8,1,FLOOR(($A23-1)/23,1)+1)&amp;INDEX('Serial Reference'!$A$8:$W$8,1,MOD($A23-1,23)+1)&amp;TEXT(CO$2+FLOOR((CO$2-1)/9,1),"000"),"")</f>
        <v>AX102</v>
      </c>
      <c r="CP23" s="19" t="str">
        <f>IF(INDEX('Shot Map'!$B$6:$V$26,CEILING($A23/5,1),CEILING(CP$2/5,1))=1,INDEX('Serial Reference'!$A$8:$W$8,1,FLOOR(($A23-1)/23,1)+1)&amp;INDEX('Serial Reference'!$A$8:$W$8,1,MOD($A23-1,23)+1)&amp;TEXT(CP$2+FLOOR((CP$2-1)/9,1),"000"),"")</f>
        <v>AX103</v>
      </c>
      <c r="CQ23" s="19" t="str">
        <f>IF(INDEX('Shot Map'!$B$6:$V$26,CEILING($A23/5,1),CEILING(CQ$2/5,1))=1,INDEX('Serial Reference'!$A$8:$W$8,1,FLOOR(($A23-1)/23,1)+1)&amp;INDEX('Serial Reference'!$A$8:$W$8,1,MOD($A23-1,23)+1)&amp;TEXT(CQ$2+FLOOR((CQ$2-1)/9,1),"000"),"")</f>
        <v>AX104</v>
      </c>
      <c r="CR23" s="20" t="str">
        <f>IF(INDEX('Shot Map'!$B$6:$V$26,CEILING($A23/5,1),CEILING(CR$2/5,1))=1,INDEX('Serial Reference'!$A$8:$W$8,1,FLOOR(($A23-1)/23,1)+1)&amp;INDEX('Serial Reference'!$A$8:$W$8,1,MOD($A23-1,23)+1)&amp;TEXT(CR$2+FLOOR((CR$2-1)/9,1),"000"),"")</f>
        <v>AX105</v>
      </c>
      <c r="CS23" s="18" t="str">
        <f>IF(INDEX('Shot Map'!$B$6:$V$26,CEILING($A23/5,1),CEILING(CS$2/5,1))=1,INDEX('Serial Reference'!$A$8:$W$8,1,FLOOR(($A23-1)/23,1)+1)&amp;INDEX('Serial Reference'!$A$8:$W$8,1,MOD($A23-1,23)+1)&amp;TEXT(CS$2+FLOOR((CS$2-1)/9,1),"000"),"")</f>
        <v/>
      </c>
      <c r="CT23" s="19" t="str">
        <f>IF(INDEX('Shot Map'!$B$6:$V$26,CEILING($A23/5,1),CEILING(CT$2/5,1))=1,INDEX('Serial Reference'!$A$8:$W$8,1,FLOOR(($A23-1)/23,1)+1)&amp;INDEX('Serial Reference'!$A$8:$W$8,1,MOD($A23-1,23)+1)&amp;TEXT(CT$2+FLOOR((CT$2-1)/9,1),"000"),"")</f>
        <v/>
      </c>
      <c r="CU23" s="19" t="str">
        <f>IF(INDEX('Shot Map'!$B$6:$V$26,CEILING($A23/5,1),CEILING(CU$2/5,1))=1,INDEX('Serial Reference'!$A$8:$W$8,1,FLOOR(($A23-1)/23,1)+1)&amp;INDEX('Serial Reference'!$A$8:$W$8,1,MOD($A23-1,23)+1)&amp;TEXT(CU$2+FLOOR((CU$2-1)/9,1),"000"),"")</f>
        <v/>
      </c>
      <c r="CV23" s="19" t="str">
        <f>IF(INDEX('Shot Map'!$B$6:$V$26,CEILING($A23/5,1),CEILING(CV$2/5,1))=1,INDEX('Serial Reference'!$A$8:$W$8,1,FLOOR(($A23-1)/23,1)+1)&amp;INDEX('Serial Reference'!$A$8:$W$8,1,MOD($A23-1,23)+1)&amp;TEXT(CV$2+FLOOR((CV$2-1)/9,1),"000"),"")</f>
        <v/>
      </c>
      <c r="CW23" s="20" t="str">
        <f>IF(INDEX('Shot Map'!$B$6:$V$26,CEILING($A23/5,1),CEILING(CW$2/5,1))=1,INDEX('Serial Reference'!$A$8:$W$8,1,FLOOR(($A23-1)/23,1)+1)&amp;INDEX('Serial Reference'!$A$8:$W$8,1,MOD($A23-1,23)+1)&amp;TEXT(CW$2+FLOOR((CW$2-1)/9,1),"000"),"")</f>
        <v/>
      </c>
      <c r="CX23" s="18" t="str">
        <f>IF(INDEX('Shot Map'!$B$6:$V$26,CEILING($A23/5,1),CEILING(CX$2/5,1))=1,INDEX('Serial Reference'!$A$8:$W$8,1,FLOOR(($A23-1)/23,1)+1)&amp;INDEX('Serial Reference'!$A$8:$W$8,1,MOD($A23-1,23)+1)&amp;TEXT(CX$2+FLOOR((CX$2-1)/9,1),"000"),"")</f>
        <v/>
      </c>
      <c r="CY23" s="19" t="str">
        <f>IF(INDEX('Shot Map'!$B$6:$V$26,CEILING($A23/5,1),CEILING(CY$2/5,1))=1,INDEX('Serial Reference'!$A$8:$W$8,1,FLOOR(($A23-1)/23,1)+1)&amp;INDEX('Serial Reference'!$A$8:$W$8,1,MOD($A23-1,23)+1)&amp;TEXT(CY$2+FLOOR((CY$2-1)/9,1),"000"),"")</f>
        <v/>
      </c>
      <c r="CZ23" s="19" t="str">
        <f>IF(INDEX('Shot Map'!$B$6:$V$26,CEILING($A23/5,1),CEILING(CZ$2/5,1))=1,INDEX('Serial Reference'!$A$8:$W$8,1,FLOOR(($A23-1)/23,1)+1)&amp;INDEX('Serial Reference'!$A$8:$W$8,1,MOD($A23-1,23)+1)&amp;TEXT(CZ$2+FLOOR((CZ$2-1)/9,1),"000"),"")</f>
        <v/>
      </c>
      <c r="DA23" s="19" t="str">
        <f>IF(INDEX('Shot Map'!$B$6:$V$26,CEILING($A23/5,1),CEILING(DA$2/5,1))=1,INDEX('Serial Reference'!$A$8:$W$8,1,FLOOR(($A23-1)/23,1)+1)&amp;INDEX('Serial Reference'!$A$8:$W$8,1,MOD($A23-1,23)+1)&amp;TEXT(DA$2+FLOOR((DA$2-1)/9,1),"000"),"")</f>
        <v/>
      </c>
      <c r="DB23" s="20" t="str">
        <f>IF(INDEX('Shot Map'!$B$6:$V$26,CEILING($A23/5,1),CEILING(DB$2/5,1))=1,INDEX('Serial Reference'!$A$8:$W$8,1,FLOOR(($A23-1)/23,1)+1)&amp;INDEX('Serial Reference'!$A$8:$W$8,1,MOD($A23-1,23)+1)&amp;TEXT(DB$2+FLOOR((DB$2-1)/9,1),"000"),"")</f>
        <v/>
      </c>
    </row>
    <row r="24" spans="1:106" ht="12.75" customHeight="1" x14ac:dyDescent="0.25">
      <c r="A24" s="17">
        <v>22</v>
      </c>
      <c r="B24" s="21" t="str">
        <f>IF(INDEX('Shot Map'!$B$6:$V$26,CEILING($A24/5,1),CEILING(B$2/5,1))=1,INDEX('Serial Reference'!$A$8:$W$8,1,FLOOR(($A24-1)/23,1)+1)&amp;INDEX('Serial Reference'!$A$8:$W$8,1,MOD($A24-1,23)+1)&amp;TEXT(B$2+FLOOR((B$2-1)/9,1),"000"),"")</f>
        <v/>
      </c>
      <c r="C24" s="22" t="str">
        <f>IF(INDEX('Shot Map'!$B$6:$V$26,CEILING($A24/5,1),CEILING(C$2/5,1))=1,INDEX('Serial Reference'!$A$8:$W$8,1,FLOOR(($A24-1)/23,1)+1)&amp;INDEX('Serial Reference'!$A$8:$W$8,1,MOD($A24-1,23)+1)&amp;TEXT(C$2+FLOOR((C$2-1)/9,1),"000"),"")</f>
        <v/>
      </c>
      <c r="D24" s="22" t="str">
        <f>IF(INDEX('Shot Map'!$B$6:$V$26,CEILING($A24/5,1),CEILING(D$2/5,1))=1,INDEX('Serial Reference'!$A$8:$W$8,1,FLOOR(($A24-1)/23,1)+1)&amp;INDEX('Serial Reference'!$A$8:$W$8,1,MOD($A24-1,23)+1)&amp;TEXT(D$2+FLOOR((D$2-1)/9,1),"000"),"")</f>
        <v/>
      </c>
      <c r="E24" s="22" t="str">
        <f>IF(INDEX('Shot Map'!$B$6:$V$26,CEILING($A24/5,1),CEILING(E$2/5,1))=1,INDEX('Serial Reference'!$A$8:$W$8,1,FLOOR(($A24-1)/23,1)+1)&amp;INDEX('Serial Reference'!$A$8:$W$8,1,MOD($A24-1,23)+1)&amp;TEXT(E$2+FLOOR((E$2-1)/9,1),"000"),"")</f>
        <v/>
      </c>
      <c r="F24" s="23" t="str">
        <f>IF(INDEX('Shot Map'!$B$6:$V$26,CEILING($A24/5,1),CEILING(F$2/5,1))=1,INDEX('Serial Reference'!$A$8:$W$8,1,FLOOR(($A24-1)/23,1)+1)&amp;INDEX('Serial Reference'!$A$8:$W$8,1,MOD($A24-1,23)+1)&amp;TEXT(F$2+FLOOR((F$2-1)/9,1),"000"),"")</f>
        <v/>
      </c>
      <c r="G24" s="21" t="str">
        <f>IF(INDEX('Shot Map'!$B$6:$V$26,CEILING($A24/5,1),CEILING(G$2/5,1))=1,INDEX('Serial Reference'!$A$8:$W$8,1,FLOOR(($A24-1)/23,1)+1)&amp;INDEX('Serial Reference'!$A$8:$W$8,1,MOD($A24-1,23)+1)&amp;TEXT(G$2+FLOOR((G$2-1)/9,1),"000"),"")</f>
        <v/>
      </c>
      <c r="H24" s="22" t="str">
        <f>IF(INDEX('Shot Map'!$B$6:$V$26,CEILING($A24/5,1),CEILING(H$2/5,1))=1,INDEX('Serial Reference'!$A$8:$W$8,1,FLOOR(($A24-1)/23,1)+1)&amp;INDEX('Serial Reference'!$A$8:$W$8,1,MOD($A24-1,23)+1)&amp;TEXT(H$2+FLOOR((H$2-1)/9,1),"000"),"")</f>
        <v/>
      </c>
      <c r="I24" s="22" t="str">
        <f>IF(INDEX('Shot Map'!$B$6:$V$26,CEILING($A24/5,1),CEILING(I$2/5,1))=1,INDEX('Serial Reference'!$A$8:$W$8,1,FLOOR(($A24-1)/23,1)+1)&amp;INDEX('Serial Reference'!$A$8:$W$8,1,MOD($A24-1,23)+1)&amp;TEXT(I$2+FLOOR((I$2-1)/9,1),"000"),"")</f>
        <v/>
      </c>
      <c r="J24" s="22" t="str">
        <f>IF(INDEX('Shot Map'!$B$6:$V$26,CEILING($A24/5,1),CEILING(J$2/5,1))=1,INDEX('Serial Reference'!$A$8:$W$8,1,FLOOR(($A24-1)/23,1)+1)&amp;INDEX('Serial Reference'!$A$8:$W$8,1,MOD($A24-1,23)+1)&amp;TEXT(J$2+FLOOR((J$2-1)/9,1),"000"),"")</f>
        <v/>
      </c>
      <c r="K24" s="23" t="str">
        <f>IF(INDEX('Shot Map'!$B$6:$V$26,CEILING($A24/5,1),CEILING(K$2/5,1))=1,INDEX('Serial Reference'!$A$8:$W$8,1,FLOOR(($A24-1)/23,1)+1)&amp;INDEX('Serial Reference'!$A$8:$W$8,1,MOD($A24-1,23)+1)&amp;TEXT(K$2+FLOOR((K$2-1)/9,1),"000"),"")</f>
        <v/>
      </c>
      <c r="L24" s="21" t="str">
        <f>IF(INDEX('Shot Map'!$B$6:$V$26,CEILING($A24/5,1),CEILING(L$2/5,1))=1,INDEX('Serial Reference'!$A$8:$W$8,1,FLOOR(($A24-1)/23,1)+1)&amp;INDEX('Serial Reference'!$A$8:$W$8,1,MOD($A24-1,23)+1)&amp;TEXT(L$2+FLOOR((L$2-1)/9,1),"000"),"")</f>
        <v>AY012</v>
      </c>
      <c r="M24" s="22" t="str">
        <f>IF(INDEX('Shot Map'!$B$6:$V$26,CEILING($A24/5,1),CEILING(M$2/5,1))=1,INDEX('Serial Reference'!$A$8:$W$8,1,FLOOR(($A24-1)/23,1)+1)&amp;INDEX('Serial Reference'!$A$8:$W$8,1,MOD($A24-1,23)+1)&amp;TEXT(M$2+FLOOR((M$2-1)/9,1),"000"),"")</f>
        <v>AY013</v>
      </c>
      <c r="N24" s="22" t="str">
        <f>IF(INDEX('Shot Map'!$B$6:$V$26,CEILING($A24/5,1),CEILING(N$2/5,1))=1,INDEX('Serial Reference'!$A$8:$W$8,1,FLOOR(($A24-1)/23,1)+1)&amp;INDEX('Serial Reference'!$A$8:$W$8,1,MOD($A24-1,23)+1)&amp;TEXT(N$2+FLOOR((N$2-1)/9,1),"000"),"")</f>
        <v>AY014</v>
      </c>
      <c r="O24" s="22" t="str">
        <f>IF(INDEX('Shot Map'!$B$6:$V$26,CEILING($A24/5,1),CEILING(O$2/5,1))=1,INDEX('Serial Reference'!$A$8:$W$8,1,FLOOR(($A24-1)/23,1)+1)&amp;INDEX('Serial Reference'!$A$8:$W$8,1,MOD($A24-1,23)+1)&amp;TEXT(O$2+FLOOR((O$2-1)/9,1),"000"),"")</f>
        <v>AY015</v>
      </c>
      <c r="P24" s="23" t="str">
        <f>IF(INDEX('Shot Map'!$B$6:$V$26,CEILING($A24/5,1),CEILING(P$2/5,1))=1,INDEX('Serial Reference'!$A$8:$W$8,1,FLOOR(($A24-1)/23,1)+1)&amp;INDEX('Serial Reference'!$A$8:$W$8,1,MOD($A24-1,23)+1)&amp;TEXT(P$2+FLOOR((P$2-1)/9,1),"000"),"")</f>
        <v>AY016</v>
      </c>
      <c r="Q24" s="21" t="str">
        <f>IF(INDEX('Shot Map'!$B$6:$V$26,CEILING($A24/5,1),CEILING(Q$2/5,1))=1,INDEX('Serial Reference'!$A$8:$W$8,1,FLOOR(($A24-1)/23,1)+1)&amp;INDEX('Serial Reference'!$A$8:$W$8,1,MOD($A24-1,23)+1)&amp;TEXT(Q$2+FLOOR((Q$2-1)/9,1),"000"),"")</f>
        <v>AY017</v>
      </c>
      <c r="R24" s="22" t="str">
        <f>IF(INDEX('Shot Map'!$B$6:$V$26,CEILING($A24/5,1),CEILING(R$2/5,1))=1,INDEX('Serial Reference'!$A$8:$W$8,1,FLOOR(($A24-1)/23,1)+1)&amp;INDEX('Serial Reference'!$A$8:$W$8,1,MOD($A24-1,23)+1)&amp;TEXT(R$2+FLOOR((R$2-1)/9,1),"000"),"")</f>
        <v>AY018</v>
      </c>
      <c r="S24" s="22" t="str">
        <f>IF(INDEX('Shot Map'!$B$6:$V$26,CEILING($A24/5,1),CEILING(S$2/5,1))=1,INDEX('Serial Reference'!$A$8:$W$8,1,FLOOR(($A24-1)/23,1)+1)&amp;INDEX('Serial Reference'!$A$8:$W$8,1,MOD($A24-1,23)+1)&amp;TEXT(S$2+FLOOR((S$2-1)/9,1),"000"),"")</f>
        <v>AY019</v>
      </c>
      <c r="T24" s="22" t="str">
        <f>IF(INDEX('Shot Map'!$B$6:$V$26,CEILING($A24/5,1),CEILING(T$2/5,1))=1,INDEX('Serial Reference'!$A$8:$W$8,1,FLOOR(($A24-1)/23,1)+1)&amp;INDEX('Serial Reference'!$A$8:$W$8,1,MOD($A24-1,23)+1)&amp;TEXT(T$2+FLOOR((T$2-1)/9,1),"000"),"")</f>
        <v>AY021</v>
      </c>
      <c r="U24" s="23" t="str">
        <f>IF(INDEX('Shot Map'!$B$6:$V$26,CEILING($A24/5,1),CEILING(U$2/5,1))=1,INDEX('Serial Reference'!$A$8:$W$8,1,FLOOR(($A24-1)/23,1)+1)&amp;INDEX('Serial Reference'!$A$8:$W$8,1,MOD($A24-1,23)+1)&amp;TEXT(U$2+FLOOR((U$2-1)/9,1),"000"),"")</f>
        <v>AY022</v>
      </c>
      <c r="V24" s="21" t="str">
        <f>IF(INDEX('Shot Map'!$B$6:$V$26,CEILING($A24/5,1),CEILING(V$2/5,1))=1,INDEX('Serial Reference'!$A$8:$W$8,1,FLOOR(($A24-1)/23,1)+1)&amp;INDEX('Serial Reference'!$A$8:$W$8,1,MOD($A24-1,23)+1)&amp;TEXT(V$2+FLOOR((V$2-1)/9,1),"000"),"")</f>
        <v>AY023</v>
      </c>
      <c r="W24" s="22" t="str">
        <f>IF(INDEX('Shot Map'!$B$6:$V$26,CEILING($A24/5,1),CEILING(W$2/5,1))=1,INDEX('Serial Reference'!$A$8:$W$8,1,FLOOR(($A24-1)/23,1)+1)&amp;INDEX('Serial Reference'!$A$8:$W$8,1,MOD($A24-1,23)+1)&amp;TEXT(W$2+FLOOR((W$2-1)/9,1),"000"),"")</f>
        <v>AY024</v>
      </c>
      <c r="X24" s="22" t="str">
        <f>IF(INDEX('Shot Map'!$B$6:$V$26,CEILING($A24/5,1),CEILING(X$2/5,1))=1,INDEX('Serial Reference'!$A$8:$W$8,1,FLOOR(($A24-1)/23,1)+1)&amp;INDEX('Serial Reference'!$A$8:$W$8,1,MOD($A24-1,23)+1)&amp;TEXT(X$2+FLOOR((X$2-1)/9,1),"000"),"")</f>
        <v>AY025</v>
      </c>
      <c r="Y24" s="22" t="str">
        <f>IF(INDEX('Shot Map'!$B$6:$V$26,CEILING($A24/5,1),CEILING(Y$2/5,1))=1,INDEX('Serial Reference'!$A$8:$W$8,1,FLOOR(($A24-1)/23,1)+1)&amp;INDEX('Serial Reference'!$A$8:$W$8,1,MOD($A24-1,23)+1)&amp;TEXT(Y$2+FLOOR((Y$2-1)/9,1),"000"),"")</f>
        <v>AY026</v>
      </c>
      <c r="Z24" s="23" t="str">
        <f>IF(INDEX('Shot Map'!$B$6:$V$26,CEILING($A24/5,1),CEILING(Z$2/5,1))=1,INDEX('Serial Reference'!$A$8:$W$8,1,FLOOR(($A24-1)/23,1)+1)&amp;INDEX('Serial Reference'!$A$8:$W$8,1,MOD($A24-1,23)+1)&amp;TEXT(Z$2+FLOOR((Z$2-1)/9,1),"000"),"")</f>
        <v>AY027</v>
      </c>
      <c r="AA24" s="21" t="str">
        <f>IF(INDEX('Shot Map'!$B$6:$V$26,CEILING($A24/5,1),CEILING(AA$2/5,1))=1,INDEX('Serial Reference'!$A$8:$W$8,1,FLOOR(($A24-1)/23,1)+1)&amp;INDEX('Serial Reference'!$A$8:$W$8,1,MOD($A24-1,23)+1)&amp;TEXT(AA$2+FLOOR((AA$2-1)/9,1),"000"),"")</f>
        <v>AY028</v>
      </c>
      <c r="AB24" s="22" t="str">
        <f>IF(INDEX('Shot Map'!$B$6:$V$26,CEILING($A24/5,1),CEILING(AB$2/5,1))=1,INDEX('Serial Reference'!$A$8:$W$8,1,FLOOR(($A24-1)/23,1)+1)&amp;INDEX('Serial Reference'!$A$8:$W$8,1,MOD($A24-1,23)+1)&amp;TEXT(AB$2+FLOOR((AB$2-1)/9,1),"000"),"")</f>
        <v>AY029</v>
      </c>
      <c r="AC24" s="22" t="str">
        <f>IF(INDEX('Shot Map'!$B$6:$V$26,CEILING($A24/5,1),CEILING(AC$2/5,1))=1,INDEX('Serial Reference'!$A$8:$W$8,1,FLOOR(($A24-1)/23,1)+1)&amp;INDEX('Serial Reference'!$A$8:$W$8,1,MOD($A24-1,23)+1)&amp;TEXT(AC$2+FLOOR((AC$2-1)/9,1),"000"),"")</f>
        <v>AY031</v>
      </c>
      <c r="AD24" s="22" t="str">
        <f>IF(INDEX('Shot Map'!$B$6:$V$26,CEILING($A24/5,1),CEILING(AD$2/5,1))=1,INDEX('Serial Reference'!$A$8:$W$8,1,FLOOR(($A24-1)/23,1)+1)&amp;INDEX('Serial Reference'!$A$8:$W$8,1,MOD($A24-1,23)+1)&amp;TEXT(AD$2+FLOOR((AD$2-1)/9,1),"000"),"")</f>
        <v>AY032</v>
      </c>
      <c r="AE24" s="23" t="str">
        <f>IF(INDEX('Shot Map'!$B$6:$V$26,CEILING($A24/5,1),CEILING(AE$2/5,1))=1,INDEX('Serial Reference'!$A$8:$W$8,1,FLOOR(($A24-1)/23,1)+1)&amp;INDEX('Serial Reference'!$A$8:$W$8,1,MOD($A24-1,23)+1)&amp;TEXT(AE$2+FLOOR((AE$2-1)/9,1),"000"),"")</f>
        <v>AY033</v>
      </c>
      <c r="AF24" s="21" t="str">
        <f>IF(INDEX('Shot Map'!$B$6:$V$26,CEILING($A24/5,1),CEILING(AF$2/5,1))=1,INDEX('Serial Reference'!$A$8:$W$8,1,FLOOR(($A24-1)/23,1)+1)&amp;INDEX('Serial Reference'!$A$8:$W$8,1,MOD($A24-1,23)+1)&amp;TEXT(AF$2+FLOOR((AF$2-1)/9,1),"000"),"")</f>
        <v>AY034</v>
      </c>
      <c r="AG24" s="22" t="str">
        <f>IF(INDEX('Shot Map'!$B$6:$V$26,CEILING($A24/5,1),CEILING(AG$2/5,1))=1,INDEX('Serial Reference'!$A$8:$W$8,1,FLOOR(($A24-1)/23,1)+1)&amp;INDEX('Serial Reference'!$A$8:$W$8,1,MOD($A24-1,23)+1)&amp;TEXT(AG$2+FLOOR((AG$2-1)/9,1),"000"),"")</f>
        <v>AY035</v>
      </c>
      <c r="AH24" s="22" t="str">
        <f>IF(INDEX('Shot Map'!$B$6:$V$26,CEILING($A24/5,1),CEILING(AH$2/5,1))=1,INDEX('Serial Reference'!$A$8:$W$8,1,FLOOR(($A24-1)/23,1)+1)&amp;INDEX('Serial Reference'!$A$8:$W$8,1,MOD($A24-1,23)+1)&amp;TEXT(AH$2+FLOOR((AH$2-1)/9,1),"000"),"")</f>
        <v>AY036</v>
      </c>
      <c r="AI24" s="22" t="str">
        <f>IF(INDEX('Shot Map'!$B$6:$V$26,CEILING($A24/5,1),CEILING(AI$2/5,1))=1,INDEX('Serial Reference'!$A$8:$W$8,1,FLOOR(($A24-1)/23,1)+1)&amp;INDEX('Serial Reference'!$A$8:$W$8,1,MOD($A24-1,23)+1)&amp;TEXT(AI$2+FLOOR((AI$2-1)/9,1),"000"),"")</f>
        <v>AY037</v>
      </c>
      <c r="AJ24" s="23" t="str">
        <f>IF(INDEX('Shot Map'!$B$6:$V$26,CEILING($A24/5,1),CEILING(AJ$2/5,1))=1,INDEX('Serial Reference'!$A$8:$W$8,1,FLOOR(($A24-1)/23,1)+1)&amp;INDEX('Serial Reference'!$A$8:$W$8,1,MOD($A24-1,23)+1)&amp;TEXT(AJ$2+FLOOR((AJ$2-1)/9,1),"000"),"")</f>
        <v>AY038</v>
      </c>
      <c r="AK24" s="21" t="str">
        <f>IF(INDEX('Shot Map'!$B$6:$V$26,CEILING($A24/5,1),CEILING(AK$2/5,1))=1,INDEX('Serial Reference'!$A$8:$W$8,1,FLOOR(($A24-1)/23,1)+1)&amp;INDEX('Serial Reference'!$A$8:$W$8,1,MOD($A24-1,23)+1)&amp;TEXT(AK$2+FLOOR((AK$2-1)/9,1),"000"),"")</f>
        <v>AY039</v>
      </c>
      <c r="AL24" s="22" t="str">
        <f>IF(INDEX('Shot Map'!$B$6:$V$26,CEILING($A24/5,1),CEILING(AL$2/5,1))=1,INDEX('Serial Reference'!$A$8:$W$8,1,FLOOR(($A24-1)/23,1)+1)&amp;INDEX('Serial Reference'!$A$8:$W$8,1,MOD($A24-1,23)+1)&amp;TEXT(AL$2+FLOOR((AL$2-1)/9,1),"000"),"")</f>
        <v>AY041</v>
      </c>
      <c r="AM24" s="22" t="str">
        <f>IF(INDEX('Shot Map'!$B$6:$V$26,CEILING($A24/5,1),CEILING(AM$2/5,1))=1,INDEX('Serial Reference'!$A$8:$W$8,1,FLOOR(($A24-1)/23,1)+1)&amp;INDEX('Serial Reference'!$A$8:$W$8,1,MOD($A24-1,23)+1)&amp;TEXT(AM$2+FLOOR((AM$2-1)/9,1),"000"),"")</f>
        <v>AY042</v>
      </c>
      <c r="AN24" s="22" t="str">
        <f>IF(INDEX('Shot Map'!$B$6:$V$26,CEILING($A24/5,1),CEILING(AN$2/5,1))=1,INDEX('Serial Reference'!$A$8:$W$8,1,FLOOR(($A24-1)/23,1)+1)&amp;INDEX('Serial Reference'!$A$8:$W$8,1,MOD($A24-1,23)+1)&amp;TEXT(AN$2+FLOOR((AN$2-1)/9,1),"000"),"")</f>
        <v>AY043</v>
      </c>
      <c r="AO24" s="23" t="str">
        <f>IF(INDEX('Shot Map'!$B$6:$V$26,CEILING($A24/5,1),CEILING(AO$2/5,1))=1,INDEX('Serial Reference'!$A$8:$W$8,1,FLOOR(($A24-1)/23,1)+1)&amp;INDEX('Serial Reference'!$A$8:$W$8,1,MOD($A24-1,23)+1)&amp;TEXT(AO$2+FLOOR((AO$2-1)/9,1),"000"),"")</f>
        <v>AY044</v>
      </c>
      <c r="AP24" s="21" t="str">
        <f>IF(INDEX('Shot Map'!$B$6:$V$26,CEILING($A24/5,1),CEILING(AP$2/5,1))=1,INDEX('Serial Reference'!$A$8:$W$8,1,FLOOR(($A24-1)/23,1)+1)&amp;INDEX('Serial Reference'!$A$8:$W$8,1,MOD($A24-1,23)+1)&amp;TEXT(AP$2+FLOOR((AP$2-1)/9,1),"000"),"")</f>
        <v>AY045</v>
      </c>
      <c r="AQ24" s="22" t="str">
        <f>IF(INDEX('Shot Map'!$B$6:$V$26,CEILING($A24/5,1),CEILING(AQ$2/5,1))=1,INDEX('Serial Reference'!$A$8:$W$8,1,FLOOR(($A24-1)/23,1)+1)&amp;INDEX('Serial Reference'!$A$8:$W$8,1,MOD($A24-1,23)+1)&amp;TEXT(AQ$2+FLOOR((AQ$2-1)/9,1),"000"),"")</f>
        <v>AY046</v>
      </c>
      <c r="AR24" s="22" t="str">
        <f>IF(INDEX('Shot Map'!$B$6:$V$26,CEILING($A24/5,1),CEILING(AR$2/5,1))=1,INDEX('Serial Reference'!$A$8:$W$8,1,FLOOR(($A24-1)/23,1)+1)&amp;INDEX('Serial Reference'!$A$8:$W$8,1,MOD($A24-1,23)+1)&amp;TEXT(AR$2+FLOOR((AR$2-1)/9,1),"000"),"")</f>
        <v>AY047</v>
      </c>
      <c r="AS24" s="22" t="str">
        <f>IF(INDEX('Shot Map'!$B$6:$V$26,CEILING($A24/5,1),CEILING(AS$2/5,1))=1,INDEX('Serial Reference'!$A$8:$W$8,1,FLOOR(($A24-1)/23,1)+1)&amp;INDEX('Serial Reference'!$A$8:$W$8,1,MOD($A24-1,23)+1)&amp;TEXT(AS$2+FLOOR((AS$2-1)/9,1),"000"),"")</f>
        <v>AY048</v>
      </c>
      <c r="AT24" s="23" t="str">
        <f>IF(INDEX('Shot Map'!$B$6:$V$26,CEILING($A24/5,1),CEILING(AT$2/5,1))=1,INDEX('Serial Reference'!$A$8:$W$8,1,FLOOR(($A24-1)/23,1)+1)&amp;INDEX('Serial Reference'!$A$8:$W$8,1,MOD($A24-1,23)+1)&amp;TEXT(AT$2+FLOOR((AT$2-1)/9,1),"000"),"")</f>
        <v>AY049</v>
      </c>
      <c r="AU24" s="21" t="str">
        <f>IF(INDEX('Shot Map'!$B$6:$V$26,CEILING($A24/5,1),CEILING(AU$2/5,1))=1,INDEX('Serial Reference'!$A$8:$W$8,1,FLOOR(($A24-1)/23,1)+1)&amp;INDEX('Serial Reference'!$A$8:$W$8,1,MOD($A24-1,23)+1)&amp;TEXT(AU$2+FLOOR((AU$2-1)/9,1),"000"),"")</f>
        <v>AY051</v>
      </c>
      <c r="AV24" s="22" t="str">
        <f>IF(INDEX('Shot Map'!$B$6:$V$26,CEILING($A24/5,1),CEILING(AV$2/5,1))=1,INDEX('Serial Reference'!$A$8:$W$8,1,FLOOR(($A24-1)/23,1)+1)&amp;INDEX('Serial Reference'!$A$8:$W$8,1,MOD($A24-1,23)+1)&amp;TEXT(AV$2+FLOOR((AV$2-1)/9,1),"000"),"")</f>
        <v>AY052</v>
      </c>
      <c r="AW24" s="22" t="str">
        <f>IF(INDEX('Shot Map'!$B$6:$V$26,CEILING($A24/5,1),CEILING(AW$2/5,1))=1,INDEX('Serial Reference'!$A$8:$W$8,1,FLOOR(($A24-1)/23,1)+1)&amp;INDEX('Serial Reference'!$A$8:$W$8,1,MOD($A24-1,23)+1)&amp;TEXT(AW$2+FLOOR((AW$2-1)/9,1),"000"),"")</f>
        <v>AY053</v>
      </c>
      <c r="AX24" s="22" t="str">
        <f>IF(INDEX('Shot Map'!$B$6:$V$26,CEILING($A24/5,1),CEILING(AX$2/5,1))=1,INDEX('Serial Reference'!$A$8:$W$8,1,FLOOR(($A24-1)/23,1)+1)&amp;INDEX('Serial Reference'!$A$8:$W$8,1,MOD($A24-1,23)+1)&amp;TEXT(AX$2+FLOOR((AX$2-1)/9,1),"000"),"")</f>
        <v>AY054</v>
      </c>
      <c r="AY24" s="23" t="str">
        <f>IF(INDEX('Shot Map'!$B$6:$V$26,CEILING($A24/5,1),CEILING(AY$2/5,1))=1,INDEX('Serial Reference'!$A$8:$W$8,1,FLOOR(($A24-1)/23,1)+1)&amp;INDEX('Serial Reference'!$A$8:$W$8,1,MOD($A24-1,23)+1)&amp;TEXT(AY$2+FLOOR((AY$2-1)/9,1),"000"),"")</f>
        <v>AY055</v>
      </c>
      <c r="AZ24" s="21" t="str">
        <f>IF(INDEX('Shot Map'!$B$6:$V$26,CEILING($A24/5,1),CEILING(AZ$2/5,1))=1,INDEX('Serial Reference'!$A$8:$W$8,1,FLOOR(($A24-1)/23,1)+1)&amp;INDEX('Serial Reference'!$A$8:$W$8,1,MOD($A24-1,23)+1)&amp;TEXT(AZ$2+FLOOR((AZ$2-1)/9,1),"000"),"")</f>
        <v>AY056</v>
      </c>
      <c r="BA24" s="22" t="str">
        <f>IF(INDEX('Shot Map'!$B$6:$V$26,CEILING($A24/5,1),CEILING(BA$2/5,1))=1,INDEX('Serial Reference'!$A$8:$W$8,1,FLOOR(($A24-1)/23,1)+1)&amp;INDEX('Serial Reference'!$A$8:$W$8,1,MOD($A24-1,23)+1)&amp;TEXT(BA$2+FLOOR((BA$2-1)/9,1),"000"),"")</f>
        <v>AY057</v>
      </c>
      <c r="BB24" s="22" t="str">
        <f>IF(INDEX('Shot Map'!$B$6:$V$26,CEILING($A24/5,1),CEILING(BB$2/5,1))=1,INDEX('Serial Reference'!$A$8:$W$8,1,FLOOR(($A24-1)/23,1)+1)&amp;INDEX('Serial Reference'!$A$8:$W$8,1,MOD($A24-1,23)+1)&amp;TEXT(BB$2+FLOOR((BB$2-1)/9,1),"000"),"")</f>
        <v>AY058</v>
      </c>
      <c r="BC24" s="22" t="str">
        <f>IF(INDEX('Shot Map'!$B$6:$V$26,CEILING($A24/5,1),CEILING(BC$2/5,1))=1,INDEX('Serial Reference'!$A$8:$W$8,1,FLOOR(($A24-1)/23,1)+1)&amp;INDEX('Serial Reference'!$A$8:$W$8,1,MOD($A24-1,23)+1)&amp;TEXT(BC$2+FLOOR((BC$2-1)/9,1),"000"),"")</f>
        <v>AY059</v>
      </c>
      <c r="BD24" s="23" t="str">
        <f>IF(INDEX('Shot Map'!$B$6:$V$26,CEILING($A24/5,1),CEILING(BD$2/5,1))=1,INDEX('Serial Reference'!$A$8:$W$8,1,FLOOR(($A24-1)/23,1)+1)&amp;INDEX('Serial Reference'!$A$8:$W$8,1,MOD($A24-1,23)+1)&amp;TEXT(BD$2+FLOOR((BD$2-1)/9,1),"000"),"")</f>
        <v>AY061</v>
      </c>
      <c r="BE24" s="21" t="str">
        <f>IF(INDEX('Shot Map'!$B$6:$V$26,CEILING($A24/5,1),CEILING(BE$2/5,1))=1,INDEX('Serial Reference'!$A$8:$W$8,1,FLOOR(($A24-1)/23,1)+1)&amp;INDEX('Serial Reference'!$A$8:$W$8,1,MOD($A24-1,23)+1)&amp;TEXT(BE$2+FLOOR((BE$2-1)/9,1),"000"),"")</f>
        <v>AY062</v>
      </c>
      <c r="BF24" s="22" t="str">
        <f>IF(INDEX('Shot Map'!$B$6:$V$26,CEILING($A24/5,1),CEILING(BF$2/5,1))=1,INDEX('Serial Reference'!$A$8:$W$8,1,FLOOR(($A24-1)/23,1)+1)&amp;INDEX('Serial Reference'!$A$8:$W$8,1,MOD($A24-1,23)+1)&amp;TEXT(BF$2+FLOOR((BF$2-1)/9,1),"000"),"")</f>
        <v>AY063</v>
      </c>
      <c r="BG24" s="22" t="str">
        <f>IF(INDEX('Shot Map'!$B$6:$V$26,CEILING($A24/5,1),CEILING(BG$2/5,1))=1,INDEX('Serial Reference'!$A$8:$W$8,1,FLOOR(($A24-1)/23,1)+1)&amp;INDEX('Serial Reference'!$A$8:$W$8,1,MOD($A24-1,23)+1)&amp;TEXT(BG$2+FLOOR((BG$2-1)/9,1),"000"),"")</f>
        <v>AY064</v>
      </c>
      <c r="BH24" s="22" t="str">
        <f>IF(INDEX('Shot Map'!$B$6:$V$26,CEILING($A24/5,1),CEILING(BH$2/5,1))=1,INDEX('Serial Reference'!$A$8:$W$8,1,FLOOR(($A24-1)/23,1)+1)&amp;INDEX('Serial Reference'!$A$8:$W$8,1,MOD($A24-1,23)+1)&amp;TEXT(BH$2+FLOOR((BH$2-1)/9,1),"000"),"")</f>
        <v>AY065</v>
      </c>
      <c r="BI24" s="23" t="str">
        <f>IF(INDEX('Shot Map'!$B$6:$V$26,CEILING($A24/5,1),CEILING(BI$2/5,1))=1,INDEX('Serial Reference'!$A$8:$W$8,1,FLOOR(($A24-1)/23,1)+1)&amp;INDEX('Serial Reference'!$A$8:$W$8,1,MOD($A24-1,23)+1)&amp;TEXT(BI$2+FLOOR((BI$2-1)/9,1),"000"),"")</f>
        <v>AY066</v>
      </c>
      <c r="BJ24" s="21" t="str">
        <f>IF(INDEX('Shot Map'!$B$6:$V$26,CEILING($A24/5,1),CEILING(BJ$2/5,1))=1,INDEX('Serial Reference'!$A$8:$W$8,1,FLOOR(($A24-1)/23,1)+1)&amp;INDEX('Serial Reference'!$A$8:$W$8,1,MOD($A24-1,23)+1)&amp;TEXT(BJ$2+FLOOR((BJ$2-1)/9,1),"000"),"")</f>
        <v>AY067</v>
      </c>
      <c r="BK24" s="22" t="str">
        <f>IF(INDEX('Shot Map'!$B$6:$V$26,CEILING($A24/5,1),CEILING(BK$2/5,1))=1,INDEX('Serial Reference'!$A$8:$W$8,1,FLOOR(($A24-1)/23,1)+1)&amp;INDEX('Serial Reference'!$A$8:$W$8,1,MOD($A24-1,23)+1)&amp;TEXT(BK$2+FLOOR((BK$2-1)/9,1),"000"),"")</f>
        <v>AY068</v>
      </c>
      <c r="BL24" s="22" t="str">
        <f>IF(INDEX('Shot Map'!$B$6:$V$26,CEILING($A24/5,1),CEILING(BL$2/5,1))=1,INDEX('Serial Reference'!$A$8:$W$8,1,FLOOR(($A24-1)/23,1)+1)&amp;INDEX('Serial Reference'!$A$8:$W$8,1,MOD($A24-1,23)+1)&amp;TEXT(BL$2+FLOOR((BL$2-1)/9,1),"000"),"")</f>
        <v>AY069</v>
      </c>
      <c r="BM24" s="22" t="str">
        <f>IF(INDEX('Shot Map'!$B$6:$V$26,CEILING($A24/5,1),CEILING(BM$2/5,1))=1,INDEX('Serial Reference'!$A$8:$W$8,1,FLOOR(($A24-1)/23,1)+1)&amp;INDEX('Serial Reference'!$A$8:$W$8,1,MOD($A24-1,23)+1)&amp;TEXT(BM$2+FLOOR((BM$2-1)/9,1),"000"),"")</f>
        <v>AY071</v>
      </c>
      <c r="BN24" s="23" t="str">
        <f>IF(INDEX('Shot Map'!$B$6:$V$26,CEILING($A24/5,1),CEILING(BN$2/5,1))=1,INDEX('Serial Reference'!$A$8:$W$8,1,FLOOR(($A24-1)/23,1)+1)&amp;INDEX('Serial Reference'!$A$8:$W$8,1,MOD($A24-1,23)+1)&amp;TEXT(BN$2+FLOOR((BN$2-1)/9,1),"000"),"")</f>
        <v>AY072</v>
      </c>
      <c r="BO24" s="21" t="str">
        <f>IF(INDEX('Shot Map'!$B$6:$V$26,CEILING($A24/5,1),CEILING(BO$2/5,1))=1,INDEX('Serial Reference'!$A$8:$W$8,1,FLOOR(($A24-1)/23,1)+1)&amp;INDEX('Serial Reference'!$A$8:$W$8,1,MOD($A24-1,23)+1)&amp;TEXT(BO$2+FLOOR((BO$2-1)/9,1),"000"),"")</f>
        <v>AY073</v>
      </c>
      <c r="BP24" s="22" t="str">
        <f>IF(INDEX('Shot Map'!$B$6:$V$26,CEILING($A24/5,1),CEILING(BP$2/5,1))=1,INDEX('Serial Reference'!$A$8:$W$8,1,FLOOR(($A24-1)/23,1)+1)&amp;INDEX('Serial Reference'!$A$8:$W$8,1,MOD($A24-1,23)+1)&amp;TEXT(BP$2+FLOOR((BP$2-1)/9,1),"000"),"")</f>
        <v>AY074</v>
      </c>
      <c r="BQ24" s="22" t="str">
        <f>IF(INDEX('Shot Map'!$B$6:$V$26,CEILING($A24/5,1),CEILING(BQ$2/5,1))=1,INDEX('Serial Reference'!$A$8:$W$8,1,FLOOR(($A24-1)/23,1)+1)&amp;INDEX('Serial Reference'!$A$8:$W$8,1,MOD($A24-1,23)+1)&amp;TEXT(BQ$2+FLOOR((BQ$2-1)/9,1),"000"),"")</f>
        <v>AY075</v>
      </c>
      <c r="BR24" s="22" t="str">
        <f>IF(INDEX('Shot Map'!$B$6:$V$26,CEILING($A24/5,1),CEILING(BR$2/5,1))=1,INDEX('Serial Reference'!$A$8:$W$8,1,FLOOR(($A24-1)/23,1)+1)&amp;INDEX('Serial Reference'!$A$8:$W$8,1,MOD($A24-1,23)+1)&amp;TEXT(BR$2+FLOOR((BR$2-1)/9,1),"000"),"")</f>
        <v>AY076</v>
      </c>
      <c r="BS24" s="23" t="str">
        <f>IF(INDEX('Shot Map'!$B$6:$V$26,CEILING($A24/5,1),CEILING(BS$2/5,1))=1,INDEX('Serial Reference'!$A$8:$W$8,1,FLOOR(($A24-1)/23,1)+1)&amp;INDEX('Serial Reference'!$A$8:$W$8,1,MOD($A24-1,23)+1)&amp;TEXT(BS$2+FLOOR((BS$2-1)/9,1),"000"),"")</f>
        <v>AY077</v>
      </c>
      <c r="BT24" s="21" t="str">
        <f>IF(INDEX('Shot Map'!$B$6:$V$26,CEILING($A24/5,1),CEILING(BT$2/5,1))=1,INDEX('Serial Reference'!$A$8:$W$8,1,FLOOR(($A24-1)/23,1)+1)&amp;INDEX('Serial Reference'!$A$8:$W$8,1,MOD($A24-1,23)+1)&amp;TEXT(BT$2+FLOOR((BT$2-1)/9,1),"000"),"")</f>
        <v>AY078</v>
      </c>
      <c r="BU24" s="22" t="str">
        <f>IF(INDEX('Shot Map'!$B$6:$V$26,CEILING($A24/5,1),CEILING(BU$2/5,1))=1,INDEX('Serial Reference'!$A$8:$W$8,1,FLOOR(($A24-1)/23,1)+1)&amp;INDEX('Serial Reference'!$A$8:$W$8,1,MOD($A24-1,23)+1)&amp;TEXT(BU$2+FLOOR((BU$2-1)/9,1),"000"),"")</f>
        <v>AY079</v>
      </c>
      <c r="BV24" s="22" t="str">
        <f>IF(INDEX('Shot Map'!$B$6:$V$26,CEILING($A24/5,1),CEILING(BV$2/5,1))=1,INDEX('Serial Reference'!$A$8:$W$8,1,FLOOR(($A24-1)/23,1)+1)&amp;INDEX('Serial Reference'!$A$8:$W$8,1,MOD($A24-1,23)+1)&amp;TEXT(BV$2+FLOOR((BV$2-1)/9,1),"000"),"")</f>
        <v>AY081</v>
      </c>
      <c r="BW24" s="22" t="str">
        <f>IF(INDEX('Shot Map'!$B$6:$V$26,CEILING($A24/5,1),CEILING(BW$2/5,1))=1,INDEX('Serial Reference'!$A$8:$W$8,1,FLOOR(($A24-1)/23,1)+1)&amp;INDEX('Serial Reference'!$A$8:$W$8,1,MOD($A24-1,23)+1)&amp;TEXT(BW$2+FLOOR((BW$2-1)/9,1),"000"),"")</f>
        <v>AY082</v>
      </c>
      <c r="BX24" s="23" t="str">
        <f>IF(INDEX('Shot Map'!$B$6:$V$26,CEILING($A24/5,1),CEILING(BX$2/5,1))=1,INDEX('Serial Reference'!$A$8:$W$8,1,FLOOR(($A24-1)/23,1)+1)&amp;INDEX('Serial Reference'!$A$8:$W$8,1,MOD($A24-1,23)+1)&amp;TEXT(BX$2+FLOOR((BX$2-1)/9,1),"000"),"")</f>
        <v>AY083</v>
      </c>
      <c r="BY24" s="21" t="str">
        <f>IF(INDEX('Shot Map'!$B$6:$V$26,CEILING($A24/5,1),CEILING(BY$2/5,1))=1,INDEX('Serial Reference'!$A$8:$W$8,1,FLOOR(($A24-1)/23,1)+1)&amp;INDEX('Serial Reference'!$A$8:$W$8,1,MOD($A24-1,23)+1)&amp;TEXT(BY$2+FLOOR((BY$2-1)/9,1),"000"),"")</f>
        <v>AY084</v>
      </c>
      <c r="BZ24" s="22" t="str">
        <f>IF(INDEX('Shot Map'!$B$6:$V$26,CEILING($A24/5,1),CEILING(BZ$2/5,1))=1,INDEX('Serial Reference'!$A$8:$W$8,1,FLOOR(($A24-1)/23,1)+1)&amp;INDEX('Serial Reference'!$A$8:$W$8,1,MOD($A24-1,23)+1)&amp;TEXT(BZ$2+FLOOR((BZ$2-1)/9,1),"000"),"")</f>
        <v>AY085</v>
      </c>
      <c r="CA24" s="22" t="str">
        <f>IF(INDEX('Shot Map'!$B$6:$V$26,CEILING($A24/5,1),CEILING(CA$2/5,1))=1,INDEX('Serial Reference'!$A$8:$W$8,1,FLOOR(($A24-1)/23,1)+1)&amp;INDEX('Serial Reference'!$A$8:$W$8,1,MOD($A24-1,23)+1)&amp;TEXT(CA$2+FLOOR((CA$2-1)/9,1),"000"),"")</f>
        <v>AY086</v>
      </c>
      <c r="CB24" s="22" t="str">
        <f>IF(INDEX('Shot Map'!$B$6:$V$26,CEILING($A24/5,1),CEILING(CB$2/5,1))=1,INDEX('Serial Reference'!$A$8:$W$8,1,FLOOR(($A24-1)/23,1)+1)&amp;INDEX('Serial Reference'!$A$8:$W$8,1,MOD($A24-1,23)+1)&amp;TEXT(CB$2+FLOOR((CB$2-1)/9,1),"000"),"")</f>
        <v>AY087</v>
      </c>
      <c r="CC24" s="23" t="str">
        <f>IF(INDEX('Shot Map'!$B$6:$V$26,CEILING($A24/5,1),CEILING(CC$2/5,1))=1,INDEX('Serial Reference'!$A$8:$W$8,1,FLOOR(($A24-1)/23,1)+1)&amp;INDEX('Serial Reference'!$A$8:$W$8,1,MOD($A24-1,23)+1)&amp;TEXT(CC$2+FLOOR((CC$2-1)/9,1),"000"),"")</f>
        <v>AY088</v>
      </c>
      <c r="CD24" s="21" t="str">
        <f>IF(INDEX('Shot Map'!$B$6:$V$26,CEILING($A24/5,1),CEILING(CD$2/5,1))=1,INDEX('Serial Reference'!$A$8:$W$8,1,FLOOR(($A24-1)/23,1)+1)&amp;INDEX('Serial Reference'!$A$8:$W$8,1,MOD($A24-1,23)+1)&amp;TEXT(CD$2+FLOOR((CD$2-1)/9,1),"000"),"")</f>
        <v>AY089</v>
      </c>
      <c r="CE24" s="22" t="str">
        <f>IF(INDEX('Shot Map'!$B$6:$V$26,CEILING($A24/5,1),CEILING(CE$2/5,1))=1,INDEX('Serial Reference'!$A$8:$W$8,1,FLOOR(($A24-1)/23,1)+1)&amp;INDEX('Serial Reference'!$A$8:$W$8,1,MOD($A24-1,23)+1)&amp;TEXT(CE$2+FLOOR((CE$2-1)/9,1),"000"),"")</f>
        <v>AY091</v>
      </c>
      <c r="CF24" s="22" t="str">
        <f>IF(INDEX('Shot Map'!$B$6:$V$26,CEILING($A24/5,1),CEILING(CF$2/5,1))=1,INDEX('Serial Reference'!$A$8:$W$8,1,FLOOR(($A24-1)/23,1)+1)&amp;INDEX('Serial Reference'!$A$8:$W$8,1,MOD($A24-1,23)+1)&amp;TEXT(CF$2+FLOOR((CF$2-1)/9,1),"000"),"")</f>
        <v>AY092</v>
      </c>
      <c r="CG24" s="22" t="str">
        <f>IF(INDEX('Shot Map'!$B$6:$V$26,CEILING($A24/5,1),CEILING(CG$2/5,1))=1,INDEX('Serial Reference'!$A$8:$W$8,1,FLOOR(($A24-1)/23,1)+1)&amp;INDEX('Serial Reference'!$A$8:$W$8,1,MOD($A24-1,23)+1)&amp;TEXT(CG$2+FLOOR((CG$2-1)/9,1),"000"),"")</f>
        <v>AY093</v>
      </c>
      <c r="CH24" s="23" t="str">
        <f>IF(INDEX('Shot Map'!$B$6:$V$26,CEILING($A24/5,1),CEILING(CH$2/5,1))=1,INDEX('Serial Reference'!$A$8:$W$8,1,FLOOR(($A24-1)/23,1)+1)&amp;INDEX('Serial Reference'!$A$8:$W$8,1,MOD($A24-1,23)+1)&amp;TEXT(CH$2+FLOOR((CH$2-1)/9,1),"000"),"")</f>
        <v>AY094</v>
      </c>
      <c r="CI24" s="21" t="str">
        <f>IF(INDEX('Shot Map'!$B$6:$V$26,CEILING($A24/5,1),CEILING(CI$2/5,1))=1,INDEX('Serial Reference'!$A$8:$W$8,1,FLOOR(($A24-1)/23,1)+1)&amp;INDEX('Serial Reference'!$A$8:$W$8,1,MOD($A24-1,23)+1)&amp;TEXT(CI$2+FLOOR((CI$2-1)/9,1),"000"),"")</f>
        <v>AY095</v>
      </c>
      <c r="CJ24" s="22" t="str">
        <f>IF(INDEX('Shot Map'!$B$6:$V$26,CEILING($A24/5,1),CEILING(CJ$2/5,1))=1,INDEX('Serial Reference'!$A$8:$W$8,1,FLOOR(($A24-1)/23,1)+1)&amp;INDEX('Serial Reference'!$A$8:$W$8,1,MOD($A24-1,23)+1)&amp;TEXT(CJ$2+FLOOR((CJ$2-1)/9,1),"000"),"")</f>
        <v>AY096</v>
      </c>
      <c r="CK24" s="22" t="str">
        <f>IF(INDEX('Shot Map'!$B$6:$V$26,CEILING($A24/5,1),CEILING(CK$2/5,1))=1,INDEX('Serial Reference'!$A$8:$W$8,1,FLOOR(($A24-1)/23,1)+1)&amp;INDEX('Serial Reference'!$A$8:$W$8,1,MOD($A24-1,23)+1)&amp;TEXT(CK$2+FLOOR((CK$2-1)/9,1),"000"),"")</f>
        <v>AY097</v>
      </c>
      <c r="CL24" s="22" t="str">
        <f>IF(INDEX('Shot Map'!$B$6:$V$26,CEILING($A24/5,1),CEILING(CL$2/5,1))=1,INDEX('Serial Reference'!$A$8:$W$8,1,FLOOR(($A24-1)/23,1)+1)&amp;INDEX('Serial Reference'!$A$8:$W$8,1,MOD($A24-1,23)+1)&amp;TEXT(CL$2+FLOOR((CL$2-1)/9,1),"000"),"")</f>
        <v>AY098</v>
      </c>
      <c r="CM24" s="23" t="str">
        <f>IF(INDEX('Shot Map'!$B$6:$V$26,CEILING($A24/5,1),CEILING(CM$2/5,1))=1,INDEX('Serial Reference'!$A$8:$W$8,1,FLOOR(($A24-1)/23,1)+1)&amp;INDEX('Serial Reference'!$A$8:$W$8,1,MOD($A24-1,23)+1)&amp;TEXT(CM$2+FLOOR((CM$2-1)/9,1),"000"),"")</f>
        <v>AY099</v>
      </c>
      <c r="CN24" s="21" t="str">
        <f>IF(INDEX('Shot Map'!$B$6:$V$26,CEILING($A24/5,1),CEILING(CN$2/5,1))=1,INDEX('Serial Reference'!$A$8:$W$8,1,FLOOR(($A24-1)/23,1)+1)&amp;INDEX('Serial Reference'!$A$8:$W$8,1,MOD($A24-1,23)+1)&amp;TEXT(CN$2+FLOOR((CN$2-1)/9,1),"000"),"")</f>
        <v>AY101</v>
      </c>
      <c r="CO24" s="22" t="str">
        <f>IF(INDEX('Shot Map'!$B$6:$V$26,CEILING($A24/5,1),CEILING(CO$2/5,1))=1,INDEX('Serial Reference'!$A$8:$W$8,1,FLOOR(($A24-1)/23,1)+1)&amp;INDEX('Serial Reference'!$A$8:$W$8,1,MOD($A24-1,23)+1)&amp;TEXT(CO$2+FLOOR((CO$2-1)/9,1),"000"),"")</f>
        <v>AY102</v>
      </c>
      <c r="CP24" s="22" t="str">
        <f>IF(INDEX('Shot Map'!$B$6:$V$26,CEILING($A24/5,1),CEILING(CP$2/5,1))=1,INDEX('Serial Reference'!$A$8:$W$8,1,FLOOR(($A24-1)/23,1)+1)&amp;INDEX('Serial Reference'!$A$8:$W$8,1,MOD($A24-1,23)+1)&amp;TEXT(CP$2+FLOOR((CP$2-1)/9,1),"000"),"")</f>
        <v>AY103</v>
      </c>
      <c r="CQ24" s="22" t="str">
        <f>IF(INDEX('Shot Map'!$B$6:$V$26,CEILING($A24/5,1),CEILING(CQ$2/5,1))=1,INDEX('Serial Reference'!$A$8:$W$8,1,FLOOR(($A24-1)/23,1)+1)&amp;INDEX('Serial Reference'!$A$8:$W$8,1,MOD($A24-1,23)+1)&amp;TEXT(CQ$2+FLOOR((CQ$2-1)/9,1),"000"),"")</f>
        <v>AY104</v>
      </c>
      <c r="CR24" s="23" t="str">
        <f>IF(INDEX('Shot Map'!$B$6:$V$26,CEILING($A24/5,1),CEILING(CR$2/5,1))=1,INDEX('Serial Reference'!$A$8:$W$8,1,FLOOR(($A24-1)/23,1)+1)&amp;INDEX('Serial Reference'!$A$8:$W$8,1,MOD($A24-1,23)+1)&amp;TEXT(CR$2+FLOOR((CR$2-1)/9,1),"000"),"")</f>
        <v>AY105</v>
      </c>
      <c r="CS24" s="21" t="str">
        <f>IF(INDEX('Shot Map'!$B$6:$V$26,CEILING($A24/5,1),CEILING(CS$2/5,1))=1,INDEX('Serial Reference'!$A$8:$W$8,1,FLOOR(($A24-1)/23,1)+1)&amp;INDEX('Serial Reference'!$A$8:$W$8,1,MOD($A24-1,23)+1)&amp;TEXT(CS$2+FLOOR((CS$2-1)/9,1),"000"),"")</f>
        <v/>
      </c>
      <c r="CT24" s="22" t="str">
        <f>IF(INDEX('Shot Map'!$B$6:$V$26,CEILING($A24/5,1),CEILING(CT$2/5,1))=1,INDEX('Serial Reference'!$A$8:$W$8,1,FLOOR(($A24-1)/23,1)+1)&amp;INDEX('Serial Reference'!$A$8:$W$8,1,MOD($A24-1,23)+1)&amp;TEXT(CT$2+FLOOR((CT$2-1)/9,1),"000"),"")</f>
        <v/>
      </c>
      <c r="CU24" s="22" t="str">
        <f>IF(INDEX('Shot Map'!$B$6:$V$26,CEILING($A24/5,1),CEILING(CU$2/5,1))=1,INDEX('Serial Reference'!$A$8:$W$8,1,FLOOR(($A24-1)/23,1)+1)&amp;INDEX('Serial Reference'!$A$8:$W$8,1,MOD($A24-1,23)+1)&amp;TEXT(CU$2+FLOOR((CU$2-1)/9,1),"000"),"")</f>
        <v/>
      </c>
      <c r="CV24" s="22" t="str">
        <f>IF(INDEX('Shot Map'!$B$6:$V$26,CEILING($A24/5,1),CEILING(CV$2/5,1))=1,INDEX('Serial Reference'!$A$8:$W$8,1,FLOOR(($A24-1)/23,1)+1)&amp;INDEX('Serial Reference'!$A$8:$W$8,1,MOD($A24-1,23)+1)&amp;TEXT(CV$2+FLOOR((CV$2-1)/9,1),"000"),"")</f>
        <v/>
      </c>
      <c r="CW24" s="23" t="str">
        <f>IF(INDEX('Shot Map'!$B$6:$V$26,CEILING($A24/5,1),CEILING(CW$2/5,1))=1,INDEX('Serial Reference'!$A$8:$W$8,1,FLOOR(($A24-1)/23,1)+1)&amp;INDEX('Serial Reference'!$A$8:$W$8,1,MOD($A24-1,23)+1)&amp;TEXT(CW$2+FLOOR((CW$2-1)/9,1),"000"),"")</f>
        <v/>
      </c>
      <c r="CX24" s="21" t="str">
        <f>IF(INDEX('Shot Map'!$B$6:$V$26,CEILING($A24/5,1),CEILING(CX$2/5,1))=1,INDEX('Serial Reference'!$A$8:$W$8,1,FLOOR(($A24-1)/23,1)+1)&amp;INDEX('Serial Reference'!$A$8:$W$8,1,MOD($A24-1,23)+1)&amp;TEXT(CX$2+FLOOR((CX$2-1)/9,1),"000"),"")</f>
        <v/>
      </c>
      <c r="CY24" s="22" t="str">
        <f>IF(INDEX('Shot Map'!$B$6:$V$26,CEILING($A24/5,1),CEILING(CY$2/5,1))=1,INDEX('Serial Reference'!$A$8:$W$8,1,FLOOR(($A24-1)/23,1)+1)&amp;INDEX('Serial Reference'!$A$8:$W$8,1,MOD($A24-1,23)+1)&amp;TEXT(CY$2+FLOOR((CY$2-1)/9,1),"000"),"")</f>
        <v/>
      </c>
      <c r="CZ24" s="22" t="str">
        <f>IF(INDEX('Shot Map'!$B$6:$V$26,CEILING($A24/5,1),CEILING(CZ$2/5,1))=1,INDEX('Serial Reference'!$A$8:$W$8,1,FLOOR(($A24-1)/23,1)+1)&amp;INDEX('Serial Reference'!$A$8:$W$8,1,MOD($A24-1,23)+1)&amp;TEXT(CZ$2+FLOOR((CZ$2-1)/9,1),"000"),"")</f>
        <v/>
      </c>
      <c r="DA24" s="22" t="str">
        <f>IF(INDEX('Shot Map'!$B$6:$V$26,CEILING($A24/5,1),CEILING(DA$2/5,1))=1,INDEX('Serial Reference'!$A$8:$W$8,1,FLOOR(($A24-1)/23,1)+1)&amp;INDEX('Serial Reference'!$A$8:$W$8,1,MOD($A24-1,23)+1)&amp;TEXT(DA$2+FLOOR((DA$2-1)/9,1),"000"),"")</f>
        <v/>
      </c>
      <c r="DB24" s="23" t="str">
        <f>IF(INDEX('Shot Map'!$B$6:$V$26,CEILING($A24/5,1),CEILING(DB$2/5,1))=1,INDEX('Serial Reference'!$A$8:$W$8,1,FLOOR(($A24-1)/23,1)+1)&amp;INDEX('Serial Reference'!$A$8:$W$8,1,MOD($A24-1,23)+1)&amp;TEXT(DB$2+FLOOR((DB$2-1)/9,1),"000"),"")</f>
        <v/>
      </c>
    </row>
    <row r="25" spans="1:106" ht="12.75" customHeight="1" x14ac:dyDescent="0.25">
      <c r="A25" s="17">
        <v>23</v>
      </c>
      <c r="B25" s="21" t="str">
        <f>IF(INDEX('Shot Map'!$B$6:$V$26,CEILING($A25/5,1),CEILING(B$2/5,1))=1,INDEX('Serial Reference'!$A$8:$W$8,1,FLOOR(($A25-1)/23,1)+1)&amp;INDEX('Serial Reference'!$A$8:$W$8,1,MOD($A25-1,23)+1)&amp;TEXT(B$2+FLOOR((B$2-1)/9,1),"000"),"")</f>
        <v/>
      </c>
      <c r="C25" s="22" t="str">
        <f>IF(INDEX('Shot Map'!$B$6:$V$26,CEILING($A25/5,1),CEILING(C$2/5,1))=1,INDEX('Serial Reference'!$A$8:$W$8,1,FLOOR(($A25-1)/23,1)+1)&amp;INDEX('Serial Reference'!$A$8:$W$8,1,MOD($A25-1,23)+1)&amp;TEXT(C$2+FLOOR((C$2-1)/9,1),"000"),"")</f>
        <v/>
      </c>
      <c r="D25" s="22" t="str">
        <f>IF(INDEX('Shot Map'!$B$6:$V$26,CEILING($A25/5,1),CEILING(D$2/5,1))=1,INDEX('Serial Reference'!$A$8:$W$8,1,FLOOR(($A25-1)/23,1)+1)&amp;INDEX('Serial Reference'!$A$8:$W$8,1,MOD($A25-1,23)+1)&amp;TEXT(D$2+FLOOR((D$2-1)/9,1),"000"),"")</f>
        <v/>
      </c>
      <c r="E25" s="22" t="str">
        <f>IF(INDEX('Shot Map'!$B$6:$V$26,CEILING($A25/5,1),CEILING(E$2/5,1))=1,INDEX('Serial Reference'!$A$8:$W$8,1,FLOOR(($A25-1)/23,1)+1)&amp;INDEX('Serial Reference'!$A$8:$W$8,1,MOD($A25-1,23)+1)&amp;TEXT(E$2+FLOOR((E$2-1)/9,1),"000"),"")</f>
        <v/>
      </c>
      <c r="F25" s="23" t="str">
        <f>IF(INDEX('Shot Map'!$B$6:$V$26,CEILING($A25/5,1),CEILING(F$2/5,1))=1,INDEX('Serial Reference'!$A$8:$W$8,1,FLOOR(($A25-1)/23,1)+1)&amp;INDEX('Serial Reference'!$A$8:$W$8,1,MOD($A25-1,23)+1)&amp;TEXT(F$2+FLOOR((F$2-1)/9,1),"000"),"")</f>
        <v/>
      </c>
      <c r="G25" s="21" t="str">
        <f>IF(INDEX('Shot Map'!$B$6:$V$26,CEILING($A25/5,1),CEILING(G$2/5,1))=1,INDEX('Serial Reference'!$A$8:$W$8,1,FLOOR(($A25-1)/23,1)+1)&amp;INDEX('Serial Reference'!$A$8:$W$8,1,MOD($A25-1,23)+1)&amp;TEXT(G$2+FLOOR((G$2-1)/9,1),"000"),"")</f>
        <v/>
      </c>
      <c r="H25" s="22" t="str">
        <f>IF(INDEX('Shot Map'!$B$6:$V$26,CEILING($A25/5,1),CEILING(H$2/5,1))=1,INDEX('Serial Reference'!$A$8:$W$8,1,FLOOR(($A25-1)/23,1)+1)&amp;INDEX('Serial Reference'!$A$8:$W$8,1,MOD($A25-1,23)+1)&amp;TEXT(H$2+FLOOR((H$2-1)/9,1),"000"),"")</f>
        <v/>
      </c>
      <c r="I25" s="22" t="str">
        <f>IF(INDEX('Shot Map'!$B$6:$V$26,CEILING($A25/5,1),CEILING(I$2/5,1))=1,INDEX('Serial Reference'!$A$8:$W$8,1,FLOOR(($A25-1)/23,1)+1)&amp;INDEX('Serial Reference'!$A$8:$W$8,1,MOD($A25-1,23)+1)&amp;TEXT(I$2+FLOOR((I$2-1)/9,1),"000"),"")</f>
        <v/>
      </c>
      <c r="J25" s="22" t="str">
        <f>IF(INDEX('Shot Map'!$B$6:$V$26,CEILING($A25/5,1),CEILING(J$2/5,1))=1,INDEX('Serial Reference'!$A$8:$W$8,1,FLOOR(($A25-1)/23,1)+1)&amp;INDEX('Serial Reference'!$A$8:$W$8,1,MOD($A25-1,23)+1)&amp;TEXT(J$2+FLOOR((J$2-1)/9,1),"000"),"")</f>
        <v/>
      </c>
      <c r="K25" s="23" t="str">
        <f>IF(INDEX('Shot Map'!$B$6:$V$26,CEILING($A25/5,1),CEILING(K$2/5,1))=1,INDEX('Serial Reference'!$A$8:$W$8,1,FLOOR(($A25-1)/23,1)+1)&amp;INDEX('Serial Reference'!$A$8:$W$8,1,MOD($A25-1,23)+1)&amp;TEXT(K$2+FLOOR((K$2-1)/9,1),"000"),"")</f>
        <v/>
      </c>
      <c r="L25" s="21" t="str">
        <f>IF(INDEX('Shot Map'!$B$6:$V$26,CEILING($A25/5,1),CEILING(L$2/5,1))=1,INDEX('Serial Reference'!$A$8:$W$8,1,FLOOR(($A25-1)/23,1)+1)&amp;INDEX('Serial Reference'!$A$8:$W$8,1,MOD($A25-1,23)+1)&amp;TEXT(L$2+FLOOR((L$2-1)/9,1),"000"),"")</f>
        <v>AZ012</v>
      </c>
      <c r="M25" s="22" t="str">
        <f>IF(INDEX('Shot Map'!$B$6:$V$26,CEILING($A25/5,1),CEILING(M$2/5,1))=1,INDEX('Serial Reference'!$A$8:$W$8,1,FLOOR(($A25-1)/23,1)+1)&amp;INDEX('Serial Reference'!$A$8:$W$8,1,MOD($A25-1,23)+1)&amp;TEXT(M$2+FLOOR((M$2-1)/9,1),"000"),"")</f>
        <v>AZ013</v>
      </c>
      <c r="N25" s="22" t="str">
        <f>IF(INDEX('Shot Map'!$B$6:$V$26,CEILING($A25/5,1),CEILING(N$2/5,1))=1,INDEX('Serial Reference'!$A$8:$W$8,1,FLOOR(($A25-1)/23,1)+1)&amp;INDEX('Serial Reference'!$A$8:$W$8,1,MOD($A25-1,23)+1)&amp;TEXT(N$2+FLOOR((N$2-1)/9,1),"000"),"")</f>
        <v>AZ014</v>
      </c>
      <c r="O25" s="22" t="str">
        <f>IF(INDEX('Shot Map'!$B$6:$V$26,CEILING($A25/5,1),CEILING(O$2/5,1))=1,INDEX('Serial Reference'!$A$8:$W$8,1,FLOOR(($A25-1)/23,1)+1)&amp;INDEX('Serial Reference'!$A$8:$W$8,1,MOD($A25-1,23)+1)&amp;TEXT(O$2+FLOOR((O$2-1)/9,1),"000"),"")</f>
        <v>AZ015</v>
      </c>
      <c r="P25" s="23" t="str">
        <f>IF(INDEX('Shot Map'!$B$6:$V$26,CEILING($A25/5,1),CEILING(P$2/5,1))=1,INDEX('Serial Reference'!$A$8:$W$8,1,FLOOR(($A25-1)/23,1)+1)&amp;INDEX('Serial Reference'!$A$8:$W$8,1,MOD($A25-1,23)+1)&amp;TEXT(P$2+FLOOR((P$2-1)/9,1),"000"),"")</f>
        <v>AZ016</v>
      </c>
      <c r="Q25" s="21" t="str">
        <f>IF(INDEX('Shot Map'!$B$6:$V$26,CEILING($A25/5,1),CEILING(Q$2/5,1))=1,INDEX('Serial Reference'!$A$8:$W$8,1,FLOOR(($A25-1)/23,1)+1)&amp;INDEX('Serial Reference'!$A$8:$W$8,1,MOD($A25-1,23)+1)&amp;TEXT(Q$2+FLOOR((Q$2-1)/9,1),"000"),"")</f>
        <v>AZ017</v>
      </c>
      <c r="R25" s="22" t="str">
        <f>IF(INDEX('Shot Map'!$B$6:$V$26,CEILING($A25/5,1),CEILING(R$2/5,1))=1,INDEX('Serial Reference'!$A$8:$W$8,1,FLOOR(($A25-1)/23,1)+1)&amp;INDEX('Serial Reference'!$A$8:$W$8,1,MOD($A25-1,23)+1)&amp;TEXT(R$2+FLOOR((R$2-1)/9,1),"000"),"")</f>
        <v>AZ018</v>
      </c>
      <c r="S25" s="22" t="str">
        <f>IF(INDEX('Shot Map'!$B$6:$V$26,CEILING($A25/5,1),CEILING(S$2/5,1))=1,INDEX('Serial Reference'!$A$8:$W$8,1,FLOOR(($A25-1)/23,1)+1)&amp;INDEX('Serial Reference'!$A$8:$W$8,1,MOD($A25-1,23)+1)&amp;TEXT(S$2+FLOOR((S$2-1)/9,1),"000"),"")</f>
        <v>AZ019</v>
      </c>
      <c r="T25" s="22" t="str">
        <f>IF(INDEX('Shot Map'!$B$6:$V$26,CEILING($A25/5,1),CEILING(T$2/5,1))=1,INDEX('Serial Reference'!$A$8:$W$8,1,FLOOR(($A25-1)/23,1)+1)&amp;INDEX('Serial Reference'!$A$8:$W$8,1,MOD($A25-1,23)+1)&amp;TEXT(T$2+FLOOR((T$2-1)/9,1),"000"),"")</f>
        <v>AZ021</v>
      </c>
      <c r="U25" s="23" t="str">
        <f>IF(INDEX('Shot Map'!$B$6:$V$26,CEILING($A25/5,1),CEILING(U$2/5,1))=1,INDEX('Serial Reference'!$A$8:$W$8,1,FLOOR(($A25-1)/23,1)+1)&amp;INDEX('Serial Reference'!$A$8:$W$8,1,MOD($A25-1,23)+1)&amp;TEXT(U$2+FLOOR((U$2-1)/9,1),"000"),"")</f>
        <v>AZ022</v>
      </c>
      <c r="V25" s="21" t="str">
        <f>IF(INDEX('Shot Map'!$B$6:$V$26,CEILING($A25/5,1),CEILING(V$2/5,1))=1,INDEX('Serial Reference'!$A$8:$W$8,1,FLOOR(($A25-1)/23,1)+1)&amp;INDEX('Serial Reference'!$A$8:$W$8,1,MOD($A25-1,23)+1)&amp;TEXT(V$2+FLOOR((V$2-1)/9,1),"000"),"")</f>
        <v>AZ023</v>
      </c>
      <c r="W25" s="22" t="str">
        <f>IF(INDEX('Shot Map'!$B$6:$V$26,CEILING($A25/5,1),CEILING(W$2/5,1))=1,INDEX('Serial Reference'!$A$8:$W$8,1,FLOOR(($A25-1)/23,1)+1)&amp;INDEX('Serial Reference'!$A$8:$W$8,1,MOD($A25-1,23)+1)&amp;TEXT(W$2+FLOOR((W$2-1)/9,1),"000"),"")</f>
        <v>AZ024</v>
      </c>
      <c r="X25" s="22" t="str">
        <f>IF(INDEX('Shot Map'!$B$6:$V$26,CEILING($A25/5,1),CEILING(X$2/5,1))=1,INDEX('Serial Reference'!$A$8:$W$8,1,FLOOR(($A25-1)/23,1)+1)&amp;INDEX('Serial Reference'!$A$8:$W$8,1,MOD($A25-1,23)+1)&amp;TEXT(X$2+FLOOR((X$2-1)/9,1),"000"),"")</f>
        <v>AZ025</v>
      </c>
      <c r="Y25" s="22" t="str">
        <f>IF(INDEX('Shot Map'!$B$6:$V$26,CEILING($A25/5,1),CEILING(Y$2/5,1))=1,INDEX('Serial Reference'!$A$8:$W$8,1,FLOOR(($A25-1)/23,1)+1)&amp;INDEX('Serial Reference'!$A$8:$W$8,1,MOD($A25-1,23)+1)&amp;TEXT(Y$2+FLOOR((Y$2-1)/9,1),"000"),"")</f>
        <v>AZ026</v>
      </c>
      <c r="Z25" s="23" t="str">
        <f>IF(INDEX('Shot Map'!$B$6:$V$26,CEILING($A25/5,1),CEILING(Z$2/5,1))=1,INDEX('Serial Reference'!$A$8:$W$8,1,FLOOR(($A25-1)/23,1)+1)&amp;INDEX('Serial Reference'!$A$8:$W$8,1,MOD($A25-1,23)+1)&amp;TEXT(Z$2+FLOOR((Z$2-1)/9,1),"000"),"")</f>
        <v>AZ027</v>
      </c>
      <c r="AA25" s="21" t="str">
        <f>IF(INDEX('Shot Map'!$B$6:$V$26,CEILING($A25/5,1),CEILING(AA$2/5,1))=1,INDEX('Serial Reference'!$A$8:$W$8,1,FLOOR(($A25-1)/23,1)+1)&amp;INDEX('Serial Reference'!$A$8:$W$8,1,MOD($A25-1,23)+1)&amp;TEXT(AA$2+FLOOR((AA$2-1)/9,1),"000"),"")</f>
        <v>AZ028</v>
      </c>
      <c r="AB25" s="22" t="str">
        <f>IF(INDEX('Shot Map'!$B$6:$V$26,CEILING($A25/5,1),CEILING(AB$2/5,1))=1,INDEX('Serial Reference'!$A$8:$W$8,1,FLOOR(($A25-1)/23,1)+1)&amp;INDEX('Serial Reference'!$A$8:$W$8,1,MOD($A25-1,23)+1)&amp;TEXT(AB$2+FLOOR((AB$2-1)/9,1),"000"),"")</f>
        <v>AZ029</v>
      </c>
      <c r="AC25" s="22" t="str">
        <f>IF(INDEX('Shot Map'!$B$6:$V$26,CEILING($A25/5,1),CEILING(AC$2/5,1))=1,INDEX('Serial Reference'!$A$8:$W$8,1,FLOOR(($A25-1)/23,1)+1)&amp;INDEX('Serial Reference'!$A$8:$W$8,1,MOD($A25-1,23)+1)&amp;TEXT(AC$2+FLOOR((AC$2-1)/9,1),"000"),"")</f>
        <v>AZ031</v>
      </c>
      <c r="AD25" s="22" t="str">
        <f>IF(INDEX('Shot Map'!$B$6:$V$26,CEILING($A25/5,1),CEILING(AD$2/5,1))=1,INDEX('Serial Reference'!$A$8:$W$8,1,FLOOR(($A25-1)/23,1)+1)&amp;INDEX('Serial Reference'!$A$8:$W$8,1,MOD($A25-1,23)+1)&amp;TEXT(AD$2+FLOOR((AD$2-1)/9,1),"000"),"")</f>
        <v>AZ032</v>
      </c>
      <c r="AE25" s="23" t="str">
        <f>IF(INDEX('Shot Map'!$B$6:$V$26,CEILING($A25/5,1),CEILING(AE$2/5,1))=1,INDEX('Serial Reference'!$A$8:$W$8,1,FLOOR(($A25-1)/23,1)+1)&amp;INDEX('Serial Reference'!$A$8:$W$8,1,MOD($A25-1,23)+1)&amp;TEXT(AE$2+FLOOR((AE$2-1)/9,1),"000"),"")</f>
        <v>AZ033</v>
      </c>
      <c r="AF25" s="21" t="str">
        <f>IF(INDEX('Shot Map'!$B$6:$V$26,CEILING($A25/5,1),CEILING(AF$2/5,1))=1,INDEX('Serial Reference'!$A$8:$W$8,1,FLOOR(($A25-1)/23,1)+1)&amp;INDEX('Serial Reference'!$A$8:$W$8,1,MOD($A25-1,23)+1)&amp;TEXT(AF$2+FLOOR((AF$2-1)/9,1),"000"),"")</f>
        <v>AZ034</v>
      </c>
      <c r="AG25" s="22" t="str">
        <f>IF(INDEX('Shot Map'!$B$6:$V$26,CEILING($A25/5,1),CEILING(AG$2/5,1))=1,INDEX('Serial Reference'!$A$8:$W$8,1,FLOOR(($A25-1)/23,1)+1)&amp;INDEX('Serial Reference'!$A$8:$W$8,1,MOD($A25-1,23)+1)&amp;TEXT(AG$2+FLOOR((AG$2-1)/9,1),"000"),"")</f>
        <v>AZ035</v>
      </c>
      <c r="AH25" s="22" t="str">
        <f>IF(INDEX('Shot Map'!$B$6:$V$26,CEILING($A25/5,1),CEILING(AH$2/5,1))=1,INDEX('Serial Reference'!$A$8:$W$8,1,FLOOR(($A25-1)/23,1)+1)&amp;INDEX('Serial Reference'!$A$8:$W$8,1,MOD($A25-1,23)+1)&amp;TEXT(AH$2+FLOOR((AH$2-1)/9,1),"000"),"")</f>
        <v>AZ036</v>
      </c>
      <c r="AI25" s="22" t="str">
        <f>IF(INDEX('Shot Map'!$B$6:$V$26,CEILING($A25/5,1),CEILING(AI$2/5,1))=1,INDEX('Serial Reference'!$A$8:$W$8,1,FLOOR(($A25-1)/23,1)+1)&amp;INDEX('Serial Reference'!$A$8:$W$8,1,MOD($A25-1,23)+1)&amp;TEXT(AI$2+FLOOR((AI$2-1)/9,1),"000"),"")</f>
        <v>AZ037</v>
      </c>
      <c r="AJ25" s="23" t="str">
        <f>IF(INDEX('Shot Map'!$B$6:$V$26,CEILING($A25/5,1),CEILING(AJ$2/5,1))=1,INDEX('Serial Reference'!$A$8:$W$8,1,FLOOR(($A25-1)/23,1)+1)&amp;INDEX('Serial Reference'!$A$8:$W$8,1,MOD($A25-1,23)+1)&amp;TEXT(AJ$2+FLOOR((AJ$2-1)/9,1),"000"),"")</f>
        <v>AZ038</v>
      </c>
      <c r="AK25" s="21" t="str">
        <f>IF(INDEX('Shot Map'!$B$6:$V$26,CEILING($A25/5,1),CEILING(AK$2/5,1))=1,INDEX('Serial Reference'!$A$8:$W$8,1,FLOOR(($A25-1)/23,1)+1)&amp;INDEX('Serial Reference'!$A$8:$W$8,1,MOD($A25-1,23)+1)&amp;TEXT(AK$2+FLOOR((AK$2-1)/9,1),"000"),"")</f>
        <v>AZ039</v>
      </c>
      <c r="AL25" s="22" t="str">
        <f>IF(INDEX('Shot Map'!$B$6:$V$26,CEILING($A25/5,1),CEILING(AL$2/5,1))=1,INDEX('Serial Reference'!$A$8:$W$8,1,FLOOR(($A25-1)/23,1)+1)&amp;INDEX('Serial Reference'!$A$8:$W$8,1,MOD($A25-1,23)+1)&amp;TEXT(AL$2+FLOOR((AL$2-1)/9,1),"000"),"")</f>
        <v>AZ041</v>
      </c>
      <c r="AM25" s="22" t="str">
        <f>IF(INDEX('Shot Map'!$B$6:$V$26,CEILING($A25/5,1),CEILING(AM$2/5,1))=1,INDEX('Serial Reference'!$A$8:$W$8,1,FLOOR(($A25-1)/23,1)+1)&amp;INDEX('Serial Reference'!$A$8:$W$8,1,MOD($A25-1,23)+1)&amp;TEXT(AM$2+FLOOR((AM$2-1)/9,1),"000"),"")</f>
        <v>AZ042</v>
      </c>
      <c r="AN25" s="22" t="str">
        <f>IF(INDEX('Shot Map'!$B$6:$V$26,CEILING($A25/5,1),CEILING(AN$2/5,1))=1,INDEX('Serial Reference'!$A$8:$W$8,1,FLOOR(($A25-1)/23,1)+1)&amp;INDEX('Serial Reference'!$A$8:$W$8,1,MOD($A25-1,23)+1)&amp;TEXT(AN$2+FLOOR((AN$2-1)/9,1),"000"),"")</f>
        <v>AZ043</v>
      </c>
      <c r="AO25" s="23" t="str">
        <f>IF(INDEX('Shot Map'!$B$6:$V$26,CEILING($A25/5,1),CEILING(AO$2/5,1))=1,INDEX('Serial Reference'!$A$8:$W$8,1,FLOOR(($A25-1)/23,1)+1)&amp;INDEX('Serial Reference'!$A$8:$W$8,1,MOD($A25-1,23)+1)&amp;TEXT(AO$2+FLOOR((AO$2-1)/9,1),"000"),"")</f>
        <v>AZ044</v>
      </c>
      <c r="AP25" s="21" t="str">
        <f>IF(INDEX('Shot Map'!$B$6:$V$26,CEILING($A25/5,1),CEILING(AP$2/5,1))=1,INDEX('Serial Reference'!$A$8:$W$8,1,FLOOR(($A25-1)/23,1)+1)&amp;INDEX('Serial Reference'!$A$8:$W$8,1,MOD($A25-1,23)+1)&amp;TEXT(AP$2+FLOOR((AP$2-1)/9,1),"000"),"")</f>
        <v>AZ045</v>
      </c>
      <c r="AQ25" s="22" t="str">
        <f>IF(INDEX('Shot Map'!$B$6:$V$26,CEILING($A25/5,1),CEILING(AQ$2/5,1))=1,INDEX('Serial Reference'!$A$8:$W$8,1,FLOOR(($A25-1)/23,1)+1)&amp;INDEX('Serial Reference'!$A$8:$W$8,1,MOD($A25-1,23)+1)&amp;TEXT(AQ$2+FLOOR((AQ$2-1)/9,1),"000"),"")</f>
        <v>AZ046</v>
      </c>
      <c r="AR25" s="22" t="str">
        <f>IF(INDEX('Shot Map'!$B$6:$V$26,CEILING($A25/5,1),CEILING(AR$2/5,1))=1,INDEX('Serial Reference'!$A$8:$W$8,1,FLOOR(($A25-1)/23,1)+1)&amp;INDEX('Serial Reference'!$A$8:$W$8,1,MOD($A25-1,23)+1)&amp;TEXT(AR$2+FLOOR((AR$2-1)/9,1),"000"),"")</f>
        <v>AZ047</v>
      </c>
      <c r="AS25" s="22" t="str">
        <f>IF(INDEX('Shot Map'!$B$6:$V$26,CEILING($A25/5,1),CEILING(AS$2/5,1))=1,INDEX('Serial Reference'!$A$8:$W$8,1,FLOOR(($A25-1)/23,1)+1)&amp;INDEX('Serial Reference'!$A$8:$W$8,1,MOD($A25-1,23)+1)&amp;TEXT(AS$2+FLOOR((AS$2-1)/9,1),"000"),"")</f>
        <v>AZ048</v>
      </c>
      <c r="AT25" s="23" t="str">
        <f>IF(INDEX('Shot Map'!$B$6:$V$26,CEILING($A25/5,1),CEILING(AT$2/5,1))=1,INDEX('Serial Reference'!$A$8:$W$8,1,FLOOR(($A25-1)/23,1)+1)&amp;INDEX('Serial Reference'!$A$8:$W$8,1,MOD($A25-1,23)+1)&amp;TEXT(AT$2+FLOOR((AT$2-1)/9,1),"000"),"")</f>
        <v>AZ049</v>
      </c>
      <c r="AU25" s="21" t="str">
        <f>IF(INDEX('Shot Map'!$B$6:$V$26,CEILING($A25/5,1),CEILING(AU$2/5,1))=1,INDEX('Serial Reference'!$A$8:$W$8,1,FLOOR(($A25-1)/23,1)+1)&amp;INDEX('Serial Reference'!$A$8:$W$8,1,MOD($A25-1,23)+1)&amp;TEXT(AU$2+FLOOR((AU$2-1)/9,1),"000"),"")</f>
        <v>AZ051</v>
      </c>
      <c r="AV25" s="22" t="str">
        <f>IF(INDEX('Shot Map'!$B$6:$V$26,CEILING($A25/5,1),CEILING(AV$2/5,1))=1,INDEX('Serial Reference'!$A$8:$W$8,1,FLOOR(($A25-1)/23,1)+1)&amp;INDEX('Serial Reference'!$A$8:$W$8,1,MOD($A25-1,23)+1)&amp;TEXT(AV$2+FLOOR((AV$2-1)/9,1),"000"),"")</f>
        <v>AZ052</v>
      </c>
      <c r="AW25" s="22" t="str">
        <f>IF(INDEX('Shot Map'!$B$6:$V$26,CEILING($A25/5,1),CEILING(AW$2/5,1))=1,INDEX('Serial Reference'!$A$8:$W$8,1,FLOOR(($A25-1)/23,1)+1)&amp;INDEX('Serial Reference'!$A$8:$W$8,1,MOD($A25-1,23)+1)&amp;TEXT(AW$2+FLOOR((AW$2-1)/9,1),"000"),"")</f>
        <v>AZ053</v>
      </c>
      <c r="AX25" s="22" t="str">
        <f>IF(INDEX('Shot Map'!$B$6:$V$26,CEILING($A25/5,1),CEILING(AX$2/5,1))=1,INDEX('Serial Reference'!$A$8:$W$8,1,FLOOR(($A25-1)/23,1)+1)&amp;INDEX('Serial Reference'!$A$8:$W$8,1,MOD($A25-1,23)+1)&amp;TEXT(AX$2+FLOOR((AX$2-1)/9,1),"000"),"")</f>
        <v>AZ054</v>
      </c>
      <c r="AY25" s="23" t="str">
        <f>IF(INDEX('Shot Map'!$B$6:$V$26,CEILING($A25/5,1),CEILING(AY$2/5,1))=1,INDEX('Serial Reference'!$A$8:$W$8,1,FLOOR(($A25-1)/23,1)+1)&amp;INDEX('Serial Reference'!$A$8:$W$8,1,MOD($A25-1,23)+1)&amp;TEXT(AY$2+FLOOR((AY$2-1)/9,1),"000"),"")</f>
        <v>AZ055</v>
      </c>
      <c r="AZ25" s="21" t="str">
        <f>IF(INDEX('Shot Map'!$B$6:$V$26,CEILING($A25/5,1),CEILING(AZ$2/5,1))=1,INDEX('Serial Reference'!$A$8:$W$8,1,FLOOR(($A25-1)/23,1)+1)&amp;INDEX('Serial Reference'!$A$8:$W$8,1,MOD($A25-1,23)+1)&amp;TEXT(AZ$2+FLOOR((AZ$2-1)/9,1),"000"),"")</f>
        <v>AZ056</v>
      </c>
      <c r="BA25" s="22" t="str">
        <f>IF(INDEX('Shot Map'!$B$6:$V$26,CEILING($A25/5,1),CEILING(BA$2/5,1))=1,INDEX('Serial Reference'!$A$8:$W$8,1,FLOOR(($A25-1)/23,1)+1)&amp;INDEX('Serial Reference'!$A$8:$W$8,1,MOD($A25-1,23)+1)&amp;TEXT(BA$2+FLOOR((BA$2-1)/9,1),"000"),"")</f>
        <v>AZ057</v>
      </c>
      <c r="BB25" s="22" t="str">
        <f>IF(INDEX('Shot Map'!$B$6:$V$26,CEILING($A25/5,1),CEILING(BB$2/5,1))=1,INDEX('Serial Reference'!$A$8:$W$8,1,FLOOR(($A25-1)/23,1)+1)&amp;INDEX('Serial Reference'!$A$8:$W$8,1,MOD($A25-1,23)+1)&amp;TEXT(BB$2+FLOOR((BB$2-1)/9,1),"000"),"")</f>
        <v>AZ058</v>
      </c>
      <c r="BC25" s="22" t="str">
        <f>IF(INDEX('Shot Map'!$B$6:$V$26,CEILING($A25/5,1),CEILING(BC$2/5,1))=1,INDEX('Serial Reference'!$A$8:$W$8,1,FLOOR(($A25-1)/23,1)+1)&amp;INDEX('Serial Reference'!$A$8:$W$8,1,MOD($A25-1,23)+1)&amp;TEXT(BC$2+FLOOR((BC$2-1)/9,1),"000"),"")</f>
        <v>AZ059</v>
      </c>
      <c r="BD25" s="23" t="str">
        <f>IF(INDEX('Shot Map'!$B$6:$V$26,CEILING($A25/5,1),CEILING(BD$2/5,1))=1,INDEX('Serial Reference'!$A$8:$W$8,1,FLOOR(($A25-1)/23,1)+1)&amp;INDEX('Serial Reference'!$A$8:$W$8,1,MOD($A25-1,23)+1)&amp;TEXT(BD$2+FLOOR((BD$2-1)/9,1),"000"),"")</f>
        <v>AZ061</v>
      </c>
      <c r="BE25" s="21" t="str">
        <f>IF(INDEX('Shot Map'!$B$6:$V$26,CEILING($A25/5,1),CEILING(BE$2/5,1))=1,INDEX('Serial Reference'!$A$8:$W$8,1,FLOOR(($A25-1)/23,1)+1)&amp;INDEX('Serial Reference'!$A$8:$W$8,1,MOD($A25-1,23)+1)&amp;TEXT(BE$2+FLOOR((BE$2-1)/9,1),"000"),"")</f>
        <v>AZ062</v>
      </c>
      <c r="BF25" s="22" t="str">
        <f>IF(INDEX('Shot Map'!$B$6:$V$26,CEILING($A25/5,1),CEILING(BF$2/5,1))=1,INDEX('Serial Reference'!$A$8:$W$8,1,FLOOR(($A25-1)/23,1)+1)&amp;INDEX('Serial Reference'!$A$8:$W$8,1,MOD($A25-1,23)+1)&amp;TEXT(BF$2+FLOOR((BF$2-1)/9,1),"000"),"")</f>
        <v>AZ063</v>
      </c>
      <c r="BG25" s="22" t="str">
        <f>IF(INDEX('Shot Map'!$B$6:$V$26,CEILING($A25/5,1),CEILING(BG$2/5,1))=1,INDEX('Serial Reference'!$A$8:$W$8,1,FLOOR(($A25-1)/23,1)+1)&amp;INDEX('Serial Reference'!$A$8:$W$8,1,MOD($A25-1,23)+1)&amp;TEXT(BG$2+FLOOR((BG$2-1)/9,1),"000"),"")</f>
        <v>AZ064</v>
      </c>
      <c r="BH25" s="22" t="str">
        <f>IF(INDEX('Shot Map'!$B$6:$V$26,CEILING($A25/5,1),CEILING(BH$2/5,1))=1,INDEX('Serial Reference'!$A$8:$W$8,1,FLOOR(($A25-1)/23,1)+1)&amp;INDEX('Serial Reference'!$A$8:$W$8,1,MOD($A25-1,23)+1)&amp;TEXT(BH$2+FLOOR((BH$2-1)/9,1),"000"),"")</f>
        <v>AZ065</v>
      </c>
      <c r="BI25" s="23" t="str">
        <f>IF(INDEX('Shot Map'!$B$6:$V$26,CEILING($A25/5,1),CEILING(BI$2/5,1))=1,INDEX('Serial Reference'!$A$8:$W$8,1,FLOOR(($A25-1)/23,1)+1)&amp;INDEX('Serial Reference'!$A$8:$W$8,1,MOD($A25-1,23)+1)&amp;TEXT(BI$2+FLOOR((BI$2-1)/9,1),"000"),"")</f>
        <v>AZ066</v>
      </c>
      <c r="BJ25" s="21" t="str">
        <f>IF(INDEX('Shot Map'!$B$6:$V$26,CEILING($A25/5,1),CEILING(BJ$2/5,1))=1,INDEX('Serial Reference'!$A$8:$W$8,1,FLOOR(($A25-1)/23,1)+1)&amp;INDEX('Serial Reference'!$A$8:$W$8,1,MOD($A25-1,23)+1)&amp;TEXT(BJ$2+FLOOR((BJ$2-1)/9,1),"000"),"")</f>
        <v>AZ067</v>
      </c>
      <c r="BK25" s="22" t="str">
        <f>IF(INDEX('Shot Map'!$B$6:$V$26,CEILING($A25/5,1),CEILING(BK$2/5,1))=1,INDEX('Serial Reference'!$A$8:$W$8,1,FLOOR(($A25-1)/23,1)+1)&amp;INDEX('Serial Reference'!$A$8:$W$8,1,MOD($A25-1,23)+1)&amp;TEXT(BK$2+FLOOR((BK$2-1)/9,1),"000"),"")</f>
        <v>AZ068</v>
      </c>
      <c r="BL25" s="22" t="str">
        <f>IF(INDEX('Shot Map'!$B$6:$V$26,CEILING($A25/5,1),CEILING(BL$2/5,1))=1,INDEX('Serial Reference'!$A$8:$W$8,1,FLOOR(($A25-1)/23,1)+1)&amp;INDEX('Serial Reference'!$A$8:$W$8,1,MOD($A25-1,23)+1)&amp;TEXT(BL$2+FLOOR((BL$2-1)/9,1),"000"),"")</f>
        <v>AZ069</v>
      </c>
      <c r="BM25" s="22" t="str">
        <f>IF(INDEX('Shot Map'!$B$6:$V$26,CEILING($A25/5,1),CEILING(BM$2/5,1))=1,INDEX('Serial Reference'!$A$8:$W$8,1,FLOOR(($A25-1)/23,1)+1)&amp;INDEX('Serial Reference'!$A$8:$W$8,1,MOD($A25-1,23)+1)&amp;TEXT(BM$2+FLOOR((BM$2-1)/9,1),"000"),"")</f>
        <v>AZ071</v>
      </c>
      <c r="BN25" s="23" t="str">
        <f>IF(INDEX('Shot Map'!$B$6:$V$26,CEILING($A25/5,1),CEILING(BN$2/5,1))=1,INDEX('Serial Reference'!$A$8:$W$8,1,FLOOR(($A25-1)/23,1)+1)&amp;INDEX('Serial Reference'!$A$8:$W$8,1,MOD($A25-1,23)+1)&amp;TEXT(BN$2+FLOOR((BN$2-1)/9,1),"000"),"")</f>
        <v>AZ072</v>
      </c>
      <c r="BO25" s="21" t="str">
        <f>IF(INDEX('Shot Map'!$B$6:$V$26,CEILING($A25/5,1),CEILING(BO$2/5,1))=1,INDEX('Serial Reference'!$A$8:$W$8,1,FLOOR(($A25-1)/23,1)+1)&amp;INDEX('Serial Reference'!$A$8:$W$8,1,MOD($A25-1,23)+1)&amp;TEXT(BO$2+FLOOR((BO$2-1)/9,1),"000"),"")</f>
        <v>AZ073</v>
      </c>
      <c r="BP25" s="22" t="str">
        <f>IF(INDEX('Shot Map'!$B$6:$V$26,CEILING($A25/5,1),CEILING(BP$2/5,1))=1,INDEX('Serial Reference'!$A$8:$W$8,1,FLOOR(($A25-1)/23,1)+1)&amp;INDEX('Serial Reference'!$A$8:$W$8,1,MOD($A25-1,23)+1)&amp;TEXT(BP$2+FLOOR((BP$2-1)/9,1),"000"),"")</f>
        <v>AZ074</v>
      </c>
      <c r="BQ25" s="22" t="str">
        <f>IF(INDEX('Shot Map'!$B$6:$V$26,CEILING($A25/5,1),CEILING(BQ$2/5,1))=1,INDEX('Serial Reference'!$A$8:$W$8,1,FLOOR(($A25-1)/23,1)+1)&amp;INDEX('Serial Reference'!$A$8:$W$8,1,MOD($A25-1,23)+1)&amp;TEXT(BQ$2+FLOOR((BQ$2-1)/9,1),"000"),"")</f>
        <v>AZ075</v>
      </c>
      <c r="BR25" s="22" t="str">
        <f>IF(INDEX('Shot Map'!$B$6:$V$26,CEILING($A25/5,1),CEILING(BR$2/5,1))=1,INDEX('Serial Reference'!$A$8:$W$8,1,FLOOR(($A25-1)/23,1)+1)&amp;INDEX('Serial Reference'!$A$8:$W$8,1,MOD($A25-1,23)+1)&amp;TEXT(BR$2+FLOOR((BR$2-1)/9,1),"000"),"")</f>
        <v>AZ076</v>
      </c>
      <c r="BS25" s="23" t="str">
        <f>IF(INDEX('Shot Map'!$B$6:$V$26,CEILING($A25/5,1),CEILING(BS$2/5,1))=1,INDEX('Serial Reference'!$A$8:$W$8,1,FLOOR(($A25-1)/23,1)+1)&amp;INDEX('Serial Reference'!$A$8:$W$8,1,MOD($A25-1,23)+1)&amp;TEXT(BS$2+FLOOR((BS$2-1)/9,1),"000"),"")</f>
        <v>AZ077</v>
      </c>
      <c r="BT25" s="21" t="str">
        <f>IF(INDEX('Shot Map'!$B$6:$V$26,CEILING($A25/5,1),CEILING(BT$2/5,1))=1,INDEX('Serial Reference'!$A$8:$W$8,1,FLOOR(($A25-1)/23,1)+1)&amp;INDEX('Serial Reference'!$A$8:$W$8,1,MOD($A25-1,23)+1)&amp;TEXT(BT$2+FLOOR((BT$2-1)/9,1),"000"),"")</f>
        <v>AZ078</v>
      </c>
      <c r="BU25" s="22" t="str">
        <f>IF(INDEX('Shot Map'!$B$6:$V$26,CEILING($A25/5,1),CEILING(BU$2/5,1))=1,INDEX('Serial Reference'!$A$8:$W$8,1,FLOOR(($A25-1)/23,1)+1)&amp;INDEX('Serial Reference'!$A$8:$W$8,1,MOD($A25-1,23)+1)&amp;TEXT(BU$2+FLOOR((BU$2-1)/9,1),"000"),"")</f>
        <v>AZ079</v>
      </c>
      <c r="BV25" s="22" t="str">
        <f>IF(INDEX('Shot Map'!$B$6:$V$26,CEILING($A25/5,1),CEILING(BV$2/5,1))=1,INDEX('Serial Reference'!$A$8:$W$8,1,FLOOR(($A25-1)/23,1)+1)&amp;INDEX('Serial Reference'!$A$8:$W$8,1,MOD($A25-1,23)+1)&amp;TEXT(BV$2+FLOOR((BV$2-1)/9,1),"000"),"")</f>
        <v>AZ081</v>
      </c>
      <c r="BW25" s="22" t="str">
        <f>IF(INDEX('Shot Map'!$B$6:$V$26,CEILING($A25/5,1),CEILING(BW$2/5,1))=1,INDEX('Serial Reference'!$A$8:$W$8,1,FLOOR(($A25-1)/23,1)+1)&amp;INDEX('Serial Reference'!$A$8:$W$8,1,MOD($A25-1,23)+1)&amp;TEXT(BW$2+FLOOR((BW$2-1)/9,1),"000"),"")</f>
        <v>AZ082</v>
      </c>
      <c r="BX25" s="23" t="str">
        <f>IF(INDEX('Shot Map'!$B$6:$V$26,CEILING($A25/5,1),CEILING(BX$2/5,1))=1,INDEX('Serial Reference'!$A$8:$W$8,1,FLOOR(($A25-1)/23,1)+1)&amp;INDEX('Serial Reference'!$A$8:$W$8,1,MOD($A25-1,23)+1)&amp;TEXT(BX$2+FLOOR((BX$2-1)/9,1),"000"),"")</f>
        <v>AZ083</v>
      </c>
      <c r="BY25" s="21" t="str">
        <f>IF(INDEX('Shot Map'!$B$6:$V$26,CEILING($A25/5,1),CEILING(BY$2/5,1))=1,INDEX('Serial Reference'!$A$8:$W$8,1,FLOOR(($A25-1)/23,1)+1)&amp;INDEX('Serial Reference'!$A$8:$W$8,1,MOD($A25-1,23)+1)&amp;TEXT(BY$2+FLOOR((BY$2-1)/9,1),"000"),"")</f>
        <v>AZ084</v>
      </c>
      <c r="BZ25" s="22" t="str">
        <f>IF(INDEX('Shot Map'!$B$6:$V$26,CEILING($A25/5,1),CEILING(BZ$2/5,1))=1,INDEX('Serial Reference'!$A$8:$W$8,1,FLOOR(($A25-1)/23,1)+1)&amp;INDEX('Serial Reference'!$A$8:$W$8,1,MOD($A25-1,23)+1)&amp;TEXT(BZ$2+FLOOR((BZ$2-1)/9,1),"000"),"")</f>
        <v>AZ085</v>
      </c>
      <c r="CA25" s="22" t="str">
        <f>IF(INDEX('Shot Map'!$B$6:$V$26,CEILING($A25/5,1),CEILING(CA$2/5,1))=1,INDEX('Serial Reference'!$A$8:$W$8,1,FLOOR(($A25-1)/23,1)+1)&amp;INDEX('Serial Reference'!$A$8:$W$8,1,MOD($A25-1,23)+1)&amp;TEXT(CA$2+FLOOR((CA$2-1)/9,1),"000"),"")</f>
        <v>AZ086</v>
      </c>
      <c r="CB25" s="22" t="str">
        <f>IF(INDEX('Shot Map'!$B$6:$V$26,CEILING($A25/5,1),CEILING(CB$2/5,1))=1,INDEX('Serial Reference'!$A$8:$W$8,1,FLOOR(($A25-1)/23,1)+1)&amp;INDEX('Serial Reference'!$A$8:$W$8,1,MOD($A25-1,23)+1)&amp;TEXT(CB$2+FLOOR((CB$2-1)/9,1),"000"),"")</f>
        <v>AZ087</v>
      </c>
      <c r="CC25" s="23" t="str">
        <f>IF(INDEX('Shot Map'!$B$6:$V$26,CEILING($A25/5,1),CEILING(CC$2/5,1))=1,INDEX('Serial Reference'!$A$8:$W$8,1,FLOOR(($A25-1)/23,1)+1)&amp;INDEX('Serial Reference'!$A$8:$W$8,1,MOD($A25-1,23)+1)&amp;TEXT(CC$2+FLOOR((CC$2-1)/9,1),"000"),"")</f>
        <v>AZ088</v>
      </c>
      <c r="CD25" s="21" t="str">
        <f>IF(INDEX('Shot Map'!$B$6:$V$26,CEILING($A25/5,1),CEILING(CD$2/5,1))=1,INDEX('Serial Reference'!$A$8:$W$8,1,FLOOR(($A25-1)/23,1)+1)&amp;INDEX('Serial Reference'!$A$8:$W$8,1,MOD($A25-1,23)+1)&amp;TEXT(CD$2+FLOOR((CD$2-1)/9,1),"000"),"")</f>
        <v>AZ089</v>
      </c>
      <c r="CE25" s="22" t="str">
        <f>IF(INDEX('Shot Map'!$B$6:$V$26,CEILING($A25/5,1),CEILING(CE$2/5,1))=1,INDEX('Serial Reference'!$A$8:$W$8,1,FLOOR(($A25-1)/23,1)+1)&amp;INDEX('Serial Reference'!$A$8:$W$8,1,MOD($A25-1,23)+1)&amp;TEXT(CE$2+FLOOR((CE$2-1)/9,1),"000"),"")</f>
        <v>AZ091</v>
      </c>
      <c r="CF25" s="22" t="str">
        <f>IF(INDEX('Shot Map'!$B$6:$V$26,CEILING($A25/5,1),CEILING(CF$2/5,1))=1,INDEX('Serial Reference'!$A$8:$W$8,1,FLOOR(($A25-1)/23,1)+1)&amp;INDEX('Serial Reference'!$A$8:$W$8,1,MOD($A25-1,23)+1)&amp;TEXT(CF$2+FLOOR((CF$2-1)/9,1),"000"),"")</f>
        <v>AZ092</v>
      </c>
      <c r="CG25" s="22" t="str">
        <f>IF(INDEX('Shot Map'!$B$6:$V$26,CEILING($A25/5,1),CEILING(CG$2/5,1))=1,INDEX('Serial Reference'!$A$8:$W$8,1,FLOOR(($A25-1)/23,1)+1)&amp;INDEX('Serial Reference'!$A$8:$W$8,1,MOD($A25-1,23)+1)&amp;TEXT(CG$2+FLOOR((CG$2-1)/9,1),"000"),"")</f>
        <v>AZ093</v>
      </c>
      <c r="CH25" s="23" t="str">
        <f>IF(INDEX('Shot Map'!$B$6:$V$26,CEILING($A25/5,1),CEILING(CH$2/5,1))=1,INDEX('Serial Reference'!$A$8:$W$8,1,FLOOR(($A25-1)/23,1)+1)&amp;INDEX('Serial Reference'!$A$8:$W$8,1,MOD($A25-1,23)+1)&amp;TEXT(CH$2+FLOOR((CH$2-1)/9,1),"000"),"")</f>
        <v>AZ094</v>
      </c>
      <c r="CI25" s="21" t="str">
        <f>IF(INDEX('Shot Map'!$B$6:$V$26,CEILING($A25/5,1),CEILING(CI$2/5,1))=1,INDEX('Serial Reference'!$A$8:$W$8,1,FLOOR(($A25-1)/23,1)+1)&amp;INDEX('Serial Reference'!$A$8:$W$8,1,MOD($A25-1,23)+1)&amp;TEXT(CI$2+FLOOR((CI$2-1)/9,1),"000"),"")</f>
        <v>AZ095</v>
      </c>
      <c r="CJ25" s="22" t="str">
        <f>IF(INDEX('Shot Map'!$B$6:$V$26,CEILING($A25/5,1),CEILING(CJ$2/5,1))=1,INDEX('Serial Reference'!$A$8:$W$8,1,FLOOR(($A25-1)/23,1)+1)&amp;INDEX('Serial Reference'!$A$8:$W$8,1,MOD($A25-1,23)+1)&amp;TEXT(CJ$2+FLOOR((CJ$2-1)/9,1),"000"),"")</f>
        <v>AZ096</v>
      </c>
      <c r="CK25" s="22" t="str">
        <f>IF(INDEX('Shot Map'!$B$6:$V$26,CEILING($A25/5,1),CEILING(CK$2/5,1))=1,INDEX('Serial Reference'!$A$8:$W$8,1,FLOOR(($A25-1)/23,1)+1)&amp;INDEX('Serial Reference'!$A$8:$W$8,1,MOD($A25-1,23)+1)&amp;TEXT(CK$2+FLOOR((CK$2-1)/9,1),"000"),"")</f>
        <v>AZ097</v>
      </c>
      <c r="CL25" s="22" t="str">
        <f>IF(INDEX('Shot Map'!$B$6:$V$26,CEILING($A25/5,1),CEILING(CL$2/5,1))=1,INDEX('Serial Reference'!$A$8:$W$8,1,FLOOR(($A25-1)/23,1)+1)&amp;INDEX('Serial Reference'!$A$8:$W$8,1,MOD($A25-1,23)+1)&amp;TEXT(CL$2+FLOOR((CL$2-1)/9,1),"000"),"")</f>
        <v>AZ098</v>
      </c>
      <c r="CM25" s="23" t="str">
        <f>IF(INDEX('Shot Map'!$B$6:$V$26,CEILING($A25/5,1),CEILING(CM$2/5,1))=1,INDEX('Serial Reference'!$A$8:$W$8,1,FLOOR(($A25-1)/23,1)+1)&amp;INDEX('Serial Reference'!$A$8:$W$8,1,MOD($A25-1,23)+1)&amp;TEXT(CM$2+FLOOR((CM$2-1)/9,1),"000"),"")</f>
        <v>AZ099</v>
      </c>
      <c r="CN25" s="21" t="str">
        <f>IF(INDEX('Shot Map'!$B$6:$V$26,CEILING($A25/5,1),CEILING(CN$2/5,1))=1,INDEX('Serial Reference'!$A$8:$W$8,1,FLOOR(($A25-1)/23,1)+1)&amp;INDEX('Serial Reference'!$A$8:$W$8,1,MOD($A25-1,23)+1)&amp;TEXT(CN$2+FLOOR((CN$2-1)/9,1),"000"),"")</f>
        <v>AZ101</v>
      </c>
      <c r="CO25" s="22" t="str">
        <f>IF(INDEX('Shot Map'!$B$6:$V$26,CEILING($A25/5,1),CEILING(CO$2/5,1))=1,INDEX('Serial Reference'!$A$8:$W$8,1,FLOOR(($A25-1)/23,1)+1)&amp;INDEX('Serial Reference'!$A$8:$W$8,1,MOD($A25-1,23)+1)&amp;TEXT(CO$2+FLOOR((CO$2-1)/9,1),"000"),"")</f>
        <v>AZ102</v>
      </c>
      <c r="CP25" s="22" t="str">
        <f>IF(INDEX('Shot Map'!$B$6:$V$26,CEILING($A25/5,1),CEILING(CP$2/5,1))=1,INDEX('Serial Reference'!$A$8:$W$8,1,FLOOR(($A25-1)/23,1)+1)&amp;INDEX('Serial Reference'!$A$8:$W$8,1,MOD($A25-1,23)+1)&amp;TEXT(CP$2+FLOOR((CP$2-1)/9,1),"000"),"")</f>
        <v>AZ103</v>
      </c>
      <c r="CQ25" s="22" t="str">
        <f>IF(INDEX('Shot Map'!$B$6:$V$26,CEILING($A25/5,1),CEILING(CQ$2/5,1))=1,INDEX('Serial Reference'!$A$8:$W$8,1,FLOOR(($A25-1)/23,1)+1)&amp;INDEX('Serial Reference'!$A$8:$W$8,1,MOD($A25-1,23)+1)&amp;TEXT(CQ$2+FLOOR((CQ$2-1)/9,1),"000"),"")</f>
        <v>AZ104</v>
      </c>
      <c r="CR25" s="23" t="str">
        <f>IF(INDEX('Shot Map'!$B$6:$V$26,CEILING($A25/5,1),CEILING(CR$2/5,1))=1,INDEX('Serial Reference'!$A$8:$W$8,1,FLOOR(($A25-1)/23,1)+1)&amp;INDEX('Serial Reference'!$A$8:$W$8,1,MOD($A25-1,23)+1)&amp;TEXT(CR$2+FLOOR((CR$2-1)/9,1),"000"),"")</f>
        <v>AZ105</v>
      </c>
      <c r="CS25" s="21" t="str">
        <f>IF(INDEX('Shot Map'!$B$6:$V$26,CEILING($A25/5,1),CEILING(CS$2/5,1))=1,INDEX('Serial Reference'!$A$8:$W$8,1,FLOOR(($A25-1)/23,1)+1)&amp;INDEX('Serial Reference'!$A$8:$W$8,1,MOD($A25-1,23)+1)&amp;TEXT(CS$2+FLOOR((CS$2-1)/9,1),"000"),"")</f>
        <v/>
      </c>
      <c r="CT25" s="22" t="str">
        <f>IF(INDEX('Shot Map'!$B$6:$V$26,CEILING($A25/5,1),CEILING(CT$2/5,1))=1,INDEX('Serial Reference'!$A$8:$W$8,1,FLOOR(($A25-1)/23,1)+1)&amp;INDEX('Serial Reference'!$A$8:$W$8,1,MOD($A25-1,23)+1)&amp;TEXT(CT$2+FLOOR((CT$2-1)/9,1),"000"),"")</f>
        <v/>
      </c>
      <c r="CU25" s="22" t="str">
        <f>IF(INDEX('Shot Map'!$B$6:$V$26,CEILING($A25/5,1),CEILING(CU$2/5,1))=1,INDEX('Serial Reference'!$A$8:$W$8,1,FLOOR(($A25-1)/23,1)+1)&amp;INDEX('Serial Reference'!$A$8:$W$8,1,MOD($A25-1,23)+1)&amp;TEXT(CU$2+FLOOR((CU$2-1)/9,1),"000"),"")</f>
        <v/>
      </c>
      <c r="CV25" s="22" t="str">
        <f>IF(INDEX('Shot Map'!$B$6:$V$26,CEILING($A25/5,1),CEILING(CV$2/5,1))=1,INDEX('Serial Reference'!$A$8:$W$8,1,FLOOR(($A25-1)/23,1)+1)&amp;INDEX('Serial Reference'!$A$8:$W$8,1,MOD($A25-1,23)+1)&amp;TEXT(CV$2+FLOOR((CV$2-1)/9,1),"000"),"")</f>
        <v/>
      </c>
      <c r="CW25" s="23" t="str">
        <f>IF(INDEX('Shot Map'!$B$6:$V$26,CEILING($A25/5,1),CEILING(CW$2/5,1))=1,INDEX('Serial Reference'!$A$8:$W$8,1,FLOOR(($A25-1)/23,1)+1)&amp;INDEX('Serial Reference'!$A$8:$W$8,1,MOD($A25-1,23)+1)&amp;TEXT(CW$2+FLOOR((CW$2-1)/9,1),"000"),"")</f>
        <v/>
      </c>
      <c r="CX25" s="21" t="str">
        <f>IF(INDEX('Shot Map'!$B$6:$V$26,CEILING($A25/5,1),CEILING(CX$2/5,1))=1,INDEX('Serial Reference'!$A$8:$W$8,1,FLOOR(($A25-1)/23,1)+1)&amp;INDEX('Serial Reference'!$A$8:$W$8,1,MOD($A25-1,23)+1)&amp;TEXT(CX$2+FLOOR((CX$2-1)/9,1),"000"),"")</f>
        <v/>
      </c>
      <c r="CY25" s="22" t="str">
        <f>IF(INDEX('Shot Map'!$B$6:$V$26,CEILING($A25/5,1),CEILING(CY$2/5,1))=1,INDEX('Serial Reference'!$A$8:$W$8,1,FLOOR(($A25-1)/23,1)+1)&amp;INDEX('Serial Reference'!$A$8:$W$8,1,MOD($A25-1,23)+1)&amp;TEXT(CY$2+FLOOR((CY$2-1)/9,1),"000"),"")</f>
        <v/>
      </c>
      <c r="CZ25" s="22" t="str">
        <f>IF(INDEX('Shot Map'!$B$6:$V$26,CEILING($A25/5,1),CEILING(CZ$2/5,1))=1,INDEX('Serial Reference'!$A$8:$W$8,1,FLOOR(($A25-1)/23,1)+1)&amp;INDEX('Serial Reference'!$A$8:$W$8,1,MOD($A25-1,23)+1)&amp;TEXT(CZ$2+FLOOR((CZ$2-1)/9,1),"000"),"")</f>
        <v/>
      </c>
      <c r="DA25" s="22" t="str">
        <f>IF(INDEX('Shot Map'!$B$6:$V$26,CEILING($A25/5,1),CEILING(DA$2/5,1))=1,INDEX('Serial Reference'!$A$8:$W$8,1,FLOOR(($A25-1)/23,1)+1)&amp;INDEX('Serial Reference'!$A$8:$W$8,1,MOD($A25-1,23)+1)&amp;TEXT(DA$2+FLOOR((DA$2-1)/9,1),"000"),"")</f>
        <v/>
      </c>
      <c r="DB25" s="23" t="str">
        <f>IF(INDEX('Shot Map'!$B$6:$V$26,CEILING($A25/5,1),CEILING(DB$2/5,1))=1,INDEX('Serial Reference'!$A$8:$W$8,1,FLOOR(($A25-1)/23,1)+1)&amp;INDEX('Serial Reference'!$A$8:$W$8,1,MOD($A25-1,23)+1)&amp;TEXT(DB$2+FLOOR((DB$2-1)/9,1),"000"),"")</f>
        <v/>
      </c>
    </row>
    <row r="26" spans="1:106" ht="12.75" customHeight="1" x14ac:dyDescent="0.25">
      <c r="A26" s="17">
        <v>24</v>
      </c>
      <c r="B26" s="21" t="str">
        <f>IF(INDEX('Shot Map'!$B$6:$V$26,CEILING($A26/5,1),CEILING(B$2/5,1))=1,INDEX('Serial Reference'!$A$8:$W$8,1,FLOOR(($A26-1)/23,1)+1)&amp;INDEX('Serial Reference'!$A$8:$W$8,1,MOD($A26-1,23)+1)&amp;TEXT(B$2+FLOOR((B$2-1)/9,1),"000"),"")</f>
        <v/>
      </c>
      <c r="C26" s="22" t="str">
        <f>IF(INDEX('Shot Map'!$B$6:$V$26,CEILING($A26/5,1),CEILING(C$2/5,1))=1,INDEX('Serial Reference'!$A$8:$W$8,1,FLOOR(($A26-1)/23,1)+1)&amp;INDEX('Serial Reference'!$A$8:$W$8,1,MOD($A26-1,23)+1)&amp;TEXT(C$2+FLOOR((C$2-1)/9,1),"000"),"")</f>
        <v/>
      </c>
      <c r="D26" s="22" t="str">
        <f>IF(INDEX('Shot Map'!$B$6:$V$26,CEILING($A26/5,1),CEILING(D$2/5,1))=1,INDEX('Serial Reference'!$A$8:$W$8,1,FLOOR(($A26-1)/23,1)+1)&amp;INDEX('Serial Reference'!$A$8:$W$8,1,MOD($A26-1,23)+1)&amp;TEXT(D$2+FLOOR((D$2-1)/9,1),"000"),"")</f>
        <v/>
      </c>
      <c r="E26" s="22" t="str">
        <f>IF(INDEX('Shot Map'!$B$6:$V$26,CEILING($A26/5,1),CEILING(E$2/5,1))=1,INDEX('Serial Reference'!$A$8:$W$8,1,FLOOR(($A26-1)/23,1)+1)&amp;INDEX('Serial Reference'!$A$8:$W$8,1,MOD($A26-1,23)+1)&amp;TEXT(E$2+FLOOR((E$2-1)/9,1),"000"),"")</f>
        <v/>
      </c>
      <c r="F26" s="23" t="str">
        <f>IF(INDEX('Shot Map'!$B$6:$V$26,CEILING($A26/5,1),CEILING(F$2/5,1))=1,INDEX('Serial Reference'!$A$8:$W$8,1,FLOOR(($A26-1)/23,1)+1)&amp;INDEX('Serial Reference'!$A$8:$W$8,1,MOD($A26-1,23)+1)&amp;TEXT(F$2+FLOOR((F$2-1)/9,1),"000"),"")</f>
        <v/>
      </c>
      <c r="G26" s="21" t="str">
        <f>IF(INDEX('Shot Map'!$B$6:$V$26,CEILING($A26/5,1),CEILING(G$2/5,1))=1,INDEX('Serial Reference'!$A$8:$W$8,1,FLOOR(($A26-1)/23,1)+1)&amp;INDEX('Serial Reference'!$A$8:$W$8,1,MOD($A26-1,23)+1)&amp;TEXT(G$2+FLOOR((G$2-1)/9,1),"000"),"")</f>
        <v/>
      </c>
      <c r="H26" s="22" t="str">
        <f>IF(INDEX('Shot Map'!$B$6:$V$26,CEILING($A26/5,1),CEILING(H$2/5,1))=1,INDEX('Serial Reference'!$A$8:$W$8,1,FLOOR(($A26-1)/23,1)+1)&amp;INDEX('Serial Reference'!$A$8:$W$8,1,MOD($A26-1,23)+1)&amp;TEXT(H$2+FLOOR((H$2-1)/9,1),"000"),"")</f>
        <v/>
      </c>
      <c r="I26" s="22" t="str">
        <f>IF(INDEX('Shot Map'!$B$6:$V$26,CEILING($A26/5,1),CEILING(I$2/5,1))=1,INDEX('Serial Reference'!$A$8:$W$8,1,FLOOR(($A26-1)/23,1)+1)&amp;INDEX('Serial Reference'!$A$8:$W$8,1,MOD($A26-1,23)+1)&amp;TEXT(I$2+FLOOR((I$2-1)/9,1),"000"),"")</f>
        <v/>
      </c>
      <c r="J26" s="22" t="str">
        <f>IF(INDEX('Shot Map'!$B$6:$V$26,CEILING($A26/5,1),CEILING(J$2/5,1))=1,INDEX('Serial Reference'!$A$8:$W$8,1,FLOOR(($A26-1)/23,1)+1)&amp;INDEX('Serial Reference'!$A$8:$W$8,1,MOD($A26-1,23)+1)&amp;TEXT(J$2+FLOOR((J$2-1)/9,1),"000"),"")</f>
        <v/>
      </c>
      <c r="K26" s="23" t="str">
        <f>IF(INDEX('Shot Map'!$B$6:$V$26,CEILING($A26/5,1),CEILING(K$2/5,1))=1,INDEX('Serial Reference'!$A$8:$W$8,1,FLOOR(($A26-1)/23,1)+1)&amp;INDEX('Serial Reference'!$A$8:$W$8,1,MOD($A26-1,23)+1)&amp;TEXT(K$2+FLOOR((K$2-1)/9,1),"000"),"")</f>
        <v/>
      </c>
      <c r="L26" s="21" t="str">
        <f>IF(INDEX('Shot Map'!$B$6:$V$26,CEILING($A26/5,1),CEILING(L$2/5,1))=1,INDEX('Serial Reference'!$A$8:$W$8,1,FLOOR(($A26-1)/23,1)+1)&amp;INDEX('Serial Reference'!$A$8:$W$8,1,MOD($A26-1,23)+1)&amp;TEXT(L$2+FLOOR((L$2-1)/9,1),"000"),"")</f>
        <v>BA012</v>
      </c>
      <c r="M26" s="22" t="str">
        <f>IF(INDEX('Shot Map'!$B$6:$V$26,CEILING($A26/5,1),CEILING(M$2/5,1))=1,INDEX('Serial Reference'!$A$8:$W$8,1,FLOOR(($A26-1)/23,1)+1)&amp;INDEX('Serial Reference'!$A$8:$W$8,1,MOD($A26-1,23)+1)&amp;TEXT(M$2+FLOOR((M$2-1)/9,1),"000"),"")</f>
        <v>BA013</v>
      </c>
      <c r="N26" s="22" t="str">
        <f>IF(INDEX('Shot Map'!$B$6:$V$26,CEILING($A26/5,1),CEILING(N$2/5,1))=1,INDEX('Serial Reference'!$A$8:$W$8,1,FLOOR(($A26-1)/23,1)+1)&amp;INDEX('Serial Reference'!$A$8:$W$8,1,MOD($A26-1,23)+1)&amp;TEXT(N$2+FLOOR((N$2-1)/9,1),"000"),"")</f>
        <v>BA014</v>
      </c>
      <c r="O26" s="22" t="str">
        <f>IF(INDEX('Shot Map'!$B$6:$V$26,CEILING($A26/5,1),CEILING(O$2/5,1))=1,INDEX('Serial Reference'!$A$8:$W$8,1,FLOOR(($A26-1)/23,1)+1)&amp;INDEX('Serial Reference'!$A$8:$W$8,1,MOD($A26-1,23)+1)&amp;TEXT(O$2+FLOOR((O$2-1)/9,1),"000"),"")</f>
        <v>BA015</v>
      </c>
      <c r="P26" s="23" t="str">
        <f>IF(INDEX('Shot Map'!$B$6:$V$26,CEILING($A26/5,1),CEILING(P$2/5,1))=1,INDEX('Serial Reference'!$A$8:$W$8,1,FLOOR(($A26-1)/23,1)+1)&amp;INDEX('Serial Reference'!$A$8:$W$8,1,MOD($A26-1,23)+1)&amp;TEXT(P$2+FLOOR((P$2-1)/9,1),"000"),"")</f>
        <v>BA016</v>
      </c>
      <c r="Q26" s="21" t="str">
        <f>IF(INDEX('Shot Map'!$B$6:$V$26,CEILING($A26/5,1),CEILING(Q$2/5,1))=1,INDEX('Serial Reference'!$A$8:$W$8,1,FLOOR(($A26-1)/23,1)+1)&amp;INDEX('Serial Reference'!$A$8:$W$8,1,MOD($A26-1,23)+1)&amp;TEXT(Q$2+FLOOR((Q$2-1)/9,1),"000"),"")</f>
        <v>BA017</v>
      </c>
      <c r="R26" s="22" t="str">
        <f>IF(INDEX('Shot Map'!$B$6:$V$26,CEILING($A26/5,1),CEILING(R$2/5,1))=1,INDEX('Serial Reference'!$A$8:$W$8,1,FLOOR(($A26-1)/23,1)+1)&amp;INDEX('Serial Reference'!$A$8:$W$8,1,MOD($A26-1,23)+1)&amp;TEXT(R$2+FLOOR((R$2-1)/9,1),"000"),"")</f>
        <v>BA018</v>
      </c>
      <c r="S26" s="22" t="str">
        <f>IF(INDEX('Shot Map'!$B$6:$V$26,CEILING($A26/5,1),CEILING(S$2/5,1))=1,INDEX('Serial Reference'!$A$8:$W$8,1,FLOOR(($A26-1)/23,1)+1)&amp;INDEX('Serial Reference'!$A$8:$W$8,1,MOD($A26-1,23)+1)&amp;TEXT(S$2+FLOOR((S$2-1)/9,1),"000"),"")</f>
        <v>BA019</v>
      </c>
      <c r="T26" s="22" t="str">
        <f>IF(INDEX('Shot Map'!$B$6:$V$26,CEILING($A26/5,1),CEILING(T$2/5,1))=1,INDEX('Serial Reference'!$A$8:$W$8,1,FLOOR(($A26-1)/23,1)+1)&amp;INDEX('Serial Reference'!$A$8:$W$8,1,MOD($A26-1,23)+1)&amp;TEXT(T$2+FLOOR((T$2-1)/9,1),"000"),"")</f>
        <v>BA021</v>
      </c>
      <c r="U26" s="23" t="str">
        <f>IF(INDEX('Shot Map'!$B$6:$V$26,CEILING($A26/5,1),CEILING(U$2/5,1))=1,INDEX('Serial Reference'!$A$8:$W$8,1,FLOOR(($A26-1)/23,1)+1)&amp;INDEX('Serial Reference'!$A$8:$W$8,1,MOD($A26-1,23)+1)&amp;TEXT(U$2+FLOOR((U$2-1)/9,1),"000"),"")</f>
        <v>BA022</v>
      </c>
      <c r="V26" s="21" t="str">
        <f>IF(INDEX('Shot Map'!$B$6:$V$26,CEILING($A26/5,1),CEILING(V$2/5,1))=1,INDEX('Serial Reference'!$A$8:$W$8,1,FLOOR(($A26-1)/23,1)+1)&amp;INDEX('Serial Reference'!$A$8:$W$8,1,MOD($A26-1,23)+1)&amp;TEXT(V$2+FLOOR((V$2-1)/9,1),"000"),"")</f>
        <v>BA023</v>
      </c>
      <c r="W26" s="22" t="str">
        <f>IF(INDEX('Shot Map'!$B$6:$V$26,CEILING($A26/5,1),CEILING(W$2/5,1))=1,INDEX('Serial Reference'!$A$8:$W$8,1,FLOOR(($A26-1)/23,1)+1)&amp;INDEX('Serial Reference'!$A$8:$W$8,1,MOD($A26-1,23)+1)&amp;TEXT(W$2+FLOOR((W$2-1)/9,1),"000"),"")</f>
        <v>BA024</v>
      </c>
      <c r="X26" s="22" t="str">
        <f>IF(INDEX('Shot Map'!$B$6:$V$26,CEILING($A26/5,1),CEILING(X$2/5,1))=1,INDEX('Serial Reference'!$A$8:$W$8,1,FLOOR(($A26-1)/23,1)+1)&amp;INDEX('Serial Reference'!$A$8:$W$8,1,MOD($A26-1,23)+1)&amp;TEXT(X$2+FLOOR((X$2-1)/9,1),"000"),"")</f>
        <v>BA025</v>
      </c>
      <c r="Y26" s="22" t="str">
        <f>IF(INDEX('Shot Map'!$B$6:$V$26,CEILING($A26/5,1),CEILING(Y$2/5,1))=1,INDEX('Serial Reference'!$A$8:$W$8,1,FLOOR(($A26-1)/23,1)+1)&amp;INDEX('Serial Reference'!$A$8:$W$8,1,MOD($A26-1,23)+1)&amp;TEXT(Y$2+FLOOR((Y$2-1)/9,1),"000"),"")</f>
        <v>BA026</v>
      </c>
      <c r="Z26" s="23" t="str">
        <f>IF(INDEX('Shot Map'!$B$6:$V$26,CEILING($A26/5,1),CEILING(Z$2/5,1))=1,INDEX('Serial Reference'!$A$8:$W$8,1,FLOOR(($A26-1)/23,1)+1)&amp;INDEX('Serial Reference'!$A$8:$W$8,1,MOD($A26-1,23)+1)&amp;TEXT(Z$2+FLOOR((Z$2-1)/9,1),"000"),"")</f>
        <v>BA027</v>
      </c>
      <c r="AA26" s="21" t="str">
        <f>IF(INDEX('Shot Map'!$B$6:$V$26,CEILING($A26/5,1),CEILING(AA$2/5,1))=1,INDEX('Serial Reference'!$A$8:$W$8,1,FLOOR(($A26-1)/23,1)+1)&amp;INDEX('Serial Reference'!$A$8:$W$8,1,MOD($A26-1,23)+1)&amp;TEXT(AA$2+FLOOR((AA$2-1)/9,1),"000"),"")</f>
        <v>BA028</v>
      </c>
      <c r="AB26" s="22" t="str">
        <f>IF(INDEX('Shot Map'!$B$6:$V$26,CEILING($A26/5,1),CEILING(AB$2/5,1))=1,INDEX('Serial Reference'!$A$8:$W$8,1,FLOOR(($A26-1)/23,1)+1)&amp;INDEX('Serial Reference'!$A$8:$W$8,1,MOD($A26-1,23)+1)&amp;TEXT(AB$2+FLOOR((AB$2-1)/9,1),"000"),"")</f>
        <v>BA029</v>
      </c>
      <c r="AC26" s="22" t="str">
        <f>IF(INDEX('Shot Map'!$B$6:$V$26,CEILING($A26/5,1),CEILING(AC$2/5,1))=1,INDEX('Serial Reference'!$A$8:$W$8,1,FLOOR(($A26-1)/23,1)+1)&amp;INDEX('Serial Reference'!$A$8:$W$8,1,MOD($A26-1,23)+1)&amp;TEXT(AC$2+FLOOR((AC$2-1)/9,1),"000"),"")</f>
        <v>BA031</v>
      </c>
      <c r="AD26" s="22" t="str">
        <f>IF(INDEX('Shot Map'!$B$6:$V$26,CEILING($A26/5,1),CEILING(AD$2/5,1))=1,INDEX('Serial Reference'!$A$8:$W$8,1,FLOOR(($A26-1)/23,1)+1)&amp;INDEX('Serial Reference'!$A$8:$W$8,1,MOD($A26-1,23)+1)&amp;TEXT(AD$2+FLOOR((AD$2-1)/9,1),"000"),"")</f>
        <v>BA032</v>
      </c>
      <c r="AE26" s="23" t="str">
        <f>IF(INDEX('Shot Map'!$B$6:$V$26,CEILING($A26/5,1),CEILING(AE$2/5,1))=1,INDEX('Serial Reference'!$A$8:$W$8,1,FLOOR(($A26-1)/23,1)+1)&amp;INDEX('Serial Reference'!$A$8:$W$8,1,MOD($A26-1,23)+1)&amp;TEXT(AE$2+FLOOR((AE$2-1)/9,1),"000"),"")</f>
        <v>BA033</v>
      </c>
      <c r="AF26" s="21" t="str">
        <f>IF(INDEX('Shot Map'!$B$6:$V$26,CEILING($A26/5,1),CEILING(AF$2/5,1))=1,INDEX('Serial Reference'!$A$8:$W$8,1,FLOOR(($A26-1)/23,1)+1)&amp;INDEX('Serial Reference'!$A$8:$W$8,1,MOD($A26-1,23)+1)&amp;TEXT(AF$2+FLOOR((AF$2-1)/9,1),"000"),"")</f>
        <v>BA034</v>
      </c>
      <c r="AG26" s="22" t="str">
        <f>IF(INDEX('Shot Map'!$B$6:$V$26,CEILING($A26/5,1),CEILING(AG$2/5,1))=1,INDEX('Serial Reference'!$A$8:$W$8,1,FLOOR(($A26-1)/23,1)+1)&amp;INDEX('Serial Reference'!$A$8:$W$8,1,MOD($A26-1,23)+1)&amp;TEXT(AG$2+FLOOR((AG$2-1)/9,1),"000"),"")</f>
        <v>BA035</v>
      </c>
      <c r="AH26" s="22" t="str">
        <f>IF(INDEX('Shot Map'!$B$6:$V$26,CEILING($A26/5,1),CEILING(AH$2/5,1))=1,INDEX('Serial Reference'!$A$8:$W$8,1,FLOOR(($A26-1)/23,1)+1)&amp;INDEX('Serial Reference'!$A$8:$W$8,1,MOD($A26-1,23)+1)&amp;TEXT(AH$2+FLOOR((AH$2-1)/9,1),"000"),"")</f>
        <v>BA036</v>
      </c>
      <c r="AI26" s="22" t="str">
        <f>IF(INDEX('Shot Map'!$B$6:$V$26,CEILING($A26/5,1),CEILING(AI$2/5,1))=1,INDEX('Serial Reference'!$A$8:$W$8,1,FLOOR(($A26-1)/23,1)+1)&amp;INDEX('Serial Reference'!$A$8:$W$8,1,MOD($A26-1,23)+1)&amp;TEXT(AI$2+FLOOR((AI$2-1)/9,1),"000"),"")</f>
        <v>BA037</v>
      </c>
      <c r="AJ26" s="23" t="str">
        <f>IF(INDEX('Shot Map'!$B$6:$V$26,CEILING($A26/5,1),CEILING(AJ$2/5,1))=1,INDEX('Serial Reference'!$A$8:$W$8,1,FLOOR(($A26-1)/23,1)+1)&amp;INDEX('Serial Reference'!$A$8:$W$8,1,MOD($A26-1,23)+1)&amp;TEXT(AJ$2+FLOOR((AJ$2-1)/9,1),"000"),"")</f>
        <v>BA038</v>
      </c>
      <c r="AK26" s="21" t="str">
        <f>IF(INDEX('Shot Map'!$B$6:$V$26,CEILING($A26/5,1),CEILING(AK$2/5,1))=1,INDEX('Serial Reference'!$A$8:$W$8,1,FLOOR(($A26-1)/23,1)+1)&amp;INDEX('Serial Reference'!$A$8:$W$8,1,MOD($A26-1,23)+1)&amp;TEXT(AK$2+FLOOR((AK$2-1)/9,1),"000"),"")</f>
        <v>BA039</v>
      </c>
      <c r="AL26" s="22" t="str">
        <f>IF(INDEX('Shot Map'!$B$6:$V$26,CEILING($A26/5,1),CEILING(AL$2/5,1))=1,INDEX('Serial Reference'!$A$8:$W$8,1,FLOOR(($A26-1)/23,1)+1)&amp;INDEX('Serial Reference'!$A$8:$W$8,1,MOD($A26-1,23)+1)&amp;TEXT(AL$2+FLOOR((AL$2-1)/9,1),"000"),"")</f>
        <v>BA041</v>
      </c>
      <c r="AM26" s="22" t="str">
        <f>IF(INDEX('Shot Map'!$B$6:$V$26,CEILING($A26/5,1),CEILING(AM$2/5,1))=1,INDEX('Serial Reference'!$A$8:$W$8,1,FLOOR(($A26-1)/23,1)+1)&amp;INDEX('Serial Reference'!$A$8:$W$8,1,MOD($A26-1,23)+1)&amp;TEXT(AM$2+FLOOR((AM$2-1)/9,1),"000"),"")</f>
        <v>BA042</v>
      </c>
      <c r="AN26" s="22" t="str">
        <f>IF(INDEX('Shot Map'!$B$6:$V$26,CEILING($A26/5,1),CEILING(AN$2/5,1))=1,INDEX('Serial Reference'!$A$8:$W$8,1,FLOOR(($A26-1)/23,1)+1)&amp;INDEX('Serial Reference'!$A$8:$W$8,1,MOD($A26-1,23)+1)&amp;TEXT(AN$2+FLOOR((AN$2-1)/9,1),"000"),"")</f>
        <v>BA043</v>
      </c>
      <c r="AO26" s="23" t="str">
        <f>IF(INDEX('Shot Map'!$B$6:$V$26,CEILING($A26/5,1),CEILING(AO$2/5,1))=1,INDEX('Serial Reference'!$A$8:$W$8,1,FLOOR(($A26-1)/23,1)+1)&amp;INDEX('Serial Reference'!$A$8:$W$8,1,MOD($A26-1,23)+1)&amp;TEXT(AO$2+FLOOR((AO$2-1)/9,1),"000"),"")</f>
        <v>BA044</v>
      </c>
      <c r="AP26" s="21" t="str">
        <f>IF(INDEX('Shot Map'!$B$6:$V$26,CEILING($A26/5,1),CEILING(AP$2/5,1))=1,INDEX('Serial Reference'!$A$8:$W$8,1,FLOOR(($A26-1)/23,1)+1)&amp;INDEX('Serial Reference'!$A$8:$W$8,1,MOD($A26-1,23)+1)&amp;TEXT(AP$2+FLOOR((AP$2-1)/9,1),"000"),"")</f>
        <v>BA045</v>
      </c>
      <c r="AQ26" s="22" t="str">
        <f>IF(INDEX('Shot Map'!$B$6:$V$26,CEILING($A26/5,1),CEILING(AQ$2/5,1))=1,INDEX('Serial Reference'!$A$8:$W$8,1,FLOOR(($A26-1)/23,1)+1)&amp;INDEX('Serial Reference'!$A$8:$W$8,1,MOD($A26-1,23)+1)&amp;TEXT(AQ$2+FLOOR((AQ$2-1)/9,1),"000"),"")</f>
        <v>BA046</v>
      </c>
      <c r="AR26" s="22" t="str">
        <f>IF(INDEX('Shot Map'!$B$6:$V$26,CEILING($A26/5,1),CEILING(AR$2/5,1))=1,INDEX('Serial Reference'!$A$8:$W$8,1,FLOOR(($A26-1)/23,1)+1)&amp;INDEX('Serial Reference'!$A$8:$W$8,1,MOD($A26-1,23)+1)&amp;TEXT(AR$2+FLOOR((AR$2-1)/9,1),"000"),"")</f>
        <v>BA047</v>
      </c>
      <c r="AS26" s="22" t="str">
        <f>IF(INDEX('Shot Map'!$B$6:$V$26,CEILING($A26/5,1),CEILING(AS$2/5,1))=1,INDEX('Serial Reference'!$A$8:$W$8,1,FLOOR(($A26-1)/23,1)+1)&amp;INDEX('Serial Reference'!$A$8:$W$8,1,MOD($A26-1,23)+1)&amp;TEXT(AS$2+FLOOR((AS$2-1)/9,1),"000"),"")</f>
        <v>BA048</v>
      </c>
      <c r="AT26" s="23" t="str">
        <f>IF(INDEX('Shot Map'!$B$6:$V$26,CEILING($A26/5,1),CEILING(AT$2/5,1))=1,INDEX('Serial Reference'!$A$8:$W$8,1,FLOOR(($A26-1)/23,1)+1)&amp;INDEX('Serial Reference'!$A$8:$W$8,1,MOD($A26-1,23)+1)&amp;TEXT(AT$2+FLOOR((AT$2-1)/9,1),"000"),"")</f>
        <v>BA049</v>
      </c>
      <c r="AU26" s="21" t="str">
        <f>IF(INDEX('Shot Map'!$B$6:$V$26,CEILING($A26/5,1),CEILING(AU$2/5,1))=1,INDEX('Serial Reference'!$A$8:$W$8,1,FLOOR(($A26-1)/23,1)+1)&amp;INDEX('Serial Reference'!$A$8:$W$8,1,MOD($A26-1,23)+1)&amp;TEXT(AU$2+FLOOR((AU$2-1)/9,1),"000"),"")</f>
        <v>BA051</v>
      </c>
      <c r="AV26" s="22" t="str">
        <f>IF(INDEX('Shot Map'!$B$6:$V$26,CEILING($A26/5,1),CEILING(AV$2/5,1))=1,INDEX('Serial Reference'!$A$8:$W$8,1,FLOOR(($A26-1)/23,1)+1)&amp;INDEX('Serial Reference'!$A$8:$W$8,1,MOD($A26-1,23)+1)&amp;TEXT(AV$2+FLOOR((AV$2-1)/9,1),"000"),"")</f>
        <v>BA052</v>
      </c>
      <c r="AW26" s="22" t="str">
        <f>IF(INDEX('Shot Map'!$B$6:$V$26,CEILING($A26/5,1),CEILING(AW$2/5,1))=1,INDEX('Serial Reference'!$A$8:$W$8,1,FLOOR(($A26-1)/23,1)+1)&amp;INDEX('Serial Reference'!$A$8:$W$8,1,MOD($A26-1,23)+1)&amp;TEXT(AW$2+FLOOR((AW$2-1)/9,1),"000"),"")</f>
        <v>BA053</v>
      </c>
      <c r="AX26" s="22" t="str">
        <f>IF(INDEX('Shot Map'!$B$6:$V$26,CEILING($A26/5,1),CEILING(AX$2/5,1))=1,INDEX('Serial Reference'!$A$8:$W$8,1,FLOOR(($A26-1)/23,1)+1)&amp;INDEX('Serial Reference'!$A$8:$W$8,1,MOD($A26-1,23)+1)&amp;TEXT(AX$2+FLOOR((AX$2-1)/9,1),"000"),"")</f>
        <v>BA054</v>
      </c>
      <c r="AY26" s="23" t="str">
        <f>IF(INDEX('Shot Map'!$B$6:$V$26,CEILING($A26/5,1),CEILING(AY$2/5,1))=1,INDEX('Serial Reference'!$A$8:$W$8,1,FLOOR(($A26-1)/23,1)+1)&amp;INDEX('Serial Reference'!$A$8:$W$8,1,MOD($A26-1,23)+1)&amp;TEXT(AY$2+FLOOR((AY$2-1)/9,1),"000"),"")</f>
        <v>BA055</v>
      </c>
      <c r="AZ26" s="21" t="str">
        <f>IF(INDEX('Shot Map'!$B$6:$V$26,CEILING($A26/5,1),CEILING(AZ$2/5,1))=1,INDEX('Serial Reference'!$A$8:$W$8,1,FLOOR(($A26-1)/23,1)+1)&amp;INDEX('Serial Reference'!$A$8:$W$8,1,MOD($A26-1,23)+1)&amp;TEXT(AZ$2+FLOOR((AZ$2-1)/9,1),"000"),"")</f>
        <v>BA056</v>
      </c>
      <c r="BA26" s="22" t="str">
        <f>IF(INDEX('Shot Map'!$B$6:$V$26,CEILING($A26/5,1),CEILING(BA$2/5,1))=1,INDEX('Serial Reference'!$A$8:$W$8,1,FLOOR(($A26-1)/23,1)+1)&amp;INDEX('Serial Reference'!$A$8:$W$8,1,MOD($A26-1,23)+1)&amp;TEXT(BA$2+FLOOR((BA$2-1)/9,1),"000"),"")</f>
        <v>BA057</v>
      </c>
      <c r="BB26" s="22" t="str">
        <f>IF(INDEX('Shot Map'!$B$6:$V$26,CEILING($A26/5,1),CEILING(BB$2/5,1))=1,INDEX('Serial Reference'!$A$8:$W$8,1,FLOOR(($A26-1)/23,1)+1)&amp;INDEX('Serial Reference'!$A$8:$W$8,1,MOD($A26-1,23)+1)&amp;TEXT(BB$2+FLOOR((BB$2-1)/9,1),"000"),"")</f>
        <v>BA058</v>
      </c>
      <c r="BC26" s="22" t="str">
        <f>IF(INDEX('Shot Map'!$B$6:$V$26,CEILING($A26/5,1),CEILING(BC$2/5,1))=1,INDEX('Serial Reference'!$A$8:$W$8,1,FLOOR(($A26-1)/23,1)+1)&amp;INDEX('Serial Reference'!$A$8:$W$8,1,MOD($A26-1,23)+1)&amp;TEXT(BC$2+FLOOR((BC$2-1)/9,1),"000"),"")</f>
        <v>BA059</v>
      </c>
      <c r="BD26" s="23" t="str">
        <f>IF(INDEX('Shot Map'!$B$6:$V$26,CEILING($A26/5,1),CEILING(BD$2/5,1))=1,INDEX('Serial Reference'!$A$8:$W$8,1,FLOOR(($A26-1)/23,1)+1)&amp;INDEX('Serial Reference'!$A$8:$W$8,1,MOD($A26-1,23)+1)&amp;TEXT(BD$2+FLOOR((BD$2-1)/9,1),"000"),"")</f>
        <v>BA061</v>
      </c>
      <c r="BE26" s="21" t="str">
        <f>IF(INDEX('Shot Map'!$B$6:$V$26,CEILING($A26/5,1),CEILING(BE$2/5,1))=1,INDEX('Serial Reference'!$A$8:$W$8,1,FLOOR(($A26-1)/23,1)+1)&amp;INDEX('Serial Reference'!$A$8:$W$8,1,MOD($A26-1,23)+1)&amp;TEXT(BE$2+FLOOR((BE$2-1)/9,1),"000"),"")</f>
        <v>BA062</v>
      </c>
      <c r="BF26" s="22" t="str">
        <f>IF(INDEX('Shot Map'!$B$6:$V$26,CEILING($A26/5,1),CEILING(BF$2/5,1))=1,INDEX('Serial Reference'!$A$8:$W$8,1,FLOOR(($A26-1)/23,1)+1)&amp;INDEX('Serial Reference'!$A$8:$W$8,1,MOD($A26-1,23)+1)&amp;TEXT(BF$2+FLOOR((BF$2-1)/9,1),"000"),"")</f>
        <v>BA063</v>
      </c>
      <c r="BG26" s="22" t="str">
        <f>IF(INDEX('Shot Map'!$B$6:$V$26,CEILING($A26/5,1),CEILING(BG$2/5,1))=1,INDEX('Serial Reference'!$A$8:$W$8,1,FLOOR(($A26-1)/23,1)+1)&amp;INDEX('Serial Reference'!$A$8:$W$8,1,MOD($A26-1,23)+1)&amp;TEXT(BG$2+FLOOR((BG$2-1)/9,1),"000"),"")</f>
        <v>BA064</v>
      </c>
      <c r="BH26" s="22" t="str">
        <f>IF(INDEX('Shot Map'!$B$6:$V$26,CEILING($A26/5,1),CEILING(BH$2/5,1))=1,INDEX('Serial Reference'!$A$8:$W$8,1,FLOOR(($A26-1)/23,1)+1)&amp;INDEX('Serial Reference'!$A$8:$W$8,1,MOD($A26-1,23)+1)&amp;TEXT(BH$2+FLOOR((BH$2-1)/9,1),"000"),"")</f>
        <v>BA065</v>
      </c>
      <c r="BI26" s="23" t="str">
        <f>IF(INDEX('Shot Map'!$B$6:$V$26,CEILING($A26/5,1),CEILING(BI$2/5,1))=1,INDEX('Serial Reference'!$A$8:$W$8,1,FLOOR(($A26-1)/23,1)+1)&amp;INDEX('Serial Reference'!$A$8:$W$8,1,MOD($A26-1,23)+1)&amp;TEXT(BI$2+FLOOR((BI$2-1)/9,1),"000"),"")</f>
        <v>BA066</v>
      </c>
      <c r="BJ26" s="21" t="str">
        <f>IF(INDEX('Shot Map'!$B$6:$V$26,CEILING($A26/5,1),CEILING(BJ$2/5,1))=1,INDEX('Serial Reference'!$A$8:$W$8,1,FLOOR(($A26-1)/23,1)+1)&amp;INDEX('Serial Reference'!$A$8:$W$8,1,MOD($A26-1,23)+1)&amp;TEXT(BJ$2+FLOOR((BJ$2-1)/9,1),"000"),"")</f>
        <v>BA067</v>
      </c>
      <c r="BK26" s="22" t="str">
        <f>IF(INDEX('Shot Map'!$B$6:$V$26,CEILING($A26/5,1),CEILING(BK$2/5,1))=1,INDEX('Serial Reference'!$A$8:$W$8,1,FLOOR(($A26-1)/23,1)+1)&amp;INDEX('Serial Reference'!$A$8:$W$8,1,MOD($A26-1,23)+1)&amp;TEXT(BK$2+FLOOR((BK$2-1)/9,1),"000"),"")</f>
        <v>BA068</v>
      </c>
      <c r="BL26" s="22" t="str">
        <f>IF(INDEX('Shot Map'!$B$6:$V$26,CEILING($A26/5,1),CEILING(BL$2/5,1))=1,INDEX('Serial Reference'!$A$8:$W$8,1,FLOOR(($A26-1)/23,1)+1)&amp;INDEX('Serial Reference'!$A$8:$W$8,1,MOD($A26-1,23)+1)&amp;TEXT(BL$2+FLOOR((BL$2-1)/9,1),"000"),"")</f>
        <v>BA069</v>
      </c>
      <c r="BM26" s="22" t="str">
        <f>IF(INDEX('Shot Map'!$B$6:$V$26,CEILING($A26/5,1),CEILING(BM$2/5,1))=1,INDEX('Serial Reference'!$A$8:$W$8,1,FLOOR(($A26-1)/23,1)+1)&amp;INDEX('Serial Reference'!$A$8:$W$8,1,MOD($A26-1,23)+1)&amp;TEXT(BM$2+FLOOR((BM$2-1)/9,1),"000"),"")</f>
        <v>BA071</v>
      </c>
      <c r="BN26" s="23" t="str">
        <f>IF(INDEX('Shot Map'!$B$6:$V$26,CEILING($A26/5,1),CEILING(BN$2/5,1))=1,INDEX('Serial Reference'!$A$8:$W$8,1,FLOOR(($A26-1)/23,1)+1)&amp;INDEX('Serial Reference'!$A$8:$W$8,1,MOD($A26-1,23)+1)&amp;TEXT(BN$2+FLOOR((BN$2-1)/9,1),"000"),"")</f>
        <v>BA072</v>
      </c>
      <c r="BO26" s="21" t="str">
        <f>IF(INDEX('Shot Map'!$B$6:$V$26,CEILING($A26/5,1),CEILING(BO$2/5,1))=1,INDEX('Serial Reference'!$A$8:$W$8,1,FLOOR(($A26-1)/23,1)+1)&amp;INDEX('Serial Reference'!$A$8:$W$8,1,MOD($A26-1,23)+1)&amp;TEXT(BO$2+FLOOR((BO$2-1)/9,1),"000"),"")</f>
        <v>BA073</v>
      </c>
      <c r="BP26" s="22" t="str">
        <f>IF(INDEX('Shot Map'!$B$6:$V$26,CEILING($A26/5,1),CEILING(BP$2/5,1))=1,INDEX('Serial Reference'!$A$8:$W$8,1,FLOOR(($A26-1)/23,1)+1)&amp;INDEX('Serial Reference'!$A$8:$W$8,1,MOD($A26-1,23)+1)&amp;TEXT(BP$2+FLOOR((BP$2-1)/9,1),"000"),"")</f>
        <v>BA074</v>
      </c>
      <c r="BQ26" s="22" t="str">
        <f>IF(INDEX('Shot Map'!$B$6:$V$26,CEILING($A26/5,1),CEILING(BQ$2/5,1))=1,INDEX('Serial Reference'!$A$8:$W$8,1,FLOOR(($A26-1)/23,1)+1)&amp;INDEX('Serial Reference'!$A$8:$W$8,1,MOD($A26-1,23)+1)&amp;TEXT(BQ$2+FLOOR((BQ$2-1)/9,1),"000"),"")</f>
        <v>BA075</v>
      </c>
      <c r="BR26" s="22" t="str">
        <f>IF(INDEX('Shot Map'!$B$6:$V$26,CEILING($A26/5,1),CEILING(BR$2/5,1))=1,INDEX('Serial Reference'!$A$8:$W$8,1,FLOOR(($A26-1)/23,1)+1)&amp;INDEX('Serial Reference'!$A$8:$W$8,1,MOD($A26-1,23)+1)&amp;TEXT(BR$2+FLOOR((BR$2-1)/9,1),"000"),"")</f>
        <v>BA076</v>
      </c>
      <c r="BS26" s="23" t="str">
        <f>IF(INDEX('Shot Map'!$B$6:$V$26,CEILING($A26/5,1),CEILING(BS$2/5,1))=1,INDEX('Serial Reference'!$A$8:$W$8,1,FLOOR(($A26-1)/23,1)+1)&amp;INDEX('Serial Reference'!$A$8:$W$8,1,MOD($A26-1,23)+1)&amp;TEXT(BS$2+FLOOR((BS$2-1)/9,1),"000"),"")</f>
        <v>BA077</v>
      </c>
      <c r="BT26" s="21" t="str">
        <f>IF(INDEX('Shot Map'!$B$6:$V$26,CEILING($A26/5,1),CEILING(BT$2/5,1))=1,INDEX('Serial Reference'!$A$8:$W$8,1,FLOOR(($A26-1)/23,1)+1)&amp;INDEX('Serial Reference'!$A$8:$W$8,1,MOD($A26-1,23)+1)&amp;TEXT(BT$2+FLOOR((BT$2-1)/9,1),"000"),"")</f>
        <v>BA078</v>
      </c>
      <c r="BU26" s="22" t="str">
        <f>IF(INDEX('Shot Map'!$B$6:$V$26,CEILING($A26/5,1),CEILING(BU$2/5,1))=1,INDEX('Serial Reference'!$A$8:$W$8,1,FLOOR(($A26-1)/23,1)+1)&amp;INDEX('Serial Reference'!$A$8:$W$8,1,MOD($A26-1,23)+1)&amp;TEXT(BU$2+FLOOR((BU$2-1)/9,1),"000"),"")</f>
        <v>BA079</v>
      </c>
      <c r="BV26" s="22" t="str">
        <f>IF(INDEX('Shot Map'!$B$6:$V$26,CEILING($A26/5,1),CEILING(BV$2/5,1))=1,INDEX('Serial Reference'!$A$8:$W$8,1,FLOOR(($A26-1)/23,1)+1)&amp;INDEX('Serial Reference'!$A$8:$W$8,1,MOD($A26-1,23)+1)&amp;TEXT(BV$2+FLOOR((BV$2-1)/9,1),"000"),"")</f>
        <v>BA081</v>
      </c>
      <c r="BW26" s="22" t="str">
        <f>IF(INDEX('Shot Map'!$B$6:$V$26,CEILING($A26/5,1),CEILING(BW$2/5,1))=1,INDEX('Serial Reference'!$A$8:$W$8,1,FLOOR(($A26-1)/23,1)+1)&amp;INDEX('Serial Reference'!$A$8:$W$8,1,MOD($A26-1,23)+1)&amp;TEXT(BW$2+FLOOR((BW$2-1)/9,1),"000"),"")</f>
        <v>BA082</v>
      </c>
      <c r="BX26" s="23" t="str">
        <f>IF(INDEX('Shot Map'!$B$6:$V$26,CEILING($A26/5,1),CEILING(BX$2/5,1))=1,INDEX('Serial Reference'!$A$8:$W$8,1,FLOOR(($A26-1)/23,1)+1)&amp;INDEX('Serial Reference'!$A$8:$W$8,1,MOD($A26-1,23)+1)&amp;TEXT(BX$2+FLOOR((BX$2-1)/9,1),"000"),"")</f>
        <v>BA083</v>
      </c>
      <c r="BY26" s="21" t="str">
        <f>IF(INDEX('Shot Map'!$B$6:$V$26,CEILING($A26/5,1),CEILING(BY$2/5,1))=1,INDEX('Serial Reference'!$A$8:$W$8,1,FLOOR(($A26-1)/23,1)+1)&amp;INDEX('Serial Reference'!$A$8:$W$8,1,MOD($A26-1,23)+1)&amp;TEXT(BY$2+FLOOR((BY$2-1)/9,1),"000"),"")</f>
        <v>BA084</v>
      </c>
      <c r="BZ26" s="22" t="str">
        <f>IF(INDEX('Shot Map'!$B$6:$V$26,CEILING($A26/5,1),CEILING(BZ$2/5,1))=1,INDEX('Serial Reference'!$A$8:$W$8,1,FLOOR(($A26-1)/23,1)+1)&amp;INDEX('Serial Reference'!$A$8:$W$8,1,MOD($A26-1,23)+1)&amp;TEXT(BZ$2+FLOOR((BZ$2-1)/9,1),"000"),"")</f>
        <v>BA085</v>
      </c>
      <c r="CA26" s="22" t="str">
        <f>IF(INDEX('Shot Map'!$B$6:$V$26,CEILING($A26/5,1),CEILING(CA$2/5,1))=1,INDEX('Serial Reference'!$A$8:$W$8,1,FLOOR(($A26-1)/23,1)+1)&amp;INDEX('Serial Reference'!$A$8:$W$8,1,MOD($A26-1,23)+1)&amp;TEXT(CA$2+FLOOR((CA$2-1)/9,1),"000"),"")</f>
        <v>BA086</v>
      </c>
      <c r="CB26" s="22" t="str">
        <f>IF(INDEX('Shot Map'!$B$6:$V$26,CEILING($A26/5,1),CEILING(CB$2/5,1))=1,INDEX('Serial Reference'!$A$8:$W$8,1,FLOOR(($A26-1)/23,1)+1)&amp;INDEX('Serial Reference'!$A$8:$W$8,1,MOD($A26-1,23)+1)&amp;TEXT(CB$2+FLOOR((CB$2-1)/9,1),"000"),"")</f>
        <v>BA087</v>
      </c>
      <c r="CC26" s="23" t="str">
        <f>IF(INDEX('Shot Map'!$B$6:$V$26,CEILING($A26/5,1),CEILING(CC$2/5,1))=1,INDEX('Serial Reference'!$A$8:$W$8,1,FLOOR(($A26-1)/23,1)+1)&amp;INDEX('Serial Reference'!$A$8:$W$8,1,MOD($A26-1,23)+1)&amp;TEXT(CC$2+FLOOR((CC$2-1)/9,1),"000"),"")</f>
        <v>BA088</v>
      </c>
      <c r="CD26" s="21" t="str">
        <f>IF(INDEX('Shot Map'!$B$6:$V$26,CEILING($A26/5,1),CEILING(CD$2/5,1))=1,INDEX('Serial Reference'!$A$8:$W$8,1,FLOOR(($A26-1)/23,1)+1)&amp;INDEX('Serial Reference'!$A$8:$W$8,1,MOD($A26-1,23)+1)&amp;TEXT(CD$2+FLOOR((CD$2-1)/9,1),"000"),"")</f>
        <v>BA089</v>
      </c>
      <c r="CE26" s="22" t="str">
        <f>IF(INDEX('Shot Map'!$B$6:$V$26,CEILING($A26/5,1),CEILING(CE$2/5,1))=1,INDEX('Serial Reference'!$A$8:$W$8,1,FLOOR(($A26-1)/23,1)+1)&amp;INDEX('Serial Reference'!$A$8:$W$8,1,MOD($A26-1,23)+1)&amp;TEXT(CE$2+FLOOR((CE$2-1)/9,1),"000"),"")</f>
        <v>BA091</v>
      </c>
      <c r="CF26" s="22" t="str">
        <f>IF(INDEX('Shot Map'!$B$6:$V$26,CEILING($A26/5,1),CEILING(CF$2/5,1))=1,INDEX('Serial Reference'!$A$8:$W$8,1,FLOOR(($A26-1)/23,1)+1)&amp;INDEX('Serial Reference'!$A$8:$W$8,1,MOD($A26-1,23)+1)&amp;TEXT(CF$2+FLOOR((CF$2-1)/9,1),"000"),"")</f>
        <v>BA092</v>
      </c>
      <c r="CG26" s="22" t="str">
        <f>IF(INDEX('Shot Map'!$B$6:$V$26,CEILING($A26/5,1),CEILING(CG$2/5,1))=1,INDEX('Serial Reference'!$A$8:$W$8,1,FLOOR(($A26-1)/23,1)+1)&amp;INDEX('Serial Reference'!$A$8:$W$8,1,MOD($A26-1,23)+1)&amp;TEXT(CG$2+FLOOR((CG$2-1)/9,1),"000"),"")</f>
        <v>BA093</v>
      </c>
      <c r="CH26" s="23" t="str">
        <f>IF(INDEX('Shot Map'!$B$6:$V$26,CEILING($A26/5,1),CEILING(CH$2/5,1))=1,INDEX('Serial Reference'!$A$8:$W$8,1,FLOOR(($A26-1)/23,1)+1)&amp;INDEX('Serial Reference'!$A$8:$W$8,1,MOD($A26-1,23)+1)&amp;TEXT(CH$2+FLOOR((CH$2-1)/9,1),"000"),"")</f>
        <v>BA094</v>
      </c>
      <c r="CI26" s="21" t="str">
        <f>IF(INDEX('Shot Map'!$B$6:$V$26,CEILING($A26/5,1),CEILING(CI$2/5,1))=1,INDEX('Serial Reference'!$A$8:$W$8,1,FLOOR(($A26-1)/23,1)+1)&amp;INDEX('Serial Reference'!$A$8:$W$8,1,MOD($A26-1,23)+1)&amp;TEXT(CI$2+FLOOR((CI$2-1)/9,1),"000"),"")</f>
        <v>BA095</v>
      </c>
      <c r="CJ26" s="22" t="str">
        <f>IF(INDEX('Shot Map'!$B$6:$V$26,CEILING($A26/5,1),CEILING(CJ$2/5,1))=1,INDEX('Serial Reference'!$A$8:$W$8,1,FLOOR(($A26-1)/23,1)+1)&amp;INDEX('Serial Reference'!$A$8:$W$8,1,MOD($A26-1,23)+1)&amp;TEXT(CJ$2+FLOOR((CJ$2-1)/9,1),"000"),"")</f>
        <v>BA096</v>
      </c>
      <c r="CK26" s="22" t="str">
        <f>IF(INDEX('Shot Map'!$B$6:$V$26,CEILING($A26/5,1),CEILING(CK$2/5,1))=1,INDEX('Serial Reference'!$A$8:$W$8,1,FLOOR(($A26-1)/23,1)+1)&amp;INDEX('Serial Reference'!$A$8:$W$8,1,MOD($A26-1,23)+1)&amp;TEXT(CK$2+FLOOR((CK$2-1)/9,1),"000"),"")</f>
        <v>BA097</v>
      </c>
      <c r="CL26" s="22" t="str">
        <f>IF(INDEX('Shot Map'!$B$6:$V$26,CEILING($A26/5,1),CEILING(CL$2/5,1))=1,INDEX('Serial Reference'!$A$8:$W$8,1,FLOOR(($A26-1)/23,1)+1)&amp;INDEX('Serial Reference'!$A$8:$W$8,1,MOD($A26-1,23)+1)&amp;TEXT(CL$2+FLOOR((CL$2-1)/9,1),"000"),"")</f>
        <v>BA098</v>
      </c>
      <c r="CM26" s="23" t="str">
        <f>IF(INDEX('Shot Map'!$B$6:$V$26,CEILING($A26/5,1),CEILING(CM$2/5,1))=1,INDEX('Serial Reference'!$A$8:$W$8,1,FLOOR(($A26-1)/23,1)+1)&amp;INDEX('Serial Reference'!$A$8:$W$8,1,MOD($A26-1,23)+1)&amp;TEXT(CM$2+FLOOR((CM$2-1)/9,1),"000"),"")</f>
        <v>BA099</v>
      </c>
      <c r="CN26" s="21" t="str">
        <f>IF(INDEX('Shot Map'!$B$6:$V$26,CEILING($A26/5,1),CEILING(CN$2/5,1))=1,INDEX('Serial Reference'!$A$8:$W$8,1,FLOOR(($A26-1)/23,1)+1)&amp;INDEX('Serial Reference'!$A$8:$W$8,1,MOD($A26-1,23)+1)&amp;TEXT(CN$2+FLOOR((CN$2-1)/9,1),"000"),"")</f>
        <v>BA101</v>
      </c>
      <c r="CO26" s="22" t="str">
        <f>IF(INDEX('Shot Map'!$B$6:$V$26,CEILING($A26/5,1),CEILING(CO$2/5,1))=1,INDEX('Serial Reference'!$A$8:$W$8,1,FLOOR(($A26-1)/23,1)+1)&amp;INDEX('Serial Reference'!$A$8:$W$8,1,MOD($A26-1,23)+1)&amp;TEXT(CO$2+FLOOR((CO$2-1)/9,1),"000"),"")</f>
        <v>BA102</v>
      </c>
      <c r="CP26" s="22" t="str">
        <f>IF(INDEX('Shot Map'!$B$6:$V$26,CEILING($A26/5,1),CEILING(CP$2/5,1))=1,INDEX('Serial Reference'!$A$8:$W$8,1,FLOOR(($A26-1)/23,1)+1)&amp;INDEX('Serial Reference'!$A$8:$W$8,1,MOD($A26-1,23)+1)&amp;TEXT(CP$2+FLOOR((CP$2-1)/9,1),"000"),"")</f>
        <v>BA103</v>
      </c>
      <c r="CQ26" s="22" t="str">
        <f>IF(INDEX('Shot Map'!$B$6:$V$26,CEILING($A26/5,1),CEILING(CQ$2/5,1))=1,INDEX('Serial Reference'!$A$8:$W$8,1,FLOOR(($A26-1)/23,1)+1)&amp;INDEX('Serial Reference'!$A$8:$W$8,1,MOD($A26-1,23)+1)&amp;TEXT(CQ$2+FLOOR((CQ$2-1)/9,1),"000"),"")</f>
        <v>BA104</v>
      </c>
      <c r="CR26" s="23" t="str">
        <f>IF(INDEX('Shot Map'!$B$6:$V$26,CEILING($A26/5,1),CEILING(CR$2/5,1))=1,INDEX('Serial Reference'!$A$8:$W$8,1,FLOOR(($A26-1)/23,1)+1)&amp;INDEX('Serial Reference'!$A$8:$W$8,1,MOD($A26-1,23)+1)&amp;TEXT(CR$2+FLOOR((CR$2-1)/9,1),"000"),"")</f>
        <v>BA105</v>
      </c>
      <c r="CS26" s="21" t="str">
        <f>IF(INDEX('Shot Map'!$B$6:$V$26,CEILING($A26/5,1),CEILING(CS$2/5,1))=1,INDEX('Serial Reference'!$A$8:$W$8,1,FLOOR(($A26-1)/23,1)+1)&amp;INDEX('Serial Reference'!$A$8:$W$8,1,MOD($A26-1,23)+1)&amp;TEXT(CS$2+FLOOR((CS$2-1)/9,1),"000"),"")</f>
        <v/>
      </c>
      <c r="CT26" s="22" t="str">
        <f>IF(INDEX('Shot Map'!$B$6:$V$26,CEILING($A26/5,1),CEILING(CT$2/5,1))=1,INDEX('Serial Reference'!$A$8:$W$8,1,FLOOR(($A26-1)/23,1)+1)&amp;INDEX('Serial Reference'!$A$8:$W$8,1,MOD($A26-1,23)+1)&amp;TEXT(CT$2+FLOOR((CT$2-1)/9,1),"000"),"")</f>
        <v/>
      </c>
      <c r="CU26" s="22" t="str">
        <f>IF(INDEX('Shot Map'!$B$6:$V$26,CEILING($A26/5,1),CEILING(CU$2/5,1))=1,INDEX('Serial Reference'!$A$8:$W$8,1,FLOOR(($A26-1)/23,1)+1)&amp;INDEX('Serial Reference'!$A$8:$W$8,1,MOD($A26-1,23)+1)&amp;TEXT(CU$2+FLOOR((CU$2-1)/9,1),"000"),"")</f>
        <v/>
      </c>
      <c r="CV26" s="22" t="str">
        <f>IF(INDEX('Shot Map'!$B$6:$V$26,CEILING($A26/5,1),CEILING(CV$2/5,1))=1,INDEX('Serial Reference'!$A$8:$W$8,1,FLOOR(($A26-1)/23,1)+1)&amp;INDEX('Serial Reference'!$A$8:$W$8,1,MOD($A26-1,23)+1)&amp;TEXT(CV$2+FLOOR((CV$2-1)/9,1),"000"),"")</f>
        <v/>
      </c>
      <c r="CW26" s="23" t="str">
        <f>IF(INDEX('Shot Map'!$B$6:$V$26,CEILING($A26/5,1),CEILING(CW$2/5,1))=1,INDEX('Serial Reference'!$A$8:$W$8,1,FLOOR(($A26-1)/23,1)+1)&amp;INDEX('Serial Reference'!$A$8:$W$8,1,MOD($A26-1,23)+1)&amp;TEXT(CW$2+FLOOR((CW$2-1)/9,1),"000"),"")</f>
        <v/>
      </c>
      <c r="CX26" s="21" t="str">
        <f>IF(INDEX('Shot Map'!$B$6:$V$26,CEILING($A26/5,1),CEILING(CX$2/5,1))=1,INDEX('Serial Reference'!$A$8:$W$8,1,FLOOR(($A26-1)/23,1)+1)&amp;INDEX('Serial Reference'!$A$8:$W$8,1,MOD($A26-1,23)+1)&amp;TEXT(CX$2+FLOOR((CX$2-1)/9,1),"000"),"")</f>
        <v/>
      </c>
      <c r="CY26" s="22" t="str">
        <f>IF(INDEX('Shot Map'!$B$6:$V$26,CEILING($A26/5,1),CEILING(CY$2/5,1))=1,INDEX('Serial Reference'!$A$8:$W$8,1,FLOOR(($A26-1)/23,1)+1)&amp;INDEX('Serial Reference'!$A$8:$W$8,1,MOD($A26-1,23)+1)&amp;TEXT(CY$2+FLOOR((CY$2-1)/9,1),"000"),"")</f>
        <v/>
      </c>
      <c r="CZ26" s="22" t="str">
        <f>IF(INDEX('Shot Map'!$B$6:$V$26,CEILING($A26/5,1),CEILING(CZ$2/5,1))=1,INDEX('Serial Reference'!$A$8:$W$8,1,FLOOR(($A26-1)/23,1)+1)&amp;INDEX('Serial Reference'!$A$8:$W$8,1,MOD($A26-1,23)+1)&amp;TEXT(CZ$2+FLOOR((CZ$2-1)/9,1),"000"),"")</f>
        <v/>
      </c>
      <c r="DA26" s="22" t="str">
        <f>IF(INDEX('Shot Map'!$B$6:$V$26,CEILING($A26/5,1),CEILING(DA$2/5,1))=1,INDEX('Serial Reference'!$A$8:$W$8,1,FLOOR(($A26-1)/23,1)+1)&amp;INDEX('Serial Reference'!$A$8:$W$8,1,MOD($A26-1,23)+1)&amp;TEXT(DA$2+FLOOR((DA$2-1)/9,1),"000"),"")</f>
        <v/>
      </c>
      <c r="DB26" s="23" t="str">
        <f>IF(INDEX('Shot Map'!$B$6:$V$26,CEILING($A26/5,1),CEILING(DB$2/5,1))=1,INDEX('Serial Reference'!$A$8:$W$8,1,FLOOR(($A26-1)/23,1)+1)&amp;INDEX('Serial Reference'!$A$8:$W$8,1,MOD($A26-1,23)+1)&amp;TEXT(DB$2+FLOOR((DB$2-1)/9,1),"000"),"")</f>
        <v/>
      </c>
    </row>
    <row r="27" spans="1:106" ht="12.75" customHeight="1" x14ac:dyDescent="0.25">
      <c r="A27" s="17">
        <v>25</v>
      </c>
      <c r="B27" s="24" t="str">
        <f>IF(INDEX('Shot Map'!$B$6:$V$26,CEILING($A27/5,1),CEILING(B$2/5,1))=1,INDEX('Serial Reference'!$A$8:$W$8,1,FLOOR(($A27-1)/23,1)+1)&amp;INDEX('Serial Reference'!$A$8:$W$8,1,MOD($A27-1,23)+1)&amp;TEXT(B$2+FLOOR((B$2-1)/9,1),"000"),"")</f>
        <v/>
      </c>
      <c r="C27" s="25" t="str">
        <f>IF(INDEX('Shot Map'!$B$6:$V$26,CEILING($A27/5,1),CEILING(C$2/5,1))=1,INDEX('Serial Reference'!$A$8:$W$8,1,FLOOR(($A27-1)/23,1)+1)&amp;INDEX('Serial Reference'!$A$8:$W$8,1,MOD($A27-1,23)+1)&amp;TEXT(C$2+FLOOR((C$2-1)/9,1),"000"),"")</f>
        <v/>
      </c>
      <c r="D27" s="25" t="str">
        <f>IF(INDEX('Shot Map'!$B$6:$V$26,CEILING($A27/5,1),CEILING(D$2/5,1))=1,INDEX('Serial Reference'!$A$8:$W$8,1,FLOOR(($A27-1)/23,1)+1)&amp;INDEX('Serial Reference'!$A$8:$W$8,1,MOD($A27-1,23)+1)&amp;TEXT(D$2+FLOOR((D$2-1)/9,1),"000"),"")</f>
        <v/>
      </c>
      <c r="E27" s="25" t="str">
        <f>IF(INDEX('Shot Map'!$B$6:$V$26,CEILING($A27/5,1),CEILING(E$2/5,1))=1,INDEX('Serial Reference'!$A$8:$W$8,1,FLOOR(($A27-1)/23,1)+1)&amp;INDEX('Serial Reference'!$A$8:$W$8,1,MOD($A27-1,23)+1)&amp;TEXT(E$2+FLOOR((E$2-1)/9,1),"000"),"")</f>
        <v/>
      </c>
      <c r="F27" s="26" t="str">
        <f>IF(INDEX('Shot Map'!$B$6:$V$26,CEILING($A27/5,1),CEILING(F$2/5,1))=1,INDEX('Serial Reference'!$A$8:$W$8,1,FLOOR(($A27-1)/23,1)+1)&amp;INDEX('Serial Reference'!$A$8:$W$8,1,MOD($A27-1,23)+1)&amp;TEXT(F$2+FLOOR((F$2-1)/9,1),"000"),"")</f>
        <v/>
      </c>
      <c r="G27" s="24" t="str">
        <f>IF(INDEX('Shot Map'!$B$6:$V$26,CEILING($A27/5,1),CEILING(G$2/5,1))=1,INDEX('Serial Reference'!$A$8:$W$8,1,FLOOR(($A27-1)/23,1)+1)&amp;INDEX('Serial Reference'!$A$8:$W$8,1,MOD($A27-1,23)+1)&amp;TEXT(G$2+FLOOR((G$2-1)/9,1),"000"),"")</f>
        <v/>
      </c>
      <c r="H27" s="25" t="str">
        <f>IF(INDEX('Shot Map'!$B$6:$V$26,CEILING($A27/5,1),CEILING(H$2/5,1))=1,INDEX('Serial Reference'!$A$8:$W$8,1,FLOOR(($A27-1)/23,1)+1)&amp;INDEX('Serial Reference'!$A$8:$W$8,1,MOD($A27-1,23)+1)&amp;TEXT(H$2+FLOOR((H$2-1)/9,1),"000"),"")</f>
        <v/>
      </c>
      <c r="I27" s="25" t="str">
        <f>IF(INDEX('Shot Map'!$B$6:$V$26,CEILING($A27/5,1),CEILING(I$2/5,1))=1,INDEX('Serial Reference'!$A$8:$W$8,1,FLOOR(($A27-1)/23,1)+1)&amp;INDEX('Serial Reference'!$A$8:$W$8,1,MOD($A27-1,23)+1)&amp;TEXT(I$2+FLOOR((I$2-1)/9,1),"000"),"")</f>
        <v/>
      </c>
      <c r="J27" s="25" t="str">
        <f>IF(INDEX('Shot Map'!$B$6:$V$26,CEILING($A27/5,1),CEILING(J$2/5,1))=1,INDEX('Serial Reference'!$A$8:$W$8,1,FLOOR(($A27-1)/23,1)+1)&amp;INDEX('Serial Reference'!$A$8:$W$8,1,MOD($A27-1,23)+1)&amp;TEXT(J$2+FLOOR((J$2-1)/9,1),"000"),"")</f>
        <v/>
      </c>
      <c r="K27" s="26" t="str">
        <f>IF(INDEX('Shot Map'!$B$6:$V$26,CEILING($A27/5,1),CEILING(K$2/5,1))=1,INDEX('Serial Reference'!$A$8:$W$8,1,FLOOR(($A27-1)/23,1)+1)&amp;INDEX('Serial Reference'!$A$8:$W$8,1,MOD($A27-1,23)+1)&amp;TEXT(K$2+FLOOR((K$2-1)/9,1),"000"),"")</f>
        <v/>
      </c>
      <c r="L27" s="24" t="str">
        <f>IF(INDEX('Shot Map'!$B$6:$V$26,CEILING($A27/5,1),CEILING(L$2/5,1))=1,INDEX('Serial Reference'!$A$8:$W$8,1,FLOOR(($A27-1)/23,1)+1)&amp;INDEX('Serial Reference'!$A$8:$W$8,1,MOD($A27-1,23)+1)&amp;TEXT(L$2+FLOOR((L$2-1)/9,1),"000"),"")</f>
        <v>BB012</v>
      </c>
      <c r="M27" s="25" t="str">
        <f>IF(INDEX('Shot Map'!$B$6:$V$26,CEILING($A27/5,1),CEILING(M$2/5,1))=1,INDEX('Serial Reference'!$A$8:$W$8,1,FLOOR(($A27-1)/23,1)+1)&amp;INDEX('Serial Reference'!$A$8:$W$8,1,MOD($A27-1,23)+1)&amp;TEXT(M$2+FLOOR((M$2-1)/9,1),"000"),"")</f>
        <v>BB013</v>
      </c>
      <c r="N27" s="25" t="str">
        <f>IF(INDEX('Shot Map'!$B$6:$V$26,CEILING($A27/5,1),CEILING(N$2/5,1))=1,INDEX('Serial Reference'!$A$8:$W$8,1,FLOOR(($A27-1)/23,1)+1)&amp;INDEX('Serial Reference'!$A$8:$W$8,1,MOD($A27-1,23)+1)&amp;TEXT(N$2+FLOOR((N$2-1)/9,1),"000"),"")</f>
        <v>BB014</v>
      </c>
      <c r="O27" s="25" t="str">
        <f>IF(INDEX('Shot Map'!$B$6:$V$26,CEILING($A27/5,1),CEILING(O$2/5,1))=1,INDEX('Serial Reference'!$A$8:$W$8,1,FLOOR(($A27-1)/23,1)+1)&amp;INDEX('Serial Reference'!$A$8:$W$8,1,MOD($A27-1,23)+1)&amp;TEXT(O$2+FLOOR((O$2-1)/9,1),"000"),"")</f>
        <v>BB015</v>
      </c>
      <c r="P27" s="26" t="str">
        <f>IF(INDEX('Shot Map'!$B$6:$V$26,CEILING($A27/5,1),CEILING(P$2/5,1))=1,INDEX('Serial Reference'!$A$8:$W$8,1,FLOOR(($A27-1)/23,1)+1)&amp;INDEX('Serial Reference'!$A$8:$W$8,1,MOD($A27-1,23)+1)&amp;TEXT(P$2+FLOOR((P$2-1)/9,1),"000"),"")</f>
        <v>BB016</v>
      </c>
      <c r="Q27" s="24" t="str">
        <f>IF(INDEX('Shot Map'!$B$6:$V$26,CEILING($A27/5,1),CEILING(Q$2/5,1))=1,INDEX('Serial Reference'!$A$8:$W$8,1,FLOOR(($A27-1)/23,1)+1)&amp;INDEX('Serial Reference'!$A$8:$W$8,1,MOD($A27-1,23)+1)&amp;TEXT(Q$2+FLOOR((Q$2-1)/9,1),"000"),"")</f>
        <v>BB017</v>
      </c>
      <c r="R27" s="25" t="str">
        <f>IF(INDEX('Shot Map'!$B$6:$V$26,CEILING($A27/5,1),CEILING(R$2/5,1))=1,INDEX('Serial Reference'!$A$8:$W$8,1,FLOOR(($A27-1)/23,1)+1)&amp;INDEX('Serial Reference'!$A$8:$W$8,1,MOD($A27-1,23)+1)&amp;TEXT(R$2+FLOOR((R$2-1)/9,1),"000"),"")</f>
        <v>BB018</v>
      </c>
      <c r="S27" s="25" t="str">
        <f>IF(INDEX('Shot Map'!$B$6:$V$26,CEILING($A27/5,1),CEILING(S$2/5,1))=1,INDEX('Serial Reference'!$A$8:$W$8,1,FLOOR(($A27-1)/23,1)+1)&amp;INDEX('Serial Reference'!$A$8:$W$8,1,MOD($A27-1,23)+1)&amp;TEXT(S$2+FLOOR((S$2-1)/9,1),"000"),"")</f>
        <v>BB019</v>
      </c>
      <c r="T27" s="25" t="str">
        <f>IF(INDEX('Shot Map'!$B$6:$V$26,CEILING($A27/5,1),CEILING(T$2/5,1))=1,INDEX('Serial Reference'!$A$8:$W$8,1,FLOOR(($A27-1)/23,1)+1)&amp;INDEX('Serial Reference'!$A$8:$W$8,1,MOD($A27-1,23)+1)&amp;TEXT(T$2+FLOOR((T$2-1)/9,1),"000"),"")</f>
        <v>BB021</v>
      </c>
      <c r="U27" s="26" t="str">
        <f>IF(INDEX('Shot Map'!$B$6:$V$26,CEILING($A27/5,1),CEILING(U$2/5,1))=1,INDEX('Serial Reference'!$A$8:$W$8,1,FLOOR(($A27-1)/23,1)+1)&amp;INDEX('Serial Reference'!$A$8:$W$8,1,MOD($A27-1,23)+1)&amp;TEXT(U$2+FLOOR((U$2-1)/9,1),"000"),"")</f>
        <v>BB022</v>
      </c>
      <c r="V27" s="24" t="str">
        <f>IF(INDEX('Shot Map'!$B$6:$V$26,CEILING($A27/5,1),CEILING(V$2/5,1))=1,INDEX('Serial Reference'!$A$8:$W$8,1,FLOOR(($A27-1)/23,1)+1)&amp;INDEX('Serial Reference'!$A$8:$W$8,1,MOD($A27-1,23)+1)&amp;TEXT(V$2+FLOOR((V$2-1)/9,1),"000"),"")</f>
        <v>BB023</v>
      </c>
      <c r="W27" s="25" t="str">
        <f>IF(INDEX('Shot Map'!$B$6:$V$26,CEILING($A27/5,1),CEILING(W$2/5,1))=1,INDEX('Serial Reference'!$A$8:$W$8,1,FLOOR(($A27-1)/23,1)+1)&amp;INDEX('Serial Reference'!$A$8:$W$8,1,MOD($A27-1,23)+1)&amp;TEXT(W$2+FLOOR((W$2-1)/9,1),"000"),"")</f>
        <v>BB024</v>
      </c>
      <c r="X27" s="25" t="str">
        <f>IF(INDEX('Shot Map'!$B$6:$V$26,CEILING($A27/5,1),CEILING(X$2/5,1))=1,INDEX('Serial Reference'!$A$8:$W$8,1,FLOOR(($A27-1)/23,1)+1)&amp;INDEX('Serial Reference'!$A$8:$W$8,1,MOD($A27-1,23)+1)&amp;TEXT(X$2+FLOOR((X$2-1)/9,1),"000"),"")</f>
        <v>BB025</v>
      </c>
      <c r="Y27" s="25" t="str">
        <f>IF(INDEX('Shot Map'!$B$6:$V$26,CEILING($A27/5,1),CEILING(Y$2/5,1))=1,INDEX('Serial Reference'!$A$8:$W$8,1,FLOOR(($A27-1)/23,1)+1)&amp;INDEX('Serial Reference'!$A$8:$W$8,1,MOD($A27-1,23)+1)&amp;TEXT(Y$2+FLOOR((Y$2-1)/9,1),"000"),"")</f>
        <v>BB026</v>
      </c>
      <c r="Z27" s="26" t="str">
        <f>IF(INDEX('Shot Map'!$B$6:$V$26,CEILING($A27/5,1),CEILING(Z$2/5,1))=1,INDEX('Serial Reference'!$A$8:$W$8,1,FLOOR(($A27-1)/23,1)+1)&amp;INDEX('Serial Reference'!$A$8:$W$8,1,MOD($A27-1,23)+1)&amp;TEXT(Z$2+FLOOR((Z$2-1)/9,1),"000"),"")</f>
        <v>BB027</v>
      </c>
      <c r="AA27" s="24" t="str">
        <f>IF(INDEX('Shot Map'!$B$6:$V$26,CEILING($A27/5,1),CEILING(AA$2/5,1))=1,INDEX('Serial Reference'!$A$8:$W$8,1,FLOOR(($A27-1)/23,1)+1)&amp;INDEX('Serial Reference'!$A$8:$W$8,1,MOD($A27-1,23)+1)&amp;TEXT(AA$2+FLOOR((AA$2-1)/9,1),"000"),"")</f>
        <v>BB028</v>
      </c>
      <c r="AB27" s="25" t="str">
        <f>IF(INDEX('Shot Map'!$B$6:$V$26,CEILING($A27/5,1),CEILING(AB$2/5,1))=1,INDEX('Serial Reference'!$A$8:$W$8,1,FLOOR(($A27-1)/23,1)+1)&amp;INDEX('Serial Reference'!$A$8:$W$8,1,MOD($A27-1,23)+1)&amp;TEXT(AB$2+FLOOR((AB$2-1)/9,1),"000"),"")</f>
        <v>BB029</v>
      </c>
      <c r="AC27" s="25" t="str">
        <f>IF(INDEX('Shot Map'!$B$6:$V$26,CEILING($A27/5,1),CEILING(AC$2/5,1))=1,INDEX('Serial Reference'!$A$8:$W$8,1,FLOOR(($A27-1)/23,1)+1)&amp;INDEX('Serial Reference'!$A$8:$W$8,1,MOD($A27-1,23)+1)&amp;TEXT(AC$2+FLOOR((AC$2-1)/9,1),"000"),"")</f>
        <v>BB031</v>
      </c>
      <c r="AD27" s="25" t="str">
        <f>IF(INDEX('Shot Map'!$B$6:$V$26,CEILING($A27/5,1),CEILING(AD$2/5,1))=1,INDEX('Serial Reference'!$A$8:$W$8,1,FLOOR(($A27-1)/23,1)+1)&amp;INDEX('Serial Reference'!$A$8:$W$8,1,MOD($A27-1,23)+1)&amp;TEXT(AD$2+FLOOR((AD$2-1)/9,1),"000"),"")</f>
        <v>BB032</v>
      </c>
      <c r="AE27" s="26" t="str">
        <f>IF(INDEX('Shot Map'!$B$6:$V$26,CEILING($A27/5,1),CEILING(AE$2/5,1))=1,INDEX('Serial Reference'!$A$8:$W$8,1,FLOOR(($A27-1)/23,1)+1)&amp;INDEX('Serial Reference'!$A$8:$W$8,1,MOD($A27-1,23)+1)&amp;TEXT(AE$2+FLOOR((AE$2-1)/9,1),"000"),"")</f>
        <v>BB033</v>
      </c>
      <c r="AF27" s="24" t="str">
        <f>IF(INDEX('Shot Map'!$B$6:$V$26,CEILING($A27/5,1),CEILING(AF$2/5,1))=1,INDEX('Serial Reference'!$A$8:$W$8,1,FLOOR(($A27-1)/23,1)+1)&amp;INDEX('Serial Reference'!$A$8:$W$8,1,MOD($A27-1,23)+1)&amp;TEXT(AF$2+FLOOR((AF$2-1)/9,1),"000"),"")</f>
        <v>BB034</v>
      </c>
      <c r="AG27" s="25" t="str">
        <f>IF(INDEX('Shot Map'!$B$6:$V$26,CEILING($A27/5,1),CEILING(AG$2/5,1))=1,INDEX('Serial Reference'!$A$8:$W$8,1,FLOOR(($A27-1)/23,1)+1)&amp;INDEX('Serial Reference'!$A$8:$W$8,1,MOD($A27-1,23)+1)&amp;TEXT(AG$2+FLOOR((AG$2-1)/9,1),"000"),"")</f>
        <v>BB035</v>
      </c>
      <c r="AH27" s="25" t="str">
        <f>IF(INDEX('Shot Map'!$B$6:$V$26,CEILING($A27/5,1),CEILING(AH$2/5,1))=1,INDEX('Serial Reference'!$A$8:$W$8,1,FLOOR(($A27-1)/23,1)+1)&amp;INDEX('Serial Reference'!$A$8:$W$8,1,MOD($A27-1,23)+1)&amp;TEXT(AH$2+FLOOR((AH$2-1)/9,1),"000"),"")</f>
        <v>BB036</v>
      </c>
      <c r="AI27" s="25" t="str">
        <f>IF(INDEX('Shot Map'!$B$6:$V$26,CEILING($A27/5,1),CEILING(AI$2/5,1))=1,INDEX('Serial Reference'!$A$8:$W$8,1,FLOOR(($A27-1)/23,1)+1)&amp;INDEX('Serial Reference'!$A$8:$W$8,1,MOD($A27-1,23)+1)&amp;TEXT(AI$2+FLOOR((AI$2-1)/9,1),"000"),"")</f>
        <v>BB037</v>
      </c>
      <c r="AJ27" s="26" t="str">
        <f>IF(INDEX('Shot Map'!$B$6:$V$26,CEILING($A27/5,1),CEILING(AJ$2/5,1))=1,INDEX('Serial Reference'!$A$8:$W$8,1,FLOOR(($A27-1)/23,1)+1)&amp;INDEX('Serial Reference'!$A$8:$W$8,1,MOD($A27-1,23)+1)&amp;TEXT(AJ$2+FLOOR((AJ$2-1)/9,1),"000"),"")</f>
        <v>BB038</v>
      </c>
      <c r="AK27" s="24" t="str">
        <f>IF(INDEX('Shot Map'!$B$6:$V$26,CEILING($A27/5,1),CEILING(AK$2/5,1))=1,INDEX('Serial Reference'!$A$8:$W$8,1,FLOOR(($A27-1)/23,1)+1)&amp;INDEX('Serial Reference'!$A$8:$W$8,1,MOD($A27-1,23)+1)&amp;TEXT(AK$2+FLOOR((AK$2-1)/9,1),"000"),"")</f>
        <v>BB039</v>
      </c>
      <c r="AL27" s="25" t="str">
        <f>IF(INDEX('Shot Map'!$B$6:$V$26,CEILING($A27/5,1),CEILING(AL$2/5,1))=1,INDEX('Serial Reference'!$A$8:$W$8,1,FLOOR(($A27-1)/23,1)+1)&amp;INDEX('Serial Reference'!$A$8:$W$8,1,MOD($A27-1,23)+1)&amp;TEXT(AL$2+FLOOR((AL$2-1)/9,1),"000"),"")</f>
        <v>BB041</v>
      </c>
      <c r="AM27" s="25" t="str">
        <f>IF(INDEX('Shot Map'!$B$6:$V$26,CEILING($A27/5,1),CEILING(AM$2/5,1))=1,INDEX('Serial Reference'!$A$8:$W$8,1,FLOOR(($A27-1)/23,1)+1)&amp;INDEX('Serial Reference'!$A$8:$W$8,1,MOD($A27-1,23)+1)&amp;TEXT(AM$2+FLOOR((AM$2-1)/9,1),"000"),"")</f>
        <v>BB042</v>
      </c>
      <c r="AN27" s="25" t="str">
        <f>IF(INDEX('Shot Map'!$B$6:$V$26,CEILING($A27/5,1),CEILING(AN$2/5,1))=1,INDEX('Serial Reference'!$A$8:$W$8,1,FLOOR(($A27-1)/23,1)+1)&amp;INDEX('Serial Reference'!$A$8:$W$8,1,MOD($A27-1,23)+1)&amp;TEXT(AN$2+FLOOR((AN$2-1)/9,1),"000"),"")</f>
        <v>BB043</v>
      </c>
      <c r="AO27" s="26" t="str">
        <f>IF(INDEX('Shot Map'!$B$6:$V$26,CEILING($A27/5,1),CEILING(AO$2/5,1))=1,INDEX('Serial Reference'!$A$8:$W$8,1,FLOOR(($A27-1)/23,1)+1)&amp;INDEX('Serial Reference'!$A$8:$W$8,1,MOD($A27-1,23)+1)&amp;TEXT(AO$2+FLOOR((AO$2-1)/9,1),"000"),"")</f>
        <v>BB044</v>
      </c>
      <c r="AP27" s="24" t="str">
        <f>IF(INDEX('Shot Map'!$B$6:$V$26,CEILING($A27/5,1),CEILING(AP$2/5,1))=1,INDEX('Serial Reference'!$A$8:$W$8,1,FLOOR(($A27-1)/23,1)+1)&amp;INDEX('Serial Reference'!$A$8:$W$8,1,MOD($A27-1,23)+1)&amp;TEXT(AP$2+FLOOR((AP$2-1)/9,1),"000"),"")</f>
        <v>BB045</v>
      </c>
      <c r="AQ27" s="25" t="str">
        <f>IF(INDEX('Shot Map'!$B$6:$V$26,CEILING($A27/5,1),CEILING(AQ$2/5,1))=1,INDEX('Serial Reference'!$A$8:$W$8,1,FLOOR(($A27-1)/23,1)+1)&amp;INDEX('Serial Reference'!$A$8:$W$8,1,MOD($A27-1,23)+1)&amp;TEXT(AQ$2+FLOOR((AQ$2-1)/9,1),"000"),"")</f>
        <v>BB046</v>
      </c>
      <c r="AR27" s="25" t="str">
        <f>IF(INDEX('Shot Map'!$B$6:$V$26,CEILING($A27/5,1),CEILING(AR$2/5,1))=1,INDEX('Serial Reference'!$A$8:$W$8,1,FLOOR(($A27-1)/23,1)+1)&amp;INDEX('Serial Reference'!$A$8:$W$8,1,MOD($A27-1,23)+1)&amp;TEXT(AR$2+FLOOR((AR$2-1)/9,1),"000"),"")</f>
        <v>BB047</v>
      </c>
      <c r="AS27" s="25" t="str">
        <f>IF(INDEX('Shot Map'!$B$6:$V$26,CEILING($A27/5,1),CEILING(AS$2/5,1))=1,INDEX('Serial Reference'!$A$8:$W$8,1,FLOOR(($A27-1)/23,1)+1)&amp;INDEX('Serial Reference'!$A$8:$W$8,1,MOD($A27-1,23)+1)&amp;TEXT(AS$2+FLOOR((AS$2-1)/9,1),"000"),"")</f>
        <v>BB048</v>
      </c>
      <c r="AT27" s="26" t="str">
        <f>IF(INDEX('Shot Map'!$B$6:$V$26,CEILING($A27/5,1),CEILING(AT$2/5,1))=1,INDEX('Serial Reference'!$A$8:$W$8,1,FLOOR(($A27-1)/23,1)+1)&amp;INDEX('Serial Reference'!$A$8:$W$8,1,MOD($A27-1,23)+1)&amp;TEXT(AT$2+FLOOR((AT$2-1)/9,1),"000"),"")</f>
        <v>BB049</v>
      </c>
      <c r="AU27" s="24" t="str">
        <f>IF(INDEX('Shot Map'!$B$6:$V$26,CEILING($A27/5,1),CEILING(AU$2/5,1))=1,INDEX('Serial Reference'!$A$8:$W$8,1,FLOOR(($A27-1)/23,1)+1)&amp;INDEX('Serial Reference'!$A$8:$W$8,1,MOD($A27-1,23)+1)&amp;TEXT(AU$2+FLOOR((AU$2-1)/9,1),"000"),"")</f>
        <v>BB051</v>
      </c>
      <c r="AV27" s="25" t="str">
        <f>IF(INDEX('Shot Map'!$B$6:$V$26,CEILING($A27/5,1),CEILING(AV$2/5,1))=1,INDEX('Serial Reference'!$A$8:$W$8,1,FLOOR(($A27-1)/23,1)+1)&amp;INDEX('Serial Reference'!$A$8:$W$8,1,MOD($A27-1,23)+1)&amp;TEXT(AV$2+FLOOR((AV$2-1)/9,1),"000"),"")</f>
        <v>BB052</v>
      </c>
      <c r="AW27" s="25" t="str">
        <f>IF(INDEX('Shot Map'!$B$6:$V$26,CEILING($A27/5,1),CEILING(AW$2/5,1))=1,INDEX('Serial Reference'!$A$8:$W$8,1,FLOOR(($A27-1)/23,1)+1)&amp;INDEX('Serial Reference'!$A$8:$W$8,1,MOD($A27-1,23)+1)&amp;TEXT(AW$2+FLOOR((AW$2-1)/9,1),"000"),"")</f>
        <v>BB053</v>
      </c>
      <c r="AX27" s="25" t="str">
        <f>IF(INDEX('Shot Map'!$B$6:$V$26,CEILING($A27/5,1),CEILING(AX$2/5,1))=1,INDEX('Serial Reference'!$A$8:$W$8,1,FLOOR(($A27-1)/23,1)+1)&amp;INDEX('Serial Reference'!$A$8:$W$8,1,MOD($A27-1,23)+1)&amp;TEXT(AX$2+FLOOR((AX$2-1)/9,1),"000"),"")</f>
        <v>BB054</v>
      </c>
      <c r="AY27" s="26" t="str">
        <f>IF(INDEX('Shot Map'!$B$6:$V$26,CEILING($A27/5,1),CEILING(AY$2/5,1))=1,INDEX('Serial Reference'!$A$8:$W$8,1,FLOOR(($A27-1)/23,1)+1)&amp;INDEX('Serial Reference'!$A$8:$W$8,1,MOD($A27-1,23)+1)&amp;TEXT(AY$2+FLOOR((AY$2-1)/9,1),"000"),"")</f>
        <v>BB055</v>
      </c>
      <c r="AZ27" s="24" t="str">
        <f>IF(INDEX('Shot Map'!$B$6:$V$26,CEILING($A27/5,1),CEILING(AZ$2/5,1))=1,INDEX('Serial Reference'!$A$8:$W$8,1,FLOOR(($A27-1)/23,1)+1)&amp;INDEX('Serial Reference'!$A$8:$W$8,1,MOD($A27-1,23)+1)&amp;TEXT(AZ$2+FLOOR((AZ$2-1)/9,1),"000"),"")</f>
        <v>BB056</v>
      </c>
      <c r="BA27" s="25" t="str">
        <f>IF(INDEX('Shot Map'!$B$6:$V$26,CEILING($A27/5,1),CEILING(BA$2/5,1))=1,INDEX('Serial Reference'!$A$8:$W$8,1,FLOOR(($A27-1)/23,1)+1)&amp;INDEX('Serial Reference'!$A$8:$W$8,1,MOD($A27-1,23)+1)&amp;TEXT(BA$2+FLOOR((BA$2-1)/9,1),"000"),"")</f>
        <v>BB057</v>
      </c>
      <c r="BB27" s="25" t="str">
        <f>IF(INDEX('Shot Map'!$B$6:$V$26,CEILING($A27/5,1),CEILING(BB$2/5,1))=1,INDEX('Serial Reference'!$A$8:$W$8,1,FLOOR(($A27-1)/23,1)+1)&amp;INDEX('Serial Reference'!$A$8:$W$8,1,MOD($A27-1,23)+1)&amp;TEXT(BB$2+FLOOR((BB$2-1)/9,1),"000"),"")</f>
        <v>BB058</v>
      </c>
      <c r="BC27" s="25" t="str">
        <f>IF(INDEX('Shot Map'!$B$6:$V$26,CEILING($A27/5,1),CEILING(BC$2/5,1))=1,INDEX('Serial Reference'!$A$8:$W$8,1,FLOOR(($A27-1)/23,1)+1)&amp;INDEX('Serial Reference'!$A$8:$W$8,1,MOD($A27-1,23)+1)&amp;TEXT(BC$2+FLOOR((BC$2-1)/9,1),"000"),"")</f>
        <v>BB059</v>
      </c>
      <c r="BD27" s="26" t="str">
        <f>IF(INDEX('Shot Map'!$B$6:$V$26,CEILING($A27/5,1),CEILING(BD$2/5,1))=1,INDEX('Serial Reference'!$A$8:$W$8,1,FLOOR(($A27-1)/23,1)+1)&amp;INDEX('Serial Reference'!$A$8:$W$8,1,MOD($A27-1,23)+1)&amp;TEXT(BD$2+FLOOR((BD$2-1)/9,1),"000"),"")</f>
        <v>BB061</v>
      </c>
      <c r="BE27" s="24" t="str">
        <f>IF(INDEX('Shot Map'!$B$6:$V$26,CEILING($A27/5,1),CEILING(BE$2/5,1))=1,INDEX('Serial Reference'!$A$8:$W$8,1,FLOOR(($A27-1)/23,1)+1)&amp;INDEX('Serial Reference'!$A$8:$W$8,1,MOD($A27-1,23)+1)&amp;TEXT(BE$2+FLOOR((BE$2-1)/9,1),"000"),"")</f>
        <v>BB062</v>
      </c>
      <c r="BF27" s="25" t="str">
        <f>IF(INDEX('Shot Map'!$B$6:$V$26,CEILING($A27/5,1),CEILING(BF$2/5,1))=1,INDEX('Serial Reference'!$A$8:$W$8,1,FLOOR(($A27-1)/23,1)+1)&amp;INDEX('Serial Reference'!$A$8:$W$8,1,MOD($A27-1,23)+1)&amp;TEXT(BF$2+FLOOR((BF$2-1)/9,1),"000"),"")</f>
        <v>BB063</v>
      </c>
      <c r="BG27" s="25" t="str">
        <f>IF(INDEX('Shot Map'!$B$6:$V$26,CEILING($A27/5,1),CEILING(BG$2/5,1))=1,INDEX('Serial Reference'!$A$8:$W$8,1,FLOOR(($A27-1)/23,1)+1)&amp;INDEX('Serial Reference'!$A$8:$W$8,1,MOD($A27-1,23)+1)&amp;TEXT(BG$2+FLOOR((BG$2-1)/9,1),"000"),"")</f>
        <v>BB064</v>
      </c>
      <c r="BH27" s="25" t="str">
        <f>IF(INDEX('Shot Map'!$B$6:$V$26,CEILING($A27/5,1),CEILING(BH$2/5,1))=1,INDEX('Serial Reference'!$A$8:$W$8,1,FLOOR(($A27-1)/23,1)+1)&amp;INDEX('Serial Reference'!$A$8:$W$8,1,MOD($A27-1,23)+1)&amp;TEXT(BH$2+FLOOR((BH$2-1)/9,1),"000"),"")</f>
        <v>BB065</v>
      </c>
      <c r="BI27" s="26" t="str">
        <f>IF(INDEX('Shot Map'!$B$6:$V$26,CEILING($A27/5,1),CEILING(BI$2/5,1))=1,INDEX('Serial Reference'!$A$8:$W$8,1,FLOOR(($A27-1)/23,1)+1)&amp;INDEX('Serial Reference'!$A$8:$W$8,1,MOD($A27-1,23)+1)&amp;TEXT(BI$2+FLOOR((BI$2-1)/9,1),"000"),"")</f>
        <v>BB066</v>
      </c>
      <c r="BJ27" s="24" t="str">
        <f>IF(INDEX('Shot Map'!$B$6:$V$26,CEILING($A27/5,1),CEILING(BJ$2/5,1))=1,INDEX('Serial Reference'!$A$8:$W$8,1,FLOOR(($A27-1)/23,1)+1)&amp;INDEX('Serial Reference'!$A$8:$W$8,1,MOD($A27-1,23)+1)&amp;TEXT(BJ$2+FLOOR((BJ$2-1)/9,1),"000"),"")</f>
        <v>BB067</v>
      </c>
      <c r="BK27" s="25" t="str">
        <f>IF(INDEX('Shot Map'!$B$6:$V$26,CEILING($A27/5,1),CEILING(BK$2/5,1))=1,INDEX('Serial Reference'!$A$8:$W$8,1,FLOOR(($A27-1)/23,1)+1)&amp;INDEX('Serial Reference'!$A$8:$W$8,1,MOD($A27-1,23)+1)&amp;TEXT(BK$2+FLOOR((BK$2-1)/9,1),"000"),"")</f>
        <v>BB068</v>
      </c>
      <c r="BL27" s="25" t="str">
        <f>IF(INDEX('Shot Map'!$B$6:$V$26,CEILING($A27/5,1),CEILING(BL$2/5,1))=1,INDEX('Serial Reference'!$A$8:$W$8,1,FLOOR(($A27-1)/23,1)+1)&amp;INDEX('Serial Reference'!$A$8:$W$8,1,MOD($A27-1,23)+1)&amp;TEXT(BL$2+FLOOR((BL$2-1)/9,1),"000"),"")</f>
        <v>BB069</v>
      </c>
      <c r="BM27" s="25" t="str">
        <f>IF(INDEX('Shot Map'!$B$6:$V$26,CEILING($A27/5,1),CEILING(BM$2/5,1))=1,INDEX('Serial Reference'!$A$8:$W$8,1,FLOOR(($A27-1)/23,1)+1)&amp;INDEX('Serial Reference'!$A$8:$W$8,1,MOD($A27-1,23)+1)&amp;TEXT(BM$2+FLOOR((BM$2-1)/9,1),"000"),"")</f>
        <v>BB071</v>
      </c>
      <c r="BN27" s="26" t="str">
        <f>IF(INDEX('Shot Map'!$B$6:$V$26,CEILING($A27/5,1),CEILING(BN$2/5,1))=1,INDEX('Serial Reference'!$A$8:$W$8,1,FLOOR(($A27-1)/23,1)+1)&amp;INDEX('Serial Reference'!$A$8:$W$8,1,MOD($A27-1,23)+1)&amp;TEXT(BN$2+FLOOR((BN$2-1)/9,1),"000"),"")</f>
        <v>BB072</v>
      </c>
      <c r="BO27" s="24" t="str">
        <f>IF(INDEX('Shot Map'!$B$6:$V$26,CEILING($A27/5,1),CEILING(BO$2/5,1))=1,INDEX('Serial Reference'!$A$8:$W$8,1,FLOOR(($A27-1)/23,1)+1)&amp;INDEX('Serial Reference'!$A$8:$W$8,1,MOD($A27-1,23)+1)&amp;TEXT(BO$2+FLOOR((BO$2-1)/9,1),"000"),"")</f>
        <v>BB073</v>
      </c>
      <c r="BP27" s="25" t="str">
        <f>IF(INDEX('Shot Map'!$B$6:$V$26,CEILING($A27/5,1),CEILING(BP$2/5,1))=1,INDEX('Serial Reference'!$A$8:$W$8,1,FLOOR(($A27-1)/23,1)+1)&amp;INDEX('Serial Reference'!$A$8:$W$8,1,MOD($A27-1,23)+1)&amp;TEXT(BP$2+FLOOR((BP$2-1)/9,1),"000"),"")</f>
        <v>BB074</v>
      </c>
      <c r="BQ27" s="25" t="str">
        <f>IF(INDEX('Shot Map'!$B$6:$V$26,CEILING($A27/5,1),CEILING(BQ$2/5,1))=1,INDEX('Serial Reference'!$A$8:$W$8,1,FLOOR(($A27-1)/23,1)+1)&amp;INDEX('Serial Reference'!$A$8:$W$8,1,MOD($A27-1,23)+1)&amp;TEXT(BQ$2+FLOOR((BQ$2-1)/9,1),"000"),"")</f>
        <v>BB075</v>
      </c>
      <c r="BR27" s="25" t="str">
        <f>IF(INDEX('Shot Map'!$B$6:$V$26,CEILING($A27/5,1),CEILING(BR$2/5,1))=1,INDEX('Serial Reference'!$A$8:$W$8,1,FLOOR(($A27-1)/23,1)+1)&amp;INDEX('Serial Reference'!$A$8:$W$8,1,MOD($A27-1,23)+1)&amp;TEXT(BR$2+FLOOR((BR$2-1)/9,1),"000"),"")</f>
        <v>BB076</v>
      </c>
      <c r="BS27" s="26" t="str">
        <f>IF(INDEX('Shot Map'!$B$6:$V$26,CEILING($A27/5,1),CEILING(BS$2/5,1))=1,INDEX('Serial Reference'!$A$8:$W$8,1,FLOOR(($A27-1)/23,1)+1)&amp;INDEX('Serial Reference'!$A$8:$W$8,1,MOD($A27-1,23)+1)&amp;TEXT(BS$2+FLOOR((BS$2-1)/9,1),"000"),"")</f>
        <v>BB077</v>
      </c>
      <c r="BT27" s="24" t="str">
        <f>IF(INDEX('Shot Map'!$B$6:$V$26,CEILING($A27/5,1),CEILING(BT$2/5,1))=1,INDEX('Serial Reference'!$A$8:$W$8,1,FLOOR(($A27-1)/23,1)+1)&amp;INDEX('Serial Reference'!$A$8:$W$8,1,MOD($A27-1,23)+1)&amp;TEXT(BT$2+FLOOR((BT$2-1)/9,1),"000"),"")</f>
        <v>BB078</v>
      </c>
      <c r="BU27" s="25" t="str">
        <f>IF(INDEX('Shot Map'!$B$6:$V$26,CEILING($A27/5,1),CEILING(BU$2/5,1))=1,INDEX('Serial Reference'!$A$8:$W$8,1,FLOOR(($A27-1)/23,1)+1)&amp;INDEX('Serial Reference'!$A$8:$W$8,1,MOD($A27-1,23)+1)&amp;TEXT(BU$2+FLOOR((BU$2-1)/9,1),"000"),"")</f>
        <v>BB079</v>
      </c>
      <c r="BV27" s="25" t="str">
        <f>IF(INDEX('Shot Map'!$B$6:$V$26,CEILING($A27/5,1),CEILING(BV$2/5,1))=1,INDEX('Serial Reference'!$A$8:$W$8,1,FLOOR(($A27-1)/23,1)+1)&amp;INDEX('Serial Reference'!$A$8:$W$8,1,MOD($A27-1,23)+1)&amp;TEXT(BV$2+FLOOR((BV$2-1)/9,1),"000"),"")</f>
        <v>BB081</v>
      </c>
      <c r="BW27" s="25" t="str">
        <f>IF(INDEX('Shot Map'!$B$6:$V$26,CEILING($A27/5,1),CEILING(BW$2/5,1))=1,INDEX('Serial Reference'!$A$8:$W$8,1,FLOOR(($A27-1)/23,1)+1)&amp;INDEX('Serial Reference'!$A$8:$W$8,1,MOD($A27-1,23)+1)&amp;TEXT(BW$2+FLOOR((BW$2-1)/9,1),"000"),"")</f>
        <v>BB082</v>
      </c>
      <c r="BX27" s="26" t="str">
        <f>IF(INDEX('Shot Map'!$B$6:$V$26,CEILING($A27/5,1),CEILING(BX$2/5,1))=1,INDEX('Serial Reference'!$A$8:$W$8,1,FLOOR(($A27-1)/23,1)+1)&amp;INDEX('Serial Reference'!$A$8:$W$8,1,MOD($A27-1,23)+1)&amp;TEXT(BX$2+FLOOR((BX$2-1)/9,1),"000"),"")</f>
        <v>BB083</v>
      </c>
      <c r="BY27" s="24" t="str">
        <f>IF(INDEX('Shot Map'!$B$6:$V$26,CEILING($A27/5,1),CEILING(BY$2/5,1))=1,INDEX('Serial Reference'!$A$8:$W$8,1,FLOOR(($A27-1)/23,1)+1)&amp;INDEX('Serial Reference'!$A$8:$W$8,1,MOD($A27-1,23)+1)&amp;TEXT(BY$2+FLOOR((BY$2-1)/9,1),"000"),"")</f>
        <v>BB084</v>
      </c>
      <c r="BZ27" s="25" t="str">
        <f>IF(INDEX('Shot Map'!$B$6:$V$26,CEILING($A27/5,1),CEILING(BZ$2/5,1))=1,INDEX('Serial Reference'!$A$8:$W$8,1,FLOOR(($A27-1)/23,1)+1)&amp;INDEX('Serial Reference'!$A$8:$W$8,1,MOD($A27-1,23)+1)&amp;TEXT(BZ$2+FLOOR((BZ$2-1)/9,1),"000"),"")</f>
        <v>BB085</v>
      </c>
      <c r="CA27" s="25" t="str">
        <f>IF(INDEX('Shot Map'!$B$6:$V$26,CEILING($A27/5,1),CEILING(CA$2/5,1))=1,INDEX('Serial Reference'!$A$8:$W$8,1,FLOOR(($A27-1)/23,1)+1)&amp;INDEX('Serial Reference'!$A$8:$W$8,1,MOD($A27-1,23)+1)&amp;TEXT(CA$2+FLOOR((CA$2-1)/9,1),"000"),"")</f>
        <v>BB086</v>
      </c>
      <c r="CB27" s="25" t="str">
        <f>IF(INDEX('Shot Map'!$B$6:$V$26,CEILING($A27/5,1),CEILING(CB$2/5,1))=1,INDEX('Serial Reference'!$A$8:$W$8,1,FLOOR(($A27-1)/23,1)+1)&amp;INDEX('Serial Reference'!$A$8:$W$8,1,MOD($A27-1,23)+1)&amp;TEXT(CB$2+FLOOR((CB$2-1)/9,1),"000"),"")</f>
        <v>BB087</v>
      </c>
      <c r="CC27" s="26" t="str">
        <f>IF(INDEX('Shot Map'!$B$6:$V$26,CEILING($A27/5,1),CEILING(CC$2/5,1))=1,INDEX('Serial Reference'!$A$8:$W$8,1,FLOOR(($A27-1)/23,1)+1)&amp;INDEX('Serial Reference'!$A$8:$W$8,1,MOD($A27-1,23)+1)&amp;TEXT(CC$2+FLOOR((CC$2-1)/9,1),"000"),"")</f>
        <v>BB088</v>
      </c>
      <c r="CD27" s="24" t="str">
        <f>IF(INDEX('Shot Map'!$B$6:$V$26,CEILING($A27/5,1),CEILING(CD$2/5,1))=1,INDEX('Serial Reference'!$A$8:$W$8,1,FLOOR(($A27-1)/23,1)+1)&amp;INDEX('Serial Reference'!$A$8:$W$8,1,MOD($A27-1,23)+1)&amp;TEXT(CD$2+FLOOR((CD$2-1)/9,1),"000"),"")</f>
        <v>BB089</v>
      </c>
      <c r="CE27" s="25" t="str">
        <f>IF(INDEX('Shot Map'!$B$6:$V$26,CEILING($A27/5,1),CEILING(CE$2/5,1))=1,INDEX('Serial Reference'!$A$8:$W$8,1,FLOOR(($A27-1)/23,1)+1)&amp;INDEX('Serial Reference'!$A$8:$W$8,1,MOD($A27-1,23)+1)&amp;TEXT(CE$2+FLOOR((CE$2-1)/9,1),"000"),"")</f>
        <v>BB091</v>
      </c>
      <c r="CF27" s="25" t="str">
        <f>IF(INDEX('Shot Map'!$B$6:$V$26,CEILING($A27/5,1),CEILING(CF$2/5,1))=1,INDEX('Serial Reference'!$A$8:$W$8,1,FLOOR(($A27-1)/23,1)+1)&amp;INDEX('Serial Reference'!$A$8:$W$8,1,MOD($A27-1,23)+1)&amp;TEXT(CF$2+FLOOR((CF$2-1)/9,1),"000"),"")</f>
        <v>BB092</v>
      </c>
      <c r="CG27" s="25" t="str">
        <f>IF(INDEX('Shot Map'!$B$6:$V$26,CEILING($A27/5,1),CEILING(CG$2/5,1))=1,INDEX('Serial Reference'!$A$8:$W$8,1,FLOOR(($A27-1)/23,1)+1)&amp;INDEX('Serial Reference'!$A$8:$W$8,1,MOD($A27-1,23)+1)&amp;TEXT(CG$2+FLOOR((CG$2-1)/9,1),"000"),"")</f>
        <v>BB093</v>
      </c>
      <c r="CH27" s="26" t="str">
        <f>IF(INDEX('Shot Map'!$B$6:$V$26,CEILING($A27/5,1),CEILING(CH$2/5,1))=1,INDEX('Serial Reference'!$A$8:$W$8,1,FLOOR(($A27-1)/23,1)+1)&amp;INDEX('Serial Reference'!$A$8:$W$8,1,MOD($A27-1,23)+1)&amp;TEXT(CH$2+FLOOR((CH$2-1)/9,1),"000"),"")</f>
        <v>BB094</v>
      </c>
      <c r="CI27" s="24" t="str">
        <f>IF(INDEX('Shot Map'!$B$6:$V$26,CEILING($A27/5,1),CEILING(CI$2/5,1))=1,INDEX('Serial Reference'!$A$8:$W$8,1,FLOOR(($A27-1)/23,1)+1)&amp;INDEX('Serial Reference'!$A$8:$W$8,1,MOD($A27-1,23)+1)&amp;TEXT(CI$2+FLOOR((CI$2-1)/9,1),"000"),"")</f>
        <v>BB095</v>
      </c>
      <c r="CJ27" s="25" t="str">
        <f>IF(INDEX('Shot Map'!$B$6:$V$26,CEILING($A27/5,1),CEILING(CJ$2/5,1))=1,INDEX('Serial Reference'!$A$8:$W$8,1,FLOOR(($A27-1)/23,1)+1)&amp;INDEX('Serial Reference'!$A$8:$W$8,1,MOD($A27-1,23)+1)&amp;TEXT(CJ$2+FLOOR((CJ$2-1)/9,1),"000"),"")</f>
        <v>BB096</v>
      </c>
      <c r="CK27" s="25" t="str">
        <f>IF(INDEX('Shot Map'!$B$6:$V$26,CEILING($A27/5,1),CEILING(CK$2/5,1))=1,INDEX('Serial Reference'!$A$8:$W$8,1,FLOOR(($A27-1)/23,1)+1)&amp;INDEX('Serial Reference'!$A$8:$W$8,1,MOD($A27-1,23)+1)&amp;TEXT(CK$2+FLOOR((CK$2-1)/9,1),"000"),"")</f>
        <v>BB097</v>
      </c>
      <c r="CL27" s="25" t="str">
        <f>IF(INDEX('Shot Map'!$B$6:$V$26,CEILING($A27/5,1),CEILING(CL$2/5,1))=1,INDEX('Serial Reference'!$A$8:$W$8,1,FLOOR(($A27-1)/23,1)+1)&amp;INDEX('Serial Reference'!$A$8:$W$8,1,MOD($A27-1,23)+1)&amp;TEXT(CL$2+FLOOR((CL$2-1)/9,1),"000"),"")</f>
        <v>BB098</v>
      </c>
      <c r="CM27" s="26" t="str">
        <f>IF(INDEX('Shot Map'!$B$6:$V$26,CEILING($A27/5,1),CEILING(CM$2/5,1))=1,INDEX('Serial Reference'!$A$8:$W$8,1,FLOOR(($A27-1)/23,1)+1)&amp;INDEX('Serial Reference'!$A$8:$W$8,1,MOD($A27-1,23)+1)&amp;TEXT(CM$2+FLOOR((CM$2-1)/9,1),"000"),"")</f>
        <v>BB099</v>
      </c>
      <c r="CN27" s="24" t="str">
        <f>IF(INDEX('Shot Map'!$B$6:$V$26,CEILING($A27/5,1),CEILING(CN$2/5,1))=1,INDEX('Serial Reference'!$A$8:$W$8,1,FLOOR(($A27-1)/23,1)+1)&amp;INDEX('Serial Reference'!$A$8:$W$8,1,MOD($A27-1,23)+1)&amp;TEXT(CN$2+FLOOR((CN$2-1)/9,1),"000"),"")</f>
        <v>BB101</v>
      </c>
      <c r="CO27" s="25" t="str">
        <f>IF(INDEX('Shot Map'!$B$6:$V$26,CEILING($A27/5,1),CEILING(CO$2/5,1))=1,INDEX('Serial Reference'!$A$8:$W$8,1,FLOOR(($A27-1)/23,1)+1)&amp;INDEX('Serial Reference'!$A$8:$W$8,1,MOD($A27-1,23)+1)&amp;TEXT(CO$2+FLOOR((CO$2-1)/9,1),"000"),"")</f>
        <v>BB102</v>
      </c>
      <c r="CP27" s="25" t="str">
        <f>IF(INDEX('Shot Map'!$B$6:$V$26,CEILING($A27/5,1),CEILING(CP$2/5,1))=1,INDEX('Serial Reference'!$A$8:$W$8,1,FLOOR(($A27-1)/23,1)+1)&amp;INDEX('Serial Reference'!$A$8:$W$8,1,MOD($A27-1,23)+1)&amp;TEXT(CP$2+FLOOR((CP$2-1)/9,1),"000"),"")</f>
        <v>BB103</v>
      </c>
      <c r="CQ27" s="25" t="str">
        <f>IF(INDEX('Shot Map'!$B$6:$V$26,CEILING($A27/5,1),CEILING(CQ$2/5,1))=1,INDEX('Serial Reference'!$A$8:$W$8,1,FLOOR(($A27-1)/23,1)+1)&amp;INDEX('Serial Reference'!$A$8:$W$8,1,MOD($A27-1,23)+1)&amp;TEXT(CQ$2+FLOOR((CQ$2-1)/9,1),"000"),"")</f>
        <v>BB104</v>
      </c>
      <c r="CR27" s="26" t="str">
        <f>IF(INDEX('Shot Map'!$B$6:$V$26,CEILING($A27/5,1),CEILING(CR$2/5,1))=1,INDEX('Serial Reference'!$A$8:$W$8,1,FLOOR(($A27-1)/23,1)+1)&amp;INDEX('Serial Reference'!$A$8:$W$8,1,MOD($A27-1,23)+1)&amp;TEXT(CR$2+FLOOR((CR$2-1)/9,1),"000"),"")</f>
        <v>BB105</v>
      </c>
      <c r="CS27" s="24" t="str">
        <f>IF(INDEX('Shot Map'!$B$6:$V$26,CEILING($A27/5,1),CEILING(CS$2/5,1))=1,INDEX('Serial Reference'!$A$8:$W$8,1,FLOOR(($A27-1)/23,1)+1)&amp;INDEX('Serial Reference'!$A$8:$W$8,1,MOD($A27-1,23)+1)&amp;TEXT(CS$2+FLOOR((CS$2-1)/9,1),"000"),"")</f>
        <v/>
      </c>
      <c r="CT27" s="25" t="str">
        <f>IF(INDEX('Shot Map'!$B$6:$V$26,CEILING($A27/5,1),CEILING(CT$2/5,1))=1,INDEX('Serial Reference'!$A$8:$W$8,1,FLOOR(($A27-1)/23,1)+1)&amp;INDEX('Serial Reference'!$A$8:$W$8,1,MOD($A27-1,23)+1)&amp;TEXT(CT$2+FLOOR((CT$2-1)/9,1),"000"),"")</f>
        <v/>
      </c>
      <c r="CU27" s="25" t="str">
        <f>IF(INDEX('Shot Map'!$B$6:$V$26,CEILING($A27/5,1),CEILING(CU$2/5,1))=1,INDEX('Serial Reference'!$A$8:$W$8,1,FLOOR(($A27-1)/23,1)+1)&amp;INDEX('Serial Reference'!$A$8:$W$8,1,MOD($A27-1,23)+1)&amp;TEXT(CU$2+FLOOR((CU$2-1)/9,1),"000"),"")</f>
        <v/>
      </c>
      <c r="CV27" s="25" t="str">
        <f>IF(INDEX('Shot Map'!$B$6:$V$26,CEILING($A27/5,1),CEILING(CV$2/5,1))=1,INDEX('Serial Reference'!$A$8:$W$8,1,FLOOR(($A27-1)/23,1)+1)&amp;INDEX('Serial Reference'!$A$8:$W$8,1,MOD($A27-1,23)+1)&amp;TEXT(CV$2+FLOOR((CV$2-1)/9,1),"000"),"")</f>
        <v/>
      </c>
      <c r="CW27" s="26" t="str">
        <f>IF(INDEX('Shot Map'!$B$6:$V$26,CEILING($A27/5,1),CEILING(CW$2/5,1))=1,INDEX('Serial Reference'!$A$8:$W$8,1,FLOOR(($A27-1)/23,1)+1)&amp;INDEX('Serial Reference'!$A$8:$W$8,1,MOD($A27-1,23)+1)&amp;TEXT(CW$2+FLOOR((CW$2-1)/9,1),"000"),"")</f>
        <v/>
      </c>
      <c r="CX27" s="24" t="str">
        <f>IF(INDEX('Shot Map'!$B$6:$V$26,CEILING($A27/5,1),CEILING(CX$2/5,1))=1,INDEX('Serial Reference'!$A$8:$W$8,1,FLOOR(($A27-1)/23,1)+1)&amp;INDEX('Serial Reference'!$A$8:$W$8,1,MOD($A27-1,23)+1)&amp;TEXT(CX$2+FLOOR((CX$2-1)/9,1),"000"),"")</f>
        <v/>
      </c>
      <c r="CY27" s="25" t="str">
        <f>IF(INDEX('Shot Map'!$B$6:$V$26,CEILING($A27/5,1),CEILING(CY$2/5,1))=1,INDEX('Serial Reference'!$A$8:$W$8,1,FLOOR(($A27-1)/23,1)+1)&amp;INDEX('Serial Reference'!$A$8:$W$8,1,MOD($A27-1,23)+1)&amp;TEXT(CY$2+FLOOR((CY$2-1)/9,1),"000"),"")</f>
        <v/>
      </c>
      <c r="CZ27" s="25" t="str">
        <f>IF(INDEX('Shot Map'!$B$6:$V$26,CEILING($A27/5,1),CEILING(CZ$2/5,1))=1,INDEX('Serial Reference'!$A$8:$W$8,1,FLOOR(($A27-1)/23,1)+1)&amp;INDEX('Serial Reference'!$A$8:$W$8,1,MOD($A27-1,23)+1)&amp;TEXT(CZ$2+FLOOR((CZ$2-1)/9,1),"000"),"")</f>
        <v/>
      </c>
      <c r="DA27" s="25" t="str">
        <f>IF(INDEX('Shot Map'!$B$6:$V$26,CEILING($A27/5,1),CEILING(DA$2/5,1))=1,INDEX('Serial Reference'!$A$8:$W$8,1,FLOOR(($A27-1)/23,1)+1)&amp;INDEX('Serial Reference'!$A$8:$W$8,1,MOD($A27-1,23)+1)&amp;TEXT(DA$2+FLOOR((DA$2-1)/9,1),"000"),"")</f>
        <v/>
      </c>
      <c r="DB27" s="26" t="str">
        <f>IF(INDEX('Shot Map'!$B$6:$V$26,CEILING($A27/5,1),CEILING(DB$2/5,1))=1,INDEX('Serial Reference'!$A$8:$W$8,1,FLOOR(($A27-1)/23,1)+1)&amp;INDEX('Serial Reference'!$A$8:$W$8,1,MOD($A27-1,23)+1)&amp;TEXT(DB$2+FLOOR((DB$2-1)/9,1),"000"),"")</f>
        <v/>
      </c>
    </row>
    <row r="28" spans="1:106" ht="12.75" customHeight="1" x14ac:dyDescent="0.25">
      <c r="A28" s="17">
        <v>26</v>
      </c>
      <c r="B28" s="18" t="str">
        <f>IF(INDEX('Shot Map'!$B$6:$V$26,CEILING($A28/5,1),CEILING(B$2/5,1))=1,INDEX('Serial Reference'!$A$8:$W$8,1,FLOOR(($A28-1)/23,1)+1)&amp;INDEX('Serial Reference'!$A$8:$W$8,1,MOD($A28-1,23)+1)&amp;TEXT(B$2+FLOOR((B$2-1)/9,1),"000"),"")</f>
        <v/>
      </c>
      <c r="C28" s="19" t="str">
        <f>IF(INDEX('Shot Map'!$B$6:$V$26,CEILING($A28/5,1),CEILING(C$2/5,1))=1,INDEX('Serial Reference'!$A$8:$W$8,1,FLOOR(($A28-1)/23,1)+1)&amp;INDEX('Serial Reference'!$A$8:$W$8,1,MOD($A28-1,23)+1)&amp;TEXT(C$2+FLOOR((C$2-1)/9,1),"000"),"")</f>
        <v/>
      </c>
      <c r="D28" s="19" t="str">
        <f>IF(INDEX('Shot Map'!$B$6:$V$26,CEILING($A28/5,1),CEILING(D$2/5,1))=1,INDEX('Serial Reference'!$A$8:$W$8,1,FLOOR(($A28-1)/23,1)+1)&amp;INDEX('Serial Reference'!$A$8:$W$8,1,MOD($A28-1,23)+1)&amp;TEXT(D$2+FLOOR((D$2-1)/9,1),"000"),"")</f>
        <v/>
      </c>
      <c r="E28" s="19" t="str">
        <f>IF(INDEX('Shot Map'!$B$6:$V$26,CEILING($A28/5,1),CEILING(E$2/5,1))=1,INDEX('Serial Reference'!$A$8:$W$8,1,FLOOR(($A28-1)/23,1)+1)&amp;INDEX('Serial Reference'!$A$8:$W$8,1,MOD($A28-1,23)+1)&amp;TEXT(E$2+FLOOR((E$2-1)/9,1),"000"),"")</f>
        <v/>
      </c>
      <c r="F28" s="20" t="str">
        <f>IF(INDEX('Shot Map'!$B$6:$V$26,CEILING($A28/5,1),CEILING(F$2/5,1))=1,INDEX('Serial Reference'!$A$8:$W$8,1,FLOOR(($A28-1)/23,1)+1)&amp;INDEX('Serial Reference'!$A$8:$W$8,1,MOD($A28-1,23)+1)&amp;TEXT(F$2+FLOOR((F$2-1)/9,1),"000"),"")</f>
        <v/>
      </c>
      <c r="G28" s="18" t="str">
        <f>IF(INDEX('Shot Map'!$B$6:$V$26,CEILING($A28/5,1),CEILING(G$2/5,1))=1,INDEX('Serial Reference'!$A$8:$W$8,1,FLOOR(($A28-1)/23,1)+1)&amp;INDEX('Serial Reference'!$A$8:$W$8,1,MOD($A28-1,23)+1)&amp;TEXT(G$2+FLOOR((G$2-1)/9,1),"000"),"")</f>
        <v/>
      </c>
      <c r="H28" s="19" t="str">
        <f>IF(INDEX('Shot Map'!$B$6:$V$26,CEILING($A28/5,1),CEILING(H$2/5,1))=1,INDEX('Serial Reference'!$A$8:$W$8,1,FLOOR(($A28-1)/23,1)+1)&amp;INDEX('Serial Reference'!$A$8:$W$8,1,MOD($A28-1,23)+1)&amp;TEXT(H$2+FLOOR((H$2-1)/9,1),"000"),"")</f>
        <v/>
      </c>
      <c r="I28" s="19" t="str">
        <f>IF(INDEX('Shot Map'!$B$6:$V$26,CEILING($A28/5,1),CEILING(I$2/5,1))=1,INDEX('Serial Reference'!$A$8:$W$8,1,FLOOR(($A28-1)/23,1)+1)&amp;INDEX('Serial Reference'!$A$8:$W$8,1,MOD($A28-1,23)+1)&amp;TEXT(I$2+FLOOR((I$2-1)/9,1),"000"),"")</f>
        <v/>
      </c>
      <c r="J28" s="19" t="str">
        <f>IF(INDEX('Shot Map'!$B$6:$V$26,CEILING($A28/5,1),CEILING(J$2/5,1))=1,INDEX('Serial Reference'!$A$8:$W$8,1,FLOOR(($A28-1)/23,1)+1)&amp;INDEX('Serial Reference'!$A$8:$W$8,1,MOD($A28-1,23)+1)&amp;TEXT(J$2+FLOOR((J$2-1)/9,1),"000"),"")</f>
        <v/>
      </c>
      <c r="K28" s="20" t="str">
        <f>IF(INDEX('Shot Map'!$B$6:$V$26,CEILING($A28/5,1),CEILING(K$2/5,1))=1,INDEX('Serial Reference'!$A$8:$W$8,1,FLOOR(($A28-1)/23,1)+1)&amp;INDEX('Serial Reference'!$A$8:$W$8,1,MOD($A28-1,23)+1)&amp;TEXT(K$2+FLOOR((K$2-1)/9,1),"000"),"")</f>
        <v/>
      </c>
      <c r="L28" s="18" t="str">
        <f>IF(INDEX('Shot Map'!$B$6:$V$26,CEILING($A28/5,1),CEILING(L$2/5,1))=1,INDEX('Serial Reference'!$A$8:$W$8,1,FLOOR(($A28-1)/23,1)+1)&amp;INDEX('Serial Reference'!$A$8:$W$8,1,MOD($A28-1,23)+1)&amp;TEXT(L$2+FLOOR((L$2-1)/9,1),"000"),"")</f>
        <v>BC012</v>
      </c>
      <c r="M28" s="19" t="str">
        <f>IF(INDEX('Shot Map'!$B$6:$V$26,CEILING($A28/5,1),CEILING(M$2/5,1))=1,INDEX('Serial Reference'!$A$8:$W$8,1,FLOOR(($A28-1)/23,1)+1)&amp;INDEX('Serial Reference'!$A$8:$W$8,1,MOD($A28-1,23)+1)&amp;TEXT(M$2+FLOOR((M$2-1)/9,1),"000"),"")</f>
        <v>BC013</v>
      </c>
      <c r="N28" s="19" t="str">
        <f>IF(INDEX('Shot Map'!$B$6:$V$26,CEILING($A28/5,1),CEILING(N$2/5,1))=1,INDEX('Serial Reference'!$A$8:$W$8,1,FLOOR(($A28-1)/23,1)+1)&amp;INDEX('Serial Reference'!$A$8:$W$8,1,MOD($A28-1,23)+1)&amp;TEXT(N$2+FLOOR((N$2-1)/9,1),"000"),"")</f>
        <v>BC014</v>
      </c>
      <c r="O28" s="19" t="str">
        <f>IF(INDEX('Shot Map'!$B$6:$V$26,CEILING($A28/5,1),CEILING(O$2/5,1))=1,INDEX('Serial Reference'!$A$8:$W$8,1,FLOOR(($A28-1)/23,1)+1)&amp;INDEX('Serial Reference'!$A$8:$W$8,1,MOD($A28-1,23)+1)&amp;TEXT(O$2+FLOOR((O$2-1)/9,1),"000"),"")</f>
        <v>BC015</v>
      </c>
      <c r="P28" s="20" t="str">
        <f>IF(INDEX('Shot Map'!$B$6:$V$26,CEILING($A28/5,1),CEILING(P$2/5,1))=1,INDEX('Serial Reference'!$A$8:$W$8,1,FLOOR(($A28-1)/23,1)+1)&amp;INDEX('Serial Reference'!$A$8:$W$8,1,MOD($A28-1,23)+1)&amp;TEXT(P$2+FLOOR((P$2-1)/9,1),"000"),"")</f>
        <v>BC016</v>
      </c>
      <c r="Q28" s="18" t="str">
        <f>IF(INDEX('Shot Map'!$B$6:$V$26,CEILING($A28/5,1),CEILING(Q$2/5,1))=1,INDEX('Serial Reference'!$A$8:$W$8,1,FLOOR(($A28-1)/23,1)+1)&amp;INDEX('Serial Reference'!$A$8:$W$8,1,MOD($A28-1,23)+1)&amp;TEXT(Q$2+FLOOR((Q$2-1)/9,1),"000"),"")</f>
        <v>BC017</v>
      </c>
      <c r="R28" s="19" t="str">
        <f>IF(INDEX('Shot Map'!$B$6:$V$26,CEILING($A28/5,1),CEILING(R$2/5,1))=1,INDEX('Serial Reference'!$A$8:$W$8,1,FLOOR(($A28-1)/23,1)+1)&amp;INDEX('Serial Reference'!$A$8:$W$8,1,MOD($A28-1,23)+1)&amp;TEXT(R$2+FLOOR((R$2-1)/9,1),"000"),"")</f>
        <v>BC018</v>
      </c>
      <c r="S28" s="19" t="str">
        <f>IF(INDEX('Shot Map'!$B$6:$V$26,CEILING($A28/5,1),CEILING(S$2/5,1))=1,INDEX('Serial Reference'!$A$8:$W$8,1,FLOOR(($A28-1)/23,1)+1)&amp;INDEX('Serial Reference'!$A$8:$W$8,1,MOD($A28-1,23)+1)&amp;TEXT(S$2+FLOOR((S$2-1)/9,1),"000"),"")</f>
        <v>BC019</v>
      </c>
      <c r="T28" s="19" t="str">
        <f>IF(INDEX('Shot Map'!$B$6:$V$26,CEILING($A28/5,1),CEILING(T$2/5,1))=1,INDEX('Serial Reference'!$A$8:$W$8,1,FLOOR(($A28-1)/23,1)+1)&amp;INDEX('Serial Reference'!$A$8:$W$8,1,MOD($A28-1,23)+1)&amp;TEXT(T$2+FLOOR((T$2-1)/9,1),"000"),"")</f>
        <v>BC021</v>
      </c>
      <c r="U28" s="20" t="str">
        <f>IF(INDEX('Shot Map'!$B$6:$V$26,CEILING($A28/5,1),CEILING(U$2/5,1))=1,INDEX('Serial Reference'!$A$8:$W$8,1,FLOOR(($A28-1)/23,1)+1)&amp;INDEX('Serial Reference'!$A$8:$W$8,1,MOD($A28-1,23)+1)&amp;TEXT(U$2+FLOOR((U$2-1)/9,1),"000"),"")</f>
        <v>BC022</v>
      </c>
      <c r="V28" s="18" t="str">
        <f>IF(INDEX('Shot Map'!$B$6:$V$26,CEILING($A28/5,1),CEILING(V$2/5,1))=1,INDEX('Serial Reference'!$A$8:$W$8,1,FLOOR(($A28-1)/23,1)+1)&amp;INDEX('Serial Reference'!$A$8:$W$8,1,MOD($A28-1,23)+1)&amp;TEXT(V$2+FLOOR((V$2-1)/9,1),"000"),"")</f>
        <v>BC023</v>
      </c>
      <c r="W28" s="19" t="str">
        <f>IF(INDEX('Shot Map'!$B$6:$V$26,CEILING($A28/5,1),CEILING(W$2/5,1))=1,INDEX('Serial Reference'!$A$8:$W$8,1,FLOOR(($A28-1)/23,1)+1)&amp;INDEX('Serial Reference'!$A$8:$W$8,1,MOD($A28-1,23)+1)&amp;TEXT(W$2+FLOOR((W$2-1)/9,1),"000"),"")</f>
        <v>BC024</v>
      </c>
      <c r="X28" s="19" t="str">
        <f>IF(INDEX('Shot Map'!$B$6:$V$26,CEILING($A28/5,1),CEILING(X$2/5,1))=1,INDEX('Serial Reference'!$A$8:$W$8,1,FLOOR(($A28-1)/23,1)+1)&amp;INDEX('Serial Reference'!$A$8:$W$8,1,MOD($A28-1,23)+1)&amp;TEXT(X$2+FLOOR((X$2-1)/9,1),"000"),"")</f>
        <v>BC025</v>
      </c>
      <c r="Y28" s="19" t="str">
        <f>IF(INDEX('Shot Map'!$B$6:$V$26,CEILING($A28/5,1),CEILING(Y$2/5,1))=1,INDEX('Serial Reference'!$A$8:$W$8,1,FLOOR(($A28-1)/23,1)+1)&amp;INDEX('Serial Reference'!$A$8:$W$8,1,MOD($A28-1,23)+1)&amp;TEXT(Y$2+FLOOR((Y$2-1)/9,1),"000"),"")</f>
        <v>BC026</v>
      </c>
      <c r="Z28" s="20" t="str">
        <f>IF(INDEX('Shot Map'!$B$6:$V$26,CEILING($A28/5,1),CEILING(Z$2/5,1))=1,INDEX('Serial Reference'!$A$8:$W$8,1,FLOOR(($A28-1)/23,1)+1)&amp;INDEX('Serial Reference'!$A$8:$W$8,1,MOD($A28-1,23)+1)&amp;TEXT(Z$2+FLOOR((Z$2-1)/9,1),"000"),"")</f>
        <v>BC027</v>
      </c>
      <c r="AA28" s="18" t="str">
        <f>IF(INDEX('Shot Map'!$B$6:$V$26,CEILING($A28/5,1),CEILING(AA$2/5,1))=1,INDEX('Serial Reference'!$A$8:$W$8,1,FLOOR(($A28-1)/23,1)+1)&amp;INDEX('Serial Reference'!$A$8:$W$8,1,MOD($A28-1,23)+1)&amp;TEXT(AA$2+FLOOR((AA$2-1)/9,1),"000"),"")</f>
        <v>BC028</v>
      </c>
      <c r="AB28" s="19" t="str">
        <f>IF(INDEX('Shot Map'!$B$6:$V$26,CEILING($A28/5,1),CEILING(AB$2/5,1))=1,INDEX('Serial Reference'!$A$8:$W$8,1,FLOOR(($A28-1)/23,1)+1)&amp;INDEX('Serial Reference'!$A$8:$W$8,1,MOD($A28-1,23)+1)&amp;TEXT(AB$2+FLOOR((AB$2-1)/9,1),"000"),"")</f>
        <v>BC029</v>
      </c>
      <c r="AC28" s="19" t="str">
        <f>IF(INDEX('Shot Map'!$B$6:$V$26,CEILING($A28/5,1),CEILING(AC$2/5,1))=1,INDEX('Serial Reference'!$A$8:$W$8,1,FLOOR(($A28-1)/23,1)+1)&amp;INDEX('Serial Reference'!$A$8:$W$8,1,MOD($A28-1,23)+1)&amp;TEXT(AC$2+FLOOR((AC$2-1)/9,1),"000"),"")</f>
        <v>BC031</v>
      </c>
      <c r="AD28" s="19" t="str">
        <f>IF(INDEX('Shot Map'!$B$6:$V$26,CEILING($A28/5,1),CEILING(AD$2/5,1))=1,INDEX('Serial Reference'!$A$8:$W$8,1,FLOOR(($A28-1)/23,1)+1)&amp;INDEX('Serial Reference'!$A$8:$W$8,1,MOD($A28-1,23)+1)&amp;TEXT(AD$2+FLOOR((AD$2-1)/9,1),"000"),"")</f>
        <v>BC032</v>
      </c>
      <c r="AE28" s="20" t="str">
        <f>IF(INDEX('Shot Map'!$B$6:$V$26,CEILING($A28/5,1),CEILING(AE$2/5,1))=1,INDEX('Serial Reference'!$A$8:$W$8,1,FLOOR(($A28-1)/23,1)+1)&amp;INDEX('Serial Reference'!$A$8:$W$8,1,MOD($A28-1,23)+1)&amp;TEXT(AE$2+FLOOR((AE$2-1)/9,1),"000"),"")</f>
        <v>BC033</v>
      </c>
      <c r="AF28" s="18" t="str">
        <f>IF(INDEX('Shot Map'!$B$6:$V$26,CEILING($A28/5,1),CEILING(AF$2/5,1))=1,INDEX('Serial Reference'!$A$8:$W$8,1,FLOOR(($A28-1)/23,1)+1)&amp;INDEX('Serial Reference'!$A$8:$W$8,1,MOD($A28-1,23)+1)&amp;TEXT(AF$2+FLOOR((AF$2-1)/9,1),"000"),"")</f>
        <v>BC034</v>
      </c>
      <c r="AG28" s="19" t="str">
        <f>IF(INDEX('Shot Map'!$B$6:$V$26,CEILING($A28/5,1),CEILING(AG$2/5,1))=1,INDEX('Serial Reference'!$A$8:$W$8,1,FLOOR(($A28-1)/23,1)+1)&amp;INDEX('Serial Reference'!$A$8:$W$8,1,MOD($A28-1,23)+1)&amp;TEXT(AG$2+FLOOR((AG$2-1)/9,1),"000"),"")</f>
        <v>BC035</v>
      </c>
      <c r="AH28" s="19" t="str">
        <f>IF(INDEX('Shot Map'!$B$6:$V$26,CEILING($A28/5,1),CEILING(AH$2/5,1))=1,INDEX('Serial Reference'!$A$8:$W$8,1,FLOOR(($A28-1)/23,1)+1)&amp;INDEX('Serial Reference'!$A$8:$W$8,1,MOD($A28-1,23)+1)&amp;TEXT(AH$2+FLOOR((AH$2-1)/9,1),"000"),"")</f>
        <v>BC036</v>
      </c>
      <c r="AI28" s="19" t="str">
        <f>IF(INDEX('Shot Map'!$B$6:$V$26,CEILING($A28/5,1),CEILING(AI$2/5,1))=1,INDEX('Serial Reference'!$A$8:$W$8,1,FLOOR(($A28-1)/23,1)+1)&amp;INDEX('Serial Reference'!$A$8:$W$8,1,MOD($A28-1,23)+1)&amp;TEXT(AI$2+FLOOR((AI$2-1)/9,1),"000"),"")</f>
        <v>BC037</v>
      </c>
      <c r="AJ28" s="20" t="str">
        <f>IF(INDEX('Shot Map'!$B$6:$V$26,CEILING($A28/5,1),CEILING(AJ$2/5,1))=1,INDEX('Serial Reference'!$A$8:$W$8,1,FLOOR(($A28-1)/23,1)+1)&amp;INDEX('Serial Reference'!$A$8:$W$8,1,MOD($A28-1,23)+1)&amp;TEXT(AJ$2+FLOOR((AJ$2-1)/9,1),"000"),"")</f>
        <v>BC038</v>
      </c>
      <c r="AK28" s="18" t="str">
        <f>IF(INDEX('Shot Map'!$B$6:$V$26,CEILING($A28/5,1),CEILING(AK$2/5,1))=1,INDEX('Serial Reference'!$A$8:$W$8,1,FLOOR(($A28-1)/23,1)+1)&amp;INDEX('Serial Reference'!$A$8:$W$8,1,MOD($A28-1,23)+1)&amp;TEXT(AK$2+FLOOR((AK$2-1)/9,1),"000"),"")</f>
        <v>BC039</v>
      </c>
      <c r="AL28" s="19" t="str">
        <f>IF(INDEX('Shot Map'!$B$6:$V$26,CEILING($A28/5,1),CEILING(AL$2/5,1))=1,INDEX('Serial Reference'!$A$8:$W$8,1,FLOOR(($A28-1)/23,1)+1)&amp;INDEX('Serial Reference'!$A$8:$W$8,1,MOD($A28-1,23)+1)&amp;TEXT(AL$2+FLOOR((AL$2-1)/9,1),"000"),"")</f>
        <v>BC041</v>
      </c>
      <c r="AM28" s="19" t="str">
        <f>IF(INDEX('Shot Map'!$B$6:$V$26,CEILING($A28/5,1),CEILING(AM$2/5,1))=1,INDEX('Serial Reference'!$A$8:$W$8,1,FLOOR(($A28-1)/23,1)+1)&amp;INDEX('Serial Reference'!$A$8:$W$8,1,MOD($A28-1,23)+1)&amp;TEXT(AM$2+FLOOR((AM$2-1)/9,1),"000"),"")</f>
        <v>BC042</v>
      </c>
      <c r="AN28" s="19" t="str">
        <f>IF(INDEX('Shot Map'!$B$6:$V$26,CEILING($A28/5,1),CEILING(AN$2/5,1))=1,INDEX('Serial Reference'!$A$8:$W$8,1,FLOOR(($A28-1)/23,1)+1)&amp;INDEX('Serial Reference'!$A$8:$W$8,1,MOD($A28-1,23)+1)&amp;TEXT(AN$2+FLOOR((AN$2-1)/9,1),"000"),"")</f>
        <v>BC043</v>
      </c>
      <c r="AO28" s="20" t="str">
        <f>IF(INDEX('Shot Map'!$B$6:$V$26,CEILING($A28/5,1),CEILING(AO$2/5,1))=1,INDEX('Serial Reference'!$A$8:$W$8,1,FLOOR(($A28-1)/23,1)+1)&amp;INDEX('Serial Reference'!$A$8:$W$8,1,MOD($A28-1,23)+1)&amp;TEXT(AO$2+FLOOR((AO$2-1)/9,1),"000"),"")</f>
        <v>BC044</v>
      </c>
      <c r="AP28" s="18" t="str">
        <f>IF(INDEX('Shot Map'!$B$6:$V$26,CEILING($A28/5,1),CEILING(AP$2/5,1))=1,INDEX('Serial Reference'!$A$8:$W$8,1,FLOOR(($A28-1)/23,1)+1)&amp;INDEX('Serial Reference'!$A$8:$W$8,1,MOD($A28-1,23)+1)&amp;TEXT(AP$2+FLOOR((AP$2-1)/9,1),"000"),"")</f>
        <v>BC045</v>
      </c>
      <c r="AQ28" s="19" t="str">
        <f>IF(INDEX('Shot Map'!$B$6:$V$26,CEILING($A28/5,1),CEILING(AQ$2/5,1))=1,INDEX('Serial Reference'!$A$8:$W$8,1,FLOOR(($A28-1)/23,1)+1)&amp;INDEX('Serial Reference'!$A$8:$W$8,1,MOD($A28-1,23)+1)&amp;TEXT(AQ$2+FLOOR((AQ$2-1)/9,1),"000"),"")</f>
        <v>BC046</v>
      </c>
      <c r="AR28" s="19" t="str">
        <f>IF(INDEX('Shot Map'!$B$6:$V$26,CEILING($A28/5,1),CEILING(AR$2/5,1))=1,INDEX('Serial Reference'!$A$8:$W$8,1,FLOOR(($A28-1)/23,1)+1)&amp;INDEX('Serial Reference'!$A$8:$W$8,1,MOD($A28-1,23)+1)&amp;TEXT(AR$2+FLOOR((AR$2-1)/9,1),"000"),"")</f>
        <v>BC047</v>
      </c>
      <c r="AS28" s="19" t="str">
        <f>IF(INDEX('Shot Map'!$B$6:$V$26,CEILING($A28/5,1),CEILING(AS$2/5,1))=1,INDEX('Serial Reference'!$A$8:$W$8,1,FLOOR(($A28-1)/23,1)+1)&amp;INDEX('Serial Reference'!$A$8:$W$8,1,MOD($A28-1,23)+1)&amp;TEXT(AS$2+FLOOR((AS$2-1)/9,1),"000"),"")</f>
        <v>BC048</v>
      </c>
      <c r="AT28" s="20" t="str">
        <f>IF(INDEX('Shot Map'!$B$6:$V$26,CEILING($A28/5,1),CEILING(AT$2/5,1))=1,INDEX('Serial Reference'!$A$8:$W$8,1,FLOOR(($A28-1)/23,1)+1)&amp;INDEX('Serial Reference'!$A$8:$W$8,1,MOD($A28-1,23)+1)&amp;TEXT(AT$2+FLOOR((AT$2-1)/9,1),"000"),"")</f>
        <v>BC049</v>
      </c>
      <c r="AU28" s="18" t="str">
        <f>IF(INDEX('Shot Map'!$B$6:$V$26,CEILING($A28/5,1),CEILING(AU$2/5,1))=1,INDEX('Serial Reference'!$A$8:$W$8,1,FLOOR(($A28-1)/23,1)+1)&amp;INDEX('Serial Reference'!$A$8:$W$8,1,MOD($A28-1,23)+1)&amp;TEXT(AU$2+FLOOR((AU$2-1)/9,1),"000"),"")</f>
        <v>BC051</v>
      </c>
      <c r="AV28" s="19" t="str">
        <f>IF(INDEX('Shot Map'!$B$6:$V$26,CEILING($A28/5,1),CEILING(AV$2/5,1))=1,INDEX('Serial Reference'!$A$8:$W$8,1,FLOOR(($A28-1)/23,1)+1)&amp;INDEX('Serial Reference'!$A$8:$W$8,1,MOD($A28-1,23)+1)&amp;TEXT(AV$2+FLOOR((AV$2-1)/9,1),"000"),"")</f>
        <v>BC052</v>
      </c>
      <c r="AW28" s="19" t="str">
        <f>IF(INDEX('Shot Map'!$B$6:$V$26,CEILING($A28/5,1),CEILING(AW$2/5,1))=1,INDEX('Serial Reference'!$A$8:$W$8,1,FLOOR(($A28-1)/23,1)+1)&amp;INDEX('Serial Reference'!$A$8:$W$8,1,MOD($A28-1,23)+1)&amp;TEXT(AW$2+FLOOR((AW$2-1)/9,1),"000"),"")</f>
        <v>BC053</v>
      </c>
      <c r="AX28" s="19" t="str">
        <f>IF(INDEX('Shot Map'!$B$6:$V$26,CEILING($A28/5,1),CEILING(AX$2/5,1))=1,INDEX('Serial Reference'!$A$8:$W$8,1,FLOOR(($A28-1)/23,1)+1)&amp;INDEX('Serial Reference'!$A$8:$W$8,1,MOD($A28-1,23)+1)&amp;TEXT(AX$2+FLOOR((AX$2-1)/9,1),"000"),"")</f>
        <v>BC054</v>
      </c>
      <c r="AY28" s="20" t="str">
        <f>IF(INDEX('Shot Map'!$B$6:$V$26,CEILING($A28/5,1),CEILING(AY$2/5,1))=1,INDEX('Serial Reference'!$A$8:$W$8,1,FLOOR(($A28-1)/23,1)+1)&amp;INDEX('Serial Reference'!$A$8:$W$8,1,MOD($A28-1,23)+1)&amp;TEXT(AY$2+FLOOR((AY$2-1)/9,1),"000"),"")</f>
        <v>BC055</v>
      </c>
      <c r="AZ28" s="18" t="str">
        <f>IF(INDEX('Shot Map'!$B$6:$V$26,CEILING($A28/5,1),CEILING(AZ$2/5,1))=1,INDEX('Serial Reference'!$A$8:$W$8,1,FLOOR(($A28-1)/23,1)+1)&amp;INDEX('Serial Reference'!$A$8:$W$8,1,MOD($A28-1,23)+1)&amp;TEXT(AZ$2+FLOOR((AZ$2-1)/9,1),"000"),"")</f>
        <v>BC056</v>
      </c>
      <c r="BA28" s="19" t="str">
        <f>IF(INDEX('Shot Map'!$B$6:$V$26,CEILING($A28/5,1),CEILING(BA$2/5,1))=1,INDEX('Serial Reference'!$A$8:$W$8,1,FLOOR(($A28-1)/23,1)+1)&amp;INDEX('Serial Reference'!$A$8:$W$8,1,MOD($A28-1,23)+1)&amp;TEXT(BA$2+FLOOR((BA$2-1)/9,1),"000"),"")</f>
        <v>BC057</v>
      </c>
      <c r="BB28" s="19" t="str">
        <f>IF(INDEX('Shot Map'!$B$6:$V$26,CEILING($A28/5,1),CEILING(BB$2/5,1))=1,INDEX('Serial Reference'!$A$8:$W$8,1,FLOOR(($A28-1)/23,1)+1)&amp;INDEX('Serial Reference'!$A$8:$W$8,1,MOD($A28-1,23)+1)&amp;TEXT(BB$2+FLOOR((BB$2-1)/9,1),"000"),"")</f>
        <v>BC058</v>
      </c>
      <c r="BC28" s="19" t="str">
        <f>IF(INDEX('Shot Map'!$B$6:$V$26,CEILING($A28/5,1),CEILING(BC$2/5,1))=1,INDEX('Serial Reference'!$A$8:$W$8,1,FLOOR(($A28-1)/23,1)+1)&amp;INDEX('Serial Reference'!$A$8:$W$8,1,MOD($A28-1,23)+1)&amp;TEXT(BC$2+FLOOR((BC$2-1)/9,1),"000"),"")</f>
        <v>BC059</v>
      </c>
      <c r="BD28" s="20" t="str">
        <f>IF(INDEX('Shot Map'!$B$6:$V$26,CEILING($A28/5,1),CEILING(BD$2/5,1))=1,INDEX('Serial Reference'!$A$8:$W$8,1,FLOOR(($A28-1)/23,1)+1)&amp;INDEX('Serial Reference'!$A$8:$W$8,1,MOD($A28-1,23)+1)&amp;TEXT(BD$2+FLOOR((BD$2-1)/9,1),"000"),"")</f>
        <v>BC061</v>
      </c>
      <c r="BE28" s="18" t="str">
        <f>IF(INDEX('Shot Map'!$B$6:$V$26,CEILING($A28/5,1),CEILING(BE$2/5,1))=1,INDEX('Serial Reference'!$A$8:$W$8,1,FLOOR(($A28-1)/23,1)+1)&amp;INDEX('Serial Reference'!$A$8:$W$8,1,MOD($A28-1,23)+1)&amp;TEXT(BE$2+FLOOR((BE$2-1)/9,1),"000"),"")</f>
        <v>BC062</v>
      </c>
      <c r="BF28" s="19" t="str">
        <f>IF(INDEX('Shot Map'!$B$6:$V$26,CEILING($A28/5,1),CEILING(BF$2/5,1))=1,INDEX('Serial Reference'!$A$8:$W$8,1,FLOOR(($A28-1)/23,1)+1)&amp;INDEX('Serial Reference'!$A$8:$W$8,1,MOD($A28-1,23)+1)&amp;TEXT(BF$2+FLOOR((BF$2-1)/9,1),"000"),"")</f>
        <v>BC063</v>
      </c>
      <c r="BG28" s="19" t="str">
        <f>IF(INDEX('Shot Map'!$B$6:$V$26,CEILING($A28/5,1),CEILING(BG$2/5,1))=1,INDEX('Serial Reference'!$A$8:$W$8,1,FLOOR(($A28-1)/23,1)+1)&amp;INDEX('Serial Reference'!$A$8:$W$8,1,MOD($A28-1,23)+1)&amp;TEXT(BG$2+FLOOR((BG$2-1)/9,1),"000"),"")</f>
        <v>BC064</v>
      </c>
      <c r="BH28" s="19" t="str">
        <f>IF(INDEX('Shot Map'!$B$6:$V$26,CEILING($A28/5,1),CEILING(BH$2/5,1))=1,INDEX('Serial Reference'!$A$8:$W$8,1,FLOOR(($A28-1)/23,1)+1)&amp;INDEX('Serial Reference'!$A$8:$W$8,1,MOD($A28-1,23)+1)&amp;TEXT(BH$2+FLOOR((BH$2-1)/9,1),"000"),"")</f>
        <v>BC065</v>
      </c>
      <c r="BI28" s="20" t="str">
        <f>IF(INDEX('Shot Map'!$B$6:$V$26,CEILING($A28/5,1),CEILING(BI$2/5,1))=1,INDEX('Serial Reference'!$A$8:$W$8,1,FLOOR(($A28-1)/23,1)+1)&amp;INDEX('Serial Reference'!$A$8:$W$8,1,MOD($A28-1,23)+1)&amp;TEXT(BI$2+FLOOR((BI$2-1)/9,1),"000"),"")</f>
        <v>BC066</v>
      </c>
      <c r="BJ28" s="18" t="str">
        <f>IF(INDEX('Shot Map'!$B$6:$V$26,CEILING($A28/5,1),CEILING(BJ$2/5,1))=1,INDEX('Serial Reference'!$A$8:$W$8,1,FLOOR(($A28-1)/23,1)+1)&amp;INDEX('Serial Reference'!$A$8:$W$8,1,MOD($A28-1,23)+1)&amp;TEXT(BJ$2+FLOOR((BJ$2-1)/9,1),"000"),"")</f>
        <v>BC067</v>
      </c>
      <c r="BK28" s="19" t="str">
        <f>IF(INDEX('Shot Map'!$B$6:$V$26,CEILING($A28/5,1),CEILING(BK$2/5,1))=1,INDEX('Serial Reference'!$A$8:$W$8,1,FLOOR(($A28-1)/23,1)+1)&amp;INDEX('Serial Reference'!$A$8:$W$8,1,MOD($A28-1,23)+1)&amp;TEXT(BK$2+FLOOR((BK$2-1)/9,1),"000"),"")</f>
        <v>BC068</v>
      </c>
      <c r="BL28" s="19" t="str">
        <f>IF(INDEX('Shot Map'!$B$6:$V$26,CEILING($A28/5,1),CEILING(BL$2/5,1))=1,INDEX('Serial Reference'!$A$8:$W$8,1,FLOOR(($A28-1)/23,1)+1)&amp;INDEX('Serial Reference'!$A$8:$W$8,1,MOD($A28-1,23)+1)&amp;TEXT(BL$2+FLOOR((BL$2-1)/9,1),"000"),"")</f>
        <v>BC069</v>
      </c>
      <c r="BM28" s="19" t="str">
        <f>IF(INDEX('Shot Map'!$B$6:$V$26,CEILING($A28/5,1),CEILING(BM$2/5,1))=1,INDEX('Serial Reference'!$A$8:$W$8,1,FLOOR(($A28-1)/23,1)+1)&amp;INDEX('Serial Reference'!$A$8:$W$8,1,MOD($A28-1,23)+1)&amp;TEXT(BM$2+FLOOR((BM$2-1)/9,1),"000"),"")</f>
        <v>BC071</v>
      </c>
      <c r="BN28" s="20" t="str">
        <f>IF(INDEX('Shot Map'!$B$6:$V$26,CEILING($A28/5,1),CEILING(BN$2/5,1))=1,INDEX('Serial Reference'!$A$8:$W$8,1,FLOOR(($A28-1)/23,1)+1)&amp;INDEX('Serial Reference'!$A$8:$W$8,1,MOD($A28-1,23)+1)&amp;TEXT(BN$2+FLOOR((BN$2-1)/9,1),"000"),"")</f>
        <v>BC072</v>
      </c>
      <c r="BO28" s="18" t="str">
        <f>IF(INDEX('Shot Map'!$B$6:$V$26,CEILING($A28/5,1),CEILING(BO$2/5,1))=1,INDEX('Serial Reference'!$A$8:$W$8,1,FLOOR(($A28-1)/23,1)+1)&amp;INDEX('Serial Reference'!$A$8:$W$8,1,MOD($A28-1,23)+1)&amp;TEXT(BO$2+FLOOR((BO$2-1)/9,1),"000"),"")</f>
        <v>BC073</v>
      </c>
      <c r="BP28" s="19" t="str">
        <f>IF(INDEX('Shot Map'!$B$6:$V$26,CEILING($A28/5,1),CEILING(BP$2/5,1))=1,INDEX('Serial Reference'!$A$8:$W$8,1,FLOOR(($A28-1)/23,1)+1)&amp;INDEX('Serial Reference'!$A$8:$W$8,1,MOD($A28-1,23)+1)&amp;TEXT(BP$2+FLOOR((BP$2-1)/9,1),"000"),"")</f>
        <v>BC074</v>
      </c>
      <c r="BQ28" s="19" t="str">
        <f>IF(INDEX('Shot Map'!$B$6:$V$26,CEILING($A28/5,1),CEILING(BQ$2/5,1))=1,INDEX('Serial Reference'!$A$8:$W$8,1,FLOOR(($A28-1)/23,1)+1)&amp;INDEX('Serial Reference'!$A$8:$W$8,1,MOD($A28-1,23)+1)&amp;TEXT(BQ$2+FLOOR((BQ$2-1)/9,1),"000"),"")</f>
        <v>BC075</v>
      </c>
      <c r="BR28" s="19" t="str">
        <f>IF(INDEX('Shot Map'!$B$6:$V$26,CEILING($A28/5,1),CEILING(BR$2/5,1))=1,INDEX('Serial Reference'!$A$8:$W$8,1,FLOOR(($A28-1)/23,1)+1)&amp;INDEX('Serial Reference'!$A$8:$W$8,1,MOD($A28-1,23)+1)&amp;TEXT(BR$2+FLOOR((BR$2-1)/9,1),"000"),"")</f>
        <v>BC076</v>
      </c>
      <c r="BS28" s="20" t="str">
        <f>IF(INDEX('Shot Map'!$B$6:$V$26,CEILING($A28/5,1),CEILING(BS$2/5,1))=1,INDEX('Serial Reference'!$A$8:$W$8,1,FLOOR(($A28-1)/23,1)+1)&amp;INDEX('Serial Reference'!$A$8:$W$8,1,MOD($A28-1,23)+1)&amp;TEXT(BS$2+FLOOR((BS$2-1)/9,1),"000"),"")</f>
        <v>BC077</v>
      </c>
      <c r="BT28" s="18" t="str">
        <f>IF(INDEX('Shot Map'!$B$6:$V$26,CEILING($A28/5,1),CEILING(BT$2/5,1))=1,INDEX('Serial Reference'!$A$8:$W$8,1,FLOOR(($A28-1)/23,1)+1)&amp;INDEX('Serial Reference'!$A$8:$W$8,1,MOD($A28-1,23)+1)&amp;TEXT(BT$2+FLOOR((BT$2-1)/9,1),"000"),"")</f>
        <v>BC078</v>
      </c>
      <c r="BU28" s="19" t="str">
        <f>IF(INDEX('Shot Map'!$B$6:$V$26,CEILING($A28/5,1),CEILING(BU$2/5,1))=1,INDEX('Serial Reference'!$A$8:$W$8,1,FLOOR(($A28-1)/23,1)+1)&amp;INDEX('Serial Reference'!$A$8:$W$8,1,MOD($A28-1,23)+1)&amp;TEXT(BU$2+FLOOR((BU$2-1)/9,1),"000"),"")</f>
        <v>BC079</v>
      </c>
      <c r="BV28" s="19" t="str">
        <f>IF(INDEX('Shot Map'!$B$6:$V$26,CEILING($A28/5,1),CEILING(BV$2/5,1))=1,INDEX('Serial Reference'!$A$8:$W$8,1,FLOOR(($A28-1)/23,1)+1)&amp;INDEX('Serial Reference'!$A$8:$W$8,1,MOD($A28-1,23)+1)&amp;TEXT(BV$2+FLOOR((BV$2-1)/9,1),"000"),"")</f>
        <v>BC081</v>
      </c>
      <c r="BW28" s="19" t="str">
        <f>IF(INDEX('Shot Map'!$B$6:$V$26,CEILING($A28/5,1),CEILING(BW$2/5,1))=1,INDEX('Serial Reference'!$A$8:$W$8,1,FLOOR(($A28-1)/23,1)+1)&amp;INDEX('Serial Reference'!$A$8:$W$8,1,MOD($A28-1,23)+1)&amp;TEXT(BW$2+FLOOR((BW$2-1)/9,1),"000"),"")</f>
        <v>BC082</v>
      </c>
      <c r="BX28" s="20" t="str">
        <f>IF(INDEX('Shot Map'!$B$6:$V$26,CEILING($A28/5,1),CEILING(BX$2/5,1))=1,INDEX('Serial Reference'!$A$8:$W$8,1,FLOOR(($A28-1)/23,1)+1)&amp;INDEX('Serial Reference'!$A$8:$W$8,1,MOD($A28-1,23)+1)&amp;TEXT(BX$2+FLOOR((BX$2-1)/9,1),"000"),"")</f>
        <v>BC083</v>
      </c>
      <c r="BY28" s="18" t="str">
        <f>IF(INDEX('Shot Map'!$B$6:$V$26,CEILING($A28/5,1),CEILING(BY$2/5,1))=1,INDEX('Serial Reference'!$A$8:$W$8,1,FLOOR(($A28-1)/23,1)+1)&amp;INDEX('Serial Reference'!$A$8:$W$8,1,MOD($A28-1,23)+1)&amp;TEXT(BY$2+FLOOR((BY$2-1)/9,1),"000"),"")</f>
        <v>BC084</v>
      </c>
      <c r="BZ28" s="19" t="str">
        <f>IF(INDEX('Shot Map'!$B$6:$V$26,CEILING($A28/5,1),CEILING(BZ$2/5,1))=1,INDEX('Serial Reference'!$A$8:$W$8,1,FLOOR(($A28-1)/23,1)+1)&amp;INDEX('Serial Reference'!$A$8:$W$8,1,MOD($A28-1,23)+1)&amp;TEXT(BZ$2+FLOOR((BZ$2-1)/9,1),"000"),"")</f>
        <v>BC085</v>
      </c>
      <c r="CA28" s="19" t="str">
        <f>IF(INDEX('Shot Map'!$B$6:$V$26,CEILING($A28/5,1),CEILING(CA$2/5,1))=1,INDEX('Serial Reference'!$A$8:$W$8,1,FLOOR(($A28-1)/23,1)+1)&amp;INDEX('Serial Reference'!$A$8:$W$8,1,MOD($A28-1,23)+1)&amp;TEXT(CA$2+FLOOR((CA$2-1)/9,1),"000"),"")</f>
        <v>BC086</v>
      </c>
      <c r="CB28" s="19" t="str">
        <f>IF(INDEX('Shot Map'!$B$6:$V$26,CEILING($A28/5,1),CEILING(CB$2/5,1))=1,INDEX('Serial Reference'!$A$8:$W$8,1,FLOOR(($A28-1)/23,1)+1)&amp;INDEX('Serial Reference'!$A$8:$W$8,1,MOD($A28-1,23)+1)&amp;TEXT(CB$2+FLOOR((CB$2-1)/9,1),"000"),"")</f>
        <v>BC087</v>
      </c>
      <c r="CC28" s="20" t="str">
        <f>IF(INDEX('Shot Map'!$B$6:$V$26,CEILING($A28/5,1),CEILING(CC$2/5,1))=1,INDEX('Serial Reference'!$A$8:$W$8,1,FLOOR(($A28-1)/23,1)+1)&amp;INDEX('Serial Reference'!$A$8:$W$8,1,MOD($A28-1,23)+1)&amp;TEXT(CC$2+FLOOR((CC$2-1)/9,1),"000"),"")</f>
        <v>BC088</v>
      </c>
      <c r="CD28" s="18" t="str">
        <f>IF(INDEX('Shot Map'!$B$6:$V$26,CEILING($A28/5,1),CEILING(CD$2/5,1))=1,INDEX('Serial Reference'!$A$8:$W$8,1,FLOOR(($A28-1)/23,1)+1)&amp;INDEX('Serial Reference'!$A$8:$W$8,1,MOD($A28-1,23)+1)&amp;TEXT(CD$2+FLOOR((CD$2-1)/9,1),"000"),"")</f>
        <v>BC089</v>
      </c>
      <c r="CE28" s="19" t="str">
        <f>IF(INDEX('Shot Map'!$B$6:$V$26,CEILING($A28/5,1),CEILING(CE$2/5,1))=1,INDEX('Serial Reference'!$A$8:$W$8,1,FLOOR(($A28-1)/23,1)+1)&amp;INDEX('Serial Reference'!$A$8:$W$8,1,MOD($A28-1,23)+1)&amp;TEXT(CE$2+FLOOR((CE$2-1)/9,1),"000"),"")</f>
        <v>BC091</v>
      </c>
      <c r="CF28" s="19" t="str">
        <f>IF(INDEX('Shot Map'!$B$6:$V$26,CEILING($A28/5,1),CEILING(CF$2/5,1))=1,INDEX('Serial Reference'!$A$8:$W$8,1,FLOOR(($A28-1)/23,1)+1)&amp;INDEX('Serial Reference'!$A$8:$W$8,1,MOD($A28-1,23)+1)&amp;TEXT(CF$2+FLOOR((CF$2-1)/9,1),"000"),"")</f>
        <v>BC092</v>
      </c>
      <c r="CG28" s="19" t="str">
        <f>IF(INDEX('Shot Map'!$B$6:$V$26,CEILING($A28/5,1),CEILING(CG$2/5,1))=1,INDEX('Serial Reference'!$A$8:$W$8,1,FLOOR(($A28-1)/23,1)+1)&amp;INDEX('Serial Reference'!$A$8:$W$8,1,MOD($A28-1,23)+1)&amp;TEXT(CG$2+FLOOR((CG$2-1)/9,1),"000"),"")</f>
        <v>BC093</v>
      </c>
      <c r="CH28" s="20" t="str">
        <f>IF(INDEX('Shot Map'!$B$6:$V$26,CEILING($A28/5,1),CEILING(CH$2/5,1))=1,INDEX('Serial Reference'!$A$8:$W$8,1,FLOOR(($A28-1)/23,1)+1)&amp;INDEX('Serial Reference'!$A$8:$W$8,1,MOD($A28-1,23)+1)&amp;TEXT(CH$2+FLOOR((CH$2-1)/9,1),"000"),"")</f>
        <v>BC094</v>
      </c>
      <c r="CI28" s="18" t="str">
        <f>IF(INDEX('Shot Map'!$B$6:$V$26,CEILING($A28/5,1),CEILING(CI$2/5,1))=1,INDEX('Serial Reference'!$A$8:$W$8,1,FLOOR(($A28-1)/23,1)+1)&amp;INDEX('Serial Reference'!$A$8:$W$8,1,MOD($A28-1,23)+1)&amp;TEXT(CI$2+FLOOR((CI$2-1)/9,1),"000"),"")</f>
        <v>BC095</v>
      </c>
      <c r="CJ28" s="19" t="str">
        <f>IF(INDEX('Shot Map'!$B$6:$V$26,CEILING($A28/5,1),CEILING(CJ$2/5,1))=1,INDEX('Serial Reference'!$A$8:$W$8,1,FLOOR(($A28-1)/23,1)+1)&amp;INDEX('Serial Reference'!$A$8:$W$8,1,MOD($A28-1,23)+1)&amp;TEXT(CJ$2+FLOOR((CJ$2-1)/9,1),"000"),"")</f>
        <v>BC096</v>
      </c>
      <c r="CK28" s="19" t="str">
        <f>IF(INDEX('Shot Map'!$B$6:$V$26,CEILING($A28/5,1),CEILING(CK$2/5,1))=1,INDEX('Serial Reference'!$A$8:$W$8,1,FLOOR(($A28-1)/23,1)+1)&amp;INDEX('Serial Reference'!$A$8:$W$8,1,MOD($A28-1,23)+1)&amp;TEXT(CK$2+FLOOR((CK$2-1)/9,1),"000"),"")</f>
        <v>BC097</v>
      </c>
      <c r="CL28" s="19" t="str">
        <f>IF(INDEX('Shot Map'!$B$6:$V$26,CEILING($A28/5,1),CEILING(CL$2/5,1))=1,INDEX('Serial Reference'!$A$8:$W$8,1,FLOOR(($A28-1)/23,1)+1)&amp;INDEX('Serial Reference'!$A$8:$W$8,1,MOD($A28-1,23)+1)&amp;TEXT(CL$2+FLOOR((CL$2-1)/9,1),"000"),"")</f>
        <v>BC098</v>
      </c>
      <c r="CM28" s="20" t="str">
        <f>IF(INDEX('Shot Map'!$B$6:$V$26,CEILING($A28/5,1),CEILING(CM$2/5,1))=1,INDEX('Serial Reference'!$A$8:$W$8,1,FLOOR(($A28-1)/23,1)+1)&amp;INDEX('Serial Reference'!$A$8:$W$8,1,MOD($A28-1,23)+1)&amp;TEXT(CM$2+FLOOR((CM$2-1)/9,1),"000"),"")</f>
        <v>BC099</v>
      </c>
      <c r="CN28" s="18" t="str">
        <f>IF(INDEX('Shot Map'!$B$6:$V$26,CEILING($A28/5,1),CEILING(CN$2/5,1))=1,INDEX('Serial Reference'!$A$8:$W$8,1,FLOOR(($A28-1)/23,1)+1)&amp;INDEX('Serial Reference'!$A$8:$W$8,1,MOD($A28-1,23)+1)&amp;TEXT(CN$2+FLOOR((CN$2-1)/9,1),"000"),"")</f>
        <v>BC101</v>
      </c>
      <c r="CO28" s="19" t="str">
        <f>IF(INDEX('Shot Map'!$B$6:$V$26,CEILING($A28/5,1),CEILING(CO$2/5,1))=1,INDEX('Serial Reference'!$A$8:$W$8,1,FLOOR(($A28-1)/23,1)+1)&amp;INDEX('Serial Reference'!$A$8:$W$8,1,MOD($A28-1,23)+1)&amp;TEXT(CO$2+FLOOR((CO$2-1)/9,1),"000"),"")</f>
        <v>BC102</v>
      </c>
      <c r="CP28" s="19" t="str">
        <f>IF(INDEX('Shot Map'!$B$6:$V$26,CEILING($A28/5,1),CEILING(CP$2/5,1))=1,INDEX('Serial Reference'!$A$8:$W$8,1,FLOOR(($A28-1)/23,1)+1)&amp;INDEX('Serial Reference'!$A$8:$W$8,1,MOD($A28-1,23)+1)&amp;TEXT(CP$2+FLOOR((CP$2-1)/9,1),"000"),"")</f>
        <v>BC103</v>
      </c>
      <c r="CQ28" s="19" t="str">
        <f>IF(INDEX('Shot Map'!$B$6:$V$26,CEILING($A28/5,1),CEILING(CQ$2/5,1))=1,INDEX('Serial Reference'!$A$8:$W$8,1,FLOOR(($A28-1)/23,1)+1)&amp;INDEX('Serial Reference'!$A$8:$W$8,1,MOD($A28-1,23)+1)&amp;TEXT(CQ$2+FLOOR((CQ$2-1)/9,1),"000"),"")</f>
        <v>BC104</v>
      </c>
      <c r="CR28" s="20" t="str">
        <f>IF(INDEX('Shot Map'!$B$6:$V$26,CEILING($A28/5,1),CEILING(CR$2/5,1))=1,INDEX('Serial Reference'!$A$8:$W$8,1,FLOOR(($A28-1)/23,1)+1)&amp;INDEX('Serial Reference'!$A$8:$W$8,1,MOD($A28-1,23)+1)&amp;TEXT(CR$2+FLOOR((CR$2-1)/9,1),"000"),"")</f>
        <v>BC105</v>
      </c>
      <c r="CS28" s="18" t="str">
        <f>IF(INDEX('Shot Map'!$B$6:$V$26,CEILING($A28/5,1),CEILING(CS$2/5,1))=1,INDEX('Serial Reference'!$A$8:$W$8,1,FLOOR(($A28-1)/23,1)+1)&amp;INDEX('Serial Reference'!$A$8:$W$8,1,MOD($A28-1,23)+1)&amp;TEXT(CS$2+FLOOR((CS$2-1)/9,1),"000"),"")</f>
        <v/>
      </c>
      <c r="CT28" s="19" t="str">
        <f>IF(INDEX('Shot Map'!$B$6:$V$26,CEILING($A28/5,1),CEILING(CT$2/5,1))=1,INDEX('Serial Reference'!$A$8:$W$8,1,FLOOR(($A28-1)/23,1)+1)&amp;INDEX('Serial Reference'!$A$8:$W$8,1,MOD($A28-1,23)+1)&amp;TEXT(CT$2+FLOOR((CT$2-1)/9,1),"000"),"")</f>
        <v/>
      </c>
      <c r="CU28" s="19" t="str">
        <f>IF(INDEX('Shot Map'!$B$6:$V$26,CEILING($A28/5,1),CEILING(CU$2/5,1))=1,INDEX('Serial Reference'!$A$8:$W$8,1,FLOOR(($A28-1)/23,1)+1)&amp;INDEX('Serial Reference'!$A$8:$W$8,1,MOD($A28-1,23)+1)&amp;TEXT(CU$2+FLOOR((CU$2-1)/9,1),"000"),"")</f>
        <v/>
      </c>
      <c r="CV28" s="19" t="str">
        <f>IF(INDEX('Shot Map'!$B$6:$V$26,CEILING($A28/5,1),CEILING(CV$2/5,1))=1,INDEX('Serial Reference'!$A$8:$W$8,1,FLOOR(($A28-1)/23,1)+1)&amp;INDEX('Serial Reference'!$A$8:$W$8,1,MOD($A28-1,23)+1)&amp;TEXT(CV$2+FLOOR((CV$2-1)/9,1),"000"),"")</f>
        <v/>
      </c>
      <c r="CW28" s="20" t="str">
        <f>IF(INDEX('Shot Map'!$B$6:$V$26,CEILING($A28/5,1),CEILING(CW$2/5,1))=1,INDEX('Serial Reference'!$A$8:$W$8,1,FLOOR(($A28-1)/23,1)+1)&amp;INDEX('Serial Reference'!$A$8:$W$8,1,MOD($A28-1,23)+1)&amp;TEXT(CW$2+FLOOR((CW$2-1)/9,1),"000"),"")</f>
        <v/>
      </c>
      <c r="CX28" s="18" t="str">
        <f>IF(INDEX('Shot Map'!$B$6:$V$26,CEILING($A28/5,1),CEILING(CX$2/5,1))=1,INDEX('Serial Reference'!$A$8:$W$8,1,FLOOR(($A28-1)/23,1)+1)&amp;INDEX('Serial Reference'!$A$8:$W$8,1,MOD($A28-1,23)+1)&amp;TEXT(CX$2+FLOOR((CX$2-1)/9,1),"000"),"")</f>
        <v/>
      </c>
      <c r="CY28" s="19" t="str">
        <f>IF(INDEX('Shot Map'!$B$6:$V$26,CEILING($A28/5,1),CEILING(CY$2/5,1))=1,INDEX('Serial Reference'!$A$8:$W$8,1,FLOOR(($A28-1)/23,1)+1)&amp;INDEX('Serial Reference'!$A$8:$W$8,1,MOD($A28-1,23)+1)&amp;TEXT(CY$2+FLOOR((CY$2-1)/9,1),"000"),"")</f>
        <v/>
      </c>
      <c r="CZ28" s="19" t="str">
        <f>IF(INDEX('Shot Map'!$B$6:$V$26,CEILING($A28/5,1),CEILING(CZ$2/5,1))=1,INDEX('Serial Reference'!$A$8:$W$8,1,FLOOR(($A28-1)/23,1)+1)&amp;INDEX('Serial Reference'!$A$8:$W$8,1,MOD($A28-1,23)+1)&amp;TEXT(CZ$2+FLOOR((CZ$2-1)/9,1),"000"),"")</f>
        <v/>
      </c>
      <c r="DA28" s="19" t="str">
        <f>IF(INDEX('Shot Map'!$B$6:$V$26,CEILING($A28/5,1),CEILING(DA$2/5,1))=1,INDEX('Serial Reference'!$A$8:$W$8,1,FLOOR(($A28-1)/23,1)+1)&amp;INDEX('Serial Reference'!$A$8:$W$8,1,MOD($A28-1,23)+1)&amp;TEXT(DA$2+FLOOR((DA$2-1)/9,1),"000"),"")</f>
        <v/>
      </c>
      <c r="DB28" s="20" t="str">
        <f>IF(INDEX('Shot Map'!$B$6:$V$26,CEILING($A28/5,1),CEILING(DB$2/5,1))=1,INDEX('Serial Reference'!$A$8:$W$8,1,FLOOR(($A28-1)/23,1)+1)&amp;INDEX('Serial Reference'!$A$8:$W$8,1,MOD($A28-1,23)+1)&amp;TEXT(DB$2+FLOOR((DB$2-1)/9,1),"000"),"")</f>
        <v/>
      </c>
    </row>
    <row r="29" spans="1:106" ht="12.75" customHeight="1" x14ac:dyDescent="0.25">
      <c r="A29" s="17">
        <v>27</v>
      </c>
      <c r="B29" s="21" t="str">
        <f>IF(INDEX('Shot Map'!$B$6:$V$26,CEILING($A29/5,1),CEILING(B$2/5,1))=1,INDEX('Serial Reference'!$A$8:$W$8,1,FLOOR(($A29-1)/23,1)+1)&amp;INDEX('Serial Reference'!$A$8:$W$8,1,MOD($A29-1,23)+1)&amp;TEXT(B$2+FLOOR((B$2-1)/9,1),"000"),"")</f>
        <v/>
      </c>
      <c r="C29" s="22" t="str">
        <f>IF(INDEX('Shot Map'!$B$6:$V$26,CEILING($A29/5,1),CEILING(C$2/5,1))=1,INDEX('Serial Reference'!$A$8:$W$8,1,FLOOR(($A29-1)/23,1)+1)&amp;INDEX('Serial Reference'!$A$8:$W$8,1,MOD($A29-1,23)+1)&amp;TEXT(C$2+FLOOR((C$2-1)/9,1),"000"),"")</f>
        <v/>
      </c>
      <c r="D29" s="22" t="str">
        <f>IF(INDEX('Shot Map'!$B$6:$V$26,CEILING($A29/5,1),CEILING(D$2/5,1))=1,INDEX('Serial Reference'!$A$8:$W$8,1,FLOOR(($A29-1)/23,1)+1)&amp;INDEX('Serial Reference'!$A$8:$W$8,1,MOD($A29-1,23)+1)&amp;TEXT(D$2+FLOOR((D$2-1)/9,1),"000"),"")</f>
        <v/>
      </c>
      <c r="E29" s="22" t="str">
        <f>IF(INDEX('Shot Map'!$B$6:$V$26,CEILING($A29/5,1),CEILING(E$2/5,1))=1,INDEX('Serial Reference'!$A$8:$W$8,1,FLOOR(($A29-1)/23,1)+1)&amp;INDEX('Serial Reference'!$A$8:$W$8,1,MOD($A29-1,23)+1)&amp;TEXT(E$2+FLOOR((E$2-1)/9,1),"000"),"")</f>
        <v/>
      </c>
      <c r="F29" s="23" t="str">
        <f>IF(INDEX('Shot Map'!$B$6:$V$26,CEILING($A29/5,1),CEILING(F$2/5,1))=1,INDEX('Serial Reference'!$A$8:$W$8,1,FLOOR(($A29-1)/23,1)+1)&amp;INDEX('Serial Reference'!$A$8:$W$8,1,MOD($A29-1,23)+1)&amp;TEXT(F$2+FLOOR((F$2-1)/9,1),"000"),"")</f>
        <v/>
      </c>
      <c r="G29" s="21" t="str">
        <f>IF(INDEX('Shot Map'!$B$6:$V$26,CEILING($A29/5,1),CEILING(G$2/5,1))=1,INDEX('Serial Reference'!$A$8:$W$8,1,FLOOR(($A29-1)/23,1)+1)&amp;INDEX('Serial Reference'!$A$8:$W$8,1,MOD($A29-1,23)+1)&amp;TEXT(G$2+FLOOR((G$2-1)/9,1),"000"),"")</f>
        <v/>
      </c>
      <c r="H29" s="22" t="str">
        <f>IF(INDEX('Shot Map'!$B$6:$V$26,CEILING($A29/5,1),CEILING(H$2/5,1))=1,INDEX('Serial Reference'!$A$8:$W$8,1,FLOOR(($A29-1)/23,1)+1)&amp;INDEX('Serial Reference'!$A$8:$W$8,1,MOD($A29-1,23)+1)&amp;TEXT(H$2+FLOOR((H$2-1)/9,1),"000"),"")</f>
        <v/>
      </c>
      <c r="I29" s="22" t="str">
        <f>IF(INDEX('Shot Map'!$B$6:$V$26,CEILING($A29/5,1),CEILING(I$2/5,1))=1,INDEX('Serial Reference'!$A$8:$W$8,1,FLOOR(($A29-1)/23,1)+1)&amp;INDEX('Serial Reference'!$A$8:$W$8,1,MOD($A29-1,23)+1)&amp;TEXT(I$2+FLOOR((I$2-1)/9,1),"000"),"")</f>
        <v/>
      </c>
      <c r="J29" s="22" t="str">
        <f>IF(INDEX('Shot Map'!$B$6:$V$26,CEILING($A29/5,1),CEILING(J$2/5,1))=1,INDEX('Serial Reference'!$A$8:$W$8,1,FLOOR(($A29-1)/23,1)+1)&amp;INDEX('Serial Reference'!$A$8:$W$8,1,MOD($A29-1,23)+1)&amp;TEXT(J$2+FLOOR((J$2-1)/9,1),"000"),"")</f>
        <v/>
      </c>
      <c r="K29" s="23" t="str">
        <f>IF(INDEX('Shot Map'!$B$6:$V$26,CEILING($A29/5,1),CEILING(K$2/5,1))=1,INDEX('Serial Reference'!$A$8:$W$8,1,FLOOR(($A29-1)/23,1)+1)&amp;INDEX('Serial Reference'!$A$8:$W$8,1,MOD($A29-1,23)+1)&amp;TEXT(K$2+FLOOR((K$2-1)/9,1),"000"),"")</f>
        <v/>
      </c>
      <c r="L29" s="21" t="str">
        <f>IF(INDEX('Shot Map'!$B$6:$V$26,CEILING($A29/5,1),CEILING(L$2/5,1))=1,INDEX('Serial Reference'!$A$8:$W$8,1,FLOOR(($A29-1)/23,1)+1)&amp;INDEX('Serial Reference'!$A$8:$W$8,1,MOD($A29-1,23)+1)&amp;TEXT(L$2+FLOOR((L$2-1)/9,1),"000"),"")</f>
        <v>BD012</v>
      </c>
      <c r="M29" s="22" t="str">
        <f>IF(INDEX('Shot Map'!$B$6:$V$26,CEILING($A29/5,1),CEILING(M$2/5,1))=1,INDEX('Serial Reference'!$A$8:$W$8,1,FLOOR(($A29-1)/23,1)+1)&amp;INDEX('Serial Reference'!$A$8:$W$8,1,MOD($A29-1,23)+1)&amp;TEXT(M$2+FLOOR((M$2-1)/9,1),"000"),"")</f>
        <v>BD013</v>
      </c>
      <c r="N29" s="22" t="str">
        <f>IF(INDEX('Shot Map'!$B$6:$V$26,CEILING($A29/5,1),CEILING(N$2/5,1))=1,INDEX('Serial Reference'!$A$8:$W$8,1,FLOOR(($A29-1)/23,1)+1)&amp;INDEX('Serial Reference'!$A$8:$W$8,1,MOD($A29-1,23)+1)&amp;TEXT(N$2+FLOOR((N$2-1)/9,1),"000"),"")</f>
        <v>BD014</v>
      </c>
      <c r="O29" s="22" t="str">
        <f>IF(INDEX('Shot Map'!$B$6:$V$26,CEILING($A29/5,1),CEILING(O$2/5,1))=1,INDEX('Serial Reference'!$A$8:$W$8,1,FLOOR(($A29-1)/23,1)+1)&amp;INDEX('Serial Reference'!$A$8:$W$8,1,MOD($A29-1,23)+1)&amp;TEXT(O$2+FLOOR((O$2-1)/9,1),"000"),"")</f>
        <v>BD015</v>
      </c>
      <c r="P29" s="23" t="str">
        <f>IF(INDEX('Shot Map'!$B$6:$V$26,CEILING($A29/5,1),CEILING(P$2/5,1))=1,INDEX('Serial Reference'!$A$8:$W$8,1,FLOOR(($A29-1)/23,1)+1)&amp;INDEX('Serial Reference'!$A$8:$W$8,1,MOD($A29-1,23)+1)&amp;TEXT(P$2+FLOOR((P$2-1)/9,1),"000"),"")</f>
        <v>BD016</v>
      </c>
      <c r="Q29" s="21" t="str">
        <f>IF(INDEX('Shot Map'!$B$6:$V$26,CEILING($A29/5,1),CEILING(Q$2/5,1))=1,INDEX('Serial Reference'!$A$8:$W$8,1,FLOOR(($A29-1)/23,1)+1)&amp;INDEX('Serial Reference'!$A$8:$W$8,1,MOD($A29-1,23)+1)&amp;TEXT(Q$2+FLOOR((Q$2-1)/9,1),"000"),"")</f>
        <v>BD017</v>
      </c>
      <c r="R29" s="22" t="str">
        <f>IF(INDEX('Shot Map'!$B$6:$V$26,CEILING($A29/5,1),CEILING(R$2/5,1))=1,INDEX('Serial Reference'!$A$8:$W$8,1,FLOOR(($A29-1)/23,1)+1)&amp;INDEX('Serial Reference'!$A$8:$W$8,1,MOD($A29-1,23)+1)&amp;TEXT(R$2+FLOOR((R$2-1)/9,1),"000"),"")</f>
        <v>BD018</v>
      </c>
      <c r="S29" s="22" t="str">
        <f>IF(INDEX('Shot Map'!$B$6:$V$26,CEILING($A29/5,1),CEILING(S$2/5,1))=1,INDEX('Serial Reference'!$A$8:$W$8,1,FLOOR(($A29-1)/23,1)+1)&amp;INDEX('Serial Reference'!$A$8:$W$8,1,MOD($A29-1,23)+1)&amp;TEXT(S$2+FLOOR((S$2-1)/9,1),"000"),"")</f>
        <v>BD019</v>
      </c>
      <c r="T29" s="22" t="str">
        <f>IF(INDEX('Shot Map'!$B$6:$V$26,CEILING($A29/5,1),CEILING(T$2/5,1))=1,INDEX('Serial Reference'!$A$8:$W$8,1,FLOOR(($A29-1)/23,1)+1)&amp;INDEX('Serial Reference'!$A$8:$W$8,1,MOD($A29-1,23)+1)&amp;TEXT(T$2+FLOOR((T$2-1)/9,1),"000"),"")</f>
        <v>BD021</v>
      </c>
      <c r="U29" s="23" t="str">
        <f>IF(INDEX('Shot Map'!$B$6:$V$26,CEILING($A29/5,1),CEILING(U$2/5,1))=1,INDEX('Serial Reference'!$A$8:$W$8,1,FLOOR(($A29-1)/23,1)+1)&amp;INDEX('Serial Reference'!$A$8:$W$8,1,MOD($A29-1,23)+1)&amp;TEXT(U$2+FLOOR((U$2-1)/9,1),"000"),"")</f>
        <v>BD022</v>
      </c>
      <c r="V29" s="21" t="str">
        <f>IF(INDEX('Shot Map'!$B$6:$V$26,CEILING($A29/5,1),CEILING(V$2/5,1))=1,INDEX('Serial Reference'!$A$8:$W$8,1,FLOOR(($A29-1)/23,1)+1)&amp;INDEX('Serial Reference'!$A$8:$W$8,1,MOD($A29-1,23)+1)&amp;TEXT(V$2+FLOOR((V$2-1)/9,1),"000"),"")</f>
        <v>BD023</v>
      </c>
      <c r="W29" s="22" t="str">
        <f>IF(INDEX('Shot Map'!$B$6:$V$26,CEILING($A29/5,1),CEILING(W$2/5,1))=1,INDEX('Serial Reference'!$A$8:$W$8,1,FLOOR(($A29-1)/23,1)+1)&amp;INDEX('Serial Reference'!$A$8:$W$8,1,MOD($A29-1,23)+1)&amp;TEXT(W$2+FLOOR((W$2-1)/9,1),"000"),"")</f>
        <v>BD024</v>
      </c>
      <c r="X29" s="22" t="str">
        <f>IF(INDEX('Shot Map'!$B$6:$V$26,CEILING($A29/5,1),CEILING(X$2/5,1))=1,INDEX('Serial Reference'!$A$8:$W$8,1,FLOOR(($A29-1)/23,1)+1)&amp;INDEX('Serial Reference'!$A$8:$W$8,1,MOD($A29-1,23)+1)&amp;TEXT(X$2+FLOOR((X$2-1)/9,1),"000"),"")</f>
        <v>BD025</v>
      </c>
      <c r="Y29" s="22" t="str">
        <f>IF(INDEX('Shot Map'!$B$6:$V$26,CEILING($A29/5,1),CEILING(Y$2/5,1))=1,INDEX('Serial Reference'!$A$8:$W$8,1,FLOOR(($A29-1)/23,1)+1)&amp;INDEX('Serial Reference'!$A$8:$W$8,1,MOD($A29-1,23)+1)&amp;TEXT(Y$2+FLOOR((Y$2-1)/9,1),"000"),"")</f>
        <v>BD026</v>
      </c>
      <c r="Z29" s="23" t="str">
        <f>IF(INDEX('Shot Map'!$B$6:$V$26,CEILING($A29/5,1),CEILING(Z$2/5,1))=1,INDEX('Serial Reference'!$A$8:$W$8,1,FLOOR(($A29-1)/23,1)+1)&amp;INDEX('Serial Reference'!$A$8:$W$8,1,MOD($A29-1,23)+1)&amp;TEXT(Z$2+FLOOR((Z$2-1)/9,1),"000"),"")</f>
        <v>BD027</v>
      </c>
      <c r="AA29" s="21" t="str">
        <f>IF(INDEX('Shot Map'!$B$6:$V$26,CEILING($A29/5,1),CEILING(AA$2/5,1))=1,INDEX('Serial Reference'!$A$8:$W$8,1,FLOOR(($A29-1)/23,1)+1)&amp;INDEX('Serial Reference'!$A$8:$W$8,1,MOD($A29-1,23)+1)&amp;TEXT(AA$2+FLOOR((AA$2-1)/9,1),"000"),"")</f>
        <v>BD028</v>
      </c>
      <c r="AB29" s="22" t="str">
        <f>IF(INDEX('Shot Map'!$B$6:$V$26,CEILING($A29/5,1),CEILING(AB$2/5,1))=1,INDEX('Serial Reference'!$A$8:$W$8,1,FLOOR(($A29-1)/23,1)+1)&amp;INDEX('Serial Reference'!$A$8:$W$8,1,MOD($A29-1,23)+1)&amp;TEXT(AB$2+FLOOR((AB$2-1)/9,1),"000"),"")</f>
        <v>BD029</v>
      </c>
      <c r="AC29" s="22" t="str">
        <f>IF(INDEX('Shot Map'!$B$6:$V$26,CEILING($A29/5,1),CEILING(AC$2/5,1))=1,INDEX('Serial Reference'!$A$8:$W$8,1,FLOOR(($A29-1)/23,1)+1)&amp;INDEX('Serial Reference'!$A$8:$W$8,1,MOD($A29-1,23)+1)&amp;TEXT(AC$2+FLOOR((AC$2-1)/9,1),"000"),"")</f>
        <v>BD031</v>
      </c>
      <c r="AD29" s="22" t="str">
        <f>IF(INDEX('Shot Map'!$B$6:$V$26,CEILING($A29/5,1),CEILING(AD$2/5,1))=1,INDEX('Serial Reference'!$A$8:$W$8,1,FLOOR(($A29-1)/23,1)+1)&amp;INDEX('Serial Reference'!$A$8:$W$8,1,MOD($A29-1,23)+1)&amp;TEXT(AD$2+FLOOR((AD$2-1)/9,1),"000"),"")</f>
        <v>BD032</v>
      </c>
      <c r="AE29" s="23" t="str">
        <f>IF(INDEX('Shot Map'!$B$6:$V$26,CEILING($A29/5,1),CEILING(AE$2/5,1))=1,INDEX('Serial Reference'!$A$8:$W$8,1,FLOOR(($A29-1)/23,1)+1)&amp;INDEX('Serial Reference'!$A$8:$W$8,1,MOD($A29-1,23)+1)&amp;TEXT(AE$2+FLOOR((AE$2-1)/9,1),"000"),"")</f>
        <v>BD033</v>
      </c>
      <c r="AF29" s="21" t="str">
        <f>IF(INDEX('Shot Map'!$B$6:$V$26,CEILING($A29/5,1),CEILING(AF$2/5,1))=1,INDEX('Serial Reference'!$A$8:$W$8,1,FLOOR(($A29-1)/23,1)+1)&amp;INDEX('Serial Reference'!$A$8:$W$8,1,MOD($A29-1,23)+1)&amp;TEXT(AF$2+FLOOR((AF$2-1)/9,1),"000"),"")</f>
        <v>BD034</v>
      </c>
      <c r="AG29" s="22" t="str">
        <f>IF(INDEX('Shot Map'!$B$6:$V$26,CEILING($A29/5,1),CEILING(AG$2/5,1))=1,INDEX('Serial Reference'!$A$8:$W$8,1,FLOOR(($A29-1)/23,1)+1)&amp;INDEX('Serial Reference'!$A$8:$W$8,1,MOD($A29-1,23)+1)&amp;TEXT(AG$2+FLOOR((AG$2-1)/9,1),"000"),"")</f>
        <v>BD035</v>
      </c>
      <c r="AH29" s="22" t="str">
        <f>IF(INDEX('Shot Map'!$B$6:$V$26,CEILING($A29/5,1),CEILING(AH$2/5,1))=1,INDEX('Serial Reference'!$A$8:$W$8,1,FLOOR(($A29-1)/23,1)+1)&amp;INDEX('Serial Reference'!$A$8:$W$8,1,MOD($A29-1,23)+1)&amp;TEXT(AH$2+FLOOR((AH$2-1)/9,1),"000"),"")</f>
        <v>BD036</v>
      </c>
      <c r="AI29" s="22" t="str">
        <f>IF(INDEX('Shot Map'!$B$6:$V$26,CEILING($A29/5,1),CEILING(AI$2/5,1))=1,INDEX('Serial Reference'!$A$8:$W$8,1,FLOOR(($A29-1)/23,1)+1)&amp;INDEX('Serial Reference'!$A$8:$W$8,1,MOD($A29-1,23)+1)&amp;TEXT(AI$2+FLOOR((AI$2-1)/9,1),"000"),"")</f>
        <v>BD037</v>
      </c>
      <c r="AJ29" s="23" t="str">
        <f>IF(INDEX('Shot Map'!$B$6:$V$26,CEILING($A29/5,1),CEILING(AJ$2/5,1))=1,INDEX('Serial Reference'!$A$8:$W$8,1,FLOOR(($A29-1)/23,1)+1)&amp;INDEX('Serial Reference'!$A$8:$W$8,1,MOD($A29-1,23)+1)&amp;TEXT(AJ$2+FLOOR((AJ$2-1)/9,1),"000"),"")</f>
        <v>BD038</v>
      </c>
      <c r="AK29" s="21" t="str">
        <f>IF(INDEX('Shot Map'!$B$6:$V$26,CEILING($A29/5,1),CEILING(AK$2/5,1))=1,INDEX('Serial Reference'!$A$8:$W$8,1,FLOOR(($A29-1)/23,1)+1)&amp;INDEX('Serial Reference'!$A$8:$W$8,1,MOD($A29-1,23)+1)&amp;TEXT(AK$2+FLOOR((AK$2-1)/9,1),"000"),"")</f>
        <v>BD039</v>
      </c>
      <c r="AL29" s="22" t="str">
        <f>IF(INDEX('Shot Map'!$B$6:$V$26,CEILING($A29/5,1),CEILING(AL$2/5,1))=1,INDEX('Serial Reference'!$A$8:$W$8,1,FLOOR(($A29-1)/23,1)+1)&amp;INDEX('Serial Reference'!$A$8:$W$8,1,MOD($A29-1,23)+1)&amp;TEXT(AL$2+FLOOR((AL$2-1)/9,1),"000"),"")</f>
        <v>BD041</v>
      </c>
      <c r="AM29" s="22" t="str">
        <f>IF(INDEX('Shot Map'!$B$6:$V$26,CEILING($A29/5,1),CEILING(AM$2/5,1))=1,INDEX('Serial Reference'!$A$8:$W$8,1,FLOOR(($A29-1)/23,1)+1)&amp;INDEX('Serial Reference'!$A$8:$W$8,1,MOD($A29-1,23)+1)&amp;TEXT(AM$2+FLOOR((AM$2-1)/9,1),"000"),"")</f>
        <v>BD042</v>
      </c>
      <c r="AN29" s="22" t="str">
        <f>IF(INDEX('Shot Map'!$B$6:$V$26,CEILING($A29/5,1),CEILING(AN$2/5,1))=1,INDEX('Serial Reference'!$A$8:$W$8,1,FLOOR(($A29-1)/23,1)+1)&amp;INDEX('Serial Reference'!$A$8:$W$8,1,MOD($A29-1,23)+1)&amp;TEXT(AN$2+FLOOR((AN$2-1)/9,1),"000"),"")</f>
        <v>BD043</v>
      </c>
      <c r="AO29" s="23" t="str">
        <f>IF(INDEX('Shot Map'!$B$6:$V$26,CEILING($A29/5,1),CEILING(AO$2/5,1))=1,INDEX('Serial Reference'!$A$8:$W$8,1,FLOOR(($A29-1)/23,1)+1)&amp;INDEX('Serial Reference'!$A$8:$W$8,1,MOD($A29-1,23)+1)&amp;TEXT(AO$2+FLOOR((AO$2-1)/9,1),"000"),"")</f>
        <v>BD044</v>
      </c>
      <c r="AP29" s="21" t="str">
        <f>IF(INDEX('Shot Map'!$B$6:$V$26,CEILING($A29/5,1),CEILING(AP$2/5,1))=1,INDEX('Serial Reference'!$A$8:$W$8,1,FLOOR(($A29-1)/23,1)+1)&amp;INDEX('Serial Reference'!$A$8:$W$8,1,MOD($A29-1,23)+1)&amp;TEXT(AP$2+FLOOR((AP$2-1)/9,1),"000"),"")</f>
        <v>BD045</v>
      </c>
      <c r="AQ29" s="22" t="str">
        <f>IF(INDEX('Shot Map'!$B$6:$V$26,CEILING($A29/5,1),CEILING(AQ$2/5,1))=1,INDEX('Serial Reference'!$A$8:$W$8,1,FLOOR(($A29-1)/23,1)+1)&amp;INDEX('Serial Reference'!$A$8:$W$8,1,MOD($A29-1,23)+1)&amp;TEXT(AQ$2+FLOOR((AQ$2-1)/9,1),"000"),"")</f>
        <v>BD046</v>
      </c>
      <c r="AR29" s="22" t="str">
        <f>IF(INDEX('Shot Map'!$B$6:$V$26,CEILING($A29/5,1),CEILING(AR$2/5,1))=1,INDEX('Serial Reference'!$A$8:$W$8,1,FLOOR(($A29-1)/23,1)+1)&amp;INDEX('Serial Reference'!$A$8:$W$8,1,MOD($A29-1,23)+1)&amp;TEXT(AR$2+FLOOR((AR$2-1)/9,1),"000"),"")</f>
        <v>BD047</v>
      </c>
      <c r="AS29" s="22" t="str">
        <f>IF(INDEX('Shot Map'!$B$6:$V$26,CEILING($A29/5,1),CEILING(AS$2/5,1))=1,INDEX('Serial Reference'!$A$8:$W$8,1,FLOOR(($A29-1)/23,1)+1)&amp;INDEX('Serial Reference'!$A$8:$W$8,1,MOD($A29-1,23)+1)&amp;TEXT(AS$2+FLOOR((AS$2-1)/9,1),"000"),"")</f>
        <v>BD048</v>
      </c>
      <c r="AT29" s="23" t="str">
        <f>IF(INDEX('Shot Map'!$B$6:$V$26,CEILING($A29/5,1),CEILING(AT$2/5,1))=1,INDEX('Serial Reference'!$A$8:$W$8,1,FLOOR(($A29-1)/23,1)+1)&amp;INDEX('Serial Reference'!$A$8:$W$8,1,MOD($A29-1,23)+1)&amp;TEXT(AT$2+FLOOR((AT$2-1)/9,1),"000"),"")</f>
        <v>BD049</v>
      </c>
      <c r="AU29" s="21" t="str">
        <f>IF(INDEX('Shot Map'!$B$6:$V$26,CEILING($A29/5,1),CEILING(AU$2/5,1))=1,INDEX('Serial Reference'!$A$8:$W$8,1,FLOOR(($A29-1)/23,1)+1)&amp;INDEX('Serial Reference'!$A$8:$W$8,1,MOD($A29-1,23)+1)&amp;TEXT(AU$2+FLOOR((AU$2-1)/9,1),"000"),"")</f>
        <v>BD051</v>
      </c>
      <c r="AV29" s="22" t="str">
        <f>IF(INDEX('Shot Map'!$B$6:$V$26,CEILING($A29/5,1),CEILING(AV$2/5,1))=1,INDEX('Serial Reference'!$A$8:$W$8,1,FLOOR(($A29-1)/23,1)+1)&amp;INDEX('Serial Reference'!$A$8:$W$8,1,MOD($A29-1,23)+1)&amp;TEXT(AV$2+FLOOR((AV$2-1)/9,1),"000"),"")</f>
        <v>BD052</v>
      </c>
      <c r="AW29" s="22" t="str">
        <f>IF(INDEX('Shot Map'!$B$6:$V$26,CEILING($A29/5,1),CEILING(AW$2/5,1))=1,INDEX('Serial Reference'!$A$8:$W$8,1,FLOOR(($A29-1)/23,1)+1)&amp;INDEX('Serial Reference'!$A$8:$W$8,1,MOD($A29-1,23)+1)&amp;TEXT(AW$2+FLOOR((AW$2-1)/9,1),"000"),"")</f>
        <v>BD053</v>
      </c>
      <c r="AX29" s="22" t="str">
        <f>IF(INDEX('Shot Map'!$B$6:$V$26,CEILING($A29/5,1),CEILING(AX$2/5,1))=1,INDEX('Serial Reference'!$A$8:$W$8,1,FLOOR(($A29-1)/23,1)+1)&amp;INDEX('Serial Reference'!$A$8:$W$8,1,MOD($A29-1,23)+1)&amp;TEXT(AX$2+FLOOR((AX$2-1)/9,1),"000"),"")</f>
        <v>BD054</v>
      </c>
      <c r="AY29" s="23" t="str">
        <f>IF(INDEX('Shot Map'!$B$6:$V$26,CEILING($A29/5,1),CEILING(AY$2/5,1))=1,INDEX('Serial Reference'!$A$8:$W$8,1,FLOOR(($A29-1)/23,1)+1)&amp;INDEX('Serial Reference'!$A$8:$W$8,1,MOD($A29-1,23)+1)&amp;TEXT(AY$2+FLOOR((AY$2-1)/9,1),"000"),"")</f>
        <v>BD055</v>
      </c>
      <c r="AZ29" s="21" t="str">
        <f>IF(INDEX('Shot Map'!$B$6:$V$26,CEILING($A29/5,1),CEILING(AZ$2/5,1))=1,INDEX('Serial Reference'!$A$8:$W$8,1,FLOOR(($A29-1)/23,1)+1)&amp;INDEX('Serial Reference'!$A$8:$W$8,1,MOD($A29-1,23)+1)&amp;TEXT(AZ$2+FLOOR((AZ$2-1)/9,1),"000"),"")</f>
        <v>BD056</v>
      </c>
      <c r="BA29" s="22" t="str">
        <f>IF(INDEX('Shot Map'!$B$6:$V$26,CEILING($A29/5,1),CEILING(BA$2/5,1))=1,INDEX('Serial Reference'!$A$8:$W$8,1,FLOOR(($A29-1)/23,1)+1)&amp;INDEX('Serial Reference'!$A$8:$W$8,1,MOD($A29-1,23)+1)&amp;TEXT(BA$2+FLOOR((BA$2-1)/9,1),"000"),"")</f>
        <v>BD057</v>
      </c>
      <c r="BB29" s="22" t="str">
        <f>IF(INDEX('Shot Map'!$B$6:$V$26,CEILING($A29/5,1),CEILING(BB$2/5,1))=1,INDEX('Serial Reference'!$A$8:$W$8,1,FLOOR(($A29-1)/23,1)+1)&amp;INDEX('Serial Reference'!$A$8:$W$8,1,MOD($A29-1,23)+1)&amp;TEXT(BB$2+FLOOR((BB$2-1)/9,1),"000"),"")</f>
        <v>BD058</v>
      </c>
      <c r="BC29" s="22" t="str">
        <f>IF(INDEX('Shot Map'!$B$6:$V$26,CEILING($A29/5,1),CEILING(BC$2/5,1))=1,INDEX('Serial Reference'!$A$8:$W$8,1,FLOOR(($A29-1)/23,1)+1)&amp;INDEX('Serial Reference'!$A$8:$W$8,1,MOD($A29-1,23)+1)&amp;TEXT(BC$2+FLOOR((BC$2-1)/9,1),"000"),"")</f>
        <v>BD059</v>
      </c>
      <c r="BD29" s="23" t="str">
        <f>IF(INDEX('Shot Map'!$B$6:$V$26,CEILING($A29/5,1),CEILING(BD$2/5,1))=1,INDEX('Serial Reference'!$A$8:$W$8,1,FLOOR(($A29-1)/23,1)+1)&amp;INDEX('Serial Reference'!$A$8:$W$8,1,MOD($A29-1,23)+1)&amp;TEXT(BD$2+FLOOR((BD$2-1)/9,1),"000"),"")</f>
        <v>BD061</v>
      </c>
      <c r="BE29" s="21" t="str">
        <f>IF(INDEX('Shot Map'!$B$6:$V$26,CEILING($A29/5,1),CEILING(BE$2/5,1))=1,INDEX('Serial Reference'!$A$8:$W$8,1,FLOOR(($A29-1)/23,1)+1)&amp;INDEX('Serial Reference'!$A$8:$W$8,1,MOD($A29-1,23)+1)&amp;TEXT(BE$2+FLOOR((BE$2-1)/9,1),"000"),"")</f>
        <v>BD062</v>
      </c>
      <c r="BF29" s="22" t="str">
        <f>IF(INDEX('Shot Map'!$B$6:$V$26,CEILING($A29/5,1),CEILING(BF$2/5,1))=1,INDEX('Serial Reference'!$A$8:$W$8,1,FLOOR(($A29-1)/23,1)+1)&amp;INDEX('Serial Reference'!$A$8:$W$8,1,MOD($A29-1,23)+1)&amp;TEXT(BF$2+FLOOR((BF$2-1)/9,1),"000"),"")</f>
        <v>BD063</v>
      </c>
      <c r="BG29" s="22" t="str">
        <f>IF(INDEX('Shot Map'!$B$6:$V$26,CEILING($A29/5,1),CEILING(BG$2/5,1))=1,INDEX('Serial Reference'!$A$8:$W$8,1,FLOOR(($A29-1)/23,1)+1)&amp;INDEX('Serial Reference'!$A$8:$W$8,1,MOD($A29-1,23)+1)&amp;TEXT(BG$2+FLOOR((BG$2-1)/9,1),"000"),"")</f>
        <v>BD064</v>
      </c>
      <c r="BH29" s="22" t="str">
        <f>IF(INDEX('Shot Map'!$B$6:$V$26,CEILING($A29/5,1),CEILING(BH$2/5,1))=1,INDEX('Serial Reference'!$A$8:$W$8,1,FLOOR(($A29-1)/23,1)+1)&amp;INDEX('Serial Reference'!$A$8:$W$8,1,MOD($A29-1,23)+1)&amp;TEXT(BH$2+FLOOR((BH$2-1)/9,1),"000"),"")</f>
        <v>BD065</v>
      </c>
      <c r="BI29" s="23" t="str">
        <f>IF(INDEX('Shot Map'!$B$6:$V$26,CEILING($A29/5,1),CEILING(BI$2/5,1))=1,INDEX('Serial Reference'!$A$8:$W$8,1,FLOOR(($A29-1)/23,1)+1)&amp;INDEX('Serial Reference'!$A$8:$W$8,1,MOD($A29-1,23)+1)&amp;TEXT(BI$2+FLOOR((BI$2-1)/9,1),"000"),"")</f>
        <v>BD066</v>
      </c>
      <c r="BJ29" s="21" t="str">
        <f>IF(INDEX('Shot Map'!$B$6:$V$26,CEILING($A29/5,1),CEILING(BJ$2/5,1))=1,INDEX('Serial Reference'!$A$8:$W$8,1,FLOOR(($A29-1)/23,1)+1)&amp;INDEX('Serial Reference'!$A$8:$W$8,1,MOD($A29-1,23)+1)&amp;TEXT(BJ$2+FLOOR((BJ$2-1)/9,1),"000"),"")</f>
        <v>BD067</v>
      </c>
      <c r="BK29" s="22" t="str">
        <f>IF(INDEX('Shot Map'!$B$6:$V$26,CEILING($A29/5,1),CEILING(BK$2/5,1))=1,INDEX('Serial Reference'!$A$8:$W$8,1,FLOOR(($A29-1)/23,1)+1)&amp;INDEX('Serial Reference'!$A$8:$W$8,1,MOD($A29-1,23)+1)&amp;TEXT(BK$2+FLOOR((BK$2-1)/9,1),"000"),"")</f>
        <v>BD068</v>
      </c>
      <c r="BL29" s="22" t="str">
        <f>IF(INDEX('Shot Map'!$B$6:$V$26,CEILING($A29/5,1),CEILING(BL$2/5,1))=1,INDEX('Serial Reference'!$A$8:$W$8,1,FLOOR(($A29-1)/23,1)+1)&amp;INDEX('Serial Reference'!$A$8:$W$8,1,MOD($A29-1,23)+1)&amp;TEXT(BL$2+FLOOR((BL$2-1)/9,1),"000"),"")</f>
        <v>BD069</v>
      </c>
      <c r="BM29" s="22" t="str">
        <f>IF(INDEX('Shot Map'!$B$6:$V$26,CEILING($A29/5,1),CEILING(BM$2/5,1))=1,INDEX('Serial Reference'!$A$8:$W$8,1,FLOOR(($A29-1)/23,1)+1)&amp;INDEX('Serial Reference'!$A$8:$W$8,1,MOD($A29-1,23)+1)&amp;TEXT(BM$2+FLOOR((BM$2-1)/9,1),"000"),"")</f>
        <v>BD071</v>
      </c>
      <c r="BN29" s="23" t="str">
        <f>IF(INDEX('Shot Map'!$B$6:$V$26,CEILING($A29/5,1),CEILING(BN$2/5,1))=1,INDEX('Serial Reference'!$A$8:$W$8,1,FLOOR(($A29-1)/23,1)+1)&amp;INDEX('Serial Reference'!$A$8:$W$8,1,MOD($A29-1,23)+1)&amp;TEXT(BN$2+FLOOR((BN$2-1)/9,1),"000"),"")</f>
        <v>BD072</v>
      </c>
      <c r="BO29" s="21" t="str">
        <f>IF(INDEX('Shot Map'!$B$6:$V$26,CEILING($A29/5,1),CEILING(BO$2/5,1))=1,INDEX('Serial Reference'!$A$8:$W$8,1,FLOOR(($A29-1)/23,1)+1)&amp;INDEX('Serial Reference'!$A$8:$W$8,1,MOD($A29-1,23)+1)&amp;TEXT(BO$2+FLOOR((BO$2-1)/9,1),"000"),"")</f>
        <v>BD073</v>
      </c>
      <c r="BP29" s="22" t="str">
        <f>IF(INDEX('Shot Map'!$B$6:$V$26,CEILING($A29/5,1),CEILING(BP$2/5,1))=1,INDEX('Serial Reference'!$A$8:$W$8,1,FLOOR(($A29-1)/23,1)+1)&amp;INDEX('Serial Reference'!$A$8:$W$8,1,MOD($A29-1,23)+1)&amp;TEXT(BP$2+FLOOR((BP$2-1)/9,1),"000"),"")</f>
        <v>BD074</v>
      </c>
      <c r="BQ29" s="22" t="str">
        <f>IF(INDEX('Shot Map'!$B$6:$V$26,CEILING($A29/5,1),CEILING(BQ$2/5,1))=1,INDEX('Serial Reference'!$A$8:$W$8,1,FLOOR(($A29-1)/23,1)+1)&amp;INDEX('Serial Reference'!$A$8:$W$8,1,MOD($A29-1,23)+1)&amp;TEXT(BQ$2+FLOOR((BQ$2-1)/9,1),"000"),"")</f>
        <v>BD075</v>
      </c>
      <c r="BR29" s="22" t="str">
        <f>IF(INDEX('Shot Map'!$B$6:$V$26,CEILING($A29/5,1),CEILING(BR$2/5,1))=1,INDEX('Serial Reference'!$A$8:$W$8,1,FLOOR(($A29-1)/23,1)+1)&amp;INDEX('Serial Reference'!$A$8:$W$8,1,MOD($A29-1,23)+1)&amp;TEXT(BR$2+FLOOR((BR$2-1)/9,1),"000"),"")</f>
        <v>BD076</v>
      </c>
      <c r="BS29" s="23" t="str">
        <f>IF(INDEX('Shot Map'!$B$6:$V$26,CEILING($A29/5,1),CEILING(BS$2/5,1))=1,INDEX('Serial Reference'!$A$8:$W$8,1,FLOOR(($A29-1)/23,1)+1)&amp;INDEX('Serial Reference'!$A$8:$W$8,1,MOD($A29-1,23)+1)&amp;TEXT(BS$2+FLOOR((BS$2-1)/9,1),"000"),"")</f>
        <v>BD077</v>
      </c>
      <c r="BT29" s="21" t="str">
        <f>IF(INDEX('Shot Map'!$B$6:$V$26,CEILING($A29/5,1),CEILING(BT$2/5,1))=1,INDEX('Serial Reference'!$A$8:$W$8,1,FLOOR(($A29-1)/23,1)+1)&amp;INDEX('Serial Reference'!$A$8:$W$8,1,MOD($A29-1,23)+1)&amp;TEXT(BT$2+FLOOR((BT$2-1)/9,1),"000"),"")</f>
        <v>BD078</v>
      </c>
      <c r="BU29" s="22" t="str">
        <f>IF(INDEX('Shot Map'!$B$6:$V$26,CEILING($A29/5,1),CEILING(BU$2/5,1))=1,INDEX('Serial Reference'!$A$8:$W$8,1,FLOOR(($A29-1)/23,1)+1)&amp;INDEX('Serial Reference'!$A$8:$W$8,1,MOD($A29-1,23)+1)&amp;TEXT(BU$2+FLOOR((BU$2-1)/9,1),"000"),"")</f>
        <v>BD079</v>
      </c>
      <c r="BV29" s="22" t="str">
        <f>IF(INDEX('Shot Map'!$B$6:$V$26,CEILING($A29/5,1),CEILING(BV$2/5,1))=1,INDEX('Serial Reference'!$A$8:$W$8,1,FLOOR(($A29-1)/23,1)+1)&amp;INDEX('Serial Reference'!$A$8:$W$8,1,MOD($A29-1,23)+1)&amp;TEXT(BV$2+FLOOR((BV$2-1)/9,1),"000"),"")</f>
        <v>BD081</v>
      </c>
      <c r="BW29" s="22" t="str">
        <f>IF(INDEX('Shot Map'!$B$6:$V$26,CEILING($A29/5,1),CEILING(BW$2/5,1))=1,INDEX('Serial Reference'!$A$8:$W$8,1,FLOOR(($A29-1)/23,1)+1)&amp;INDEX('Serial Reference'!$A$8:$W$8,1,MOD($A29-1,23)+1)&amp;TEXT(BW$2+FLOOR((BW$2-1)/9,1),"000"),"")</f>
        <v>BD082</v>
      </c>
      <c r="BX29" s="23" t="str">
        <f>IF(INDEX('Shot Map'!$B$6:$V$26,CEILING($A29/5,1),CEILING(BX$2/5,1))=1,INDEX('Serial Reference'!$A$8:$W$8,1,FLOOR(($A29-1)/23,1)+1)&amp;INDEX('Serial Reference'!$A$8:$W$8,1,MOD($A29-1,23)+1)&amp;TEXT(BX$2+FLOOR((BX$2-1)/9,1),"000"),"")</f>
        <v>BD083</v>
      </c>
      <c r="BY29" s="21" t="str">
        <f>IF(INDEX('Shot Map'!$B$6:$V$26,CEILING($A29/5,1),CEILING(BY$2/5,1))=1,INDEX('Serial Reference'!$A$8:$W$8,1,FLOOR(($A29-1)/23,1)+1)&amp;INDEX('Serial Reference'!$A$8:$W$8,1,MOD($A29-1,23)+1)&amp;TEXT(BY$2+FLOOR((BY$2-1)/9,1),"000"),"")</f>
        <v>BD084</v>
      </c>
      <c r="BZ29" s="22" t="str">
        <f>IF(INDEX('Shot Map'!$B$6:$V$26,CEILING($A29/5,1),CEILING(BZ$2/5,1))=1,INDEX('Serial Reference'!$A$8:$W$8,1,FLOOR(($A29-1)/23,1)+1)&amp;INDEX('Serial Reference'!$A$8:$W$8,1,MOD($A29-1,23)+1)&amp;TEXT(BZ$2+FLOOR((BZ$2-1)/9,1),"000"),"")</f>
        <v>BD085</v>
      </c>
      <c r="CA29" s="22" t="str">
        <f>IF(INDEX('Shot Map'!$B$6:$V$26,CEILING($A29/5,1),CEILING(CA$2/5,1))=1,INDEX('Serial Reference'!$A$8:$W$8,1,FLOOR(($A29-1)/23,1)+1)&amp;INDEX('Serial Reference'!$A$8:$W$8,1,MOD($A29-1,23)+1)&amp;TEXT(CA$2+FLOOR((CA$2-1)/9,1),"000"),"")</f>
        <v>BD086</v>
      </c>
      <c r="CB29" s="22" t="str">
        <f>IF(INDEX('Shot Map'!$B$6:$V$26,CEILING($A29/5,1),CEILING(CB$2/5,1))=1,INDEX('Serial Reference'!$A$8:$W$8,1,FLOOR(($A29-1)/23,1)+1)&amp;INDEX('Serial Reference'!$A$8:$W$8,1,MOD($A29-1,23)+1)&amp;TEXT(CB$2+FLOOR((CB$2-1)/9,1),"000"),"")</f>
        <v>BD087</v>
      </c>
      <c r="CC29" s="23" t="str">
        <f>IF(INDEX('Shot Map'!$B$6:$V$26,CEILING($A29/5,1),CEILING(CC$2/5,1))=1,INDEX('Serial Reference'!$A$8:$W$8,1,FLOOR(($A29-1)/23,1)+1)&amp;INDEX('Serial Reference'!$A$8:$W$8,1,MOD($A29-1,23)+1)&amp;TEXT(CC$2+FLOOR((CC$2-1)/9,1),"000"),"")</f>
        <v>BD088</v>
      </c>
      <c r="CD29" s="21" t="str">
        <f>IF(INDEX('Shot Map'!$B$6:$V$26,CEILING($A29/5,1),CEILING(CD$2/5,1))=1,INDEX('Serial Reference'!$A$8:$W$8,1,FLOOR(($A29-1)/23,1)+1)&amp;INDEX('Serial Reference'!$A$8:$W$8,1,MOD($A29-1,23)+1)&amp;TEXT(CD$2+FLOOR((CD$2-1)/9,1),"000"),"")</f>
        <v>BD089</v>
      </c>
      <c r="CE29" s="22" t="str">
        <f>IF(INDEX('Shot Map'!$B$6:$V$26,CEILING($A29/5,1),CEILING(CE$2/5,1))=1,INDEX('Serial Reference'!$A$8:$W$8,1,FLOOR(($A29-1)/23,1)+1)&amp;INDEX('Serial Reference'!$A$8:$W$8,1,MOD($A29-1,23)+1)&amp;TEXT(CE$2+FLOOR((CE$2-1)/9,1),"000"),"")</f>
        <v>BD091</v>
      </c>
      <c r="CF29" s="22" t="str">
        <f>IF(INDEX('Shot Map'!$B$6:$V$26,CEILING($A29/5,1),CEILING(CF$2/5,1))=1,INDEX('Serial Reference'!$A$8:$W$8,1,FLOOR(($A29-1)/23,1)+1)&amp;INDEX('Serial Reference'!$A$8:$W$8,1,MOD($A29-1,23)+1)&amp;TEXT(CF$2+FLOOR((CF$2-1)/9,1),"000"),"")</f>
        <v>BD092</v>
      </c>
      <c r="CG29" s="22" t="str">
        <f>IF(INDEX('Shot Map'!$B$6:$V$26,CEILING($A29/5,1),CEILING(CG$2/5,1))=1,INDEX('Serial Reference'!$A$8:$W$8,1,FLOOR(($A29-1)/23,1)+1)&amp;INDEX('Serial Reference'!$A$8:$W$8,1,MOD($A29-1,23)+1)&amp;TEXT(CG$2+FLOOR((CG$2-1)/9,1),"000"),"")</f>
        <v>BD093</v>
      </c>
      <c r="CH29" s="23" t="str">
        <f>IF(INDEX('Shot Map'!$B$6:$V$26,CEILING($A29/5,1),CEILING(CH$2/5,1))=1,INDEX('Serial Reference'!$A$8:$W$8,1,FLOOR(($A29-1)/23,1)+1)&amp;INDEX('Serial Reference'!$A$8:$W$8,1,MOD($A29-1,23)+1)&amp;TEXT(CH$2+FLOOR((CH$2-1)/9,1),"000"),"")</f>
        <v>BD094</v>
      </c>
      <c r="CI29" s="21" t="str">
        <f>IF(INDEX('Shot Map'!$B$6:$V$26,CEILING($A29/5,1),CEILING(CI$2/5,1))=1,INDEX('Serial Reference'!$A$8:$W$8,1,FLOOR(($A29-1)/23,1)+1)&amp;INDEX('Serial Reference'!$A$8:$W$8,1,MOD($A29-1,23)+1)&amp;TEXT(CI$2+FLOOR((CI$2-1)/9,1),"000"),"")</f>
        <v>BD095</v>
      </c>
      <c r="CJ29" s="22" t="str">
        <f>IF(INDEX('Shot Map'!$B$6:$V$26,CEILING($A29/5,1),CEILING(CJ$2/5,1))=1,INDEX('Serial Reference'!$A$8:$W$8,1,FLOOR(($A29-1)/23,1)+1)&amp;INDEX('Serial Reference'!$A$8:$W$8,1,MOD($A29-1,23)+1)&amp;TEXT(CJ$2+FLOOR((CJ$2-1)/9,1),"000"),"")</f>
        <v>BD096</v>
      </c>
      <c r="CK29" s="22" t="str">
        <f>IF(INDEX('Shot Map'!$B$6:$V$26,CEILING($A29/5,1),CEILING(CK$2/5,1))=1,INDEX('Serial Reference'!$A$8:$W$8,1,FLOOR(($A29-1)/23,1)+1)&amp;INDEX('Serial Reference'!$A$8:$W$8,1,MOD($A29-1,23)+1)&amp;TEXT(CK$2+FLOOR((CK$2-1)/9,1),"000"),"")</f>
        <v>BD097</v>
      </c>
      <c r="CL29" s="22" t="str">
        <f>IF(INDEX('Shot Map'!$B$6:$V$26,CEILING($A29/5,1),CEILING(CL$2/5,1))=1,INDEX('Serial Reference'!$A$8:$W$8,1,FLOOR(($A29-1)/23,1)+1)&amp;INDEX('Serial Reference'!$A$8:$W$8,1,MOD($A29-1,23)+1)&amp;TEXT(CL$2+FLOOR((CL$2-1)/9,1),"000"),"")</f>
        <v>BD098</v>
      </c>
      <c r="CM29" s="23" t="str">
        <f>IF(INDEX('Shot Map'!$B$6:$V$26,CEILING($A29/5,1),CEILING(CM$2/5,1))=1,INDEX('Serial Reference'!$A$8:$W$8,1,FLOOR(($A29-1)/23,1)+1)&amp;INDEX('Serial Reference'!$A$8:$W$8,1,MOD($A29-1,23)+1)&amp;TEXT(CM$2+FLOOR((CM$2-1)/9,1),"000"),"")</f>
        <v>BD099</v>
      </c>
      <c r="CN29" s="21" t="str">
        <f>IF(INDEX('Shot Map'!$B$6:$V$26,CEILING($A29/5,1),CEILING(CN$2/5,1))=1,INDEX('Serial Reference'!$A$8:$W$8,1,FLOOR(($A29-1)/23,1)+1)&amp;INDEX('Serial Reference'!$A$8:$W$8,1,MOD($A29-1,23)+1)&amp;TEXT(CN$2+FLOOR((CN$2-1)/9,1),"000"),"")</f>
        <v>BD101</v>
      </c>
      <c r="CO29" s="22" t="str">
        <f>IF(INDEX('Shot Map'!$B$6:$V$26,CEILING($A29/5,1),CEILING(CO$2/5,1))=1,INDEX('Serial Reference'!$A$8:$W$8,1,FLOOR(($A29-1)/23,1)+1)&amp;INDEX('Serial Reference'!$A$8:$W$8,1,MOD($A29-1,23)+1)&amp;TEXT(CO$2+FLOOR((CO$2-1)/9,1),"000"),"")</f>
        <v>BD102</v>
      </c>
      <c r="CP29" s="22" t="str">
        <f>IF(INDEX('Shot Map'!$B$6:$V$26,CEILING($A29/5,1),CEILING(CP$2/5,1))=1,INDEX('Serial Reference'!$A$8:$W$8,1,FLOOR(($A29-1)/23,1)+1)&amp;INDEX('Serial Reference'!$A$8:$W$8,1,MOD($A29-1,23)+1)&amp;TEXT(CP$2+FLOOR((CP$2-1)/9,1),"000"),"")</f>
        <v>BD103</v>
      </c>
      <c r="CQ29" s="22" t="str">
        <f>IF(INDEX('Shot Map'!$B$6:$V$26,CEILING($A29/5,1),CEILING(CQ$2/5,1))=1,INDEX('Serial Reference'!$A$8:$W$8,1,FLOOR(($A29-1)/23,1)+1)&amp;INDEX('Serial Reference'!$A$8:$W$8,1,MOD($A29-1,23)+1)&amp;TEXT(CQ$2+FLOOR((CQ$2-1)/9,1),"000"),"")</f>
        <v>BD104</v>
      </c>
      <c r="CR29" s="23" t="str">
        <f>IF(INDEX('Shot Map'!$B$6:$V$26,CEILING($A29/5,1),CEILING(CR$2/5,1))=1,INDEX('Serial Reference'!$A$8:$W$8,1,FLOOR(($A29-1)/23,1)+1)&amp;INDEX('Serial Reference'!$A$8:$W$8,1,MOD($A29-1,23)+1)&amp;TEXT(CR$2+FLOOR((CR$2-1)/9,1),"000"),"")</f>
        <v>BD105</v>
      </c>
      <c r="CS29" s="21" t="str">
        <f>IF(INDEX('Shot Map'!$B$6:$V$26,CEILING($A29/5,1),CEILING(CS$2/5,1))=1,INDEX('Serial Reference'!$A$8:$W$8,1,FLOOR(($A29-1)/23,1)+1)&amp;INDEX('Serial Reference'!$A$8:$W$8,1,MOD($A29-1,23)+1)&amp;TEXT(CS$2+FLOOR((CS$2-1)/9,1),"000"),"")</f>
        <v/>
      </c>
      <c r="CT29" s="22" t="str">
        <f>IF(INDEX('Shot Map'!$B$6:$V$26,CEILING($A29/5,1),CEILING(CT$2/5,1))=1,INDEX('Serial Reference'!$A$8:$W$8,1,FLOOR(($A29-1)/23,1)+1)&amp;INDEX('Serial Reference'!$A$8:$W$8,1,MOD($A29-1,23)+1)&amp;TEXT(CT$2+FLOOR((CT$2-1)/9,1),"000"),"")</f>
        <v/>
      </c>
      <c r="CU29" s="22" t="str">
        <f>IF(INDEX('Shot Map'!$B$6:$V$26,CEILING($A29/5,1),CEILING(CU$2/5,1))=1,INDEX('Serial Reference'!$A$8:$W$8,1,FLOOR(($A29-1)/23,1)+1)&amp;INDEX('Serial Reference'!$A$8:$W$8,1,MOD($A29-1,23)+1)&amp;TEXT(CU$2+FLOOR((CU$2-1)/9,1),"000"),"")</f>
        <v/>
      </c>
      <c r="CV29" s="22" t="str">
        <f>IF(INDEX('Shot Map'!$B$6:$V$26,CEILING($A29/5,1),CEILING(CV$2/5,1))=1,INDEX('Serial Reference'!$A$8:$W$8,1,FLOOR(($A29-1)/23,1)+1)&amp;INDEX('Serial Reference'!$A$8:$W$8,1,MOD($A29-1,23)+1)&amp;TEXT(CV$2+FLOOR((CV$2-1)/9,1),"000"),"")</f>
        <v/>
      </c>
      <c r="CW29" s="23" t="str">
        <f>IF(INDEX('Shot Map'!$B$6:$V$26,CEILING($A29/5,1),CEILING(CW$2/5,1))=1,INDEX('Serial Reference'!$A$8:$W$8,1,FLOOR(($A29-1)/23,1)+1)&amp;INDEX('Serial Reference'!$A$8:$W$8,1,MOD($A29-1,23)+1)&amp;TEXT(CW$2+FLOOR((CW$2-1)/9,1),"000"),"")</f>
        <v/>
      </c>
      <c r="CX29" s="21" t="str">
        <f>IF(INDEX('Shot Map'!$B$6:$V$26,CEILING($A29/5,1),CEILING(CX$2/5,1))=1,INDEX('Serial Reference'!$A$8:$W$8,1,FLOOR(($A29-1)/23,1)+1)&amp;INDEX('Serial Reference'!$A$8:$W$8,1,MOD($A29-1,23)+1)&amp;TEXT(CX$2+FLOOR((CX$2-1)/9,1),"000"),"")</f>
        <v/>
      </c>
      <c r="CY29" s="22" t="str">
        <f>IF(INDEX('Shot Map'!$B$6:$V$26,CEILING($A29/5,1),CEILING(CY$2/5,1))=1,INDEX('Serial Reference'!$A$8:$W$8,1,FLOOR(($A29-1)/23,1)+1)&amp;INDEX('Serial Reference'!$A$8:$W$8,1,MOD($A29-1,23)+1)&amp;TEXT(CY$2+FLOOR((CY$2-1)/9,1),"000"),"")</f>
        <v/>
      </c>
      <c r="CZ29" s="22" t="str">
        <f>IF(INDEX('Shot Map'!$B$6:$V$26,CEILING($A29/5,1),CEILING(CZ$2/5,1))=1,INDEX('Serial Reference'!$A$8:$W$8,1,FLOOR(($A29-1)/23,1)+1)&amp;INDEX('Serial Reference'!$A$8:$W$8,1,MOD($A29-1,23)+1)&amp;TEXT(CZ$2+FLOOR((CZ$2-1)/9,1),"000"),"")</f>
        <v/>
      </c>
      <c r="DA29" s="22" t="str">
        <f>IF(INDEX('Shot Map'!$B$6:$V$26,CEILING($A29/5,1),CEILING(DA$2/5,1))=1,INDEX('Serial Reference'!$A$8:$W$8,1,FLOOR(($A29-1)/23,1)+1)&amp;INDEX('Serial Reference'!$A$8:$W$8,1,MOD($A29-1,23)+1)&amp;TEXT(DA$2+FLOOR((DA$2-1)/9,1),"000"),"")</f>
        <v/>
      </c>
      <c r="DB29" s="23" t="str">
        <f>IF(INDEX('Shot Map'!$B$6:$V$26,CEILING($A29/5,1),CEILING(DB$2/5,1))=1,INDEX('Serial Reference'!$A$8:$W$8,1,FLOOR(($A29-1)/23,1)+1)&amp;INDEX('Serial Reference'!$A$8:$W$8,1,MOD($A29-1,23)+1)&amp;TEXT(DB$2+FLOOR((DB$2-1)/9,1),"000"),"")</f>
        <v/>
      </c>
    </row>
    <row r="30" spans="1:106" ht="12.75" customHeight="1" x14ac:dyDescent="0.25">
      <c r="A30" s="17">
        <v>28</v>
      </c>
      <c r="B30" s="21" t="str">
        <f>IF(INDEX('Shot Map'!$B$6:$V$26,CEILING($A30/5,1),CEILING(B$2/5,1))=1,INDEX('Serial Reference'!$A$8:$W$8,1,FLOOR(($A30-1)/23,1)+1)&amp;INDEX('Serial Reference'!$A$8:$W$8,1,MOD($A30-1,23)+1)&amp;TEXT(B$2+FLOOR((B$2-1)/9,1),"000"),"")</f>
        <v/>
      </c>
      <c r="C30" s="22" t="str">
        <f>IF(INDEX('Shot Map'!$B$6:$V$26,CEILING($A30/5,1),CEILING(C$2/5,1))=1,INDEX('Serial Reference'!$A$8:$W$8,1,FLOOR(($A30-1)/23,1)+1)&amp;INDEX('Serial Reference'!$A$8:$W$8,1,MOD($A30-1,23)+1)&amp;TEXT(C$2+FLOOR((C$2-1)/9,1),"000"),"")</f>
        <v/>
      </c>
      <c r="D30" s="22" t="str">
        <f>IF(INDEX('Shot Map'!$B$6:$V$26,CEILING($A30/5,1),CEILING(D$2/5,1))=1,INDEX('Serial Reference'!$A$8:$W$8,1,FLOOR(($A30-1)/23,1)+1)&amp;INDEX('Serial Reference'!$A$8:$W$8,1,MOD($A30-1,23)+1)&amp;TEXT(D$2+FLOOR((D$2-1)/9,1),"000"),"")</f>
        <v/>
      </c>
      <c r="E30" s="22" t="str">
        <f>IF(INDEX('Shot Map'!$B$6:$V$26,CEILING($A30/5,1),CEILING(E$2/5,1))=1,INDEX('Serial Reference'!$A$8:$W$8,1,FLOOR(($A30-1)/23,1)+1)&amp;INDEX('Serial Reference'!$A$8:$W$8,1,MOD($A30-1,23)+1)&amp;TEXT(E$2+FLOOR((E$2-1)/9,1),"000"),"")</f>
        <v/>
      </c>
      <c r="F30" s="23" t="str">
        <f>IF(INDEX('Shot Map'!$B$6:$V$26,CEILING($A30/5,1),CEILING(F$2/5,1))=1,INDEX('Serial Reference'!$A$8:$W$8,1,FLOOR(($A30-1)/23,1)+1)&amp;INDEX('Serial Reference'!$A$8:$W$8,1,MOD($A30-1,23)+1)&amp;TEXT(F$2+FLOOR((F$2-1)/9,1),"000"),"")</f>
        <v/>
      </c>
      <c r="G30" s="21" t="str">
        <f>IF(INDEX('Shot Map'!$B$6:$V$26,CEILING($A30/5,1),CEILING(G$2/5,1))=1,INDEX('Serial Reference'!$A$8:$W$8,1,FLOOR(($A30-1)/23,1)+1)&amp;INDEX('Serial Reference'!$A$8:$W$8,1,MOD($A30-1,23)+1)&amp;TEXT(G$2+FLOOR((G$2-1)/9,1),"000"),"")</f>
        <v/>
      </c>
      <c r="H30" s="22" t="str">
        <f>IF(INDEX('Shot Map'!$B$6:$V$26,CEILING($A30/5,1),CEILING(H$2/5,1))=1,INDEX('Serial Reference'!$A$8:$W$8,1,FLOOR(($A30-1)/23,1)+1)&amp;INDEX('Serial Reference'!$A$8:$W$8,1,MOD($A30-1,23)+1)&amp;TEXT(H$2+FLOOR((H$2-1)/9,1),"000"),"")</f>
        <v/>
      </c>
      <c r="I30" s="22" t="str">
        <f>IF(INDEX('Shot Map'!$B$6:$V$26,CEILING($A30/5,1),CEILING(I$2/5,1))=1,INDEX('Serial Reference'!$A$8:$W$8,1,FLOOR(($A30-1)/23,1)+1)&amp;INDEX('Serial Reference'!$A$8:$W$8,1,MOD($A30-1,23)+1)&amp;TEXT(I$2+FLOOR((I$2-1)/9,1),"000"),"")</f>
        <v/>
      </c>
      <c r="J30" s="22" t="str">
        <f>IF(INDEX('Shot Map'!$B$6:$V$26,CEILING($A30/5,1),CEILING(J$2/5,1))=1,INDEX('Serial Reference'!$A$8:$W$8,1,FLOOR(($A30-1)/23,1)+1)&amp;INDEX('Serial Reference'!$A$8:$W$8,1,MOD($A30-1,23)+1)&amp;TEXT(J$2+FLOOR((J$2-1)/9,1),"000"),"")</f>
        <v/>
      </c>
      <c r="K30" s="23" t="str">
        <f>IF(INDEX('Shot Map'!$B$6:$V$26,CEILING($A30/5,1),CEILING(K$2/5,1))=1,INDEX('Serial Reference'!$A$8:$W$8,1,FLOOR(($A30-1)/23,1)+1)&amp;INDEX('Serial Reference'!$A$8:$W$8,1,MOD($A30-1,23)+1)&amp;TEXT(K$2+FLOOR((K$2-1)/9,1),"000"),"")</f>
        <v/>
      </c>
      <c r="L30" s="21" t="str">
        <f>IF(INDEX('Shot Map'!$B$6:$V$26,CEILING($A30/5,1),CEILING(L$2/5,1))=1,INDEX('Serial Reference'!$A$8:$W$8,1,FLOOR(($A30-1)/23,1)+1)&amp;INDEX('Serial Reference'!$A$8:$W$8,1,MOD($A30-1,23)+1)&amp;TEXT(L$2+FLOOR((L$2-1)/9,1),"000"),"")</f>
        <v>BE012</v>
      </c>
      <c r="M30" s="22" t="str">
        <f>IF(INDEX('Shot Map'!$B$6:$V$26,CEILING($A30/5,1),CEILING(M$2/5,1))=1,INDEX('Serial Reference'!$A$8:$W$8,1,FLOOR(($A30-1)/23,1)+1)&amp;INDEX('Serial Reference'!$A$8:$W$8,1,MOD($A30-1,23)+1)&amp;TEXT(M$2+FLOOR((M$2-1)/9,1),"000"),"")</f>
        <v>BE013</v>
      </c>
      <c r="N30" s="22" t="str">
        <f>IF(INDEX('Shot Map'!$B$6:$V$26,CEILING($A30/5,1),CEILING(N$2/5,1))=1,INDEX('Serial Reference'!$A$8:$W$8,1,FLOOR(($A30-1)/23,1)+1)&amp;INDEX('Serial Reference'!$A$8:$W$8,1,MOD($A30-1,23)+1)&amp;TEXT(N$2+FLOOR((N$2-1)/9,1),"000"),"")</f>
        <v>BE014</v>
      </c>
      <c r="O30" s="22" t="str">
        <f>IF(INDEX('Shot Map'!$B$6:$V$26,CEILING($A30/5,1),CEILING(O$2/5,1))=1,INDEX('Serial Reference'!$A$8:$W$8,1,FLOOR(($A30-1)/23,1)+1)&amp;INDEX('Serial Reference'!$A$8:$W$8,1,MOD($A30-1,23)+1)&amp;TEXT(O$2+FLOOR((O$2-1)/9,1),"000"),"")</f>
        <v>BE015</v>
      </c>
      <c r="P30" s="23" t="str">
        <f>IF(INDEX('Shot Map'!$B$6:$V$26,CEILING($A30/5,1),CEILING(P$2/5,1))=1,INDEX('Serial Reference'!$A$8:$W$8,1,FLOOR(($A30-1)/23,1)+1)&amp;INDEX('Serial Reference'!$A$8:$W$8,1,MOD($A30-1,23)+1)&amp;TEXT(P$2+FLOOR((P$2-1)/9,1),"000"),"")</f>
        <v>BE016</v>
      </c>
      <c r="Q30" s="21" t="str">
        <f>IF(INDEX('Shot Map'!$B$6:$V$26,CEILING($A30/5,1),CEILING(Q$2/5,1))=1,INDEX('Serial Reference'!$A$8:$W$8,1,FLOOR(($A30-1)/23,1)+1)&amp;INDEX('Serial Reference'!$A$8:$W$8,1,MOD($A30-1,23)+1)&amp;TEXT(Q$2+FLOOR((Q$2-1)/9,1),"000"),"")</f>
        <v>BE017</v>
      </c>
      <c r="R30" s="22" t="str">
        <f>IF(INDEX('Shot Map'!$B$6:$V$26,CEILING($A30/5,1),CEILING(R$2/5,1))=1,INDEX('Serial Reference'!$A$8:$W$8,1,FLOOR(($A30-1)/23,1)+1)&amp;INDEX('Serial Reference'!$A$8:$W$8,1,MOD($A30-1,23)+1)&amp;TEXT(R$2+FLOOR((R$2-1)/9,1),"000"),"")</f>
        <v>BE018</v>
      </c>
      <c r="S30" s="22" t="str">
        <f>IF(INDEX('Shot Map'!$B$6:$V$26,CEILING($A30/5,1),CEILING(S$2/5,1))=1,INDEX('Serial Reference'!$A$8:$W$8,1,FLOOR(($A30-1)/23,1)+1)&amp;INDEX('Serial Reference'!$A$8:$W$8,1,MOD($A30-1,23)+1)&amp;TEXT(S$2+FLOOR((S$2-1)/9,1),"000"),"")</f>
        <v>BE019</v>
      </c>
      <c r="T30" s="22" t="str">
        <f>IF(INDEX('Shot Map'!$B$6:$V$26,CEILING($A30/5,1),CEILING(T$2/5,1))=1,INDEX('Serial Reference'!$A$8:$W$8,1,FLOOR(($A30-1)/23,1)+1)&amp;INDEX('Serial Reference'!$A$8:$W$8,1,MOD($A30-1,23)+1)&amp;TEXT(T$2+FLOOR((T$2-1)/9,1),"000"),"")</f>
        <v>BE021</v>
      </c>
      <c r="U30" s="23" t="str">
        <f>IF(INDEX('Shot Map'!$B$6:$V$26,CEILING($A30/5,1),CEILING(U$2/5,1))=1,INDEX('Serial Reference'!$A$8:$W$8,1,FLOOR(($A30-1)/23,1)+1)&amp;INDEX('Serial Reference'!$A$8:$W$8,1,MOD($A30-1,23)+1)&amp;TEXT(U$2+FLOOR((U$2-1)/9,1),"000"),"")</f>
        <v>BE022</v>
      </c>
      <c r="V30" s="21" t="str">
        <f>IF(INDEX('Shot Map'!$B$6:$V$26,CEILING($A30/5,1),CEILING(V$2/5,1))=1,INDEX('Serial Reference'!$A$8:$W$8,1,FLOOR(($A30-1)/23,1)+1)&amp;INDEX('Serial Reference'!$A$8:$W$8,1,MOD($A30-1,23)+1)&amp;TEXT(V$2+FLOOR((V$2-1)/9,1),"000"),"")</f>
        <v>BE023</v>
      </c>
      <c r="W30" s="22" t="str">
        <f>IF(INDEX('Shot Map'!$B$6:$V$26,CEILING($A30/5,1),CEILING(W$2/5,1))=1,INDEX('Serial Reference'!$A$8:$W$8,1,FLOOR(($A30-1)/23,1)+1)&amp;INDEX('Serial Reference'!$A$8:$W$8,1,MOD($A30-1,23)+1)&amp;TEXT(W$2+FLOOR((W$2-1)/9,1),"000"),"")</f>
        <v>BE024</v>
      </c>
      <c r="X30" s="22" t="str">
        <f>IF(INDEX('Shot Map'!$B$6:$V$26,CEILING($A30/5,1),CEILING(X$2/5,1))=1,INDEX('Serial Reference'!$A$8:$W$8,1,FLOOR(($A30-1)/23,1)+1)&amp;INDEX('Serial Reference'!$A$8:$W$8,1,MOD($A30-1,23)+1)&amp;TEXT(X$2+FLOOR((X$2-1)/9,1),"000"),"")</f>
        <v>BE025</v>
      </c>
      <c r="Y30" s="22" t="str">
        <f>IF(INDEX('Shot Map'!$B$6:$V$26,CEILING($A30/5,1),CEILING(Y$2/5,1))=1,INDEX('Serial Reference'!$A$8:$W$8,1,FLOOR(($A30-1)/23,1)+1)&amp;INDEX('Serial Reference'!$A$8:$W$8,1,MOD($A30-1,23)+1)&amp;TEXT(Y$2+FLOOR((Y$2-1)/9,1),"000"),"")</f>
        <v>BE026</v>
      </c>
      <c r="Z30" s="23" t="str">
        <f>IF(INDEX('Shot Map'!$B$6:$V$26,CEILING($A30/5,1),CEILING(Z$2/5,1))=1,INDEX('Serial Reference'!$A$8:$W$8,1,FLOOR(($A30-1)/23,1)+1)&amp;INDEX('Serial Reference'!$A$8:$W$8,1,MOD($A30-1,23)+1)&amp;TEXT(Z$2+FLOOR((Z$2-1)/9,1),"000"),"")</f>
        <v>BE027</v>
      </c>
      <c r="AA30" s="21" t="str">
        <f>IF(INDEX('Shot Map'!$B$6:$V$26,CEILING($A30/5,1),CEILING(AA$2/5,1))=1,INDEX('Serial Reference'!$A$8:$W$8,1,FLOOR(($A30-1)/23,1)+1)&amp;INDEX('Serial Reference'!$A$8:$W$8,1,MOD($A30-1,23)+1)&amp;TEXT(AA$2+FLOOR((AA$2-1)/9,1),"000"),"")</f>
        <v>BE028</v>
      </c>
      <c r="AB30" s="22" t="str">
        <f>IF(INDEX('Shot Map'!$B$6:$V$26,CEILING($A30/5,1),CEILING(AB$2/5,1))=1,INDEX('Serial Reference'!$A$8:$W$8,1,FLOOR(($A30-1)/23,1)+1)&amp;INDEX('Serial Reference'!$A$8:$W$8,1,MOD($A30-1,23)+1)&amp;TEXT(AB$2+FLOOR((AB$2-1)/9,1),"000"),"")</f>
        <v>BE029</v>
      </c>
      <c r="AC30" s="22" t="str">
        <f>IF(INDEX('Shot Map'!$B$6:$V$26,CEILING($A30/5,1),CEILING(AC$2/5,1))=1,INDEX('Serial Reference'!$A$8:$W$8,1,FLOOR(($A30-1)/23,1)+1)&amp;INDEX('Serial Reference'!$A$8:$W$8,1,MOD($A30-1,23)+1)&amp;TEXT(AC$2+FLOOR((AC$2-1)/9,1),"000"),"")</f>
        <v>BE031</v>
      </c>
      <c r="AD30" s="22" t="str">
        <f>IF(INDEX('Shot Map'!$B$6:$V$26,CEILING($A30/5,1),CEILING(AD$2/5,1))=1,INDEX('Serial Reference'!$A$8:$W$8,1,FLOOR(($A30-1)/23,1)+1)&amp;INDEX('Serial Reference'!$A$8:$W$8,1,MOD($A30-1,23)+1)&amp;TEXT(AD$2+FLOOR((AD$2-1)/9,1),"000"),"")</f>
        <v>BE032</v>
      </c>
      <c r="AE30" s="23" t="str">
        <f>IF(INDEX('Shot Map'!$B$6:$V$26,CEILING($A30/5,1),CEILING(AE$2/5,1))=1,INDEX('Serial Reference'!$A$8:$W$8,1,FLOOR(($A30-1)/23,1)+1)&amp;INDEX('Serial Reference'!$A$8:$W$8,1,MOD($A30-1,23)+1)&amp;TEXT(AE$2+FLOOR((AE$2-1)/9,1),"000"),"")</f>
        <v>BE033</v>
      </c>
      <c r="AF30" s="21" t="str">
        <f>IF(INDEX('Shot Map'!$B$6:$V$26,CEILING($A30/5,1),CEILING(AF$2/5,1))=1,INDEX('Serial Reference'!$A$8:$W$8,1,FLOOR(($A30-1)/23,1)+1)&amp;INDEX('Serial Reference'!$A$8:$W$8,1,MOD($A30-1,23)+1)&amp;TEXT(AF$2+FLOOR((AF$2-1)/9,1),"000"),"")</f>
        <v>BE034</v>
      </c>
      <c r="AG30" s="22" t="str">
        <f>IF(INDEX('Shot Map'!$B$6:$V$26,CEILING($A30/5,1),CEILING(AG$2/5,1))=1,INDEX('Serial Reference'!$A$8:$W$8,1,FLOOR(($A30-1)/23,1)+1)&amp;INDEX('Serial Reference'!$A$8:$W$8,1,MOD($A30-1,23)+1)&amp;TEXT(AG$2+FLOOR((AG$2-1)/9,1),"000"),"")</f>
        <v>BE035</v>
      </c>
      <c r="AH30" s="22" t="str">
        <f>IF(INDEX('Shot Map'!$B$6:$V$26,CEILING($A30/5,1),CEILING(AH$2/5,1))=1,INDEX('Serial Reference'!$A$8:$W$8,1,FLOOR(($A30-1)/23,1)+1)&amp;INDEX('Serial Reference'!$A$8:$W$8,1,MOD($A30-1,23)+1)&amp;TEXT(AH$2+FLOOR((AH$2-1)/9,1),"000"),"")</f>
        <v>BE036</v>
      </c>
      <c r="AI30" s="22" t="str">
        <f>IF(INDEX('Shot Map'!$B$6:$V$26,CEILING($A30/5,1),CEILING(AI$2/5,1))=1,INDEX('Serial Reference'!$A$8:$W$8,1,FLOOR(($A30-1)/23,1)+1)&amp;INDEX('Serial Reference'!$A$8:$W$8,1,MOD($A30-1,23)+1)&amp;TEXT(AI$2+FLOOR((AI$2-1)/9,1),"000"),"")</f>
        <v>BE037</v>
      </c>
      <c r="AJ30" s="23" t="str">
        <f>IF(INDEX('Shot Map'!$B$6:$V$26,CEILING($A30/5,1),CEILING(AJ$2/5,1))=1,INDEX('Serial Reference'!$A$8:$W$8,1,FLOOR(($A30-1)/23,1)+1)&amp;INDEX('Serial Reference'!$A$8:$W$8,1,MOD($A30-1,23)+1)&amp;TEXT(AJ$2+FLOOR((AJ$2-1)/9,1),"000"),"")</f>
        <v>BE038</v>
      </c>
      <c r="AK30" s="21" t="str">
        <f>IF(INDEX('Shot Map'!$B$6:$V$26,CEILING($A30/5,1),CEILING(AK$2/5,1))=1,INDEX('Serial Reference'!$A$8:$W$8,1,FLOOR(($A30-1)/23,1)+1)&amp;INDEX('Serial Reference'!$A$8:$W$8,1,MOD($A30-1,23)+1)&amp;TEXT(AK$2+FLOOR((AK$2-1)/9,1),"000"),"")</f>
        <v>BE039</v>
      </c>
      <c r="AL30" s="22" t="str">
        <f>IF(INDEX('Shot Map'!$B$6:$V$26,CEILING($A30/5,1),CEILING(AL$2/5,1))=1,INDEX('Serial Reference'!$A$8:$W$8,1,FLOOR(($A30-1)/23,1)+1)&amp;INDEX('Serial Reference'!$A$8:$W$8,1,MOD($A30-1,23)+1)&amp;TEXT(AL$2+FLOOR((AL$2-1)/9,1),"000"),"")</f>
        <v>BE041</v>
      </c>
      <c r="AM30" s="22" t="str">
        <f>IF(INDEX('Shot Map'!$B$6:$V$26,CEILING($A30/5,1),CEILING(AM$2/5,1))=1,INDEX('Serial Reference'!$A$8:$W$8,1,FLOOR(($A30-1)/23,1)+1)&amp;INDEX('Serial Reference'!$A$8:$W$8,1,MOD($A30-1,23)+1)&amp;TEXT(AM$2+FLOOR((AM$2-1)/9,1),"000"),"")</f>
        <v>BE042</v>
      </c>
      <c r="AN30" s="22" t="str">
        <f>IF(INDEX('Shot Map'!$B$6:$V$26,CEILING($A30/5,1),CEILING(AN$2/5,1))=1,INDEX('Serial Reference'!$A$8:$W$8,1,FLOOR(($A30-1)/23,1)+1)&amp;INDEX('Serial Reference'!$A$8:$W$8,1,MOD($A30-1,23)+1)&amp;TEXT(AN$2+FLOOR((AN$2-1)/9,1),"000"),"")</f>
        <v>BE043</v>
      </c>
      <c r="AO30" s="23" t="str">
        <f>IF(INDEX('Shot Map'!$B$6:$V$26,CEILING($A30/5,1),CEILING(AO$2/5,1))=1,INDEX('Serial Reference'!$A$8:$W$8,1,FLOOR(($A30-1)/23,1)+1)&amp;INDEX('Serial Reference'!$A$8:$W$8,1,MOD($A30-1,23)+1)&amp;TEXT(AO$2+FLOOR((AO$2-1)/9,1),"000"),"")</f>
        <v>BE044</v>
      </c>
      <c r="AP30" s="21" t="str">
        <f>IF(INDEX('Shot Map'!$B$6:$V$26,CEILING($A30/5,1),CEILING(AP$2/5,1))=1,INDEX('Serial Reference'!$A$8:$W$8,1,FLOOR(($A30-1)/23,1)+1)&amp;INDEX('Serial Reference'!$A$8:$W$8,1,MOD($A30-1,23)+1)&amp;TEXT(AP$2+FLOOR((AP$2-1)/9,1),"000"),"")</f>
        <v>BE045</v>
      </c>
      <c r="AQ30" s="22" t="str">
        <f>IF(INDEX('Shot Map'!$B$6:$V$26,CEILING($A30/5,1),CEILING(AQ$2/5,1))=1,INDEX('Serial Reference'!$A$8:$W$8,1,FLOOR(($A30-1)/23,1)+1)&amp;INDEX('Serial Reference'!$A$8:$W$8,1,MOD($A30-1,23)+1)&amp;TEXT(AQ$2+FLOOR((AQ$2-1)/9,1),"000"),"")</f>
        <v>BE046</v>
      </c>
      <c r="AR30" s="22" t="str">
        <f>IF(INDEX('Shot Map'!$B$6:$V$26,CEILING($A30/5,1),CEILING(AR$2/5,1))=1,INDEX('Serial Reference'!$A$8:$W$8,1,FLOOR(($A30-1)/23,1)+1)&amp;INDEX('Serial Reference'!$A$8:$W$8,1,MOD($A30-1,23)+1)&amp;TEXT(AR$2+FLOOR((AR$2-1)/9,1),"000"),"")</f>
        <v>BE047</v>
      </c>
      <c r="AS30" s="22" t="str">
        <f>IF(INDEX('Shot Map'!$B$6:$V$26,CEILING($A30/5,1),CEILING(AS$2/5,1))=1,INDEX('Serial Reference'!$A$8:$W$8,1,FLOOR(($A30-1)/23,1)+1)&amp;INDEX('Serial Reference'!$A$8:$W$8,1,MOD($A30-1,23)+1)&amp;TEXT(AS$2+FLOOR((AS$2-1)/9,1),"000"),"")</f>
        <v>BE048</v>
      </c>
      <c r="AT30" s="23" t="str">
        <f>IF(INDEX('Shot Map'!$B$6:$V$26,CEILING($A30/5,1),CEILING(AT$2/5,1))=1,INDEX('Serial Reference'!$A$8:$W$8,1,FLOOR(($A30-1)/23,1)+1)&amp;INDEX('Serial Reference'!$A$8:$W$8,1,MOD($A30-1,23)+1)&amp;TEXT(AT$2+FLOOR((AT$2-1)/9,1),"000"),"")</f>
        <v>BE049</v>
      </c>
      <c r="AU30" s="21" t="str">
        <f>IF(INDEX('Shot Map'!$B$6:$V$26,CEILING($A30/5,1),CEILING(AU$2/5,1))=1,INDEX('Serial Reference'!$A$8:$W$8,1,FLOOR(($A30-1)/23,1)+1)&amp;INDEX('Serial Reference'!$A$8:$W$8,1,MOD($A30-1,23)+1)&amp;TEXT(AU$2+FLOOR((AU$2-1)/9,1),"000"),"")</f>
        <v>BE051</v>
      </c>
      <c r="AV30" s="22" t="str">
        <f>IF(INDEX('Shot Map'!$B$6:$V$26,CEILING($A30/5,1),CEILING(AV$2/5,1))=1,INDEX('Serial Reference'!$A$8:$W$8,1,FLOOR(($A30-1)/23,1)+1)&amp;INDEX('Serial Reference'!$A$8:$W$8,1,MOD($A30-1,23)+1)&amp;TEXT(AV$2+FLOOR((AV$2-1)/9,1),"000"),"")</f>
        <v>BE052</v>
      </c>
      <c r="AW30" s="22" t="str">
        <f>IF(INDEX('Shot Map'!$B$6:$V$26,CEILING($A30/5,1),CEILING(AW$2/5,1))=1,INDEX('Serial Reference'!$A$8:$W$8,1,FLOOR(($A30-1)/23,1)+1)&amp;INDEX('Serial Reference'!$A$8:$W$8,1,MOD($A30-1,23)+1)&amp;TEXT(AW$2+FLOOR((AW$2-1)/9,1),"000"),"")</f>
        <v>BE053</v>
      </c>
      <c r="AX30" s="22" t="str">
        <f>IF(INDEX('Shot Map'!$B$6:$V$26,CEILING($A30/5,1),CEILING(AX$2/5,1))=1,INDEX('Serial Reference'!$A$8:$W$8,1,FLOOR(($A30-1)/23,1)+1)&amp;INDEX('Serial Reference'!$A$8:$W$8,1,MOD($A30-1,23)+1)&amp;TEXT(AX$2+FLOOR((AX$2-1)/9,1),"000"),"")</f>
        <v>BE054</v>
      </c>
      <c r="AY30" s="23" t="str">
        <f>IF(INDEX('Shot Map'!$B$6:$V$26,CEILING($A30/5,1),CEILING(AY$2/5,1))=1,INDEX('Serial Reference'!$A$8:$W$8,1,FLOOR(($A30-1)/23,1)+1)&amp;INDEX('Serial Reference'!$A$8:$W$8,1,MOD($A30-1,23)+1)&amp;TEXT(AY$2+FLOOR((AY$2-1)/9,1),"000"),"")</f>
        <v>BE055</v>
      </c>
      <c r="AZ30" s="21" t="str">
        <f>IF(INDEX('Shot Map'!$B$6:$V$26,CEILING($A30/5,1),CEILING(AZ$2/5,1))=1,INDEX('Serial Reference'!$A$8:$W$8,1,FLOOR(($A30-1)/23,1)+1)&amp;INDEX('Serial Reference'!$A$8:$W$8,1,MOD($A30-1,23)+1)&amp;TEXT(AZ$2+FLOOR((AZ$2-1)/9,1),"000"),"")</f>
        <v>BE056</v>
      </c>
      <c r="BA30" s="22" t="str">
        <f>IF(INDEX('Shot Map'!$B$6:$V$26,CEILING($A30/5,1),CEILING(BA$2/5,1))=1,INDEX('Serial Reference'!$A$8:$W$8,1,FLOOR(($A30-1)/23,1)+1)&amp;INDEX('Serial Reference'!$A$8:$W$8,1,MOD($A30-1,23)+1)&amp;TEXT(BA$2+FLOOR((BA$2-1)/9,1),"000"),"")</f>
        <v>BE057</v>
      </c>
      <c r="BB30" s="22" t="str">
        <f>IF(INDEX('Shot Map'!$B$6:$V$26,CEILING($A30/5,1),CEILING(BB$2/5,1))=1,INDEX('Serial Reference'!$A$8:$W$8,1,FLOOR(($A30-1)/23,1)+1)&amp;INDEX('Serial Reference'!$A$8:$W$8,1,MOD($A30-1,23)+1)&amp;TEXT(BB$2+FLOOR((BB$2-1)/9,1),"000"),"")</f>
        <v>BE058</v>
      </c>
      <c r="BC30" s="22" t="str">
        <f>IF(INDEX('Shot Map'!$B$6:$V$26,CEILING($A30/5,1),CEILING(BC$2/5,1))=1,INDEX('Serial Reference'!$A$8:$W$8,1,FLOOR(($A30-1)/23,1)+1)&amp;INDEX('Serial Reference'!$A$8:$W$8,1,MOD($A30-1,23)+1)&amp;TEXT(BC$2+FLOOR((BC$2-1)/9,1),"000"),"")</f>
        <v>BE059</v>
      </c>
      <c r="BD30" s="23" t="str">
        <f>IF(INDEX('Shot Map'!$B$6:$V$26,CEILING($A30/5,1),CEILING(BD$2/5,1))=1,INDEX('Serial Reference'!$A$8:$W$8,1,FLOOR(($A30-1)/23,1)+1)&amp;INDEX('Serial Reference'!$A$8:$W$8,1,MOD($A30-1,23)+1)&amp;TEXT(BD$2+FLOOR((BD$2-1)/9,1),"000"),"")</f>
        <v>BE061</v>
      </c>
      <c r="BE30" s="21" t="str">
        <f>IF(INDEX('Shot Map'!$B$6:$V$26,CEILING($A30/5,1),CEILING(BE$2/5,1))=1,INDEX('Serial Reference'!$A$8:$W$8,1,FLOOR(($A30-1)/23,1)+1)&amp;INDEX('Serial Reference'!$A$8:$W$8,1,MOD($A30-1,23)+1)&amp;TEXT(BE$2+FLOOR((BE$2-1)/9,1),"000"),"")</f>
        <v>BE062</v>
      </c>
      <c r="BF30" s="22" t="str">
        <f>IF(INDEX('Shot Map'!$B$6:$V$26,CEILING($A30/5,1),CEILING(BF$2/5,1))=1,INDEX('Serial Reference'!$A$8:$W$8,1,FLOOR(($A30-1)/23,1)+1)&amp;INDEX('Serial Reference'!$A$8:$W$8,1,MOD($A30-1,23)+1)&amp;TEXT(BF$2+FLOOR((BF$2-1)/9,1),"000"),"")</f>
        <v>BE063</v>
      </c>
      <c r="BG30" s="22" t="str">
        <f>IF(INDEX('Shot Map'!$B$6:$V$26,CEILING($A30/5,1),CEILING(BG$2/5,1))=1,INDEX('Serial Reference'!$A$8:$W$8,1,FLOOR(($A30-1)/23,1)+1)&amp;INDEX('Serial Reference'!$A$8:$W$8,1,MOD($A30-1,23)+1)&amp;TEXT(BG$2+FLOOR((BG$2-1)/9,1),"000"),"")</f>
        <v>BE064</v>
      </c>
      <c r="BH30" s="22" t="str">
        <f>IF(INDEX('Shot Map'!$B$6:$V$26,CEILING($A30/5,1),CEILING(BH$2/5,1))=1,INDEX('Serial Reference'!$A$8:$W$8,1,FLOOR(($A30-1)/23,1)+1)&amp;INDEX('Serial Reference'!$A$8:$W$8,1,MOD($A30-1,23)+1)&amp;TEXT(BH$2+FLOOR((BH$2-1)/9,1),"000"),"")</f>
        <v>BE065</v>
      </c>
      <c r="BI30" s="23" t="str">
        <f>IF(INDEX('Shot Map'!$B$6:$V$26,CEILING($A30/5,1),CEILING(BI$2/5,1))=1,INDEX('Serial Reference'!$A$8:$W$8,1,FLOOR(($A30-1)/23,1)+1)&amp;INDEX('Serial Reference'!$A$8:$W$8,1,MOD($A30-1,23)+1)&amp;TEXT(BI$2+FLOOR((BI$2-1)/9,1),"000"),"")</f>
        <v>BE066</v>
      </c>
      <c r="BJ30" s="21" t="str">
        <f>IF(INDEX('Shot Map'!$B$6:$V$26,CEILING($A30/5,1),CEILING(BJ$2/5,1))=1,INDEX('Serial Reference'!$A$8:$W$8,1,FLOOR(($A30-1)/23,1)+1)&amp;INDEX('Serial Reference'!$A$8:$W$8,1,MOD($A30-1,23)+1)&amp;TEXT(BJ$2+FLOOR((BJ$2-1)/9,1),"000"),"")</f>
        <v>BE067</v>
      </c>
      <c r="BK30" s="22" t="str">
        <f>IF(INDEX('Shot Map'!$B$6:$V$26,CEILING($A30/5,1),CEILING(BK$2/5,1))=1,INDEX('Serial Reference'!$A$8:$W$8,1,FLOOR(($A30-1)/23,1)+1)&amp;INDEX('Serial Reference'!$A$8:$W$8,1,MOD($A30-1,23)+1)&amp;TEXT(BK$2+FLOOR((BK$2-1)/9,1),"000"),"")</f>
        <v>BE068</v>
      </c>
      <c r="BL30" s="22" t="str">
        <f>IF(INDEX('Shot Map'!$B$6:$V$26,CEILING($A30/5,1),CEILING(BL$2/5,1))=1,INDEX('Serial Reference'!$A$8:$W$8,1,FLOOR(($A30-1)/23,1)+1)&amp;INDEX('Serial Reference'!$A$8:$W$8,1,MOD($A30-1,23)+1)&amp;TEXT(BL$2+FLOOR((BL$2-1)/9,1),"000"),"")</f>
        <v>BE069</v>
      </c>
      <c r="BM30" s="22" t="str">
        <f>IF(INDEX('Shot Map'!$B$6:$V$26,CEILING($A30/5,1),CEILING(BM$2/5,1))=1,INDEX('Serial Reference'!$A$8:$W$8,1,FLOOR(($A30-1)/23,1)+1)&amp;INDEX('Serial Reference'!$A$8:$W$8,1,MOD($A30-1,23)+1)&amp;TEXT(BM$2+FLOOR((BM$2-1)/9,1),"000"),"")</f>
        <v>BE071</v>
      </c>
      <c r="BN30" s="23" t="str">
        <f>IF(INDEX('Shot Map'!$B$6:$V$26,CEILING($A30/5,1),CEILING(BN$2/5,1))=1,INDEX('Serial Reference'!$A$8:$W$8,1,FLOOR(($A30-1)/23,1)+1)&amp;INDEX('Serial Reference'!$A$8:$W$8,1,MOD($A30-1,23)+1)&amp;TEXT(BN$2+FLOOR((BN$2-1)/9,1),"000"),"")</f>
        <v>BE072</v>
      </c>
      <c r="BO30" s="21" t="str">
        <f>IF(INDEX('Shot Map'!$B$6:$V$26,CEILING($A30/5,1),CEILING(BO$2/5,1))=1,INDEX('Serial Reference'!$A$8:$W$8,1,FLOOR(($A30-1)/23,1)+1)&amp;INDEX('Serial Reference'!$A$8:$W$8,1,MOD($A30-1,23)+1)&amp;TEXT(BO$2+FLOOR((BO$2-1)/9,1),"000"),"")</f>
        <v>BE073</v>
      </c>
      <c r="BP30" s="22" t="str">
        <f>IF(INDEX('Shot Map'!$B$6:$V$26,CEILING($A30/5,1),CEILING(BP$2/5,1))=1,INDEX('Serial Reference'!$A$8:$W$8,1,FLOOR(($A30-1)/23,1)+1)&amp;INDEX('Serial Reference'!$A$8:$W$8,1,MOD($A30-1,23)+1)&amp;TEXT(BP$2+FLOOR((BP$2-1)/9,1),"000"),"")</f>
        <v>BE074</v>
      </c>
      <c r="BQ30" s="22" t="str">
        <f>IF(INDEX('Shot Map'!$B$6:$V$26,CEILING($A30/5,1),CEILING(BQ$2/5,1))=1,INDEX('Serial Reference'!$A$8:$W$8,1,FLOOR(($A30-1)/23,1)+1)&amp;INDEX('Serial Reference'!$A$8:$W$8,1,MOD($A30-1,23)+1)&amp;TEXT(BQ$2+FLOOR((BQ$2-1)/9,1),"000"),"")</f>
        <v>BE075</v>
      </c>
      <c r="BR30" s="22" t="str">
        <f>IF(INDEX('Shot Map'!$B$6:$V$26,CEILING($A30/5,1),CEILING(BR$2/5,1))=1,INDEX('Serial Reference'!$A$8:$W$8,1,FLOOR(($A30-1)/23,1)+1)&amp;INDEX('Serial Reference'!$A$8:$W$8,1,MOD($A30-1,23)+1)&amp;TEXT(BR$2+FLOOR((BR$2-1)/9,1),"000"),"")</f>
        <v>BE076</v>
      </c>
      <c r="BS30" s="23" t="str">
        <f>IF(INDEX('Shot Map'!$B$6:$V$26,CEILING($A30/5,1),CEILING(BS$2/5,1))=1,INDEX('Serial Reference'!$A$8:$W$8,1,FLOOR(($A30-1)/23,1)+1)&amp;INDEX('Serial Reference'!$A$8:$W$8,1,MOD($A30-1,23)+1)&amp;TEXT(BS$2+FLOOR((BS$2-1)/9,1),"000"),"")</f>
        <v>BE077</v>
      </c>
      <c r="BT30" s="21" t="str">
        <f>IF(INDEX('Shot Map'!$B$6:$V$26,CEILING($A30/5,1),CEILING(BT$2/5,1))=1,INDEX('Serial Reference'!$A$8:$W$8,1,FLOOR(($A30-1)/23,1)+1)&amp;INDEX('Serial Reference'!$A$8:$W$8,1,MOD($A30-1,23)+1)&amp;TEXT(BT$2+FLOOR((BT$2-1)/9,1),"000"),"")</f>
        <v>BE078</v>
      </c>
      <c r="BU30" s="22" t="str">
        <f>IF(INDEX('Shot Map'!$B$6:$V$26,CEILING($A30/5,1),CEILING(BU$2/5,1))=1,INDEX('Serial Reference'!$A$8:$W$8,1,FLOOR(($A30-1)/23,1)+1)&amp;INDEX('Serial Reference'!$A$8:$W$8,1,MOD($A30-1,23)+1)&amp;TEXT(BU$2+FLOOR((BU$2-1)/9,1),"000"),"")</f>
        <v>BE079</v>
      </c>
      <c r="BV30" s="22" t="str">
        <f>IF(INDEX('Shot Map'!$B$6:$V$26,CEILING($A30/5,1),CEILING(BV$2/5,1))=1,INDEX('Serial Reference'!$A$8:$W$8,1,FLOOR(($A30-1)/23,1)+1)&amp;INDEX('Serial Reference'!$A$8:$W$8,1,MOD($A30-1,23)+1)&amp;TEXT(BV$2+FLOOR((BV$2-1)/9,1),"000"),"")</f>
        <v>BE081</v>
      </c>
      <c r="BW30" s="22" t="str">
        <f>IF(INDEX('Shot Map'!$B$6:$V$26,CEILING($A30/5,1),CEILING(BW$2/5,1))=1,INDEX('Serial Reference'!$A$8:$W$8,1,FLOOR(($A30-1)/23,1)+1)&amp;INDEX('Serial Reference'!$A$8:$W$8,1,MOD($A30-1,23)+1)&amp;TEXT(BW$2+FLOOR((BW$2-1)/9,1),"000"),"")</f>
        <v>BE082</v>
      </c>
      <c r="BX30" s="23" t="str">
        <f>IF(INDEX('Shot Map'!$B$6:$V$26,CEILING($A30/5,1),CEILING(BX$2/5,1))=1,INDEX('Serial Reference'!$A$8:$W$8,1,FLOOR(($A30-1)/23,1)+1)&amp;INDEX('Serial Reference'!$A$8:$W$8,1,MOD($A30-1,23)+1)&amp;TEXT(BX$2+FLOOR((BX$2-1)/9,1),"000"),"")</f>
        <v>BE083</v>
      </c>
      <c r="BY30" s="21" t="str">
        <f>IF(INDEX('Shot Map'!$B$6:$V$26,CEILING($A30/5,1),CEILING(BY$2/5,1))=1,INDEX('Serial Reference'!$A$8:$W$8,1,FLOOR(($A30-1)/23,1)+1)&amp;INDEX('Serial Reference'!$A$8:$W$8,1,MOD($A30-1,23)+1)&amp;TEXT(BY$2+FLOOR((BY$2-1)/9,1),"000"),"")</f>
        <v>BE084</v>
      </c>
      <c r="BZ30" s="22" t="str">
        <f>IF(INDEX('Shot Map'!$B$6:$V$26,CEILING($A30/5,1),CEILING(BZ$2/5,1))=1,INDEX('Serial Reference'!$A$8:$W$8,1,FLOOR(($A30-1)/23,1)+1)&amp;INDEX('Serial Reference'!$A$8:$W$8,1,MOD($A30-1,23)+1)&amp;TEXT(BZ$2+FLOOR((BZ$2-1)/9,1),"000"),"")</f>
        <v>BE085</v>
      </c>
      <c r="CA30" s="22" t="str">
        <f>IF(INDEX('Shot Map'!$B$6:$V$26,CEILING($A30/5,1),CEILING(CA$2/5,1))=1,INDEX('Serial Reference'!$A$8:$W$8,1,FLOOR(($A30-1)/23,1)+1)&amp;INDEX('Serial Reference'!$A$8:$W$8,1,MOD($A30-1,23)+1)&amp;TEXT(CA$2+FLOOR((CA$2-1)/9,1),"000"),"")</f>
        <v>BE086</v>
      </c>
      <c r="CB30" s="22" t="str">
        <f>IF(INDEX('Shot Map'!$B$6:$V$26,CEILING($A30/5,1),CEILING(CB$2/5,1))=1,INDEX('Serial Reference'!$A$8:$W$8,1,FLOOR(($A30-1)/23,1)+1)&amp;INDEX('Serial Reference'!$A$8:$W$8,1,MOD($A30-1,23)+1)&amp;TEXT(CB$2+FLOOR((CB$2-1)/9,1),"000"),"")</f>
        <v>BE087</v>
      </c>
      <c r="CC30" s="23" t="str">
        <f>IF(INDEX('Shot Map'!$B$6:$V$26,CEILING($A30/5,1),CEILING(CC$2/5,1))=1,INDEX('Serial Reference'!$A$8:$W$8,1,FLOOR(($A30-1)/23,1)+1)&amp;INDEX('Serial Reference'!$A$8:$W$8,1,MOD($A30-1,23)+1)&amp;TEXT(CC$2+FLOOR((CC$2-1)/9,1),"000"),"")</f>
        <v>BE088</v>
      </c>
      <c r="CD30" s="21" t="str">
        <f>IF(INDEX('Shot Map'!$B$6:$V$26,CEILING($A30/5,1),CEILING(CD$2/5,1))=1,INDEX('Serial Reference'!$A$8:$W$8,1,FLOOR(($A30-1)/23,1)+1)&amp;INDEX('Serial Reference'!$A$8:$W$8,1,MOD($A30-1,23)+1)&amp;TEXT(CD$2+FLOOR((CD$2-1)/9,1),"000"),"")</f>
        <v>BE089</v>
      </c>
      <c r="CE30" s="22" t="str">
        <f>IF(INDEX('Shot Map'!$B$6:$V$26,CEILING($A30/5,1),CEILING(CE$2/5,1))=1,INDEX('Serial Reference'!$A$8:$W$8,1,FLOOR(($A30-1)/23,1)+1)&amp;INDEX('Serial Reference'!$A$8:$W$8,1,MOD($A30-1,23)+1)&amp;TEXT(CE$2+FLOOR((CE$2-1)/9,1),"000"),"")</f>
        <v>BE091</v>
      </c>
      <c r="CF30" s="22" t="str">
        <f>IF(INDEX('Shot Map'!$B$6:$V$26,CEILING($A30/5,1),CEILING(CF$2/5,1))=1,INDEX('Serial Reference'!$A$8:$W$8,1,FLOOR(($A30-1)/23,1)+1)&amp;INDEX('Serial Reference'!$A$8:$W$8,1,MOD($A30-1,23)+1)&amp;TEXT(CF$2+FLOOR((CF$2-1)/9,1),"000"),"")</f>
        <v>BE092</v>
      </c>
      <c r="CG30" s="22" t="str">
        <f>IF(INDEX('Shot Map'!$B$6:$V$26,CEILING($A30/5,1),CEILING(CG$2/5,1))=1,INDEX('Serial Reference'!$A$8:$W$8,1,FLOOR(($A30-1)/23,1)+1)&amp;INDEX('Serial Reference'!$A$8:$W$8,1,MOD($A30-1,23)+1)&amp;TEXT(CG$2+FLOOR((CG$2-1)/9,1),"000"),"")</f>
        <v>BE093</v>
      </c>
      <c r="CH30" s="23" t="str">
        <f>IF(INDEX('Shot Map'!$B$6:$V$26,CEILING($A30/5,1),CEILING(CH$2/5,1))=1,INDEX('Serial Reference'!$A$8:$W$8,1,FLOOR(($A30-1)/23,1)+1)&amp;INDEX('Serial Reference'!$A$8:$W$8,1,MOD($A30-1,23)+1)&amp;TEXT(CH$2+FLOOR((CH$2-1)/9,1),"000"),"")</f>
        <v>BE094</v>
      </c>
      <c r="CI30" s="21" t="str">
        <f>IF(INDEX('Shot Map'!$B$6:$V$26,CEILING($A30/5,1),CEILING(CI$2/5,1))=1,INDEX('Serial Reference'!$A$8:$W$8,1,FLOOR(($A30-1)/23,1)+1)&amp;INDEX('Serial Reference'!$A$8:$W$8,1,MOD($A30-1,23)+1)&amp;TEXT(CI$2+FLOOR((CI$2-1)/9,1),"000"),"")</f>
        <v>BE095</v>
      </c>
      <c r="CJ30" s="22" t="str">
        <f>IF(INDEX('Shot Map'!$B$6:$V$26,CEILING($A30/5,1),CEILING(CJ$2/5,1))=1,INDEX('Serial Reference'!$A$8:$W$8,1,FLOOR(($A30-1)/23,1)+1)&amp;INDEX('Serial Reference'!$A$8:$W$8,1,MOD($A30-1,23)+1)&amp;TEXT(CJ$2+FLOOR((CJ$2-1)/9,1),"000"),"")</f>
        <v>BE096</v>
      </c>
      <c r="CK30" s="22" t="str">
        <f>IF(INDEX('Shot Map'!$B$6:$V$26,CEILING($A30/5,1),CEILING(CK$2/5,1))=1,INDEX('Serial Reference'!$A$8:$W$8,1,FLOOR(($A30-1)/23,1)+1)&amp;INDEX('Serial Reference'!$A$8:$W$8,1,MOD($A30-1,23)+1)&amp;TEXT(CK$2+FLOOR((CK$2-1)/9,1),"000"),"")</f>
        <v>BE097</v>
      </c>
      <c r="CL30" s="22" t="str">
        <f>IF(INDEX('Shot Map'!$B$6:$V$26,CEILING($A30/5,1),CEILING(CL$2/5,1))=1,INDEX('Serial Reference'!$A$8:$W$8,1,FLOOR(($A30-1)/23,1)+1)&amp;INDEX('Serial Reference'!$A$8:$W$8,1,MOD($A30-1,23)+1)&amp;TEXT(CL$2+FLOOR((CL$2-1)/9,1),"000"),"")</f>
        <v>BE098</v>
      </c>
      <c r="CM30" s="23" t="str">
        <f>IF(INDEX('Shot Map'!$B$6:$V$26,CEILING($A30/5,1),CEILING(CM$2/5,1))=1,INDEX('Serial Reference'!$A$8:$W$8,1,FLOOR(($A30-1)/23,1)+1)&amp;INDEX('Serial Reference'!$A$8:$W$8,1,MOD($A30-1,23)+1)&amp;TEXT(CM$2+FLOOR((CM$2-1)/9,1),"000"),"")</f>
        <v>BE099</v>
      </c>
      <c r="CN30" s="21" t="str">
        <f>IF(INDEX('Shot Map'!$B$6:$V$26,CEILING($A30/5,1),CEILING(CN$2/5,1))=1,INDEX('Serial Reference'!$A$8:$W$8,1,FLOOR(($A30-1)/23,1)+1)&amp;INDEX('Serial Reference'!$A$8:$W$8,1,MOD($A30-1,23)+1)&amp;TEXT(CN$2+FLOOR((CN$2-1)/9,1),"000"),"")</f>
        <v>BE101</v>
      </c>
      <c r="CO30" s="22" t="str">
        <f>IF(INDEX('Shot Map'!$B$6:$V$26,CEILING($A30/5,1),CEILING(CO$2/5,1))=1,INDEX('Serial Reference'!$A$8:$W$8,1,FLOOR(($A30-1)/23,1)+1)&amp;INDEX('Serial Reference'!$A$8:$W$8,1,MOD($A30-1,23)+1)&amp;TEXT(CO$2+FLOOR((CO$2-1)/9,1),"000"),"")</f>
        <v>BE102</v>
      </c>
      <c r="CP30" s="22" t="str">
        <f>IF(INDEX('Shot Map'!$B$6:$V$26,CEILING($A30/5,1),CEILING(CP$2/5,1))=1,INDEX('Serial Reference'!$A$8:$W$8,1,FLOOR(($A30-1)/23,1)+1)&amp;INDEX('Serial Reference'!$A$8:$W$8,1,MOD($A30-1,23)+1)&amp;TEXT(CP$2+FLOOR((CP$2-1)/9,1),"000"),"")</f>
        <v>BE103</v>
      </c>
      <c r="CQ30" s="22" t="str">
        <f>IF(INDEX('Shot Map'!$B$6:$V$26,CEILING($A30/5,1),CEILING(CQ$2/5,1))=1,INDEX('Serial Reference'!$A$8:$W$8,1,FLOOR(($A30-1)/23,1)+1)&amp;INDEX('Serial Reference'!$A$8:$W$8,1,MOD($A30-1,23)+1)&amp;TEXT(CQ$2+FLOOR((CQ$2-1)/9,1),"000"),"")</f>
        <v>BE104</v>
      </c>
      <c r="CR30" s="23" t="str">
        <f>IF(INDEX('Shot Map'!$B$6:$V$26,CEILING($A30/5,1),CEILING(CR$2/5,1))=1,INDEX('Serial Reference'!$A$8:$W$8,1,FLOOR(($A30-1)/23,1)+1)&amp;INDEX('Serial Reference'!$A$8:$W$8,1,MOD($A30-1,23)+1)&amp;TEXT(CR$2+FLOOR((CR$2-1)/9,1),"000"),"")</f>
        <v>BE105</v>
      </c>
      <c r="CS30" s="21" t="str">
        <f>IF(INDEX('Shot Map'!$B$6:$V$26,CEILING($A30/5,1),CEILING(CS$2/5,1))=1,INDEX('Serial Reference'!$A$8:$W$8,1,FLOOR(($A30-1)/23,1)+1)&amp;INDEX('Serial Reference'!$A$8:$W$8,1,MOD($A30-1,23)+1)&amp;TEXT(CS$2+FLOOR((CS$2-1)/9,1),"000"),"")</f>
        <v/>
      </c>
      <c r="CT30" s="22" t="str">
        <f>IF(INDEX('Shot Map'!$B$6:$V$26,CEILING($A30/5,1),CEILING(CT$2/5,1))=1,INDEX('Serial Reference'!$A$8:$W$8,1,FLOOR(($A30-1)/23,1)+1)&amp;INDEX('Serial Reference'!$A$8:$W$8,1,MOD($A30-1,23)+1)&amp;TEXT(CT$2+FLOOR((CT$2-1)/9,1),"000"),"")</f>
        <v/>
      </c>
      <c r="CU30" s="22" t="str">
        <f>IF(INDEX('Shot Map'!$B$6:$V$26,CEILING($A30/5,1),CEILING(CU$2/5,1))=1,INDEX('Serial Reference'!$A$8:$W$8,1,FLOOR(($A30-1)/23,1)+1)&amp;INDEX('Serial Reference'!$A$8:$W$8,1,MOD($A30-1,23)+1)&amp;TEXT(CU$2+FLOOR((CU$2-1)/9,1),"000"),"")</f>
        <v/>
      </c>
      <c r="CV30" s="22" t="str">
        <f>IF(INDEX('Shot Map'!$B$6:$V$26,CEILING($A30/5,1),CEILING(CV$2/5,1))=1,INDEX('Serial Reference'!$A$8:$W$8,1,FLOOR(($A30-1)/23,1)+1)&amp;INDEX('Serial Reference'!$A$8:$W$8,1,MOD($A30-1,23)+1)&amp;TEXT(CV$2+FLOOR((CV$2-1)/9,1),"000"),"")</f>
        <v/>
      </c>
      <c r="CW30" s="23" t="str">
        <f>IF(INDEX('Shot Map'!$B$6:$V$26,CEILING($A30/5,1),CEILING(CW$2/5,1))=1,INDEX('Serial Reference'!$A$8:$W$8,1,FLOOR(($A30-1)/23,1)+1)&amp;INDEX('Serial Reference'!$A$8:$W$8,1,MOD($A30-1,23)+1)&amp;TEXT(CW$2+FLOOR((CW$2-1)/9,1),"000"),"")</f>
        <v/>
      </c>
      <c r="CX30" s="21" t="str">
        <f>IF(INDEX('Shot Map'!$B$6:$V$26,CEILING($A30/5,1),CEILING(CX$2/5,1))=1,INDEX('Serial Reference'!$A$8:$W$8,1,FLOOR(($A30-1)/23,1)+1)&amp;INDEX('Serial Reference'!$A$8:$W$8,1,MOD($A30-1,23)+1)&amp;TEXT(CX$2+FLOOR((CX$2-1)/9,1),"000"),"")</f>
        <v/>
      </c>
      <c r="CY30" s="22" t="str">
        <f>IF(INDEX('Shot Map'!$B$6:$V$26,CEILING($A30/5,1),CEILING(CY$2/5,1))=1,INDEX('Serial Reference'!$A$8:$W$8,1,FLOOR(($A30-1)/23,1)+1)&amp;INDEX('Serial Reference'!$A$8:$W$8,1,MOD($A30-1,23)+1)&amp;TEXT(CY$2+FLOOR((CY$2-1)/9,1),"000"),"")</f>
        <v/>
      </c>
      <c r="CZ30" s="22" t="str">
        <f>IF(INDEX('Shot Map'!$B$6:$V$26,CEILING($A30/5,1),CEILING(CZ$2/5,1))=1,INDEX('Serial Reference'!$A$8:$W$8,1,FLOOR(($A30-1)/23,1)+1)&amp;INDEX('Serial Reference'!$A$8:$W$8,1,MOD($A30-1,23)+1)&amp;TEXT(CZ$2+FLOOR((CZ$2-1)/9,1),"000"),"")</f>
        <v/>
      </c>
      <c r="DA30" s="22" t="str">
        <f>IF(INDEX('Shot Map'!$B$6:$V$26,CEILING($A30/5,1),CEILING(DA$2/5,1))=1,INDEX('Serial Reference'!$A$8:$W$8,1,FLOOR(($A30-1)/23,1)+1)&amp;INDEX('Serial Reference'!$A$8:$W$8,1,MOD($A30-1,23)+1)&amp;TEXT(DA$2+FLOOR((DA$2-1)/9,1),"000"),"")</f>
        <v/>
      </c>
      <c r="DB30" s="23" t="str">
        <f>IF(INDEX('Shot Map'!$B$6:$V$26,CEILING($A30/5,1),CEILING(DB$2/5,1))=1,INDEX('Serial Reference'!$A$8:$W$8,1,FLOOR(($A30-1)/23,1)+1)&amp;INDEX('Serial Reference'!$A$8:$W$8,1,MOD($A30-1,23)+1)&amp;TEXT(DB$2+FLOOR((DB$2-1)/9,1),"000"),"")</f>
        <v/>
      </c>
    </row>
    <row r="31" spans="1:106" ht="12.75" customHeight="1" x14ac:dyDescent="0.25">
      <c r="A31" s="17">
        <v>29</v>
      </c>
      <c r="B31" s="21" t="str">
        <f>IF(INDEX('Shot Map'!$B$6:$V$26,CEILING($A31/5,1),CEILING(B$2/5,1))=1,INDEX('Serial Reference'!$A$8:$W$8,1,FLOOR(($A31-1)/23,1)+1)&amp;INDEX('Serial Reference'!$A$8:$W$8,1,MOD($A31-1,23)+1)&amp;TEXT(B$2+FLOOR((B$2-1)/9,1),"000"),"")</f>
        <v/>
      </c>
      <c r="C31" s="22" t="str">
        <f>IF(INDEX('Shot Map'!$B$6:$V$26,CEILING($A31/5,1),CEILING(C$2/5,1))=1,INDEX('Serial Reference'!$A$8:$W$8,1,FLOOR(($A31-1)/23,1)+1)&amp;INDEX('Serial Reference'!$A$8:$W$8,1,MOD($A31-1,23)+1)&amp;TEXT(C$2+FLOOR((C$2-1)/9,1),"000"),"")</f>
        <v/>
      </c>
      <c r="D31" s="22" t="str">
        <f>IF(INDEX('Shot Map'!$B$6:$V$26,CEILING($A31/5,1),CEILING(D$2/5,1))=1,INDEX('Serial Reference'!$A$8:$W$8,1,FLOOR(($A31-1)/23,1)+1)&amp;INDEX('Serial Reference'!$A$8:$W$8,1,MOD($A31-1,23)+1)&amp;TEXT(D$2+FLOOR((D$2-1)/9,1),"000"),"")</f>
        <v/>
      </c>
      <c r="E31" s="22" t="str">
        <f>IF(INDEX('Shot Map'!$B$6:$V$26,CEILING($A31/5,1),CEILING(E$2/5,1))=1,INDEX('Serial Reference'!$A$8:$W$8,1,FLOOR(($A31-1)/23,1)+1)&amp;INDEX('Serial Reference'!$A$8:$W$8,1,MOD($A31-1,23)+1)&amp;TEXT(E$2+FLOOR((E$2-1)/9,1),"000"),"")</f>
        <v/>
      </c>
      <c r="F31" s="23" t="str">
        <f>IF(INDEX('Shot Map'!$B$6:$V$26,CEILING($A31/5,1),CEILING(F$2/5,1))=1,INDEX('Serial Reference'!$A$8:$W$8,1,FLOOR(($A31-1)/23,1)+1)&amp;INDEX('Serial Reference'!$A$8:$W$8,1,MOD($A31-1,23)+1)&amp;TEXT(F$2+FLOOR((F$2-1)/9,1),"000"),"")</f>
        <v/>
      </c>
      <c r="G31" s="21" t="str">
        <f>IF(INDEX('Shot Map'!$B$6:$V$26,CEILING($A31/5,1),CEILING(G$2/5,1))=1,INDEX('Serial Reference'!$A$8:$W$8,1,FLOOR(($A31-1)/23,1)+1)&amp;INDEX('Serial Reference'!$A$8:$W$8,1,MOD($A31-1,23)+1)&amp;TEXT(G$2+FLOOR((G$2-1)/9,1),"000"),"")</f>
        <v/>
      </c>
      <c r="H31" s="22" t="str">
        <f>IF(INDEX('Shot Map'!$B$6:$V$26,CEILING($A31/5,1),CEILING(H$2/5,1))=1,INDEX('Serial Reference'!$A$8:$W$8,1,FLOOR(($A31-1)/23,1)+1)&amp;INDEX('Serial Reference'!$A$8:$W$8,1,MOD($A31-1,23)+1)&amp;TEXT(H$2+FLOOR((H$2-1)/9,1),"000"),"")</f>
        <v/>
      </c>
      <c r="I31" s="22" t="str">
        <f>IF(INDEX('Shot Map'!$B$6:$V$26,CEILING($A31/5,1),CEILING(I$2/5,1))=1,INDEX('Serial Reference'!$A$8:$W$8,1,FLOOR(($A31-1)/23,1)+1)&amp;INDEX('Serial Reference'!$A$8:$W$8,1,MOD($A31-1,23)+1)&amp;TEXT(I$2+FLOOR((I$2-1)/9,1),"000"),"")</f>
        <v/>
      </c>
      <c r="J31" s="22" t="str">
        <f>IF(INDEX('Shot Map'!$B$6:$V$26,CEILING($A31/5,1),CEILING(J$2/5,1))=1,INDEX('Serial Reference'!$A$8:$W$8,1,FLOOR(($A31-1)/23,1)+1)&amp;INDEX('Serial Reference'!$A$8:$W$8,1,MOD($A31-1,23)+1)&amp;TEXT(J$2+FLOOR((J$2-1)/9,1),"000"),"")</f>
        <v/>
      </c>
      <c r="K31" s="23" t="str">
        <f>IF(INDEX('Shot Map'!$B$6:$V$26,CEILING($A31/5,1),CEILING(K$2/5,1))=1,INDEX('Serial Reference'!$A$8:$W$8,1,FLOOR(($A31-1)/23,1)+1)&amp;INDEX('Serial Reference'!$A$8:$W$8,1,MOD($A31-1,23)+1)&amp;TEXT(K$2+FLOOR((K$2-1)/9,1),"000"),"")</f>
        <v/>
      </c>
      <c r="L31" s="21" t="str">
        <f>IF(INDEX('Shot Map'!$B$6:$V$26,CEILING($A31/5,1),CEILING(L$2/5,1))=1,INDEX('Serial Reference'!$A$8:$W$8,1,FLOOR(($A31-1)/23,1)+1)&amp;INDEX('Serial Reference'!$A$8:$W$8,1,MOD($A31-1,23)+1)&amp;TEXT(L$2+FLOOR((L$2-1)/9,1),"000"),"")</f>
        <v>BF012</v>
      </c>
      <c r="M31" s="22" t="str">
        <f>IF(INDEX('Shot Map'!$B$6:$V$26,CEILING($A31/5,1),CEILING(M$2/5,1))=1,INDEX('Serial Reference'!$A$8:$W$8,1,FLOOR(($A31-1)/23,1)+1)&amp;INDEX('Serial Reference'!$A$8:$W$8,1,MOD($A31-1,23)+1)&amp;TEXT(M$2+FLOOR((M$2-1)/9,1),"000"),"")</f>
        <v>BF013</v>
      </c>
      <c r="N31" s="22" t="str">
        <f>IF(INDEX('Shot Map'!$B$6:$V$26,CEILING($A31/5,1),CEILING(N$2/5,1))=1,INDEX('Serial Reference'!$A$8:$W$8,1,FLOOR(($A31-1)/23,1)+1)&amp;INDEX('Serial Reference'!$A$8:$W$8,1,MOD($A31-1,23)+1)&amp;TEXT(N$2+FLOOR((N$2-1)/9,1),"000"),"")</f>
        <v>BF014</v>
      </c>
      <c r="O31" s="22" t="str">
        <f>IF(INDEX('Shot Map'!$B$6:$V$26,CEILING($A31/5,1),CEILING(O$2/5,1))=1,INDEX('Serial Reference'!$A$8:$W$8,1,FLOOR(($A31-1)/23,1)+1)&amp;INDEX('Serial Reference'!$A$8:$W$8,1,MOD($A31-1,23)+1)&amp;TEXT(O$2+FLOOR((O$2-1)/9,1),"000"),"")</f>
        <v>BF015</v>
      </c>
      <c r="P31" s="23" t="str">
        <f>IF(INDEX('Shot Map'!$B$6:$V$26,CEILING($A31/5,1),CEILING(P$2/5,1))=1,INDEX('Serial Reference'!$A$8:$W$8,1,FLOOR(($A31-1)/23,1)+1)&amp;INDEX('Serial Reference'!$A$8:$W$8,1,MOD($A31-1,23)+1)&amp;TEXT(P$2+FLOOR((P$2-1)/9,1),"000"),"")</f>
        <v>BF016</v>
      </c>
      <c r="Q31" s="21" t="str">
        <f>IF(INDEX('Shot Map'!$B$6:$V$26,CEILING($A31/5,1),CEILING(Q$2/5,1))=1,INDEX('Serial Reference'!$A$8:$W$8,1,FLOOR(($A31-1)/23,1)+1)&amp;INDEX('Serial Reference'!$A$8:$W$8,1,MOD($A31-1,23)+1)&amp;TEXT(Q$2+FLOOR((Q$2-1)/9,1),"000"),"")</f>
        <v>BF017</v>
      </c>
      <c r="R31" s="22" t="str">
        <f>IF(INDEX('Shot Map'!$B$6:$V$26,CEILING($A31/5,1),CEILING(R$2/5,1))=1,INDEX('Serial Reference'!$A$8:$W$8,1,FLOOR(($A31-1)/23,1)+1)&amp;INDEX('Serial Reference'!$A$8:$W$8,1,MOD($A31-1,23)+1)&amp;TEXT(R$2+FLOOR((R$2-1)/9,1),"000"),"")</f>
        <v>BF018</v>
      </c>
      <c r="S31" s="22" t="str">
        <f>IF(INDEX('Shot Map'!$B$6:$V$26,CEILING($A31/5,1),CEILING(S$2/5,1))=1,INDEX('Serial Reference'!$A$8:$W$8,1,FLOOR(($A31-1)/23,1)+1)&amp;INDEX('Serial Reference'!$A$8:$W$8,1,MOD($A31-1,23)+1)&amp;TEXT(S$2+FLOOR((S$2-1)/9,1),"000"),"")</f>
        <v>BF019</v>
      </c>
      <c r="T31" s="22" t="str">
        <f>IF(INDEX('Shot Map'!$B$6:$V$26,CEILING($A31/5,1),CEILING(T$2/5,1))=1,INDEX('Serial Reference'!$A$8:$W$8,1,FLOOR(($A31-1)/23,1)+1)&amp;INDEX('Serial Reference'!$A$8:$W$8,1,MOD($A31-1,23)+1)&amp;TEXT(T$2+FLOOR((T$2-1)/9,1),"000"),"")</f>
        <v>BF021</v>
      </c>
      <c r="U31" s="23" t="str">
        <f>IF(INDEX('Shot Map'!$B$6:$V$26,CEILING($A31/5,1),CEILING(U$2/5,1))=1,INDEX('Serial Reference'!$A$8:$W$8,1,FLOOR(($A31-1)/23,1)+1)&amp;INDEX('Serial Reference'!$A$8:$W$8,1,MOD($A31-1,23)+1)&amp;TEXT(U$2+FLOOR((U$2-1)/9,1),"000"),"")</f>
        <v>BF022</v>
      </c>
      <c r="V31" s="21" t="str">
        <f>IF(INDEX('Shot Map'!$B$6:$V$26,CEILING($A31/5,1),CEILING(V$2/5,1))=1,INDEX('Serial Reference'!$A$8:$W$8,1,FLOOR(($A31-1)/23,1)+1)&amp;INDEX('Serial Reference'!$A$8:$W$8,1,MOD($A31-1,23)+1)&amp;TEXT(V$2+FLOOR((V$2-1)/9,1),"000"),"")</f>
        <v>BF023</v>
      </c>
      <c r="W31" s="22" t="str">
        <f>IF(INDEX('Shot Map'!$B$6:$V$26,CEILING($A31/5,1),CEILING(W$2/5,1))=1,INDEX('Serial Reference'!$A$8:$W$8,1,FLOOR(($A31-1)/23,1)+1)&amp;INDEX('Serial Reference'!$A$8:$W$8,1,MOD($A31-1,23)+1)&amp;TEXT(W$2+FLOOR((W$2-1)/9,1),"000"),"")</f>
        <v>BF024</v>
      </c>
      <c r="X31" s="22" t="str">
        <f>IF(INDEX('Shot Map'!$B$6:$V$26,CEILING($A31/5,1),CEILING(X$2/5,1))=1,INDEX('Serial Reference'!$A$8:$W$8,1,FLOOR(($A31-1)/23,1)+1)&amp;INDEX('Serial Reference'!$A$8:$W$8,1,MOD($A31-1,23)+1)&amp;TEXT(X$2+FLOOR((X$2-1)/9,1),"000"),"")</f>
        <v>BF025</v>
      </c>
      <c r="Y31" s="22" t="str">
        <f>IF(INDEX('Shot Map'!$B$6:$V$26,CEILING($A31/5,1),CEILING(Y$2/5,1))=1,INDEX('Serial Reference'!$A$8:$W$8,1,FLOOR(($A31-1)/23,1)+1)&amp;INDEX('Serial Reference'!$A$8:$W$8,1,MOD($A31-1,23)+1)&amp;TEXT(Y$2+FLOOR((Y$2-1)/9,1),"000"),"")</f>
        <v>BF026</v>
      </c>
      <c r="Z31" s="23" t="str">
        <f>IF(INDEX('Shot Map'!$B$6:$V$26,CEILING($A31/5,1),CEILING(Z$2/5,1))=1,INDEX('Serial Reference'!$A$8:$W$8,1,FLOOR(($A31-1)/23,1)+1)&amp;INDEX('Serial Reference'!$A$8:$W$8,1,MOD($A31-1,23)+1)&amp;TEXT(Z$2+FLOOR((Z$2-1)/9,1),"000"),"")</f>
        <v>BF027</v>
      </c>
      <c r="AA31" s="21" t="str">
        <f>IF(INDEX('Shot Map'!$B$6:$V$26,CEILING($A31/5,1),CEILING(AA$2/5,1))=1,INDEX('Serial Reference'!$A$8:$W$8,1,FLOOR(($A31-1)/23,1)+1)&amp;INDEX('Serial Reference'!$A$8:$W$8,1,MOD($A31-1,23)+1)&amp;TEXT(AA$2+FLOOR((AA$2-1)/9,1),"000"),"")</f>
        <v>BF028</v>
      </c>
      <c r="AB31" s="22" t="str">
        <f>IF(INDEX('Shot Map'!$B$6:$V$26,CEILING($A31/5,1),CEILING(AB$2/5,1))=1,INDEX('Serial Reference'!$A$8:$W$8,1,FLOOR(($A31-1)/23,1)+1)&amp;INDEX('Serial Reference'!$A$8:$W$8,1,MOD($A31-1,23)+1)&amp;TEXT(AB$2+FLOOR((AB$2-1)/9,1),"000"),"")</f>
        <v>BF029</v>
      </c>
      <c r="AC31" s="22" t="str">
        <f>IF(INDEX('Shot Map'!$B$6:$V$26,CEILING($A31/5,1),CEILING(AC$2/5,1))=1,INDEX('Serial Reference'!$A$8:$W$8,1,FLOOR(($A31-1)/23,1)+1)&amp;INDEX('Serial Reference'!$A$8:$W$8,1,MOD($A31-1,23)+1)&amp;TEXT(AC$2+FLOOR((AC$2-1)/9,1),"000"),"")</f>
        <v>BF031</v>
      </c>
      <c r="AD31" s="22" t="str">
        <f>IF(INDEX('Shot Map'!$B$6:$V$26,CEILING($A31/5,1),CEILING(AD$2/5,1))=1,INDEX('Serial Reference'!$A$8:$W$8,1,FLOOR(($A31-1)/23,1)+1)&amp;INDEX('Serial Reference'!$A$8:$W$8,1,MOD($A31-1,23)+1)&amp;TEXT(AD$2+FLOOR((AD$2-1)/9,1),"000"),"")</f>
        <v>BF032</v>
      </c>
      <c r="AE31" s="23" t="str">
        <f>IF(INDEX('Shot Map'!$B$6:$V$26,CEILING($A31/5,1),CEILING(AE$2/5,1))=1,INDEX('Serial Reference'!$A$8:$W$8,1,FLOOR(($A31-1)/23,1)+1)&amp;INDEX('Serial Reference'!$A$8:$W$8,1,MOD($A31-1,23)+1)&amp;TEXT(AE$2+FLOOR((AE$2-1)/9,1),"000"),"")</f>
        <v>BF033</v>
      </c>
      <c r="AF31" s="21" t="str">
        <f>IF(INDEX('Shot Map'!$B$6:$V$26,CEILING($A31/5,1),CEILING(AF$2/5,1))=1,INDEX('Serial Reference'!$A$8:$W$8,1,FLOOR(($A31-1)/23,1)+1)&amp;INDEX('Serial Reference'!$A$8:$W$8,1,MOD($A31-1,23)+1)&amp;TEXT(AF$2+FLOOR((AF$2-1)/9,1),"000"),"")</f>
        <v>BF034</v>
      </c>
      <c r="AG31" s="22" t="str">
        <f>IF(INDEX('Shot Map'!$B$6:$V$26,CEILING($A31/5,1),CEILING(AG$2/5,1))=1,INDEX('Serial Reference'!$A$8:$W$8,1,FLOOR(($A31-1)/23,1)+1)&amp;INDEX('Serial Reference'!$A$8:$W$8,1,MOD($A31-1,23)+1)&amp;TEXT(AG$2+FLOOR((AG$2-1)/9,1),"000"),"")</f>
        <v>BF035</v>
      </c>
      <c r="AH31" s="22" t="str">
        <f>IF(INDEX('Shot Map'!$B$6:$V$26,CEILING($A31/5,1),CEILING(AH$2/5,1))=1,INDEX('Serial Reference'!$A$8:$W$8,1,FLOOR(($A31-1)/23,1)+1)&amp;INDEX('Serial Reference'!$A$8:$W$8,1,MOD($A31-1,23)+1)&amp;TEXT(AH$2+FLOOR((AH$2-1)/9,1),"000"),"")</f>
        <v>BF036</v>
      </c>
      <c r="AI31" s="22" t="str">
        <f>IF(INDEX('Shot Map'!$B$6:$V$26,CEILING($A31/5,1),CEILING(AI$2/5,1))=1,INDEX('Serial Reference'!$A$8:$W$8,1,FLOOR(($A31-1)/23,1)+1)&amp;INDEX('Serial Reference'!$A$8:$W$8,1,MOD($A31-1,23)+1)&amp;TEXT(AI$2+FLOOR((AI$2-1)/9,1),"000"),"")</f>
        <v>BF037</v>
      </c>
      <c r="AJ31" s="23" t="str">
        <f>IF(INDEX('Shot Map'!$B$6:$V$26,CEILING($A31/5,1),CEILING(AJ$2/5,1))=1,INDEX('Serial Reference'!$A$8:$W$8,1,FLOOR(($A31-1)/23,1)+1)&amp;INDEX('Serial Reference'!$A$8:$W$8,1,MOD($A31-1,23)+1)&amp;TEXT(AJ$2+FLOOR((AJ$2-1)/9,1),"000"),"")</f>
        <v>BF038</v>
      </c>
      <c r="AK31" s="21" t="str">
        <f>IF(INDEX('Shot Map'!$B$6:$V$26,CEILING($A31/5,1),CEILING(AK$2/5,1))=1,INDEX('Serial Reference'!$A$8:$W$8,1,FLOOR(($A31-1)/23,1)+1)&amp;INDEX('Serial Reference'!$A$8:$W$8,1,MOD($A31-1,23)+1)&amp;TEXT(AK$2+FLOOR((AK$2-1)/9,1),"000"),"")</f>
        <v>BF039</v>
      </c>
      <c r="AL31" s="22" t="str">
        <f>IF(INDEX('Shot Map'!$B$6:$V$26,CEILING($A31/5,1),CEILING(AL$2/5,1))=1,INDEX('Serial Reference'!$A$8:$W$8,1,FLOOR(($A31-1)/23,1)+1)&amp;INDEX('Serial Reference'!$A$8:$W$8,1,MOD($A31-1,23)+1)&amp;TEXT(AL$2+FLOOR((AL$2-1)/9,1),"000"),"")</f>
        <v>BF041</v>
      </c>
      <c r="AM31" s="22" t="str">
        <f>IF(INDEX('Shot Map'!$B$6:$V$26,CEILING($A31/5,1),CEILING(AM$2/5,1))=1,INDEX('Serial Reference'!$A$8:$W$8,1,FLOOR(($A31-1)/23,1)+1)&amp;INDEX('Serial Reference'!$A$8:$W$8,1,MOD($A31-1,23)+1)&amp;TEXT(AM$2+FLOOR((AM$2-1)/9,1),"000"),"")</f>
        <v>BF042</v>
      </c>
      <c r="AN31" s="22" t="str">
        <f>IF(INDEX('Shot Map'!$B$6:$V$26,CEILING($A31/5,1),CEILING(AN$2/5,1))=1,INDEX('Serial Reference'!$A$8:$W$8,1,FLOOR(($A31-1)/23,1)+1)&amp;INDEX('Serial Reference'!$A$8:$W$8,1,MOD($A31-1,23)+1)&amp;TEXT(AN$2+FLOOR((AN$2-1)/9,1),"000"),"")</f>
        <v>BF043</v>
      </c>
      <c r="AO31" s="23" t="str">
        <f>IF(INDEX('Shot Map'!$B$6:$V$26,CEILING($A31/5,1),CEILING(AO$2/5,1))=1,INDEX('Serial Reference'!$A$8:$W$8,1,FLOOR(($A31-1)/23,1)+1)&amp;INDEX('Serial Reference'!$A$8:$W$8,1,MOD($A31-1,23)+1)&amp;TEXT(AO$2+FLOOR((AO$2-1)/9,1),"000"),"")</f>
        <v>BF044</v>
      </c>
      <c r="AP31" s="21" t="str">
        <f>IF(INDEX('Shot Map'!$B$6:$V$26,CEILING($A31/5,1),CEILING(AP$2/5,1))=1,INDEX('Serial Reference'!$A$8:$W$8,1,FLOOR(($A31-1)/23,1)+1)&amp;INDEX('Serial Reference'!$A$8:$W$8,1,MOD($A31-1,23)+1)&amp;TEXT(AP$2+FLOOR((AP$2-1)/9,1),"000"),"")</f>
        <v>BF045</v>
      </c>
      <c r="AQ31" s="22" t="str">
        <f>IF(INDEX('Shot Map'!$B$6:$V$26,CEILING($A31/5,1),CEILING(AQ$2/5,1))=1,INDEX('Serial Reference'!$A$8:$W$8,1,FLOOR(($A31-1)/23,1)+1)&amp;INDEX('Serial Reference'!$A$8:$W$8,1,MOD($A31-1,23)+1)&amp;TEXT(AQ$2+FLOOR((AQ$2-1)/9,1),"000"),"")</f>
        <v>BF046</v>
      </c>
      <c r="AR31" s="22" t="str">
        <f>IF(INDEX('Shot Map'!$B$6:$V$26,CEILING($A31/5,1),CEILING(AR$2/5,1))=1,INDEX('Serial Reference'!$A$8:$W$8,1,FLOOR(($A31-1)/23,1)+1)&amp;INDEX('Serial Reference'!$A$8:$W$8,1,MOD($A31-1,23)+1)&amp;TEXT(AR$2+FLOOR((AR$2-1)/9,1),"000"),"")</f>
        <v>BF047</v>
      </c>
      <c r="AS31" s="22" t="str">
        <f>IF(INDEX('Shot Map'!$B$6:$V$26,CEILING($A31/5,1),CEILING(AS$2/5,1))=1,INDEX('Serial Reference'!$A$8:$W$8,1,FLOOR(($A31-1)/23,1)+1)&amp;INDEX('Serial Reference'!$A$8:$W$8,1,MOD($A31-1,23)+1)&amp;TEXT(AS$2+FLOOR((AS$2-1)/9,1),"000"),"")</f>
        <v>BF048</v>
      </c>
      <c r="AT31" s="23" t="str">
        <f>IF(INDEX('Shot Map'!$B$6:$V$26,CEILING($A31/5,1),CEILING(AT$2/5,1))=1,INDEX('Serial Reference'!$A$8:$W$8,1,FLOOR(($A31-1)/23,1)+1)&amp;INDEX('Serial Reference'!$A$8:$W$8,1,MOD($A31-1,23)+1)&amp;TEXT(AT$2+FLOOR((AT$2-1)/9,1),"000"),"")</f>
        <v>BF049</v>
      </c>
      <c r="AU31" s="21" t="str">
        <f>IF(INDEX('Shot Map'!$B$6:$V$26,CEILING($A31/5,1),CEILING(AU$2/5,1))=1,INDEX('Serial Reference'!$A$8:$W$8,1,FLOOR(($A31-1)/23,1)+1)&amp;INDEX('Serial Reference'!$A$8:$W$8,1,MOD($A31-1,23)+1)&amp;TEXT(AU$2+FLOOR((AU$2-1)/9,1),"000"),"")</f>
        <v>BF051</v>
      </c>
      <c r="AV31" s="22" t="str">
        <f>IF(INDEX('Shot Map'!$B$6:$V$26,CEILING($A31/5,1),CEILING(AV$2/5,1))=1,INDEX('Serial Reference'!$A$8:$W$8,1,FLOOR(($A31-1)/23,1)+1)&amp;INDEX('Serial Reference'!$A$8:$W$8,1,MOD($A31-1,23)+1)&amp;TEXT(AV$2+FLOOR((AV$2-1)/9,1),"000"),"")</f>
        <v>BF052</v>
      </c>
      <c r="AW31" s="22" t="str">
        <f>IF(INDEX('Shot Map'!$B$6:$V$26,CEILING($A31/5,1),CEILING(AW$2/5,1))=1,INDEX('Serial Reference'!$A$8:$W$8,1,FLOOR(($A31-1)/23,1)+1)&amp;INDEX('Serial Reference'!$A$8:$W$8,1,MOD($A31-1,23)+1)&amp;TEXT(AW$2+FLOOR((AW$2-1)/9,1),"000"),"")</f>
        <v>BF053</v>
      </c>
      <c r="AX31" s="22" t="str">
        <f>IF(INDEX('Shot Map'!$B$6:$V$26,CEILING($A31/5,1),CEILING(AX$2/5,1))=1,INDEX('Serial Reference'!$A$8:$W$8,1,FLOOR(($A31-1)/23,1)+1)&amp;INDEX('Serial Reference'!$A$8:$W$8,1,MOD($A31-1,23)+1)&amp;TEXT(AX$2+FLOOR((AX$2-1)/9,1),"000"),"")</f>
        <v>BF054</v>
      </c>
      <c r="AY31" s="23" t="str">
        <f>IF(INDEX('Shot Map'!$B$6:$V$26,CEILING($A31/5,1),CEILING(AY$2/5,1))=1,INDEX('Serial Reference'!$A$8:$W$8,1,FLOOR(($A31-1)/23,1)+1)&amp;INDEX('Serial Reference'!$A$8:$W$8,1,MOD($A31-1,23)+1)&amp;TEXT(AY$2+FLOOR((AY$2-1)/9,1),"000"),"")</f>
        <v>BF055</v>
      </c>
      <c r="AZ31" s="21" t="str">
        <f>IF(INDEX('Shot Map'!$B$6:$V$26,CEILING($A31/5,1),CEILING(AZ$2/5,1))=1,INDEX('Serial Reference'!$A$8:$W$8,1,FLOOR(($A31-1)/23,1)+1)&amp;INDEX('Serial Reference'!$A$8:$W$8,1,MOD($A31-1,23)+1)&amp;TEXT(AZ$2+FLOOR((AZ$2-1)/9,1),"000"),"")</f>
        <v>BF056</v>
      </c>
      <c r="BA31" s="22" t="str">
        <f>IF(INDEX('Shot Map'!$B$6:$V$26,CEILING($A31/5,1),CEILING(BA$2/5,1))=1,INDEX('Serial Reference'!$A$8:$W$8,1,FLOOR(($A31-1)/23,1)+1)&amp;INDEX('Serial Reference'!$A$8:$W$8,1,MOD($A31-1,23)+1)&amp;TEXT(BA$2+FLOOR((BA$2-1)/9,1),"000"),"")</f>
        <v>BF057</v>
      </c>
      <c r="BB31" s="22" t="str">
        <f>IF(INDEX('Shot Map'!$B$6:$V$26,CEILING($A31/5,1),CEILING(BB$2/5,1))=1,INDEX('Serial Reference'!$A$8:$W$8,1,FLOOR(($A31-1)/23,1)+1)&amp;INDEX('Serial Reference'!$A$8:$W$8,1,MOD($A31-1,23)+1)&amp;TEXT(BB$2+FLOOR((BB$2-1)/9,1),"000"),"")</f>
        <v>BF058</v>
      </c>
      <c r="BC31" s="22" t="str">
        <f>IF(INDEX('Shot Map'!$B$6:$V$26,CEILING($A31/5,1),CEILING(BC$2/5,1))=1,INDEX('Serial Reference'!$A$8:$W$8,1,FLOOR(($A31-1)/23,1)+1)&amp;INDEX('Serial Reference'!$A$8:$W$8,1,MOD($A31-1,23)+1)&amp;TEXT(BC$2+FLOOR((BC$2-1)/9,1),"000"),"")</f>
        <v>BF059</v>
      </c>
      <c r="BD31" s="23" t="str">
        <f>IF(INDEX('Shot Map'!$B$6:$V$26,CEILING($A31/5,1),CEILING(BD$2/5,1))=1,INDEX('Serial Reference'!$A$8:$W$8,1,FLOOR(($A31-1)/23,1)+1)&amp;INDEX('Serial Reference'!$A$8:$W$8,1,MOD($A31-1,23)+1)&amp;TEXT(BD$2+FLOOR((BD$2-1)/9,1),"000"),"")</f>
        <v>BF061</v>
      </c>
      <c r="BE31" s="21" t="str">
        <f>IF(INDEX('Shot Map'!$B$6:$V$26,CEILING($A31/5,1),CEILING(BE$2/5,1))=1,INDEX('Serial Reference'!$A$8:$W$8,1,FLOOR(($A31-1)/23,1)+1)&amp;INDEX('Serial Reference'!$A$8:$W$8,1,MOD($A31-1,23)+1)&amp;TEXT(BE$2+FLOOR((BE$2-1)/9,1),"000"),"")</f>
        <v>BF062</v>
      </c>
      <c r="BF31" s="22" t="str">
        <f>IF(INDEX('Shot Map'!$B$6:$V$26,CEILING($A31/5,1),CEILING(BF$2/5,1))=1,INDEX('Serial Reference'!$A$8:$W$8,1,FLOOR(($A31-1)/23,1)+1)&amp;INDEX('Serial Reference'!$A$8:$W$8,1,MOD($A31-1,23)+1)&amp;TEXT(BF$2+FLOOR((BF$2-1)/9,1),"000"),"")</f>
        <v>BF063</v>
      </c>
      <c r="BG31" s="22" t="str">
        <f>IF(INDEX('Shot Map'!$B$6:$V$26,CEILING($A31/5,1),CEILING(BG$2/5,1))=1,INDEX('Serial Reference'!$A$8:$W$8,1,FLOOR(($A31-1)/23,1)+1)&amp;INDEX('Serial Reference'!$A$8:$W$8,1,MOD($A31-1,23)+1)&amp;TEXT(BG$2+FLOOR((BG$2-1)/9,1),"000"),"")</f>
        <v>BF064</v>
      </c>
      <c r="BH31" s="22" t="str">
        <f>IF(INDEX('Shot Map'!$B$6:$V$26,CEILING($A31/5,1),CEILING(BH$2/5,1))=1,INDEX('Serial Reference'!$A$8:$W$8,1,FLOOR(($A31-1)/23,1)+1)&amp;INDEX('Serial Reference'!$A$8:$W$8,1,MOD($A31-1,23)+1)&amp;TEXT(BH$2+FLOOR((BH$2-1)/9,1),"000"),"")</f>
        <v>BF065</v>
      </c>
      <c r="BI31" s="23" t="str">
        <f>IF(INDEX('Shot Map'!$B$6:$V$26,CEILING($A31/5,1),CEILING(BI$2/5,1))=1,INDEX('Serial Reference'!$A$8:$W$8,1,FLOOR(($A31-1)/23,1)+1)&amp;INDEX('Serial Reference'!$A$8:$W$8,1,MOD($A31-1,23)+1)&amp;TEXT(BI$2+FLOOR((BI$2-1)/9,1),"000"),"")</f>
        <v>BF066</v>
      </c>
      <c r="BJ31" s="21" t="str">
        <f>IF(INDEX('Shot Map'!$B$6:$V$26,CEILING($A31/5,1),CEILING(BJ$2/5,1))=1,INDEX('Serial Reference'!$A$8:$W$8,1,FLOOR(($A31-1)/23,1)+1)&amp;INDEX('Serial Reference'!$A$8:$W$8,1,MOD($A31-1,23)+1)&amp;TEXT(BJ$2+FLOOR((BJ$2-1)/9,1),"000"),"")</f>
        <v>BF067</v>
      </c>
      <c r="BK31" s="22" t="str">
        <f>IF(INDEX('Shot Map'!$B$6:$V$26,CEILING($A31/5,1),CEILING(BK$2/5,1))=1,INDEX('Serial Reference'!$A$8:$W$8,1,FLOOR(($A31-1)/23,1)+1)&amp;INDEX('Serial Reference'!$A$8:$W$8,1,MOD($A31-1,23)+1)&amp;TEXT(BK$2+FLOOR((BK$2-1)/9,1),"000"),"")</f>
        <v>BF068</v>
      </c>
      <c r="BL31" s="22" t="str">
        <f>IF(INDEX('Shot Map'!$B$6:$V$26,CEILING($A31/5,1),CEILING(BL$2/5,1))=1,INDEX('Serial Reference'!$A$8:$W$8,1,FLOOR(($A31-1)/23,1)+1)&amp;INDEX('Serial Reference'!$A$8:$W$8,1,MOD($A31-1,23)+1)&amp;TEXT(BL$2+FLOOR((BL$2-1)/9,1),"000"),"")</f>
        <v>BF069</v>
      </c>
      <c r="BM31" s="22" t="str">
        <f>IF(INDEX('Shot Map'!$B$6:$V$26,CEILING($A31/5,1),CEILING(BM$2/5,1))=1,INDEX('Serial Reference'!$A$8:$W$8,1,FLOOR(($A31-1)/23,1)+1)&amp;INDEX('Serial Reference'!$A$8:$W$8,1,MOD($A31-1,23)+1)&amp;TEXT(BM$2+FLOOR((BM$2-1)/9,1),"000"),"")</f>
        <v>BF071</v>
      </c>
      <c r="BN31" s="23" t="str">
        <f>IF(INDEX('Shot Map'!$B$6:$V$26,CEILING($A31/5,1),CEILING(BN$2/5,1))=1,INDEX('Serial Reference'!$A$8:$W$8,1,FLOOR(($A31-1)/23,1)+1)&amp;INDEX('Serial Reference'!$A$8:$W$8,1,MOD($A31-1,23)+1)&amp;TEXT(BN$2+FLOOR((BN$2-1)/9,1),"000"),"")</f>
        <v>BF072</v>
      </c>
      <c r="BO31" s="21" t="str">
        <f>IF(INDEX('Shot Map'!$B$6:$V$26,CEILING($A31/5,1),CEILING(BO$2/5,1))=1,INDEX('Serial Reference'!$A$8:$W$8,1,FLOOR(($A31-1)/23,1)+1)&amp;INDEX('Serial Reference'!$A$8:$W$8,1,MOD($A31-1,23)+1)&amp;TEXT(BO$2+FLOOR((BO$2-1)/9,1),"000"),"")</f>
        <v>BF073</v>
      </c>
      <c r="BP31" s="22" t="str">
        <f>IF(INDEX('Shot Map'!$B$6:$V$26,CEILING($A31/5,1),CEILING(BP$2/5,1))=1,INDEX('Serial Reference'!$A$8:$W$8,1,FLOOR(($A31-1)/23,1)+1)&amp;INDEX('Serial Reference'!$A$8:$W$8,1,MOD($A31-1,23)+1)&amp;TEXT(BP$2+FLOOR((BP$2-1)/9,1),"000"),"")</f>
        <v>BF074</v>
      </c>
      <c r="BQ31" s="22" t="str">
        <f>IF(INDEX('Shot Map'!$B$6:$V$26,CEILING($A31/5,1),CEILING(BQ$2/5,1))=1,INDEX('Serial Reference'!$A$8:$W$8,1,FLOOR(($A31-1)/23,1)+1)&amp;INDEX('Serial Reference'!$A$8:$W$8,1,MOD($A31-1,23)+1)&amp;TEXT(BQ$2+FLOOR((BQ$2-1)/9,1),"000"),"")</f>
        <v>BF075</v>
      </c>
      <c r="BR31" s="22" t="str">
        <f>IF(INDEX('Shot Map'!$B$6:$V$26,CEILING($A31/5,1),CEILING(BR$2/5,1))=1,INDEX('Serial Reference'!$A$8:$W$8,1,FLOOR(($A31-1)/23,1)+1)&amp;INDEX('Serial Reference'!$A$8:$W$8,1,MOD($A31-1,23)+1)&amp;TEXT(BR$2+FLOOR((BR$2-1)/9,1),"000"),"")</f>
        <v>BF076</v>
      </c>
      <c r="BS31" s="23" t="str">
        <f>IF(INDEX('Shot Map'!$B$6:$V$26,CEILING($A31/5,1),CEILING(BS$2/5,1))=1,INDEX('Serial Reference'!$A$8:$W$8,1,FLOOR(($A31-1)/23,1)+1)&amp;INDEX('Serial Reference'!$A$8:$W$8,1,MOD($A31-1,23)+1)&amp;TEXT(BS$2+FLOOR((BS$2-1)/9,1),"000"),"")</f>
        <v>BF077</v>
      </c>
      <c r="BT31" s="21" t="str">
        <f>IF(INDEX('Shot Map'!$B$6:$V$26,CEILING($A31/5,1),CEILING(BT$2/5,1))=1,INDEX('Serial Reference'!$A$8:$W$8,1,FLOOR(($A31-1)/23,1)+1)&amp;INDEX('Serial Reference'!$A$8:$W$8,1,MOD($A31-1,23)+1)&amp;TEXT(BT$2+FLOOR((BT$2-1)/9,1),"000"),"")</f>
        <v>BF078</v>
      </c>
      <c r="BU31" s="22" t="str">
        <f>IF(INDEX('Shot Map'!$B$6:$V$26,CEILING($A31/5,1),CEILING(BU$2/5,1))=1,INDEX('Serial Reference'!$A$8:$W$8,1,FLOOR(($A31-1)/23,1)+1)&amp;INDEX('Serial Reference'!$A$8:$W$8,1,MOD($A31-1,23)+1)&amp;TEXT(BU$2+FLOOR((BU$2-1)/9,1),"000"),"")</f>
        <v>BF079</v>
      </c>
      <c r="BV31" s="22" t="str">
        <f>IF(INDEX('Shot Map'!$B$6:$V$26,CEILING($A31/5,1),CEILING(BV$2/5,1))=1,INDEX('Serial Reference'!$A$8:$W$8,1,FLOOR(($A31-1)/23,1)+1)&amp;INDEX('Serial Reference'!$A$8:$W$8,1,MOD($A31-1,23)+1)&amp;TEXT(BV$2+FLOOR((BV$2-1)/9,1),"000"),"")</f>
        <v>BF081</v>
      </c>
      <c r="BW31" s="22" t="str">
        <f>IF(INDEX('Shot Map'!$B$6:$V$26,CEILING($A31/5,1),CEILING(BW$2/5,1))=1,INDEX('Serial Reference'!$A$8:$W$8,1,FLOOR(($A31-1)/23,1)+1)&amp;INDEX('Serial Reference'!$A$8:$W$8,1,MOD($A31-1,23)+1)&amp;TEXT(BW$2+FLOOR((BW$2-1)/9,1),"000"),"")</f>
        <v>BF082</v>
      </c>
      <c r="BX31" s="23" t="str">
        <f>IF(INDEX('Shot Map'!$B$6:$V$26,CEILING($A31/5,1),CEILING(BX$2/5,1))=1,INDEX('Serial Reference'!$A$8:$W$8,1,FLOOR(($A31-1)/23,1)+1)&amp;INDEX('Serial Reference'!$A$8:$W$8,1,MOD($A31-1,23)+1)&amp;TEXT(BX$2+FLOOR((BX$2-1)/9,1),"000"),"")</f>
        <v>BF083</v>
      </c>
      <c r="BY31" s="21" t="str">
        <f>IF(INDEX('Shot Map'!$B$6:$V$26,CEILING($A31/5,1),CEILING(BY$2/5,1))=1,INDEX('Serial Reference'!$A$8:$W$8,1,FLOOR(($A31-1)/23,1)+1)&amp;INDEX('Serial Reference'!$A$8:$W$8,1,MOD($A31-1,23)+1)&amp;TEXT(BY$2+FLOOR((BY$2-1)/9,1),"000"),"")</f>
        <v>BF084</v>
      </c>
      <c r="BZ31" s="22" t="str">
        <f>IF(INDEX('Shot Map'!$B$6:$V$26,CEILING($A31/5,1),CEILING(BZ$2/5,1))=1,INDEX('Serial Reference'!$A$8:$W$8,1,FLOOR(($A31-1)/23,1)+1)&amp;INDEX('Serial Reference'!$A$8:$W$8,1,MOD($A31-1,23)+1)&amp;TEXT(BZ$2+FLOOR((BZ$2-1)/9,1),"000"),"")</f>
        <v>BF085</v>
      </c>
      <c r="CA31" s="22" t="str">
        <f>IF(INDEX('Shot Map'!$B$6:$V$26,CEILING($A31/5,1),CEILING(CA$2/5,1))=1,INDEX('Serial Reference'!$A$8:$W$8,1,FLOOR(($A31-1)/23,1)+1)&amp;INDEX('Serial Reference'!$A$8:$W$8,1,MOD($A31-1,23)+1)&amp;TEXT(CA$2+FLOOR((CA$2-1)/9,1),"000"),"")</f>
        <v>BF086</v>
      </c>
      <c r="CB31" s="22" t="str">
        <f>IF(INDEX('Shot Map'!$B$6:$V$26,CEILING($A31/5,1),CEILING(CB$2/5,1))=1,INDEX('Serial Reference'!$A$8:$W$8,1,FLOOR(($A31-1)/23,1)+1)&amp;INDEX('Serial Reference'!$A$8:$W$8,1,MOD($A31-1,23)+1)&amp;TEXT(CB$2+FLOOR((CB$2-1)/9,1),"000"),"")</f>
        <v>BF087</v>
      </c>
      <c r="CC31" s="23" t="str">
        <f>IF(INDEX('Shot Map'!$B$6:$V$26,CEILING($A31/5,1),CEILING(CC$2/5,1))=1,INDEX('Serial Reference'!$A$8:$W$8,1,FLOOR(($A31-1)/23,1)+1)&amp;INDEX('Serial Reference'!$A$8:$W$8,1,MOD($A31-1,23)+1)&amp;TEXT(CC$2+FLOOR((CC$2-1)/9,1),"000"),"")</f>
        <v>BF088</v>
      </c>
      <c r="CD31" s="21" t="str">
        <f>IF(INDEX('Shot Map'!$B$6:$V$26,CEILING($A31/5,1),CEILING(CD$2/5,1))=1,INDEX('Serial Reference'!$A$8:$W$8,1,FLOOR(($A31-1)/23,1)+1)&amp;INDEX('Serial Reference'!$A$8:$W$8,1,MOD($A31-1,23)+1)&amp;TEXT(CD$2+FLOOR((CD$2-1)/9,1),"000"),"")</f>
        <v>BF089</v>
      </c>
      <c r="CE31" s="22" t="str">
        <f>IF(INDEX('Shot Map'!$B$6:$V$26,CEILING($A31/5,1),CEILING(CE$2/5,1))=1,INDEX('Serial Reference'!$A$8:$W$8,1,FLOOR(($A31-1)/23,1)+1)&amp;INDEX('Serial Reference'!$A$8:$W$8,1,MOD($A31-1,23)+1)&amp;TEXT(CE$2+FLOOR((CE$2-1)/9,1),"000"),"")</f>
        <v>BF091</v>
      </c>
      <c r="CF31" s="22" t="str">
        <f>IF(INDEX('Shot Map'!$B$6:$V$26,CEILING($A31/5,1),CEILING(CF$2/5,1))=1,INDEX('Serial Reference'!$A$8:$W$8,1,FLOOR(($A31-1)/23,1)+1)&amp;INDEX('Serial Reference'!$A$8:$W$8,1,MOD($A31-1,23)+1)&amp;TEXT(CF$2+FLOOR((CF$2-1)/9,1),"000"),"")</f>
        <v>BF092</v>
      </c>
      <c r="CG31" s="22" t="str">
        <f>IF(INDEX('Shot Map'!$B$6:$V$26,CEILING($A31/5,1),CEILING(CG$2/5,1))=1,INDEX('Serial Reference'!$A$8:$W$8,1,FLOOR(($A31-1)/23,1)+1)&amp;INDEX('Serial Reference'!$A$8:$W$8,1,MOD($A31-1,23)+1)&amp;TEXT(CG$2+FLOOR((CG$2-1)/9,1),"000"),"")</f>
        <v>BF093</v>
      </c>
      <c r="CH31" s="23" t="str">
        <f>IF(INDEX('Shot Map'!$B$6:$V$26,CEILING($A31/5,1),CEILING(CH$2/5,1))=1,INDEX('Serial Reference'!$A$8:$W$8,1,FLOOR(($A31-1)/23,1)+1)&amp;INDEX('Serial Reference'!$A$8:$W$8,1,MOD($A31-1,23)+1)&amp;TEXT(CH$2+FLOOR((CH$2-1)/9,1),"000"),"")</f>
        <v>BF094</v>
      </c>
      <c r="CI31" s="21" t="str">
        <f>IF(INDEX('Shot Map'!$B$6:$V$26,CEILING($A31/5,1),CEILING(CI$2/5,1))=1,INDEX('Serial Reference'!$A$8:$W$8,1,FLOOR(($A31-1)/23,1)+1)&amp;INDEX('Serial Reference'!$A$8:$W$8,1,MOD($A31-1,23)+1)&amp;TEXT(CI$2+FLOOR((CI$2-1)/9,1),"000"),"")</f>
        <v>BF095</v>
      </c>
      <c r="CJ31" s="22" t="str">
        <f>IF(INDEX('Shot Map'!$B$6:$V$26,CEILING($A31/5,1),CEILING(CJ$2/5,1))=1,INDEX('Serial Reference'!$A$8:$W$8,1,FLOOR(($A31-1)/23,1)+1)&amp;INDEX('Serial Reference'!$A$8:$W$8,1,MOD($A31-1,23)+1)&amp;TEXT(CJ$2+FLOOR((CJ$2-1)/9,1),"000"),"")</f>
        <v>BF096</v>
      </c>
      <c r="CK31" s="22" t="str">
        <f>IF(INDEX('Shot Map'!$B$6:$V$26,CEILING($A31/5,1),CEILING(CK$2/5,1))=1,INDEX('Serial Reference'!$A$8:$W$8,1,FLOOR(($A31-1)/23,1)+1)&amp;INDEX('Serial Reference'!$A$8:$W$8,1,MOD($A31-1,23)+1)&amp;TEXT(CK$2+FLOOR((CK$2-1)/9,1),"000"),"")</f>
        <v>BF097</v>
      </c>
      <c r="CL31" s="22" t="str">
        <f>IF(INDEX('Shot Map'!$B$6:$V$26,CEILING($A31/5,1),CEILING(CL$2/5,1))=1,INDEX('Serial Reference'!$A$8:$W$8,1,FLOOR(($A31-1)/23,1)+1)&amp;INDEX('Serial Reference'!$A$8:$W$8,1,MOD($A31-1,23)+1)&amp;TEXT(CL$2+FLOOR((CL$2-1)/9,1),"000"),"")</f>
        <v>BF098</v>
      </c>
      <c r="CM31" s="23" t="str">
        <f>IF(INDEX('Shot Map'!$B$6:$V$26,CEILING($A31/5,1),CEILING(CM$2/5,1))=1,INDEX('Serial Reference'!$A$8:$W$8,1,FLOOR(($A31-1)/23,1)+1)&amp;INDEX('Serial Reference'!$A$8:$W$8,1,MOD($A31-1,23)+1)&amp;TEXT(CM$2+FLOOR((CM$2-1)/9,1),"000"),"")</f>
        <v>BF099</v>
      </c>
      <c r="CN31" s="21" t="str">
        <f>IF(INDEX('Shot Map'!$B$6:$V$26,CEILING($A31/5,1),CEILING(CN$2/5,1))=1,INDEX('Serial Reference'!$A$8:$W$8,1,FLOOR(($A31-1)/23,1)+1)&amp;INDEX('Serial Reference'!$A$8:$W$8,1,MOD($A31-1,23)+1)&amp;TEXT(CN$2+FLOOR((CN$2-1)/9,1),"000"),"")</f>
        <v>BF101</v>
      </c>
      <c r="CO31" s="22" t="str">
        <f>IF(INDEX('Shot Map'!$B$6:$V$26,CEILING($A31/5,1),CEILING(CO$2/5,1))=1,INDEX('Serial Reference'!$A$8:$W$8,1,FLOOR(($A31-1)/23,1)+1)&amp;INDEX('Serial Reference'!$A$8:$W$8,1,MOD($A31-1,23)+1)&amp;TEXT(CO$2+FLOOR((CO$2-1)/9,1),"000"),"")</f>
        <v>BF102</v>
      </c>
      <c r="CP31" s="22" t="str">
        <f>IF(INDEX('Shot Map'!$B$6:$V$26,CEILING($A31/5,1),CEILING(CP$2/5,1))=1,INDEX('Serial Reference'!$A$8:$W$8,1,FLOOR(($A31-1)/23,1)+1)&amp;INDEX('Serial Reference'!$A$8:$W$8,1,MOD($A31-1,23)+1)&amp;TEXT(CP$2+FLOOR((CP$2-1)/9,1),"000"),"")</f>
        <v>BF103</v>
      </c>
      <c r="CQ31" s="22" t="str">
        <f>IF(INDEX('Shot Map'!$B$6:$V$26,CEILING($A31/5,1),CEILING(CQ$2/5,1))=1,INDEX('Serial Reference'!$A$8:$W$8,1,FLOOR(($A31-1)/23,1)+1)&amp;INDEX('Serial Reference'!$A$8:$W$8,1,MOD($A31-1,23)+1)&amp;TEXT(CQ$2+FLOOR((CQ$2-1)/9,1),"000"),"")</f>
        <v>BF104</v>
      </c>
      <c r="CR31" s="23" t="str">
        <f>IF(INDEX('Shot Map'!$B$6:$V$26,CEILING($A31/5,1),CEILING(CR$2/5,1))=1,INDEX('Serial Reference'!$A$8:$W$8,1,FLOOR(($A31-1)/23,1)+1)&amp;INDEX('Serial Reference'!$A$8:$W$8,1,MOD($A31-1,23)+1)&amp;TEXT(CR$2+FLOOR((CR$2-1)/9,1),"000"),"")</f>
        <v>BF105</v>
      </c>
      <c r="CS31" s="21" t="str">
        <f>IF(INDEX('Shot Map'!$B$6:$V$26,CEILING($A31/5,1),CEILING(CS$2/5,1))=1,INDEX('Serial Reference'!$A$8:$W$8,1,FLOOR(($A31-1)/23,1)+1)&amp;INDEX('Serial Reference'!$A$8:$W$8,1,MOD($A31-1,23)+1)&amp;TEXT(CS$2+FLOOR((CS$2-1)/9,1),"000"),"")</f>
        <v/>
      </c>
      <c r="CT31" s="22" t="str">
        <f>IF(INDEX('Shot Map'!$B$6:$V$26,CEILING($A31/5,1),CEILING(CT$2/5,1))=1,INDEX('Serial Reference'!$A$8:$W$8,1,FLOOR(($A31-1)/23,1)+1)&amp;INDEX('Serial Reference'!$A$8:$W$8,1,MOD($A31-1,23)+1)&amp;TEXT(CT$2+FLOOR((CT$2-1)/9,1),"000"),"")</f>
        <v/>
      </c>
      <c r="CU31" s="22" t="str">
        <f>IF(INDEX('Shot Map'!$B$6:$V$26,CEILING($A31/5,1),CEILING(CU$2/5,1))=1,INDEX('Serial Reference'!$A$8:$W$8,1,FLOOR(($A31-1)/23,1)+1)&amp;INDEX('Serial Reference'!$A$8:$W$8,1,MOD($A31-1,23)+1)&amp;TEXT(CU$2+FLOOR((CU$2-1)/9,1),"000"),"")</f>
        <v/>
      </c>
      <c r="CV31" s="22" t="str">
        <f>IF(INDEX('Shot Map'!$B$6:$V$26,CEILING($A31/5,1),CEILING(CV$2/5,1))=1,INDEX('Serial Reference'!$A$8:$W$8,1,FLOOR(($A31-1)/23,1)+1)&amp;INDEX('Serial Reference'!$A$8:$W$8,1,MOD($A31-1,23)+1)&amp;TEXT(CV$2+FLOOR((CV$2-1)/9,1),"000"),"")</f>
        <v/>
      </c>
      <c r="CW31" s="23" t="str">
        <f>IF(INDEX('Shot Map'!$B$6:$V$26,CEILING($A31/5,1),CEILING(CW$2/5,1))=1,INDEX('Serial Reference'!$A$8:$W$8,1,FLOOR(($A31-1)/23,1)+1)&amp;INDEX('Serial Reference'!$A$8:$W$8,1,MOD($A31-1,23)+1)&amp;TEXT(CW$2+FLOOR((CW$2-1)/9,1),"000"),"")</f>
        <v/>
      </c>
      <c r="CX31" s="21" t="str">
        <f>IF(INDEX('Shot Map'!$B$6:$V$26,CEILING($A31/5,1),CEILING(CX$2/5,1))=1,INDEX('Serial Reference'!$A$8:$W$8,1,FLOOR(($A31-1)/23,1)+1)&amp;INDEX('Serial Reference'!$A$8:$W$8,1,MOD($A31-1,23)+1)&amp;TEXT(CX$2+FLOOR((CX$2-1)/9,1),"000"),"")</f>
        <v/>
      </c>
      <c r="CY31" s="22" t="str">
        <f>IF(INDEX('Shot Map'!$B$6:$V$26,CEILING($A31/5,1),CEILING(CY$2/5,1))=1,INDEX('Serial Reference'!$A$8:$W$8,1,FLOOR(($A31-1)/23,1)+1)&amp;INDEX('Serial Reference'!$A$8:$W$8,1,MOD($A31-1,23)+1)&amp;TEXT(CY$2+FLOOR((CY$2-1)/9,1),"000"),"")</f>
        <v/>
      </c>
      <c r="CZ31" s="22" t="str">
        <f>IF(INDEX('Shot Map'!$B$6:$V$26,CEILING($A31/5,1),CEILING(CZ$2/5,1))=1,INDEX('Serial Reference'!$A$8:$W$8,1,FLOOR(($A31-1)/23,1)+1)&amp;INDEX('Serial Reference'!$A$8:$W$8,1,MOD($A31-1,23)+1)&amp;TEXT(CZ$2+FLOOR((CZ$2-1)/9,1),"000"),"")</f>
        <v/>
      </c>
      <c r="DA31" s="22" t="str">
        <f>IF(INDEX('Shot Map'!$B$6:$V$26,CEILING($A31/5,1),CEILING(DA$2/5,1))=1,INDEX('Serial Reference'!$A$8:$W$8,1,FLOOR(($A31-1)/23,1)+1)&amp;INDEX('Serial Reference'!$A$8:$W$8,1,MOD($A31-1,23)+1)&amp;TEXT(DA$2+FLOOR((DA$2-1)/9,1),"000"),"")</f>
        <v/>
      </c>
      <c r="DB31" s="23" t="str">
        <f>IF(INDEX('Shot Map'!$B$6:$V$26,CEILING($A31/5,1),CEILING(DB$2/5,1))=1,INDEX('Serial Reference'!$A$8:$W$8,1,FLOOR(($A31-1)/23,1)+1)&amp;INDEX('Serial Reference'!$A$8:$W$8,1,MOD($A31-1,23)+1)&amp;TEXT(DB$2+FLOOR((DB$2-1)/9,1),"000"),"")</f>
        <v/>
      </c>
    </row>
    <row r="32" spans="1:106" ht="12.75" customHeight="1" x14ac:dyDescent="0.25">
      <c r="A32" s="17">
        <v>30</v>
      </c>
      <c r="B32" s="24" t="str">
        <f>IF(INDEX('Shot Map'!$B$6:$V$26,CEILING($A32/5,1),CEILING(B$2/5,1))=1,INDEX('Serial Reference'!$A$8:$W$8,1,FLOOR(($A32-1)/23,1)+1)&amp;INDEX('Serial Reference'!$A$8:$W$8,1,MOD($A32-1,23)+1)&amp;TEXT(B$2+FLOOR((B$2-1)/9,1),"000"),"")</f>
        <v/>
      </c>
      <c r="C32" s="25" t="str">
        <f>IF(INDEX('Shot Map'!$B$6:$V$26,CEILING($A32/5,1),CEILING(C$2/5,1))=1,INDEX('Serial Reference'!$A$8:$W$8,1,FLOOR(($A32-1)/23,1)+1)&amp;INDEX('Serial Reference'!$A$8:$W$8,1,MOD($A32-1,23)+1)&amp;TEXT(C$2+FLOOR((C$2-1)/9,1),"000"),"")</f>
        <v/>
      </c>
      <c r="D32" s="25" t="str">
        <f>IF(INDEX('Shot Map'!$B$6:$V$26,CEILING($A32/5,1),CEILING(D$2/5,1))=1,INDEX('Serial Reference'!$A$8:$W$8,1,FLOOR(($A32-1)/23,1)+1)&amp;INDEX('Serial Reference'!$A$8:$W$8,1,MOD($A32-1,23)+1)&amp;TEXT(D$2+FLOOR((D$2-1)/9,1),"000"),"")</f>
        <v/>
      </c>
      <c r="E32" s="25" t="str">
        <f>IF(INDEX('Shot Map'!$B$6:$V$26,CEILING($A32/5,1),CEILING(E$2/5,1))=1,INDEX('Serial Reference'!$A$8:$W$8,1,FLOOR(($A32-1)/23,1)+1)&amp;INDEX('Serial Reference'!$A$8:$W$8,1,MOD($A32-1,23)+1)&amp;TEXT(E$2+FLOOR((E$2-1)/9,1),"000"),"")</f>
        <v/>
      </c>
      <c r="F32" s="26" t="str">
        <f>IF(INDEX('Shot Map'!$B$6:$V$26,CEILING($A32/5,1),CEILING(F$2/5,1))=1,INDEX('Serial Reference'!$A$8:$W$8,1,FLOOR(($A32-1)/23,1)+1)&amp;INDEX('Serial Reference'!$A$8:$W$8,1,MOD($A32-1,23)+1)&amp;TEXT(F$2+FLOOR((F$2-1)/9,1),"000"),"")</f>
        <v/>
      </c>
      <c r="G32" s="24" t="str">
        <f>IF(INDEX('Shot Map'!$B$6:$V$26,CEILING($A32/5,1),CEILING(G$2/5,1))=1,INDEX('Serial Reference'!$A$8:$W$8,1,FLOOR(($A32-1)/23,1)+1)&amp;INDEX('Serial Reference'!$A$8:$W$8,1,MOD($A32-1,23)+1)&amp;TEXT(G$2+FLOOR((G$2-1)/9,1),"000"),"")</f>
        <v/>
      </c>
      <c r="H32" s="25" t="str">
        <f>IF(INDEX('Shot Map'!$B$6:$V$26,CEILING($A32/5,1),CEILING(H$2/5,1))=1,INDEX('Serial Reference'!$A$8:$W$8,1,FLOOR(($A32-1)/23,1)+1)&amp;INDEX('Serial Reference'!$A$8:$W$8,1,MOD($A32-1,23)+1)&amp;TEXT(H$2+FLOOR((H$2-1)/9,1),"000"),"")</f>
        <v/>
      </c>
      <c r="I32" s="25" t="str">
        <f>IF(INDEX('Shot Map'!$B$6:$V$26,CEILING($A32/5,1),CEILING(I$2/5,1))=1,INDEX('Serial Reference'!$A$8:$W$8,1,FLOOR(($A32-1)/23,1)+1)&amp;INDEX('Serial Reference'!$A$8:$W$8,1,MOD($A32-1,23)+1)&amp;TEXT(I$2+FLOOR((I$2-1)/9,1),"000"),"")</f>
        <v/>
      </c>
      <c r="J32" s="25" t="str">
        <f>IF(INDEX('Shot Map'!$B$6:$V$26,CEILING($A32/5,1),CEILING(J$2/5,1))=1,INDEX('Serial Reference'!$A$8:$W$8,1,FLOOR(($A32-1)/23,1)+1)&amp;INDEX('Serial Reference'!$A$8:$W$8,1,MOD($A32-1,23)+1)&amp;TEXT(J$2+FLOOR((J$2-1)/9,1),"000"),"")</f>
        <v/>
      </c>
      <c r="K32" s="26" t="str">
        <f>IF(INDEX('Shot Map'!$B$6:$V$26,CEILING($A32/5,1),CEILING(K$2/5,1))=1,INDEX('Serial Reference'!$A$8:$W$8,1,FLOOR(($A32-1)/23,1)+1)&amp;INDEX('Serial Reference'!$A$8:$W$8,1,MOD($A32-1,23)+1)&amp;TEXT(K$2+FLOOR((K$2-1)/9,1),"000"),"")</f>
        <v/>
      </c>
      <c r="L32" s="24" t="str">
        <f>IF(INDEX('Shot Map'!$B$6:$V$26,CEILING($A32/5,1),CEILING(L$2/5,1))=1,INDEX('Serial Reference'!$A$8:$W$8,1,FLOOR(($A32-1)/23,1)+1)&amp;INDEX('Serial Reference'!$A$8:$W$8,1,MOD($A32-1,23)+1)&amp;TEXT(L$2+FLOOR((L$2-1)/9,1),"000"),"")</f>
        <v>BG012</v>
      </c>
      <c r="M32" s="25" t="str">
        <f>IF(INDEX('Shot Map'!$B$6:$V$26,CEILING($A32/5,1),CEILING(M$2/5,1))=1,INDEX('Serial Reference'!$A$8:$W$8,1,FLOOR(($A32-1)/23,1)+1)&amp;INDEX('Serial Reference'!$A$8:$W$8,1,MOD($A32-1,23)+1)&amp;TEXT(M$2+FLOOR((M$2-1)/9,1),"000"),"")</f>
        <v>BG013</v>
      </c>
      <c r="N32" s="25" t="str">
        <f>IF(INDEX('Shot Map'!$B$6:$V$26,CEILING($A32/5,1),CEILING(N$2/5,1))=1,INDEX('Serial Reference'!$A$8:$W$8,1,FLOOR(($A32-1)/23,1)+1)&amp;INDEX('Serial Reference'!$A$8:$W$8,1,MOD($A32-1,23)+1)&amp;TEXT(N$2+FLOOR((N$2-1)/9,1),"000"),"")</f>
        <v>BG014</v>
      </c>
      <c r="O32" s="25" t="str">
        <f>IF(INDEX('Shot Map'!$B$6:$V$26,CEILING($A32/5,1),CEILING(O$2/5,1))=1,INDEX('Serial Reference'!$A$8:$W$8,1,FLOOR(($A32-1)/23,1)+1)&amp;INDEX('Serial Reference'!$A$8:$W$8,1,MOD($A32-1,23)+1)&amp;TEXT(O$2+FLOOR((O$2-1)/9,1),"000"),"")</f>
        <v>BG015</v>
      </c>
      <c r="P32" s="26" t="str">
        <f>IF(INDEX('Shot Map'!$B$6:$V$26,CEILING($A32/5,1),CEILING(P$2/5,1))=1,INDEX('Serial Reference'!$A$8:$W$8,1,FLOOR(($A32-1)/23,1)+1)&amp;INDEX('Serial Reference'!$A$8:$W$8,1,MOD($A32-1,23)+1)&amp;TEXT(P$2+FLOOR((P$2-1)/9,1),"000"),"")</f>
        <v>BG016</v>
      </c>
      <c r="Q32" s="24" t="str">
        <f>IF(INDEX('Shot Map'!$B$6:$V$26,CEILING($A32/5,1),CEILING(Q$2/5,1))=1,INDEX('Serial Reference'!$A$8:$W$8,1,FLOOR(($A32-1)/23,1)+1)&amp;INDEX('Serial Reference'!$A$8:$W$8,1,MOD($A32-1,23)+1)&amp;TEXT(Q$2+FLOOR((Q$2-1)/9,1),"000"),"")</f>
        <v>BG017</v>
      </c>
      <c r="R32" s="25" t="str">
        <f>IF(INDEX('Shot Map'!$B$6:$V$26,CEILING($A32/5,1),CEILING(R$2/5,1))=1,INDEX('Serial Reference'!$A$8:$W$8,1,FLOOR(($A32-1)/23,1)+1)&amp;INDEX('Serial Reference'!$A$8:$W$8,1,MOD($A32-1,23)+1)&amp;TEXT(R$2+FLOOR((R$2-1)/9,1),"000"),"")</f>
        <v>BG018</v>
      </c>
      <c r="S32" s="25" t="str">
        <f>IF(INDEX('Shot Map'!$B$6:$V$26,CEILING($A32/5,1),CEILING(S$2/5,1))=1,INDEX('Serial Reference'!$A$8:$W$8,1,FLOOR(($A32-1)/23,1)+1)&amp;INDEX('Serial Reference'!$A$8:$W$8,1,MOD($A32-1,23)+1)&amp;TEXT(S$2+FLOOR((S$2-1)/9,1),"000"),"")</f>
        <v>BG019</v>
      </c>
      <c r="T32" s="25" t="str">
        <f>IF(INDEX('Shot Map'!$B$6:$V$26,CEILING($A32/5,1),CEILING(T$2/5,1))=1,INDEX('Serial Reference'!$A$8:$W$8,1,FLOOR(($A32-1)/23,1)+1)&amp;INDEX('Serial Reference'!$A$8:$W$8,1,MOD($A32-1,23)+1)&amp;TEXT(T$2+FLOOR((T$2-1)/9,1),"000"),"")</f>
        <v>BG021</v>
      </c>
      <c r="U32" s="26" t="str">
        <f>IF(INDEX('Shot Map'!$B$6:$V$26,CEILING($A32/5,1),CEILING(U$2/5,1))=1,INDEX('Serial Reference'!$A$8:$W$8,1,FLOOR(($A32-1)/23,1)+1)&amp;INDEX('Serial Reference'!$A$8:$W$8,1,MOD($A32-1,23)+1)&amp;TEXT(U$2+FLOOR((U$2-1)/9,1),"000"),"")</f>
        <v>BG022</v>
      </c>
      <c r="V32" s="24" t="str">
        <f>IF(INDEX('Shot Map'!$B$6:$V$26,CEILING($A32/5,1),CEILING(V$2/5,1))=1,INDEX('Serial Reference'!$A$8:$W$8,1,FLOOR(($A32-1)/23,1)+1)&amp;INDEX('Serial Reference'!$A$8:$W$8,1,MOD($A32-1,23)+1)&amp;TEXT(V$2+FLOOR((V$2-1)/9,1),"000"),"")</f>
        <v>BG023</v>
      </c>
      <c r="W32" s="25" t="str">
        <f>IF(INDEX('Shot Map'!$B$6:$V$26,CEILING($A32/5,1),CEILING(W$2/5,1))=1,INDEX('Serial Reference'!$A$8:$W$8,1,FLOOR(($A32-1)/23,1)+1)&amp;INDEX('Serial Reference'!$A$8:$W$8,1,MOD($A32-1,23)+1)&amp;TEXT(W$2+FLOOR((W$2-1)/9,1),"000"),"")</f>
        <v>BG024</v>
      </c>
      <c r="X32" s="25" t="str">
        <f>IF(INDEX('Shot Map'!$B$6:$V$26,CEILING($A32/5,1),CEILING(X$2/5,1))=1,INDEX('Serial Reference'!$A$8:$W$8,1,FLOOR(($A32-1)/23,1)+1)&amp;INDEX('Serial Reference'!$A$8:$W$8,1,MOD($A32-1,23)+1)&amp;TEXT(X$2+FLOOR((X$2-1)/9,1),"000"),"")</f>
        <v>BG025</v>
      </c>
      <c r="Y32" s="25" t="str">
        <f>IF(INDEX('Shot Map'!$B$6:$V$26,CEILING($A32/5,1),CEILING(Y$2/5,1))=1,INDEX('Serial Reference'!$A$8:$W$8,1,FLOOR(($A32-1)/23,1)+1)&amp;INDEX('Serial Reference'!$A$8:$W$8,1,MOD($A32-1,23)+1)&amp;TEXT(Y$2+FLOOR((Y$2-1)/9,1),"000"),"")</f>
        <v>BG026</v>
      </c>
      <c r="Z32" s="26" t="str">
        <f>IF(INDEX('Shot Map'!$B$6:$V$26,CEILING($A32/5,1),CEILING(Z$2/5,1))=1,INDEX('Serial Reference'!$A$8:$W$8,1,FLOOR(($A32-1)/23,1)+1)&amp;INDEX('Serial Reference'!$A$8:$W$8,1,MOD($A32-1,23)+1)&amp;TEXT(Z$2+FLOOR((Z$2-1)/9,1),"000"),"")</f>
        <v>BG027</v>
      </c>
      <c r="AA32" s="24" t="str">
        <f>IF(INDEX('Shot Map'!$B$6:$V$26,CEILING($A32/5,1),CEILING(AA$2/5,1))=1,INDEX('Serial Reference'!$A$8:$W$8,1,FLOOR(($A32-1)/23,1)+1)&amp;INDEX('Serial Reference'!$A$8:$W$8,1,MOD($A32-1,23)+1)&amp;TEXT(AA$2+FLOOR((AA$2-1)/9,1),"000"),"")</f>
        <v>BG028</v>
      </c>
      <c r="AB32" s="25" t="str">
        <f>IF(INDEX('Shot Map'!$B$6:$V$26,CEILING($A32/5,1),CEILING(AB$2/5,1))=1,INDEX('Serial Reference'!$A$8:$W$8,1,FLOOR(($A32-1)/23,1)+1)&amp;INDEX('Serial Reference'!$A$8:$W$8,1,MOD($A32-1,23)+1)&amp;TEXT(AB$2+FLOOR((AB$2-1)/9,1),"000"),"")</f>
        <v>BG029</v>
      </c>
      <c r="AC32" s="25" t="str">
        <f>IF(INDEX('Shot Map'!$B$6:$V$26,CEILING($A32/5,1),CEILING(AC$2/5,1))=1,INDEX('Serial Reference'!$A$8:$W$8,1,FLOOR(($A32-1)/23,1)+1)&amp;INDEX('Serial Reference'!$A$8:$W$8,1,MOD($A32-1,23)+1)&amp;TEXT(AC$2+FLOOR((AC$2-1)/9,1),"000"),"")</f>
        <v>BG031</v>
      </c>
      <c r="AD32" s="25" t="str">
        <f>IF(INDEX('Shot Map'!$B$6:$V$26,CEILING($A32/5,1),CEILING(AD$2/5,1))=1,INDEX('Serial Reference'!$A$8:$W$8,1,FLOOR(($A32-1)/23,1)+1)&amp;INDEX('Serial Reference'!$A$8:$W$8,1,MOD($A32-1,23)+1)&amp;TEXT(AD$2+FLOOR((AD$2-1)/9,1),"000"),"")</f>
        <v>BG032</v>
      </c>
      <c r="AE32" s="26" t="str">
        <f>IF(INDEX('Shot Map'!$B$6:$V$26,CEILING($A32/5,1),CEILING(AE$2/5,1))=1,INDEX('Serial Reference'!$A$8:$W$8,1,FLOOR(($A32-1)/23,1)+1)&amp;INDEX('Serial Reference'!$A$8:$W$8,1,MOD($A32-1,23)+1)&amp;TEXT(AE$2+FLOOR((AE$2-1)/9,1),"000"),"")</f>
        <v>BG033</v>
      </c>
      <c r="AF32" s="24" t="str">
        <f>IF(INDEX('Shot Map'!$B$6:$V$26,CEILING($A32/5,1),CEILING(AF$2/5,1))=1,INDEX('Serial Reference'!$A$8:$W$8,1,FLOOR(($A32-1)/23,1)+1)&amp;INDEX('Serial Reference'!$A$8:$W$8,1,MOD($A32-1,23)+1)&amp;TEXT(AF$2+FLOOR((AF$2-1)/9,1),"000"),"")</f>
        <v>BG034</v>
      </c>
      <c r="AG32" s="25" t="str">
        <f>IF(INDEX('Shot Map'!$B$6:$V$26,CEILING($A32/5,1),CEILING(AG$2/5,1))=1,INDEX('Serial Reference'!$A$8:$W$8,1,FLOOR(($A32-1)/23,1)+1)&amp;INDEX('Serial Reference'!$A$8:$W$8,1,MOD($A32-1,23)+1)&amp;TEXT(AG$2+FLOOR((AG$2-1)/9,1),"000"),"")</f>
        <v>BG035</v>
      </c>
      <c r="AH32" s="25" t="str">
        <f>IF(INDEX('Shot Map'!$B$6:$V$26,CEILING($A32/5,1),CEILING(AH$2/5,1))=1,INDEX('Serial Reference'!$A$8:$W$8,1,FLOOR(($A32-1)/23,1)+1)&amp;INDEX('Serial Reference'!$A$8:$W$8,1,MOD($A32-1,23)+1)&amp;TEXT(AH$2+FLOOR((AH$2-1)/9,1),"000"),"")</f>
        <v>BG036</v>
      </c>
      <c r="AI32" s="25" t="str">
        <f>IF(INDEX('Shot Map'!$B$6:$V$26,CEILING($A32/5,1),CEILING(AI$2/5,1))=1,INDEX('Serial Reference'!$A$8:$W$8,1,FLOOR(($A32-1)/23,1)+1)&amp;INDEX('Serial Reference'!$A$8:$W$8,1,MOD($A32-1,23)+1)&amp;TEXT(AI$2+FLOOR((AI$2-1)/9,1),"000"),"")</f>
        <v>BG037</v>
      </c>
      <c r="AJ32" s="26" t="str">
        <f>IF(INDEX('Shot Map'!$B$6:$V$26,CEILING($A32/5,1),CEILING(AJ$2/5,1))=1,INDEX('Serial Reference'!$A$8:$W$8,1,FLOOR(($A32-1)/23,1)+1)&amp;INDEX('Serial Reference'!$A$8:$W$8,1,MOD($A32-1,23)+1)&amp;TEXT(AJ$2+FLOOR((AJ$2-1)/9,1),"000"),"")</f>
        <v>BG038</v>
      </c>
      <c r="AK32" s="24" t="str">
        <f>IF(INDEX('Shot Map'!$B$6:$V$26,CEILING($A32/5,1),CEILING(AK$2/5,1))=1,INDEX('Serial Reference'!$A$8:$W$8,1,FLOOR(($A32-1)/23,1)+1)&amp;INDEX('Serial Reference'!$A$8:$W$8,1,MOD($A32-1,23)+1)&amp;TEXT(AK$2+FLOOR((AK$2-1)/9,1),"000"),"")</f>
        <v>BG039</v>
      </c>
      <c r="AL32" s="25" t="str">
        <f>IF(INDEX('Shot Map'!$B$6:$V$26,CEILING($A32/5,1),CEILING(AL$2/5,1))=1,INDEX('Serial Reference'!$A$8:$W$8,1,FLOOR(($A32-1)/23,1)+1)&amp;INDEX('Serial Reference'!$A$8:$W$8,1,MOD($A32-1,23)+1)&amp;TEXT(AL$2+FLOOR((AL$2-1)/9,1),"000"),"")</f>
        <v>BG041</v>
      </c>
      <c r="AM32" s="25" t="str">
        <f>IF(INDEX('Shot Map'!$B$6:$V$26,CEILING($A32/5,1),CEILING(AM$2/5,1))=1,INDEX('Serial Reference'!$A$8:$W$8,1,FLOOR(($A32-1)/23,1)+1)&amp;INDEX('Serial Reference'!$A$8:$W$8,1,MOD($A32-1,23)+1)&amp;TEXT(AM$2+FLOOR((AM$2-1)/9,1),"000"),"")</f>
        <v>BG042</v>
      </c>
      <c r="AN32" s="25" t="str">
        <f>IF(INDEX('Shot Map'!$B$6:$V$26,CEILING($A32/5,1),CEILING(AN$2/5,1))=1,INDEX('Serial Reference'!$A$8:$W$8,1,FLOOR(($A32-1)/23,1)+1)&amp;INDEX('Serial Reference'!$A$8:$W$8,1,MOD($A32-1,23)+1)&amp;TEXT(AN$2+FLOOR((AN$2-1)/9,1),"000"),"")</f>
        <v>BG043</v>
      </c>
      <c r="AO32" s="26" t="str">
        <f>IF(INDEX('Shot Map'!$B$6:$V$26,CEILING($A32/5,1),CEILING(AO$2/5,1))=1,INDEX('Serial Reference'!$A$8:$W$8,1,FLOOR(($A32-1)/23,1)+1)&amp;INDEX('Serial Reference'!$A$8:$W$8,1,MOD($A32-1,23)+1)&amp;TEXT(AO$2+FLOOR((AO$2-1)/9,1),"000"),"")</f>
        <v>BG044</v>
      </c>
      <c r="AP32" s="24" t="str">
        <f>IF(INDEX('Shot Map'!$B$6:$V$26,CEILING($A32/5,1),CEILING(AP$2/5,1))=1,INDEX('Serial Reference'!$A$8:$W$8,1,FLOOR(($A32-1)/23,1)+1)&amp;INDEX('Serial Reference'!$A$8:$W$8,1,MOD($A32-1,23)+1)&amp;TEXT(AP$2+FLOOR((AP$2-1)/9,1),"000"),"")</f>
        <v>BG045</v>
      </c>
      <c r="AQ32" s="25" t="str">
        <f>IF(INDEX('Shot Map'!$B$6:$V$26,CEILING($A32/5,1),CEILING(AQ$2/5,1))=1,INDEX('Serial Reference'!$A$8:$W$8,1,FLOOR(($A32-1)/23,1)+1)&amp;INDEX('Serial Reference'!$A$8:$W$8,1,MOD($A32-1,23)+1)&amp;TEXT(AQ$2+FLOOR((AQ$2-1)/9,1),"000"),"")</f>
        <v>BG046</v>
      </c>
      <c r="AR32" s="25" t="str">
        <f>IF(INDEX('Shot Map'!$B$6:$V$26,CEILING($A32/5,1),CEILING(AR$2/5,1))=1,INDEX('Serial Reference'!$A$8:$W$8,1,FLOOR(($A32-1)/23,1)+1)&amp;INDEX('Serial Reference'!$A$8:$W$8,1,MOD($A32-1,23)+1)&amp;TEXT(AR$2+FLOOR((AR$2-1)/9,1),"000"),"")</f>
        <v>BG047</v>
      </c>
      <c r="AS32" s="25" t="str">
        <f>IF(INDEX('Shot Map'!$B$6:$V$26,CEILING($A32/5,1),CEILING(AS$2/5,1))=1,INDEX('Serial Reference'!$A$8:$W$8,1,FLOOR(($A32-1)/23,1)+1)&amp;INDEX('Serial Reference'!$A$8:$W$8,1,MOD($A32-1,23)+1)&amp;TEXT(AS$2+FLOOR((AS$2-1)/9,1),"000"),"")</f>
        <v>BG048</v>
      </c>
      <c r="AT32" s="26" t="str">
        <f>IF(INDEX('Shot Map'!$B$6:$V$26,CEILING($A32/5,1),CEILING(AT$2/5,1))=1,INDEX('Serial Reference'!$A$8:$W$8,1,FLOOR(($A32-1)/23,1)+1)&amp;INDEX('Serial Reference'!$A$8:$W$8,1,MOD($A32-1,23)+1)&amp;TEXT(AT$2+FLOOR((AT$2-1)/9,1),"000"),"")</f>
        <v>BG049</v>
      </c>
      <c r="AU32" s="24" t="str">
        <f>IF(INDEX('Shot Map'!$B$6:$V$26,CEILING($A32/5,1),CEILING(AU$2/5,1))=1,INDEX('Serial Reference'!$A$8:$W$8,1,FLOOR(($A32-1)/23,1)+1)&amp;INDEX('Serial Reference'!$A$8:$W$8,1,MOD($A32-1,23)+1)&amp;TEXT(AU$2+FLOOR((AU$2-1)/9,1),"000"),"")</f>
        <v>BG051</v>
      </c>
      <c r="AV32" s="25" t="str">
        <f>IF(INDEX('Shot Map'!$B$6:$V$26,CEILING($A32/5,1),CEILING(AV$2/5,1))=1,INDEX('Serial Reference'!$A$8:$W$8,1,FLOOR(($A32-1)/23,1)+1)&amp;INDEX('Serial Reference'!$A$8:$W$8,1,MOD($A32-1,23)+1)&amp;TEXT(AV$2+FLOOR((AV$2-1)/9,1),"000"),"")</f>
        <v>BG052</v>
      </c>
      <c r="AW32" s="25" t="str">
        <f>IF(INDEX('Shot Map'!$B$6:$V$26,CEILING($A32/5,1),CEILING(AW$2/5,1))=1,INDEX('Serial Reference'!$A$8:$W$8,1,FLOOR(($A32-1)/23,1)+1)&amp;INDEX('Serial Reference'!$A$8:$W$8,1,MOD($A32-1,23)+1)&amp;TEXT(AW$2+FLOOR((AW$2-1)/9,1),"000"),"")</f>
        <v>BG053</v>
      </c>
      <c r="AX32" s="25" t="str">
        <f>IF(INDEX('Shot Map'!$B$6:$V$26,CEILING($A32/5,1),CEILING(AX$2/5,1))=1,INDEX('Serial Reference'!$A$8:$W$8,1,FLOOR(($A32-1)/23,1)+1)&amp;INDEX('Serial Reference'!$A$8:$W$8,1,MOD($A32-1,23)+1)&amp;TEXT(AX$2+FLOOR((AX$2-1)/9,1),"000"),"")</f>
        <v>BG054</v>
      </c>
      <c r="AY32" s="26" t="str">
        <f>IF(INDEX('Shot Map'!$B$6:$V$26,CEILING($A32/5,1),CEILING(AY$2/5,1))=1,INDEX('Serial Reference'!$A$8:$W$8,1,FLOOR(($A32-1)/23,1)+1)&amp;INDEX('Serial Reference'!$A$8:$W$8,1,MOD($A32-1,23)+1)&amp;TEXT(AY$2+FLOOR((AY$2-1)/9,1),"000"),"")</f>
        <v>BG055</v>
      </c>
      <c r="AZ32" s="24" t="str">
        <f>IF(INDEX('Shot Map'!$B$6:$V$26,CEILING($A32/5,1),CEILING(AZ$2/5,1))=1,INDEX('Serial Reference'!$A$8:$W$8,1,FLOOR(($A32-1)/23,1)+1)&amp;INDEX('Serial Reference'!$A$8:$W$8,1,MOD($A32-1,23)+1)&amp;TEXT(AZ$2+FLOOR((AZ$2-1)/9,1),"000"),"")</f>
        <v>BG056</v>
      </c>
      <c r="BA32" s="25" t="str">
        <f>IF(INDEX('Shot Map'!$B$6:$V$26,CEILING($A32/5,1),CEILING(BA$2/5,1))=1,INDEX('Serial Reference'!$A$8:$W$8,1,FLOOR(($A32-1)/23,1)+1)&amp;INDEX('Serial Reference'!$A$8:$W$8,1,MOD($A32-1,23)+1)&amp;TEXT(BA$2+FLOOR((BA$2-1)/9,1),"000"),"")</f>
        <v>BG057</v>
      </c>
      <c r="BB32" s="25" t="str">
        <f>IF(INDEX('Shot Map'!$B$6:$V$26,CEILING($A32/5,1),CEILING(BB$2/5,1))=1,INDEX('Serial Reference'!$A$8:$W$8,1,FLOOR(($A32-1)/23,1)+1)&amp;INDEX('Serial Reference'!$A$8:$W$8,1,MOD($A32-1,23)+1)&amp;TEXT(BB$2+FLOOR((BB$2-1)/9,1),"000"),"")</f>
        <v>BG058</v>
      </c>
      <c r="BC32" s="25" t="str">
        <f>IF(INDEX('Shot Map'!$B$6:$V$26,CEILING($A32/5,1),CEILING(BC$2/5,1))=1,INDEX('Serial Reference'!$A$8:$W$8,1,FLOOR(($A32-1)/23,1)+1)&amp;INDEX('Serial Reference'!$A$8:$W$8,1,MOD($A32-1,23)+1)&amp;TEXT(BC$2+FLOOR((BC$2-1)/9,1),"000"),"")</f>
        <v>BG059</v>
      </c>
      <c r="BD32" s="26" t="str">
        <f>IF(INDEX('Shot Map'!$B$6:$V$26,CEILING($A32/5,1),CEILING(BD$2/5,1))=1,INDEX('Serial Reference'!$A$8:$W$8,1,FLOOR(($A32-1)/23,1)+1)&amp;INDEX('Serial Reference'!$A$8:$W$8,1,MOD($A32-1,23)+1)&amp;TEXT(BD$2+FLOOR((BD$2-1)/9,1),"000"),"")</f>
        <v>BG061</v>
      </c>
      <c r="BE32" s="24" t="str">
        <f>IF(INDEX('Shot Map'!$B$6:$V$26,CEILING($A32/5,1),CEILING(BE$2/5,1))=1,INDEX('Serial Reference'!$A$8:$W$8,1,FLOOR(($A32-1)/23,1)+1)&amp;INDEX('Serial Reference'!$A$8:$W$8,1,MOD($A32-1,23)+1)&amp;TEXT(BE$2+FLOOR((BE$2-1)/9,1),"000"),"")</f>
        <v>BG062</v>
      </c>
      <c r="BF32" s="25" t="str">
        <f>IF(INDEX('Shot Map'!$B$6:$V$26,CEILING($A32/5,1),CEILING(BF$2/5,1))=1,INDEX('Serial Reference'!$A$8:$W$8,1,FLOOR(($A32-1)/23,1)+1)&amp;INDEX('Serial Reference'!$A$8:$W$8,1,MOD($A32-1,23)+1)&amp;TEXT(BF$2+FLOOR((BF$2-1)/9,1),"000"),"")</f>
        <v>BG063</v>
      </c>
      <c r="BG32" s="25" t="str">
        <f>IF(INDEX('Shot Map'!$B$6:$V$26,CEILING($A32/5,1),CEILING(BG$2/5,1))=1,INDEX('Serial Reference'!$A$8:$W$8,1,FLOOR(($A32-1)/23,1)+1)&amp;INDEX('Serial Reference'!$A$8:$W$8,1,MOD($A32-1,23)+1)&amp;TEXT(BG$2+FLOOR((BG$2-1)/9,1),"000"),"")</f>
        <v>BG064</v>
      </c>
      <c r="BH32" s="25" t="str">
        <f>IF(INDEX('Shot Map'!$B$6:$V$26,CEILING($A32/5,1),CEILING(BH$2/5,1))=1,INDEX('Serial Reference'!$A$8:$W$8,1,FLOOR(($A32-1)/23,1)+1)&amp;INDEX('Serial Reference'!$A$8:$W$8,1,MOD($A32-1,23)+1)&amp;TEXT(BH$2+FLOOR((BH$2-1)/9,1),"000"),"")</f>
        <v>BG065</v>
      </c>
      <c r="BI32" s="26" t="str">
        <f>IF(INDEX('Shot Map'!$B$6:$V$26,CEILING($A32/5,1),CEILING(BI$2/5,1))=1,INDEX('Serial Reference'!$A$8:$W$8,1,FLOOR(($A32-1)/23,1)+1)&amp;INDEX('Serial Reference'!$A$8:$W$8,1,MOD($A32-1,23)+1)&amp;TEXT(BI$2+FLOOR((BI$2-1)/9,1),"000"),"")</f>
        <v>BG066</v>
      </c>
      <c r="BJ32" s="24" t="str">
        <f>IF(INDEX('Shot Map'!$B$6:$V$26,CEILING($A32/5,1),CEILING(BJ$2/5,1))=1,INDEX('Serial Reference'!$A$8:$W$8,1,FLOOR(($A32-1)/23,1)+1)&amp;INDEX('Serial Reference'!$A$8:$W$8,1,MOD($A32-1,23)+1)&amp;TEXT(BJ$2+FLOOR((BJ$2-1)/9,1),"000"),"")</f>
        <v>BG067</v>
      </c>
      <c r="BK32" s="25" t="str">
        <f>IF(INDEX('Shot Map'!$B$6:$V$26,CEILING($A32/5,1),CEILING(BK$2/5,1))=1,INDEX('Serial Reference'!$A$8:$W$8,1,FLOOR(($A32-1)/23,1)+1)&amp;INDEX('Serial Reference'!$A$8:$W$8,1,MOD($A32-1,23)+1)&amp;TEXT(BK$2+FLOOR((BK$2-1)/9,1),"000"),"")</f>
        <v>BG068</v>
      </c>
      <c r="BL32" s="25" t="str">
        <f>IF(INDEX('Shot Map'!$B$6:$V$26,CEILING($A32/5,1),CEILING(BL$2/5,1))=1,INDEX('Serial Reference'!$A$8:$W$8,1,FLOOR(($A32-1)/23,1)+1)&amp;INDEX('Serial Reference'!$A$8:$W$8,1,MOD($A32-1,23)+1)&amp;TEXT(BL$2+FLOOR((BL$2-1)/9,1),"000"),"")</f>
        <v>BG069</v>
      </c>
      <c r="BM32" s="25" t="str">
        <f>IF(INDEX('Shot Map'!$B$6:$V$26,CEILING($A32/5,1),CEILING(BM$2/5,1))=1,INDEX('Serial Reference'!$A$8:$W$8,1,FLOOR(($A32-1)/23,1)+1)&amp;INDEX('Serial Reference'!$A$8:$W$8,1,MOD($A32-1,23)+1)&amp;TEXT(BM$2+FLOOR((BM$2-1)/9,1),"000"),"")</f>
        <v>BG071</v>
      </c>
      <c r="BN32" s="26" t="str">
        <f>IF(INDEX('Shot Map'!$B$6:$V$26,CEILING($A32/5,1),CEILING(BN$2/5,1))=1,INDEX('Serial Reference'!$A$8:$W$8,1,FLOOR(($A32-1)/23,1)+1)&amp;INDEX('Serial Reference'!$A$8:$W$8,1,MOD($A32-1,23)+1)&amp;TEXT(BN$2+FLOOR((BN$2-1)/9,1),"000"),"")</f>
        <v>BG072</v>
      </c>
      <c r="BO32" s="24" t="str">
        <f>IF(INDEX('Shot Map'!$B$6:$V$26,CEILING($A32/5,1),CEILING(BO$2/5,1))=1,INDEX('Serial Reference'!$A$8:$W$8,1,FLOOR(($A32-1)/23,1)+1)&amp;INDEX('Serial Reference'!$A$8:$W$8,1,MOD($A32-1,23)+1)&amp;TEXT(BO$2+FLOOR((BO$2-1)/9,1),"000"),"")</f>
        <v>BG073</v>
      </c>
      <c r="BP32" s="25" t="str">
        <f>IF(INDEX('Shot Map'!$B$6:$V$26,CEILING($A32/5,1),CEILING(BP$2/5,1))=1,INDEX('Serial Reference'!$A$8:$W$8,1,FLOOR(($A32-1)/23,1)+1)&amp;INDEX('Serial Reference'!$A$8:$W$8,1,MOD($A32-1,23)+1)&amp;TEXT(BP$2+FLOOR((BP$2-1)/9,1),"000"),"")</f>
        <v>BG074</v>
      </c>
      <c r="BQ32" s="25" t="str">
        <f>IF(INDEX('Shot Map'!$B$6:$V$26,CEILING($A32/5,1),CEILING(BQ$2/5,1))=1,INDEX('Serial Reference'!$A$8:$W$8,1,FLOOR(($A32-1)/23,1)+1)&amp;INDEX('Serial Reference'!$A$8:$W$8,1,MOD($A32-1,23)+1)&amp;TEXT(BQ$2+FLOOR((BQ$2-1)/9,1),"000"),"")</f>
        <v>BG075</v>
      </c>
      <c r="BR32" s="25" t="str">
        <f>IF(INDEX('Shot Map'!$B$6:$V$26,CEILING($A32/5,1),CEILING(BR$2/5,1))=1,INDEX('Serial Reference'!$A$8:$W$8,1,FLOOR(($A32-1)/23,1)+1)&amp;INDEX('Serial Reference'!$A$8:$W$8,1,MOD($A32-1,23)+1)&amp;TEXT(BR$2+FLOOR((BR$2-1)/9,1),"000"),"")</f>
        <v>BG076</v>
      </c>
      <c r="BS32" s="26" t="str">
        <f>IF(INDEX('Shot Map'!$B$6:$V$26,CEILING($A32/5,1),CEILING(BS$2/5,1))=1,INDEX('Serial Reference'!$A$8:$W$8,1,FLOOR(($A32-1)/23,1)+1)&amp;INDEX('Serial Reference'!$A$8:$W$8,1,MOD($A32-1,23)+1)&amp;TEXT(BS$2+FLOOR((BS$2-1)/9,1),"000"),"")</f>
        <v>BG077</v>
      </c>
      <c r="BT32" s="24" t="str">
        <f>IF(INDEX('Shot Map'!$B$6:$V$26,CEILING($A32/5,1),CEILING(BT$2/5,1))=1,INDEX('Serial Reference'!$A$8:$W$8,1,FLOOR(($A32-1)/23,1)+1)&amp;INDEX('Serial Reference'!$A$8:$W$8,1,MOD($A32-1,23)+1)&amp;TEXT(BT$2+FLOOR((BT$2-1)/9,1),"000"),"")</f>
        <v>BG078</v>
      </c>
      <c r="BU32" s="25" t="str">
        <f>IF(INDEX('Shot Map'!$B$6:$V$26,CEILING($A32/5,1),CEILING(BU$2/5,1))=1,INDEX('Serial Reference'!$A$8:$W$8,1,FLOOR(($A32-1)/23,1)+1)&amp;INDEX('Serial Reference'!$A$8:$W$8,1,MOD($A32-1,23)+1)&amp;TEXT(BU$2+FLOOR((BU$2-1)/9,1),"000"),"")</f>
        <v>BG079</v>
      </c>
      <c r="BV32" s="25" t="str">
        <f>IF(INDEX('Shot Map'!$B$6:$V$26,CEILING($A32/5,1),CEILING(BV$2/5,1))=1,INDEX('Serial Reference'!$A$8:$W$8,1,FLOOR(($A32-1)/23,1)+1)&amp;INDEX('Serial Reference'!$A$8:$W$8,1,MOD($A32-1,23)+1)&amp;TEXT(BV$2+FLOOR((BV$2-1)/9,1),"000"),"")</f>
        <v>BG081</v>
      </c>
      <c r="BW32" s="25" t="str">
        <f>IF(INDEX('Shot Map'!$B$6:$V$26,CEILING($A32/5,1),CEILING(BW$2/5,1))=1,INDEX('Serial Reference'!$A$8:$W$8,1,FLOOR(($A32-1)/23,1)+1)&amp;INDEX('Serial Reference'!$A$8:$W$8,1,MOD($A32-1,23)+1)&amp;TEXT(BW$2+FLOOR((BW$2-1)/9,1),"000"),"")</f>
        <v>BG082</v>
      </c>
      <c r="BX32" s="26" t="str">
        <f>IF(INDEX('Shot Map'!$B$6:$V$26,CEILING($A32/5,1),CEILING(BX$2/5,1))=1,INDEX('Serial Reference'!$A$8:$W$8,1,FLOOR(($A32-1)/23,1)+1)&amp;INDEX('Serial Reference'!$A$8:$W$8,1,MOD($A32-1,23)+1)&amp;TEXT(BX$2+FLOOR((BX$2-1)/9,1),"000"),"")</f>
        <v>BG083</v>
      </c>
      <c r="BY32" s="24" t="str">
        <f>IF(INDEX('Shot Map'!$B$6:$V$26,CEILING($A32/5,1),CEILING(BY$2/5,1))=1,INDEX('Serial Reference'!$A$8:$W$8,1,FLOOR(($A32-1)/23,1)+1)&amp;INDEX('Serial Reference'!$A$8:$W$8,1,MOD($A32-1,23)+1)&amp;TEXT(BY$2+FLOOR((BY$2-1)/9,1),"000"),"")</f>
        <v>BG084</v>
      </c>
      <c r="BZ32" s="25" t="str">
        <f>IF(INDEX('Shot Map'!$B$6:$V$26,CEILING($A32/5,1),CEILING(BZ$2/5,1))=1,INDEX('Serial Reference'!$A$8:$W$8,1,FLOOR(($A32-1)/23,1)+1)&amp;INDEX('Serial Reference'!$A$8:$W$8,1,MOD($A32-1,23)+1)&amp;TEXT(BZ$2+FLOOR((BZ$2-1)/9,1),"000"),"")</f>
        <v>BG085</v>
      </c>
      <c r="CA32" s="25" t="str">
        <f>IF(INDEX('Shot Map'!$B$6:$V$26,CEILING($A32/5,1),CEILING(CA$2/5,1))=1,INDEX('Serial Reference'!$A$8:$W$8,1,FLOOR(($A32-1)/23,1)+1)&amp;INDEX('Serial Reference'!$A$8:$W$8,1,MOD($A32-1,23)+1)&amp;TEXT(CA$2+FLOOR((CA$2-1)/9,1),"000"),"")</f>
        <v>BG086</v>
      </c>
      <c r="CB32" s="25" t="str">
        <f>IF(INDEX('Shot Map'!$B$6:$V$26,CEILING($A32/5,1),CEILING(CB$2/5,1))=1,INDEX('Serial Reference'!$A$8:$W$8,1,FLOOR(($A32-1)/23,1)+1)&amp;INDEX('Serial Reference'!$A$8:$W$8,1,MOD($A32-1,23)+1)&amp;TEXT(CB$2+FLOOR((CB$2-1)/9,1),"000"),"")</f>
        <v>BG087</v>
      </c>
      <c r="CC32" s="26" t="str">
        <f>IF(INDEX('Shot Map'!$B$6:$V$26,CEILING($A32/5,1),CEILING(CC$2/5,1))=1,INDEX('Serial Reference'!$A$8:$W$8,1,FLOOR(($A32-1)/23,1)+1)&amp;INDEX('Serial Reference'!$A$8:$W$8,1,MOD($A32-1,23)+1)&amp;TEXT(CC$2+FLOOR((CC$2-1)/9,1),"000"),"")</f>
        <v>BG088</v>
      </c>
      <c r="CD32" s="24" t="str">
        <f>IF(INDEX('Shot Map'!$B$6:$V$26,CEILING($A32/5,1),CEILING(CD$2/5,1))=1,INDEX('Serial Reference'!$A$8:$W$8,1,FLOOR(($A32-1)/23,1)+1)&amp;INDEX('Serial Reference'!$A$8:$W$8,1,MOD($A32-1,23)+1)&amp;TEXT(CD$2+FLOOR((CD$2-1)/9,1),"000"),"")</f>
        <v>BG089</v>
      </c>
      <c r="CE32" s="25" t="str">
        <f>IF(INDEX('Shot Map'!$B$6:$V$26,CEILING($A32/5,1),CEILING(CE$2/5,1))=1,INDEX('Serial Reference'!$A$8:$W$8,1,FLOOR(($A32-1)/23,1)+1)&amp;INDEX('Serial Reference'!$A$8:$W$8,1,MOD($A32-1,23)+1)&amp;TEXT(CE$2+FLOOR((CE$2-1)/9,1),"000"),"")</f>
        <v>BG091</v>
      </c>
      <c r="CF32" s="25" t="str">
        <f>IF(INDEX('Shot Map'!$B$6:$V$26,CEILING($A32/5,1),CEILING(CF$2/5,1))=1,INDEX('Serial Reference'!$A$8:$W$8,1,FLOOR(($A32-1)/23,1)+1)&amp;INDEX('Serial Reference'!$A$8:$W$8,1,MOD($A32-1,23)+1)&amp;TEXT(CF$2+FLOOR((CF$2-1)/9,1),"000"),"")</f>
        <v>BG092</v>
      </c>
      <c r="CG32" s="25" t="str">
        <f>IF(INDEX('Shot Map'!$B$6:$V$26,CEILING($A32/5,1),CEILING(CG$2/5,1))=1,INDEX('Serial Reference'!$A$8:$W$8,1,FLOOR(($A32-1)/23,1)+1)&amp;INDEX('Serial Reference'!$A$8:$W$8,1,MOD($A32-1,23)+1)&amp;TEXT(CG$2+FLOOR((CG$2-1)/9,1),"000"),"")</f>
        <v>BG093</v>
      </c>
      <c r="CH32" s="26" t="str">
        <f>IF(INDEX('Shot Map'!$B$6:$V$26,CEILING($A32/5,1),CEILING(CH$2/5,1))=1,INDEX('Serial Reference'!$A$8:$W$8,1,FLOOR(($A32-1)/23,1)+1)&amp;INDEX('Serial Reference'!$A$8:$W$8,1,MOD($A32-1,23)+1)&amp;TEXT(CH$2+FLOOR((CH$2-1)/9,1),"000"),"")</f>
        <v>BG094</v>
      </c>
      <c r="CI32" s="24" t="str">
        <f>IF(INDEX('Shot Map'!$B$6:$V$26,CEILING($A32/5,1),CEILING(CI$2/5,1))=1,INDEX('Serial Reference'!$A$8:$W$8,1,FLOOR(($A32-1)/23,1)+1)&amp;INDEX('Serial Reference'!$A$8:$W$8,1,MOD($A32-1,23)+1)&amp;TEXT(CI$2+FLOOR((CI$2-1)/9,1),"000"),"")</f>
        <v>BG095</v>
      </c>
      <c r="CJ32" s="25" t="str">
        <f>IF(INDEX('Shot Map'!$B$6:$V$26,CEILING($A32/5,1),CEILING(CJ$2/5,1))=1,INDEX('Serial Reference'!$A$8:$W$8,1,FLOOR(($A32-1)/23,1)+1)&amp;INDEX('Serial Reference'!$A$8:$W$8,1,MOD($A32-1,23)+1)&amp;TEXT(CJ$2+FLOOR((CJ$2-1)/9,1),"000"),"")</f>
        <v>BG096</v>
      </c>
      <c r="CK32" s="25" t="str">
        <f>IF(INDEX('Shot Map'!$B$6:$V$26,CEILING($A32/5,1),CEILING(CK$2/5,1))=1,INDEX('Serial Reference'!$A$8:$W$8,1,FLOOR(($A32-1)/23,1)+1)&amp;INDEX('Serial Reference'!$A$8:$W$8,1,MOD($A32-1,23)+1)&amp;TEXT(CK$2+FLOOR((CK$2-1)/9,1),"000"),"")</f>
        <v>BG097</v>
      </c>
      <c r="CL32" s="25" t="str">
        <f>IF(INDEX('Shot Map'!$B$6:$V$26,CEILING($A32/5,1),CEILING(CL$2/5,1))=1,INDEX('Serial Reference'!$A$8:$W$8,1,FLOOR(($A32-1)/23,1)+1)&amp;INDEX('Serial Reference'!$A$8:$W$8,1,MOD($A32-1,23)+1)&amp;TEXT(CL$2+FLOOR((CL$2-1)/9,1),"000"),"")</f>
        <v>BG098</v>
      </c>
      <c r="CM32" s="26" t="str">
        <f>IF(INDEX('Shot Map'!$B$6:$V$26,CEILING($A32/5,1),CEILING(CM$2/5,1))=1,INDEX('Serial Reference'!$A$8:$W$8,1,FLOOR(($A32-1)/23,1)+1)&amp;INDEX('Serial Reference'!$A$8:$W$8,1,MOD($A32-1,23)+1)&amp;TEXT(CM$2+FLOOR((CM$2-1)/9,1),"000"),"")</f>
        <v>BG099</v>
      </c>
      <c r="CN32" s="24" t="str">
        <f>IF(INDEX('Shot Map'!$B$6:$V$26,CEILING($A32/5,1),CEILING(CN$2/5,1))=1,INDEX('Serial Reference'!$A$8:$W$8,1,FLOOR(($A32-1)/23,1)+1)&amp;INDEX('Serial Reference'!$A$8:$W$8,1,MOD($A32-1,23)+1)&amp;TEXT(CN$2+FLOOR((CN$2-1)/9,1),"000"),"")</f>
        <v>BG101</v>
      </c>
      <c r="CO32" s="25" t="str">
        <f>IF(INDEX('Shot Map'!$B$6:$V$26,CEILING($A32/5,1),CEILING(CO$2/5,1))=1,INDEX('Serial Reference'!$A$8:$W$8,1,FLOOR(($A32-1)/23,1)+1)&amp;INDEX('Serial Reference'!$A$8:$W$8,1,MOD($A32-1,23)+1)&amp;TEXT(CO$2+FLOOR((CO$2-1)/9,1),"000"),"")</f>
        <v>BG102</v>
      </c>
      <c r="CP32" s="25" t="str">
        <f>IF(INDEX('Shot Map'!$B$6:$V$26,CEILING($A32/5,1),CEILING(CP$2/5,1))=1,INDEX('Serial Reference'!$A$8:$W$8,1,FLOOR(($A32-1)/23,1)+1)&amp;INDEX('Serial Reference'!$A$8:$W$8,1,MOD($A32-1,23)+1)&amp;TEXT(CP$2+FLOOR((CP$2-1)/9,1),"000"),"")</f>
        <v>BG103</v>
      </c>
      <c r="CQ32" s="25" t="str">
        <f>IF(INDEX('Shot Map'!$B$6:$V$26,CEILING($A32/5,1),CEILING(CQ$2/5,1))=1,INDEX('Serial Reference'!$A$8:$W$8,1,FLOOR(($A32-1)/23,1)+1)&amp;INDEX('Serial Reference'!$A$8:$W$8,1,MOD($A32-1,23)+1)&amp;TEXT(CQ$2+FLOOR((CQ$2-1)/9,1),"000"),"")</f>
        <v>BG104</v>
      </c>
      <c r="CR32" s="26" t="str">
        <f>IF(INDEX('Shot Map'!$B$6:$V$26,CEILING($A32/5,1),CEILING(CR$2/5,1))=1,INDEX('Serial Reference'!$A$8:$W$8,1,FLOOR(($A32-1)/23,1)+1)&amp;INDEX('Serial Reference'!$A$8:$W$8,1,MOD($A32-1,23)+1)&amp;TEXT(CR$2+FLOOR((CR$2-1)/9,1),"000"),"")</f>
        <v>BG105</v>
      </c>
      <c r="CS32" s="24" t="str">
        <f>IF(INDEX('Shot Map'!$B$6:$V$26,CEILING($A32/5,1),CEILING(CS$2/5,1))=1,INDEX('Serial Reference'!$A$8:$W$8,1,FLOOR(($A32-1)/23,1)+1)&amp;INDEX('Serial Reference'!$A$8:$W$8,1,MOD($A32-1,23)+1)&amp;TEXT(CS$2+FLOOR((CS$2-1)/9,1),"000"),"")</f>
        <v/>
      </c>
      <c r="CT32" s="25" t="str">
        <f>IF(INDEX('Shot Map'!$B$6:$V$26,CEILING($A32/5,1),CEILING(CT$2/5,1))=1,INDEX('Serial Reference'!$A$8:$W$8,1,FLOOR(($A32-1)/23,1)+1)&amp;INDEX('Serial Reference'!$A$8:$W$8,1,MOD($A32-1,23)+1)&amp;TEXT(CT$2+FLOOR((CT$2-1)/9,1),"000"),"")</f>
        <v/>
      </c>
      <c r="CU32" s="25" t="str">
        <f>IF(INDEX('Shot Map'!$B$6:$V$26,CEILING($A32/5,1),CEILING(CU$2/5,1))=1,INDEX('Serial Reference'!$A$8:$W$8,1,FLOOR(($A32-1)/23,1)+1)&amp;INDEX('Serial Reference'!$A$8:$W$8,1,MOD($A32-1,23)+1)&amp;TEXT(CU$2+FLOOR((CU$2-1)/9,1),"000"),"")</f>
        <v/>
      </c>
      <c r="CV32" s="25" t="str">
        <f>IF(INDEX('Shot Map'!$B$6:$V$26,CEILING($A32/5,1),CEILING(CV$2/5,1))=1,INDEX('Serial Reference'!$A$8:$W$8,1,FLOOR(($A32-1)/23,1)+1)&amp;INDEX('Serial Reference'!$A$8:$W$8,1,MOD($A32-1,23)+1)&amp;TEXT(CV$2+FLOOR((CV$2-1)/9,1),"000"),"")</f>
        <v/>
      </c>
      <c r="CW32" s="26" t="str">
        <f>IF(INDEX('Shot Map'!$B$6:$V$26,CEILING($A32/5,1),CEILING(CW$2/5,1))=1,INDEX('Serial Reference'!$A$8:$W$8,1,FLOOR(($A32-1)/23,1)+1)&amp;INDEX('Serial Reference'!$A$8:$W$8,1,MOD($A32-1,23)+1)&amp;TEXT(CW$2+FLOOR((CW$2-1)/9,1),"000"),"")</f>
        <v/>
      </c>
      <c r="CX32" s="24" t="str">
        <f>IF(INDEX('Shot Map'!$B$6:$V$26,CEILING($A32/5,1),CEILING(CX$2/5,1))=1,INDEX('Serial Reference'!$A$8:$W$8,1,FLOOR(($A32-1)/23,1)+1)&amp;INDEX('Serial Reference'!$A$8:$W$8,1,MOD($A32-1,23)+1)&amp;TEXT(CX$2+FLOOR((CX$2-1)/9,1),"000"),"")</f>
        <v/>
      </c>
      <c r="CY32" s="25" t="str">
        <f>IF(INDEX('Shot Map'!$B$6:$V$26,CEILING($A32/5,1),CEILING(CY$2/5,1))=1,INDEX('Serial Reference'!$A$8:$W$8,1,FLOOR(($A32-1)/23,1)+1)&amp;INDEX('Serial Reference'!$A$8:$W$8,1,MOD($A32-1,23)+1)&amp;TEXT(CY$2+FLOOR((CY$2-1)/9,1),"000"),"")</f>
        <v/>
      </c>
      <c r="CZ32" s="25" t="str">
        <f>IF(INDEX('Shot Map'!$B$6:$V$26,CEILING($A32/5,1),CEILING(CZ$2/5,1))=1,INDEX('Serial Reference'!$A$8:$W$8,1,FLOOR(($A32-1)/23,1)+1)&amp;INDEX('Serial Reference'!$A$8:$W$8,1,MOD($A32-1,23)+1)&amp;TEXT(CZ$2+FLOOR((CZ$2-1)/9,1),"000"),"")</f>
        <v/>
      </c>
      <c r="DA32" s="25" t="str">
        <f>IF(INDEX('Shot Map'!$B$6:$V$26,CEILING($A32/5,1),CEILING(DA$2/5,1))=1,INDEX('Serial Reference'!$A$8:$W$8,1,FLOOR(($A32-1)/23,1)+1)&amp;INDEX('Serial Reference'!$A$8:$W$8,1,MOD($A32-1,23)+1)&amp;TEXT(DA$2+FLOOR((DA$2-1)/9,1),"000"),"")</f>
        <v/>
      </c>
      <c r="DB32" s="26" t="str">
        <f>IF(INDEX('Shot Map'!$B$6:$V$26,CEILING($A32/5,1),CEILING(DB$2/5,1))=1,INDEX('Serial Reference'!$A$8:$W$8,1,FLOOR(($A32-1)/23,1)+1)&amp;INDEX('Serial Reference'!$A$8:$W$8,1,MOD($A32-1,23)+1)&amp;TEXT(DB$2+FLOOR((DB$2-1)/9,1),"000"),"")</f>
        <v/>
      </c>
    </row>
    <row r="33" spans="1:106" ht="12.75" customHeight="1" x14ac:dyDescent="0.25">
      <c r="A33" s="17">
        <v>31</v>
      </c>
      <c r="B33" s="18" t="str">
        <f>IF(INDEX('Shot Map'!$B$6:$V$26,CEILING($A33/5,1),CEILING(B$2/5,1))=1,INDEX('Serial Reference'!$A$8:$W$8,1,FLOOR(($A33-1)/23,1)+1)&amp;INDEX('Serial Reference'!$A$8:$W$8,1,MOD($A33-1,23)+1)&amp;TEXT(B$2+FLOOR((B$2-1)/9,1),"000"),"")</f>
        <v/>
      </c>
      <c r="C33" s="19" t="str">
        <f>IF(INDEX('Shot Map'!$B$6:$V$26,CEILING($A33/5,1),CEILING(C$2/5,1))=1,INDEX('Serial Reference'!$A$8:$W$8,1,FLOOR(($A33-1)/23,1)+1)&amp;INDEX('Serial Reference'!$A$8:$W$8,1,MOD($A33-1,23)+1)&amp;TEXT(C$2+FLOOR((C$2-1)/9,1),"000"),"")</f>
        <v/>
      </c>
      <c r="D33" s="19" t="str">
        <f>IF(INDEX('Shot Map'!$B$6:$V$26,CEILING($A33/5,1),CEILING(D$2/5,1))=1,INDEX('Serial Reference'!$A$8:$W$8,1,FLOOR(($A33-1)/23,1)+1)&amp;INDEX('Serial Reference'!$A$8:$W$8,1,MOD($A33-1,23)+1)&amp;TEXT(D$2+FLOOR((D$2-1)/9,1),"000"),"")</f>
        <v/>
      </c>
      <c r="E33" s="19" t="str">
        <f>IF(INDEX('Shot Map'!$B$6:$V$26,CEILING($A33/5,1),CEILING(E$2/5,1))=1,INDEX('Serial Reference'!$A$8:$W$8,1,FLOOR(($A33-1)/23,1)+1)&amp;INDEX('Serial Reference'!$A$8:$W$8,1,MOD($A33-1,23)+1)&amp;TEXT(E$2+FLOOR((E$2-1)/9,1),"000"),"")</f>
        <v/>
      </c>
      <c r="F33" s="20" t="str">
        <f>IF(INDEX('Shot Map'!$B$6:$V$26,CEILING($A33/5,1),CEILING(F$2/5,1))=1,INDEX('Serial Reference'!$A$8:$W$8,1,FLOOR(($A33-1)/23,1)+1)&amp;INDEX('Serial Reference'!$A$8:$W$8,1,MOD($A33-1,23)+1)&amp;TEXT(F$2+FLOOR((F$2-1)/9,1),"000"),"")</f>
        <v/>
      </c>
      <c r="G33" s="18" t="str">
        <f>IF(INDEX('Shot Map'!$B$6:$V$26,CEILING($A33/5,1),CEILING(G$2/5,1))=1,INDEX('Serial Reference'!$A$8:$W$8,1,FLOOR(($A33-1)/23,1)+1)&amp;INDEX('Serial Reference'!$A$8:$W$8,1,MOD($A33-1,23)+1)&amp;TEXT(G$2+FLOOR((G$2-1)/9,1),"000"),"")</f>
        <v>BH006</v>
      </c>
      <c r="H33" s="19" t="str">
        <f>IF(INDEX('Shot Map'!$B$6:$V$26,CEILING($A33/5,1),CEILING(H$2/5,1))=1,INDEX('Serial Reference'!$A$8:$W$8,1,FLOOR(($A33-1)/23,1)+1)&amp;INDEX('Serial Reference'!$A$8:$W$8,1,MOD($A33-1,23)+1)&amp;TEXT(H$2+FLOOR((H$2-1)/9,1),"000"),"")</f>
        <v>BH007</v>
      </c>
      <c r="I33" s="19" t="str">
        <f>IF(INDEX('Shot Map'!$B$6:$V$26,CEILING($A33/5,1),CEILING(I$2/5,1))=1,INDEX('Serial Reference'!$A$8:$W$8,1,FLOOR(($A33-1)/23,1)+1)&amp;INDEX('Serial Reference'!$A$8:$W$8,1,MOD($A33-1,23)+1)&amp;TEXT(I$2+FLOOR((I$2-1)/9,1),"000"),"")</f>
        <v>BH008</v>
      </c>
      <c r="J33" s="19" t="str">
        <f>IF(INDEX('Shot Map'!$B$6:$V$26,CEILING($A33/5,1),CEILING(J$2/5,1))=1,INDEX('Serial Reference'!$A$8:$W$8,1,FLOOR(($A33-1)/23,1)+1)&amp;INDEX('Serial Reference'!$A$8:$W$8,1,MOD($A33-1,23)+1)&amp;TEXT(J$2+FLOOR((J$2-1)/9,1),"000"),"")</f>
        <v>BH009</v>
      </c>
      <c r="K33" s="20" t="str">
        <f>IF(INDEX('Shot Map'!$B$6:$V$26,CEILING($A33/5,1),CEILING(K$2/5,1))=1,INDEX('Serial Reference'!$A$8:$W$8,1,FLOOR(($A33-1)/23,1)+1)&amp;INDEX('Serial Reference'!$A$8:$W$8,1,MOD($A33-1,23)+1)&amp;TEXT(K$2+FLOOR((K$2-1)/9,1),"000"),"")</f>
        <v>BH011</v>
      </c>
      <c r="L33" s="18" t="str">
        <f>IF(INDEX('Shot Map'!$B$6:$V$26,CEILING($A33/5,1),CEILING(L$2/5,1))=1,INDEX('Serial Reference'!$A$8:$W$8,1,FLOOR(($A33-1)/23,1)+1)&amp;INDEX('Serial Reference'!$A$8:$W$8,1,MOD($A33-1,23)+1)&amp;TEXT(L$2+FLOOR((L$2-1)/9,1),"000"),"")</f>
        <v>BH012</v>
      </c>
      <c r="M33" s="19" t="str">
        <f>IF(INDEX('Shot Map'!$B$6:$V$26,CEILING($A33/5,1),CEILING(M$2/5,1))=1,INDEX('Serial Reference'!$A$8:$W$8,1,FLOOR(($A33-1)/23,1)+1)&amp;INDEX('Serial Reference'!$A$8:$W$8,1,MOD($A33-1,23)+1)&amp;TEXT(M$2+FLOOR((M$2-1)/9,1),"000"),"")</f>
        <v>BH013</v>
      </c>
      <c r="N33" s="19" t="str">
        <f>IF(INDEX('Shot Map'!$B$6:$V$26,CEILING($A33/5,1),CEILING(N$2/5,1))=1,INDEX('Serial Reference'!$A$8:$W$8,1,FLOOR(($A33-1)/23,1)+1)&amp;INDEX('Serial Reference'!$A$8:$W$8,1,MOD($A33-1,23)+1)&amp;TEXT(N$2+FLOOR((N$2-1)/9,1),"000"),"")</f>
        <v>BH014</v>
      </c>
      <c r="O33" s="19" t="str">
        <f>IF(INDEX('Shot Map'!$B$6:$V$26,CEILING($A33/5,1),CEILING(O$2/5,1))=1,INDEX('Serial Reference'!$A$8:$W$8,1,FLOOR(($A33-1)/23,1)+1)&amp;INDEX('Serial Reference'!$A$8:$W$8,1,MOD($A33-1,23)+1)&amp;TEXT(O$2+FLOOR((O$2-1)/9,1),"000"),"")</f>
        <v>BH015</v>
      </c>
      <c r="P33" s="20" t="str">
        <f>IF(INDEX('Shot Map'!$B$6:$V$26,CEILING($A33/5,1),CEILING(P$2/5,1))=1,INDEX('Serial Reference'!$A$8:$W$8,1,FLOOR(($A33-1)/23,1)+1)&amp;INDEX('Serial Reference'!$A$8:$W$8,1,MOD($A33-1,23)+1)&amp;TEXT(P$2+FLOOR((P$2-1)/9,1),"000"),"")</f>
        <v>BH016</v>
      </c>
      <c r="Q33" s="18" t="str">
        <f>IF(INDEX('Shot Map'!$B$6:$V$26,CEILING($A33/5,1),CEILING(Q$2/5,1))=1,INDEX('Serial Reference'!$A$8:$W$8,1,FLOOR(($A33-1)/23,1)+1)&amp;INDEX('Serial Reference'!$A$8:$W$8,1,MOD($A33-1,23)+1)&amp;TEXT(Q$2+FLOOR((Q$2-1)/9,1),"000"),"")</f>
        <v>BH017</v>
      </c>
      <c r="R33" s="19" t="str">
        <f>IF(INDEX('Shot Map'!$B$6:$V$26,CEILING($A33/5,1),CEILING(R$2/5,1))=1,INDEX('Serial Reference'!$A$8:$W$8,1,FLOOR(($A33-1)/23,1)+1)&amp;INDEX('Serial Reference'!$A$8:$W$8,1,MOD($A33-1,23)+1)&amp;TEXT(R$2+FLOOR((R$2-1)/9,1),"000"),"")</f>
        <v>BH018</v>
      </c>
      <c r="S33" s="19" t="str">
        <f>IF(INDEX('Shot Map'!$B$6:$V$26,CEILING($A33/5,1),CEILING(S$2/5,1))=1,INDEX('Serial Reference'!$A$8:$W$8,1,FLOOR(($A33-1)/23,1)+1)&amp;INDEX('Serial Reference'!$A$8:$W$8,1,MOD($A33-1,23)+1)&amp;TEXT(S$2+FLOOR((S$2-1)/9,1),"000"),"")</f>
        <v>BH019</v>
      </c>
      <c r="T33" s="19" t="str">
        <f>IF(INDEX('Shot Map'!$B$6:$V$26,CEILING($A33/5,1),CEILING(T$2/5,1))=1,INDEX('Serial Reference'!$A$8:$W$8,1,FLOOR(($A33-1)/23,1)+1)&amp;INDEX('Serial Reference'!$A$8:$W$8,1,MOD($A33-1,23)+1)&amp;TEXT(T$2+FLOOR((T$2-1)/9,1),"000"),"")</f>
        <v>BH021</v>
      </c>
      <c r="U33" s="20" t="str">
        <f>IF(INDEX('Shot Map'!$B$6:$V$26,CEILING($A33/5,1),CEILING(U$2/5,1))=1,INDEX('Serial Reference'!$A$8:$W$8,1,FLOOR(($A33-1)/23,1)+1)&amp;INDEX('Serial Reference'!$A$8:$W$8,1,MOD($A33-1,23)+1)&amp;TEXT(U$2+FLOOR((U$2-1)/9,1),"000"),"")</f>
        <v>BH022</v>
      </c>
      <c r="V33" s="18" t="str">
        <f>IF(INDEX('Shot Map'!$B$6:$V$26,CEILING($A33/5,1),CEILING(V$2/5,1))=1,INDEX('Serial Reference'!$A$8:$W$8,1,FLOOR(($A33-1)/23,1)+1)&amp;INDEX('Serial Reference'!$A$8:$W$8,1,MOD($A33-1,23)+1)&amp;TEXT(V$2+FLOOR((V$2-1)/9,1),"000"),"")</f>
        <v>BH023</v>
      </c>
      <c r="W33" s="19" t="str">
        <f>IF(INDEX('Shot Map'!$B$6:$V$26,CEILING($A33/5,1),CEILING(W$2/5,1))=1,INDEX('Serial Reference'!$A$8:$W$8,1,FLOOR(($A33-1)/23,1)+1)&amp;INDEX('Serial Reference'!$A$8:$W$8,1,MOD($A33-1,23)+1)&amp;TEXT(W$2+FLOOR((W$2-1)/9,1),"000"),"")</f>
        <v>BH024</v>
      </c>
      <c r="X33" s="19" t="str">
        <f>IF(INDEX('Shot Map'!$B$6:$V$26,CEILING($A33/5,1),CEILING(X$2/5,1))=1,INDEX('Serial Reference'!$A$8:$W$8,1,FLOOR(($A33-1)/23,1)+1)&amp;INDEX('Serial Reference'!$A$8:$W$8,1,MOD($A33-1,23)+1)&amp;TEXT(X$2+FLOOR((X$2-1)/9,1),"000"),"")</f>
        <v>BH025</v>
      </c>
      <c r="Y33" s="19" t="str">
        <f>IF(INDEX('Shot Map'!$B$6:$V$26,CEILING($A33/5,1),CEILING(Y$2/5,1))=1,INDEX('Serial Reference'!$A$8:$W$8,1,FLOOR(($A33-1)/23,1)+1)&amp;INDEX('Serial Reference'!$A$8:$W$8,1,MOD($A33-1,23)+1)&amp;TEXT(Y$2+FLOOR((Y$2-1)/9,1),"000"),"")</f>
        <v>BH026</v>
      </c>
      <c r="Z33" s="20" t="str">
        <f>IF(INDEX('Shot Map'!$B$6:$V$26,CEILING($A33/5,1),CEILING(Z$2/5,1))=1,INDEX('Serial Reference'!$A$8:$W$8,1,FLOOR(($A33-1)/23,1)+1)&amp;INDEX('Serial Reference'!$A$8:$W$8,1,MOD($A33-1,23)+1)&amp;TEXT(Z$2+FLOOR((Z$2-1)/9,1),"000"),"")</f>
        <v>BH027</v>
      </c>
      <c r="AA33" s="18" t="str">
        <f>IF(INDEX('Shot Map'!$B$6:$V$26,CEILING($A33/5,1),CEILING(AA$2/5,1))=1,INDEX('Serial Reference'!$A$8:$W$8,1,FLOOR(($A33-1)/23,1)+1)&amp;INDEX('Serial Reference'!$A$8:$W$8,1,MOD($A33-1,23)+1)&amp;TEXT(AA$2+FLOOR((AA$2-1)/9,1),"000"),"")</f>
        <v>BH028</v>
      </c>
      <c r="AB33" s="19" t="str">
        <f>IF(INDEX('Shot Map'!$B$6:$V$26,CEILING($A33/5,1),CEILING(AB$2/5,1))=1,INDEX('Serial Reference'!$A$8:$W$8,1,FLOOR(($A33-1)/23,1)+1)&amp;INDEX('Serial Reference'!$A$8:$W$8,1,MOD($A33-1,23)+1)&amp;TEXT(AB$2+FLOOR((AB$2-1)/9,1),"000"),"")</f>
        <v>BH029</v>
      </c>
      <c r="AC33" s="19" t="str">
        <f>IF(INDEX('Shot Map'!$B$6:$V$26,CEILING($A33/5,1),CEILING(AC$2/5,1))=1,INDEX('Serial Reference'!$A$8:$W$8,1,FLOOR(($A33-1)/23,1)+1)&amp;INDEX('Serial Reference'!$A$8:$W$8,1,MOD($A33-1,23)+1)&amp;TEXT(AC$2+FLOOR((AC$2-1)/9,1),"000"),"")</f>
        <v>BH031</v>
      </c>
      <c r="AD33" s="19" t="str">
        <f>IF(INDEX('Shot Map'!$B$6:$V$26,CEILING($A33/5,1),CEILING(AD$2/5,1))=1,INDEX('Serial Reference'!$A$8:$W$8,1,FLOOR(($A33-1)/23,1)+1)&amp;INDEX('Serial Reference'!$A$8:$W$8,1,MOD($A33-1,23)+1)&amp;TEXT(AD$2+FLOOR((AD$2-1)/9,1),"000"),"")</f>
        <v>BH032</v>
      </c>
      <c r="AE33" s="20" t="str">
        <f>IF(INDEX('Shot Map'!$B$6:$V$26,CEILING($A33/5,1),CEILING(AE$2/5,1))=1,INDEX('Serial Reference'!$A$8:$W$8,1,FLOOR(($A33-1)/23,1)+1)&amp;INDEX('Serial Reference'!$A$8:$W$8,1,MOD($A33-1,23)+1)&amp;TEXT(AE$2+FLOOR((AE$2-1)/9,1),"000"),"")</f>
        <v>BH033</v>
      </c>
      <c r="AF33" s="18" t="str">
        <f>IF(INDEX('Shot Map'!$B$6:$V$26,CEILING($A33/5,1),CEILING(AF$2/5,1))=1,INDEX('Serial Reference'!$A$8:$W$8,1,FLOOR(($A33-1)/23,1)+1)&amp;INDEX('Serial Reference'!$A$8:$W$8,1,MOD($A33-1,23)+1)&amp;TEXT(AF$2+FLOOR((AF$2-1)/9,1),"000"),"")</f>
        <v>BH034</v>
      </c>
      <c r="AG33" s="19" t="str">
        <f>IF(INDEX('Shot Map'!$B$6:$V$26,CEILING($A33/5,1),CEILING(AG$2/5,1))=1,INDEX('Serial Reference'!$A$8:$W$8,1,FLOOR(($A33-1)/23,1)+1)&amp;INDEX('Serial Reference'!$A$8:$W$8,1,MOD($A33-1,23)+1)&amp;TEXT(AG$2+FLOOR((AG$2-1)/9,1),"000"),"")</f>
        <v>BH035</v>
      </c>
      <c r="AH33" s="19" t="str">
        <f>IF(INDEX('Shot Map'!$B$6:$V$26,CEILING($A33/5,1),CEILING(AH$2/5,1))=1,INDEX('Serial Reference'!$A$8:$W$8,1,FLOOR(($A33-1)/23,1)+1)&amp;INDEX('Serial Reference'!$A$8:$W$8,1,MOD($A33-1,23)+1)&amp;TEXT(AH$2+FLOOR((AH$2-1)/9,1),"000"),"")</f>
        <v>BH036</v>
      </c>
      <c r="AI33" s="19" t="str">
        <f>IF(INDEX('Shot Map'!$B$6:$V$26,CEILING($A33/5,1),CEILING(AI$2/5,1))=1,INDEX('Serial Reference'!$A$8:$W$8,1,FLOOR(($A33-1)/23,1)+1)&amp;INDEX('Serial Reference'!$A$8:$W$8,1,MOD($A33-1,23)+1)&amp;TEXT(AI$2+FLOOR((AI$2-1)/9,1),"000"),"")</f>
        <v>BH037</v>
      </c>
      <c r="AJ33" s="20" t="str">
        <f>IF(INDEX('Shot Map'!$B$6:$V$26,CEILING($A33/5,1),CEILING(AJ$2/5,1))=1,INDEX('Serial Reference'!$A$8:$W$8,1,FLOOR(($A33-1)/23,1)+1)&amp;INDEX('Serial Reference'!$A$8:$W$8,1,MOD($A33-1,23)+1)&amp;TEXT(AJ$2+FLOOR((AJ$2-1)/9,1),"000"),"")</f>
        <v>BH038</v>
      </c>
      <c r="AK33" s="18" t="str">
        <f>IF(INDEX('Shot Map'!$B$6:$V$26,CEILING($A33/5,1),CEILING(AK$2/5,1))=1,INDEX('Serial Reference'!$A$8:$W$8,1,FLOOR(($A33-1)/23,1)+1)&amp;INDEX('Serial Reference'!$A$8:$W$8,1,MOD($A33-1,23)+1)&amp;TEXT(AK$2+FLOOR((AK$2-1)/9,1),"000"),"")</f>
        <v>BH039</v>
      </c>
      <c r="AL33" s="19" t="str">
        <f>IF(INDEX('Shot Map'!$B$6:$V$26,CEILING($A33/5,1),CEILING(AL$2/5,1))=1,INDEX('Serial Reference'!$A$8:$W$8,1,FLOOR(($A33-1)/23,1)+1)&amp;INDEX('Serial Reference'!$A$8:$W$8,1,MOD($A33-1,23)+1)&amp;TEXT(AL$2+FLOOR((AL$2-1)/9,1),"000"),"")</f>
        <v>BH041</v>
      </c>
      <c r="AM33" s="19" t="str">
        <f>IF(INDEX('Shot Map'!$B$6:$V$26,CEILING($A33/5,1),CEILING(AM$2/5,1))=1,INDEX('Serial Reference'!$A$8:$W$8,1,FLOOR(($A33-1)/23,1)+1)&amp;INDEX('Serial Reference'!$A$8:$W$8,1,MOD($A33-1,23)+1)&amp;TEXT(AM$2+FLOOR((AM$2-1)/9,1),"000"),"")</f>
        <v>BH042</v>
      </c>
      <c r="AN33" s="19" t="str">
        <f>IF(INDEX('Shot Map'!$B$6:$V$26,CEILING($A33/5,1),CEILING(AN$2/5,1))=1,INDEX('Serial Reference'!$A$8:$W$8,1,FLOOR(($A33-1)/23,1)+1)&amp;INDEX('Serial Reference'!$A$8:$W$8,1,MOD($A33-1,23)+1)&amp;TEXT(AN$2+FLOOR((AN$2-1)/9,1),"000"),"")</f>
        <v>BH043</v>
      </c>
      <c r="AO33" s="20" t="str">
        <f>IF(INDEX('Shot Map'!$B$6:$V$26,CEILING($A33/5,1),CEILING(AO$2/5,1))=1,INDEX('Serial Reference'!$A$8:$W$8,1,FLOOR(($A33-1)/23,1)+1)&amp;INDEX('Serial Reference'!$A$8:$W$8,1,MOD($A33-1,23)+1)&amp;TEXT(AO$2+FLOOR((AO$2-1)/9,1),"000"),"")</f>
        <v>BH044</v>
      </c>
      <c r="AP33" s="18" t="str">
        <f>IF(INDEX('Shot Map'!$B$6:$V$26,CEILING($A33/5,1),CEILING(AP$2/5,1))=1,INDEX('Serial Reference'!$A$8:$W$8,1,FLOOR(($A33-1)/23,1)+1)&amp;INDEX('Serial Reference'!$A$8:$W$8,1,MOD($A33-1,23)+1)&amp;TEXT(AP$2+FLOOR((AP$2-1)/9,1),"000"),"")</f>
        <v>BH045</v>
      </c>
      <c r="AQ33" s="19" t="str">
        <f>IF(INDEX('Shot Map'!$B$6:$V$26,CEILING($A33/5,1),CEILING(AQ$2/5,1))=1,INDEX('Serial Reference'!$A$8:$W$8,1,FLOOR(($A33-1)/23,1)+1)&amp;INDEX('Serial Reference'!$A$8:$W$8,1,MOD($A33-1,23)+1)&amp;TEXT(AQ$2+FLOOR((AQ$2-1)/9,1),"000"),"")</f>
        <v>BH046</v>
      </c>
      <c r="AR33" s="19" t="str">
        <f>IF(INDEX('Shot Map'!$B$6:$V$26,CEILING($A33/5,1),CEILING(AR$2/5,1))=1,INDEX('Serial Reference'!$A$8:$W$8,1,FLOOR(($A33-1)/23,1)+1)&amp;INDEX('Serial Reference'!$A$8:$W$8,1,MOD($A33-1,23)+1)&amp;TEXT(AR$2+FLOOR((AR$2-1)/9,1),"000"),"")</f>
        <v>BH047</v>
      </c>
      <c r="AS33" s="19" t="str">
        <f>IF(INDEX('Shot Map'!$B$6:$V$26,CEILING($A33/5,1),CEILING(AS$2/5,1))=1,INDEX('Serial Reference'!$A$8:$W$8,1,FLOOR(($A33-1)/23,1)+1)&amp;INDEX('Serial Reference'!$A$8:$W$8,1,MOD($A33-1,23)+1)&amp;TEXT(AS$2+FLOOR((AS$2-1)/9,1),"000"),"")</f>
        <v>BH048</v>
      </c>
      <c r="AT33" s="20" t="str">
        <f>IF(INDEX('Shot Map'!$B$6:$V$26,CEILING($A33/5,1),CEILING(AT$2/5,1))=1,INDEX('Serial Reference'!$A$8:$W$8,1,FLOOR(($A33-1)/23,1)+1)&amp;INDEX('Serial Reference'!$A$8:$W$8,1,MOD($A33-1,23)+1)&amp;TEXT(AT$2+FLOOR((AT$2-1)/9,1),"000"),"")</f>
        <v>BH049</v>
      </c>
      <c r="AU33" s="18" t="str">
        <f>IF(INDEX('Shot Map'!$B$6:$V$26,CEILING($A33/5,1),CEILING(AU$2/5,1))=1,INDEX('Serial Reference'!$A$8:$W$8,1,FLOOR(($A33-1)/23,1)+1)&amp;INDEX('Serial Reference'!$A$8:$W$8,1,MOD($A33-1,23)+1)&amp;TEXT(AU$2+FLOOR((AU$2-1)/9,1),"000"),"")</f>
        <v>BH051</v>
      </c>
      <c r="AV33" s="19" t="str">
        <f>IF(INDEX('Shot Map'!$B$6:$V$26,CEILING($A33/5,1),CEILING(AV$2/5,1))=1,INDEX('Serial Reference'!$A$8:$W$8,1,FLOOR(($A33-1)/23,1)+1)&amp;INDEX('Serial Reference'!$A$8:$W$8,1,MOD($A33-1,23)+1)&amp;TEXT(AV$2+FLOOR((AV$2-1)/9,1),"000"),"")</f>
        <v>BH052</v>
      </c>
      <c r="AW33" s="19" t="str">
        <f>IF(INDEX('Shot Map'!$B$6:$V$26,CEILING($A33/5,1),CEILING(AW$2/5,1))=1,INDEX('Serial Reference'!$A$8:$W$8,1,FLOOR(($A33-1)/23,1)+1)&amp;INDEX('Serial Reference'!$A$8:$W$8,1,MOD($A33-1,23)+1)&amp;TEXT(AW$2+FLOOR((AW$2-1)/9,1),"000"),"")</f>
        <v>BH053</v>
      </c>
      <c r="AX33" s="19" t="str">
        <f>IF(INDEX('Shot Map'!$B$6:$V$26,CEILING($A33/5,1),CEILING(AX$2/5,1))=1,INDEX('Serial Reference'!$A$8:$W$8,1,FLOOR(($A33-1)/23,1)+1)&amp;INDEX('Serial Reference'!$A$8:$W$8,1,MOD($A33-1,23)+1)&amp;TEXT(AX$2+FLOOR((AX$2-1)/9,1),"000"),"")</f>
        <v>BH054</v>
      </c>
      <c r="AY33" s="20" t="str">
        <f>IF(INDEX('Shot Map'!$B$6:$V$26,CEILING($A33/5,1),CEILING(AY$2/5,1))=1,INDEX('Serial Reference'!$A$8:$W$8,1,FLOOR(($A33-1)/23,1)+1)&amp;INDEX('Serial Reference'!$A$8:$W$8,1,MOD($A33-1,23)+1)&amp;TEXT(AY$2+FLOOR((AY$2-1)/9,1),"000"),"")</f>
        <v>BH055</v>
      </c>
      <c r="AZ33" s="18" t="str">
        <f>IF(INDEX('Shot Map'!$B$6:$V$26,CEILING($A33/5,1),CEILING(AZ$2/5,1))=1,INDEX('Serial Reference'!$A$8:$W$8,1,FLOOR(($A33-1)/23,1)+1)&amp;INDEX('Serial Reference'!$A$8:$W$8,1,MOD($A33-1,23)+1)&amp;TEXT(AZ$2+FLOOR((AZ$2-1)/9,1),"000"),"")</f>
        <v>BH056</v>
      </c>
      <c r="BA33" s="19" t="str">
        <f>IF(INDEX('Shot Map'!$B$6:$V$26,CEILING($A33/5,1),CEILING(BA$2/5,1))=1,INDEX('Serial Reference'!$A$8:$W$8,1,FLOOR(($A33-1)/23,1)+1)&amp;INDEX('Serial Reference'!$A$8:$W$8,1,MOD($A33-1,23)+1)&amp;TEXT(BA$2+FLOOR((BA$2-1)/9,1),"000"),"")</f>
        <v>BH057</v>
      </c>
      <c r="BB33" s="19" t="str">
        <f>IF(INDEX('Shot Map'!$B$6:$V$26,CEILING($A33/5,1),CEILING(BB$2/5,1))=1,INDEX('Serial Reference'!$A$8:$W$8,1,FLOOR(($A33-1)/23,1)+1)&amp;INDEX('Serial Reference'!$A$8:$W$8,1,MOD($A33-1,23)+1)&amp;TEXT(BB$2+FLOOR((BB$2-1)/9,1),"000"),"")</f>
        <v>BH058</v>
      </c>
      <c r="BC33" s="19" t="str">
        <f>IF(INDEX('Shot Map'!$B$6:$V$26,CEILING($A33/5,1),CEILING(BC$2/5,1))=1,INDEX('Serial Reference'!$A$8:$W$8,1,FLOOR(($A33-1)/23,1)+1)&amp;INDEX('Serial Reference'!$A$8:$W$8,1,MOD($A33-1,23)+1)&amp;TEXT(BC$2+FLOOR((BC$2-1)/9,1),"000"),"")</f>
        <v>BH059</v>
      </c>
      <c r="BD33" s="20" t="str">
        <f>IF(INDEX('Shot Map'!$B$6:$V$26,CEILING($A33/5,1),CEILING(BD$2/5,1))=1,INDEX('Serial Reference'!$A$8:$W$8,1,FLOOR(($A33-1)/23,1)+1)&amp;INDEX('Serial Reference'!$A$8:$W$8,1,MOD($A33-1,23)+1)&amp;TEXT(BD$2+FLOOR((BD$2-1)/9,1),"000"),"")</f>
        <v>BH061</v>
      </c>
      <c r="BE33" s="18" t="str">
        <f>IF(INDEX('Shot Map'!$B$6:$V$26,CEILING($A33/5,1),CEILING(BE$2/5,1))=1,INDEX('Serial Reference'!$A$8:$W$8,1,FLOOR(($A33-1)/23,1)+1)&amp;INDEX('Serial Reference'!$A$8:$W$8,1,MOD($A33-1,23)+1)&amp;TEXT(BE$2+FLOOR((BE$2-1)/9,1),"000"),"")</f>
        <v>BH062</v>
      </c>
      <c r="BF33" s="19" t="str">
        <f>IF(INDEX('Shot Map'!$B$6:$V$26,CEILING($A33/5,1),CEILING(BF$2/5,1))=1,INDEX('Serial Reference'!$A$8:$W$8,1,FLOOR(($A33-1)/23,1)+1)&amp;INDEX('Serial Reference'!$A$8:$W$8,1,MOD($A33-1,23)+1)&amp;TEXT(BF$2+FLOOR((BF$2-1)/9,1),"000"),"")</f>
        <v>BH063</v>
      </c>
      <c r="BG33" s="19" t="str">
        <f>IF(INDEX('Shot Map'!$B$6:$V$26,CEILING($A33/5,1),CEILING(BG$2/5,1))=1,INDEX('Serial Reference'!$A$8:$W$8,1,FLOOR(($A33-1)/23,1)+1)&amp;INDEX('Serial Reference'!$A$8:$W$8,1,MOD($A33-1,23)+1)&amp;TEXT(BG$2+FLOOR((BG$2-1)/9,1),"000"),"")</f>
        <v>BH064</v>
      </c>
      <c r="BH33" s="19" t="str">
        <f>IF(INDEX('Shot Map'!$B$6:$V$26,CEILING($A33/5,1),CEILING(BH$2/5,1))=1,INDEX('Serial Reference'!$A$8:$W$8,1,FLOOR(($A33-1)/23,1)+1)&amp;INDEX('Serial Reference'!$A$8:$W$8,1,MOD($A33-1,23)+1)&amp;TEXT(BH$2+FLOOR((BH$2-1)/9,1),"000"),"")</f>
        <v>BH065</v>
      </c>
      <c r="BI33" s="20" t="str">
        <f>IF(INDEX('Shot Map'!$B$6:$V$26,CEILING($A33/5,1),CEILING(BI$2/5,1))=1,INDEX('Serial Reference'!$A$8:$W$8,1,FLOOR(($A33-1)/23,1)+1)&amp;INDEX('Serial Reference'!$A$8:$W$8,1,MOD($A33-1,23)+1)&amp;TEXT(BI$2+FLOOR((BI$2-1)/9,1),"000"),"")</f>
        <v>BH066</v>
      </c>
      <c r="BJ33" s="18" t="str">
        <f>IF(INDEX('Shot Map'!$B$6:$V$26,CEILING($A33/5,1),CEILING(BJ$2/5,1))=1,INDEX('Serial Reference'!$A$8:$W$8,1,FLOOR(($A33-1)/23,1)+1)&amp;INDEX('Serial Reference'!$A$8:$W$8,1,MOD($A33-1,23)+1)&amp;TEXT(BJ$2+FLOOR((BJ$2-1)/9,1),"000"),"")</f>
        <v>BH067</v>
      </c>
      <c r="BK33" s="19" t="str">
        <f>IF(INDEX('Shot Map'!$B$6:$V$26,CEILING($A33/5,1),CEILING(BK$2/5,1))=1,INDEX('Serial Reference'!$A$8:$W$8,1,FLOOR(($A33-1)/23,1)+1)&amp;INDEX('Serial Reference'!$A$8:$W$8,1,MOD($A33-1,23)+1)&amp;TEXT(BK$2+FLOOR((BK$2-1)/9,1),"000"),"")</f>
        <v>BH068</v>
      </c>
      <c r="BL33" s="19" t="str">
        <f>IF(INDEX('Shot Map'!$B$6:$V$26,CEILING($A33/5,1),CEILING(BL$2/5,1))=1,INDEX('Serial Reference'!$A$8:$W$8,1,FLOOR(($A33-1)/23,1)+1)&amp;INDEX('Serial Reference'!$A$8:$W$8,1,MOD($A33-1,23)+1)&amp;TEXT(BL$2+FLOOR((BL$2-1)/9,1),"000"),"")</f>
        <v>BH069</v>
      </c>
      <c r="BM33" s="19" t="str">
        <f>IF(INDEX('Shot Map'!$B$6:$V$26,CEILING($A33/5,1),CEILING(BM$2/5,1))=1,INDEX('Serial Reference'!$A$8:$W$8,1,FLOOR(($A33-1)/23,1)+1)&amp;INDEX('Serial Reference'!$A$8:$W$8,1,MOD($A33-1,23)+1)&amp;TEXT(BM$2+FLOOR((BM$2-1)/9,1),"000"),"")</f>
        <v>BH071</v>
      </c>
      <c r="BN33" s="20" t="str">
        <f>IF(INDEX('Shot Map'!$B$6:$V$26,CEILING($A33/5,1),CEILING(BN$2/5,1))=1,INDEX('Serial Reference'!$A$8:$W$8,1,FLOOR(($A33-1)/23,1)+1)&amp;INDEX('Serial Reference'!$A$8:$W$8,1,MOD($A33-1,23)+1)&amp;TEXT(BN$2+FLOOR((BN$2-1)/9,1),"000"),"")</f>
        <v>BH072</v>
      </c>
      <c r="BO33" s="18" t="str">
        <f>IF(INDEX('Shot Map'!$B$6:$V$26,CEILING($A33/5,1),CEILING(BO$2/5,1))=1,INDEX('Serial Reference'!$A$8:$W$8,1,FLOOR(($A33-1)/23,1)+1)&amp;INDEX('Serial Reference'!$A$8:$W$8,1,MOD($A33-1,23)+1)&amp;TEXT(BO$2+FLOOR((BO$2-1)/9,1),"000"),"")</f>
        <v>BH073</v>
      </c>
      <c r="BP33" s="19" t="str">
        <f>IF(INDEX('Shot Map'!$B$6:$V$26,CEILING($A33/5,1),CEILING(BP$2/5,1))=1,INDEX('Serial Reference'!$A$8:$W$8,1,FLOOR(($A33-1)/23,1)+1)&amp;INDEX('Serial Reference'!$A$8:$W$8,1,MOD($A33-1,23)+1)&amp;TEXT(BP$2+FLOOR((BP$2-1)/9,1),"000"),"")</f>
        <v>BH074</v>
      </c>
      <c r="BQ33" s="19" t="str">
        <f>IF(INDEX('Shot Map'!$B$6:$V$26,CEILING($A33/5,1),CEILING(BQ$2/5,1))=1,INDEX('Serial Reference'!$A$8:$W$8,1,FLOOR(($A33-1)/23,1)+1)&amp;INDEX('Serial Reference'!$A$8:$W$8,1,MOD($A33-1,23)+1)&amp;TEXT(BQ$2+FLOOR((BQ$2-1)/9,1),"000"),"")</f>
        <v>BH075</v>
      </c>
      <c r="BR33" s="19" t="str">
        <f>IF(INDEX('Shot Map'!$B$6:$V$26,CEILING($A33/5,1),CEILING(BR$2/5,1))=1,INDEX('Serial Reference'!$A$8:$W$8,1,FLOOR(($A33-1)/23,1)+1)&amp;INDEX('Serial Reference'!$A$8:$W$8,1,MOD($A33-1,23)+1)&amp;TEXT(BR$2+FLOOR((BR$2-1)/9,1),"000"),"")</f>
        <v>BH076</v>
      </c>
      <c r="BS33" s="20" t="str">
        <f>IF(INDEX('Shot Map'!$B$6:$V$26,CEILING($A33/5,1),CEILING(BS$2/5,1))=1,INDEX('Serial Reference'!$A$8:$W$8,1,FLOOR(($A33-1)/23,1)+1)&amp;INDEX('Serial Reference'!$A$8:$W$8,1,MOD($A33-1,23)+1)&amp;TEXT(BS$2+FLOOR((BS$2-1)/9,1),"000"),"")</f>
        <v>BH077</v>
      </c>
      <c r="BT33" s="18" t="str">
        <f>IF(INDEX('Shot Map'!$B$6:$V$26,CEILING($A33/5,1),CEILING(BT$2/5,1))=1,INDEX('Serial Reference'!$A$8:$W$8,1,FLOOR(($A33-1)/23,1)+1)&amp;INDEX('Serial Reference'!$A$8:$W$8,1,MOD($A33-1,23)+1)&amp;TEXT(BT$2+FLOOR((BT$2-1)/9,1),"000"),"")</f>
        <v>BH078</v>
      </c>
      <c r="BU33" s="19" t="str">
        <f>IF(INDEX('Shot Map'!$B$6:$V$26,CEILING($A33/5,1),CEILING(BU$2/5,1))=1,INDEX('Serial Reference'!$A$8:$W$8,1,FLOOR(($A33-1)/23,1)+1)&amp;INDEX('Serial Reference'!$A$8:$W$8,1,MOD($A33-1,23)+1)&amp;TEXT(BU$2+FLOOR((BU$2-1)/9,1),"000"),"")</f>
        <v>BH079</v>
      </c>
      <c r="BV33" s="19" t="str">
        <f>IF(INDEX('Shot Map'!$B$6:$V$26,CEILING($A33/5,1),CEILING(BV$2/5,1))=1,INDEX('Serial Reference'!$A$8:$W$8,1,FLOOR(($A33-1)/23,1)+1)&amp;INDEX('Serial Reference'!$A$8:$W$8,1,MOD($A33-1,23)+1)&amp;TEXT(BV$2+FLOOR((BV$2-1)/9,1),"000"),"")</f>
        <v>BH081</v>
      </c>
      <c r="BW33" s="19" t="str">
        <f>IF(INDEX('Shot Map'!$B$6:$V$26,CEILING($A33/5,1),CEILING(BW$2/5,1))=1,INDEX('Serial Reference'!$A$8:$W$8,1,FLOOR(($A33-1)/23,1)+1)&amp;INDEX('Serial Reference'!$A$8:$W$8,1,MOD($A33-1,23)+1)&amp;TEXT(BW$2+FLOOR((BW$2-1)/9,1),"000"),"")</f>
        <v>BH082</v>
      </c>
      <c r="BX33" s="20" t="str">
        <f>IF(INDEX('Shot Map'!$B$6:$V$26,CEILING($A33/5,1),CEILING(BX$2/5,1))=1,INDEX('Serial Reference'!$A$8:$W$8,1,FLOOR(($A33-1)/23,1)+1)&amp;INDEX('Serial Reference'!$A$8:$W$8,1,MOD($A33-1,23)+1)&amp;TEXT(BX$2+FLOOR((BX$2-1)/9,1),"000"),"")</f>
        <v>BH083</v>
      </c>
      <c r="BY33" s="18" t="str">
        <f>IF(INDEX('Shot Map'!$B$6:$V$26,CEILING($A33/5,1),CEILING(BY$2/5,1))=1,INDEX('Serial Reference'!$A$8:$W$8,1,FLOOR(($A33-1)/23,1)+1)&amp;INDEX('Serial Reference'!$A$8:$W$8,1,MOD($A33-1,23)+1)&amp;TEXT(BY$2+FLOOR((BY$2-1)/9,1),"000"),"")</f>
        <v>BH084</v>
      </c>
      <c r="BZ33" s="19" t="str">
        <f>IF(INDEX('Shot Map'!$B$6:$V$26,CEILING($A33/5,1),CEILING(BZ$2/5,1))=1,INDEX('Serial Reference'!$A$8:$W$8,1,FLOOR(($A33-1)/23,1)+1)&amp;INDEX('Serial Reference'!$A$8:$W$8,1,MOD($A33-1,23)+1)&amp;TEXT(BZ$2+FLOOR((BZ$2-1)/9,1),"000"),"")</f>
        <v>BH085</v>
      </c>
      <c r="CA33" s="19" t="str">
        <f>IF(INDEX('Shot Map'!$B$6:$V$26,CEILING($A33/5,1),CEILING(CA$2/5,1))=1,INDEX('Serial Reference'!$A$8:$W$8,1,FLOOR(($A33-1)/23,1)+1)&amp;INDEX('Serial Reference'!$A$8:$W$8,1,MOD($A33-1,23)+1)&amp;TEXT(CA$2+FLOOR((CA$2-1)/9,1),"000"),"")</f>
        <v>BH086</v>
      </c>
      <c r="CB33" s="19" t="str">
        <f>IF(INDEX('Shot Map'!$B$6:$V$26,CEILING($A33/5,1),CEILING(CB$2/5,1))=1,INDEX('Serial Reference'!$A$8:$W$8,1,FLOOR(($A33-1)/23,1)+1)&amp;INDEX('Serial Reference'!$A$8:$W$8,1,MOD($A33-1,23)+1)&amp;TEXT(CB$2+FLOOR((CB$2-1)/9,1),"000"),"")</f>
        <v>BH087</v>
      </c>
      <c r="CC33" s="20" t="str">
        <f>IF(INDEX('Shot Map'!$B$6:$V$26,CEILING($A33/5,1),CEILING(CC$2/5,1))=1,INDEX('Serial Reference'!$A$8:$W$8,1,FLOOR(($A33-1)/23,1)+1)&amp;INDEX('Serial Reference'!$A$8:$W$8,1,MOD($A33-1,23)+1)&amp;TEXT(CC$2+FLOOR((CC$2-1)/9,1),"000"),"")</f>
        <v>BH088</v>
      </c>
      <c r="CD33" s="18" t="str">
        <f>IF(INDEX('Shot Map'!$B$6:$V$26,CEILING($A33/5,1),CEILING(CD$2/5,1))=1,INDEX('Serial Reference'!$A$8:$W$8,1,FLOOR(($A33-1)/23,1)+1)&amp;INDEX('Serial Reference'!$A$8:$W$8,1,MOD($A33-1,23)+1)&amp;TEXT(CD$2+FLOOR((CD$2-1)/9,1),"000"),"")</f>
        <v>BH089</v>
      </c>
      <c r="CE33" s="19" t="str">
        <f>IF(INDEX('Shot Map'!$B$6:$V$26,CEILING($A33/5,1),CEILING(CE$2/5,1))=1,INDEX('Serial Reference'!$A$8:$W$8,1,FLOOR(($A33-1)/23,1)+1)&amp;INDEX('Serial Reference'!$A$8:$W$8,1,MOD($A33-1,23)+1)&amp;TEXT(CE$2+FLOOR((CE$2-1)/9,1),"000"),"")</f>
        <v>BH091</v>
      </c>
      <c r="CF33" s="19" t="str">
        <f>IF(INDEX('Shot Map'!$B$6:$V$26,CEILING($A33/5,1),CEILING(CF$2/5,1))=1,INDEX('Serial Reference'!$A$8:$W$8,1,FLOOR(($A33-1)/23,1)+1)&amp;INDEX('Serial Reference'!$A$8:$W$8,1,MOD($A33-1,23)+1)&amp;TEXT(CF$2+FLOOR((CF$2-1)/9,1),"000"),"")</f>
        <v>BH092</v>
      </c>
      <c r="CG33" s="19" t="str">
        <f>IF(INDEX('Shot Map'!$B$6:$V$26,CEILING($A33/5,1),CEILING(CG$2/5,1))=1,INDEX('Serial Reference'!$A$8:$W$8,1,FLOOR(($A33-1)/23,1)+1)&amp;INDEX('Serial Reference'!$A$8:$W$8,1,MOD($A33-1,23)+1)&amp;TEXT(CG$2+FLOOR((CG$2-1)/9,1),"000"),"")</f>
        <v>BH093</v>
      </c>
      <c r="CH33" s="20" t="str">
        <f>IF(INDEX('Shot Map'!$B$6:$V$26,CEILING($A33/5,1),CEILING(CH$2/5,1))=1,INDEX('Serial Reference'!$A$8:$W$8,1,FLOOR(($A33-1)/23,1)+1)&amp;INDEX('Serial Reference'!$A$8:$W$8,1,MOD($A33-1,23)+1)&amp;TEXT(CH$2+FLOOR((CH$2-1)/9,1),"000"),"")</f>
        <v>BH094</v>
      </c>
      <c r="CI33" s="18" t="str">
        <f>IF(INDEX('Shot Map'!$B$6:$V$26,CEILING($A33/5,1),CEILING(CI$2/5,1))=1,INDEX('Serial Reference'!$A$8:$W$8,1,FLOOR(($A33-1)/23,1)+1)&amp;INDEX('Serial Reference'!$A$8:$W$8,1,MOD($A33-1,23)+1)&amp;TEXT(CI$2+FLOOR((CI$2-1)/9,1),"000"),"")</f>
        <v>BH095</v>
      </c>
      <c r="CJ33" s="19" t="str">
        <f>IF(INDEX('Shot Map'!$B$6:$V$26,CEILING($A33/5,1),CEILING(CJ$2/5,1))=1,INDEX('Serial Reference'!$A$8:$W$8,1,FLOOR(($A33-1)/23,1)+1)&amp;INDEX('Serial Reference'!$A$8:$W$8,1,MOD($A33-1,23)+1)&amp;TEXT(CJ$2+FLOOR((CJ$2-1)/9,1),"000"),"")</f>
        <v>BH096</v>
      </c>
      <c r="CK33" s="19" t="str">
        <f>IF(INDEX('Shot Map'!$B$6:$V$26,CEILING($A33/5,1),CEILING(CK$2/5,1))=1,INDEX('Serial Reference'!$A$8:$W$8,1,FLOOR(($A33-1)/23,1)+1)&amp;INDEX('Serial Reference'!$A$8:$W$8,1,MOD($A33-1,23)+1)&amp;TEXT(CK$2+FLOOR((CK$2-1)/9,1),"000"),"")</f>
        <v>BH097</v>
      </c>
      <c r="CL33" s="19" t="str">
        <f>IF(INDEX('Shot Map'!$B$6:$V$26,CEILING($A33/5,1),CEILING(CL$2/5,1))=1,INDEX('Serial Reference'!$A$8:$W$8,1,FLOOR(($A33-1)/23,1)+1)&amp;INDEX('Serial Reference'!$A$8:$W$8,1,MOD($A33-1,23)+1)&amp;TEXT(CL$2+FLOOR((CL$2-1)/9,1),"000"),"")</f>
        <v>BH098</v>
      </c>
      <c r="CM33" s="20" t="str">
        <f>IF(INDEX('Shot Map'!$B$6:$V$26,CEILING($A33/5,1),CEILING(CM$2/5,1))=1,INDEX('Serial Reference'!$A$8:$W$8,1,FLOOR(($A33-1)/23,1)+1)&amp;INDEX('Serial Reference'!$A$8:$W$8,1,MOD($A33-1,23)+1)&amp;TEXT(CM$2+FLOOR((CM$2-1)/9,1),"000"),"")</f>
        <v>BH099</v>
      </c>
      <c r="CN33" s="18" t="str">
        <f>IF(INDEX('Shot Map'!$B$6:$V$26,CEILING($A33/5,1),CEILING(CN$2/5,1))=1,INDEX('Serial Reference'!$A$8:$W$8,1,FLOOR(($A33-1)/23,1)+1)&amp;INDEX('Serial Reference'!$A$8:$W$8,1,MOD($A33-1,23)+1)&amp;TEXT(CN$2+FLOOR((CN$2-1)/9,1),"000"),"")</f>
        <v>BH101</v>
      </c>
      <c r="CO33" s="19" t="str">
        <f>IF(INDEX('Shot Map'!$B$6:$V$26,CEILING($A33/5,1),CEILING(CO$2/5,1))=1,INDEX('Serial Reference'!$A$8:$W$8,1,FLOOR(($A33-1)/23,1)+1)&amp;INDEX('Serial Reference'!$A$8:$W$8,1,MOD($A33-1,23)+1)&amp;TEXT(CO$2+FLOOR((CO$2-1)/9,1),"000"),"")</f>
        <v>BH102</v>
      </c>
      <c r="CP33" s="19" t="str">
        <f>IF(INDEX('Shot Map'!$B$6:$V$26,CEILING($A33/5,1),CEILING(CP$2/5,1))=1,INDEX('Serial Reference'!$A$8:$W$8,1,FLOOR(($A33-1)/23,1)+1)&amp;INDEX('Serial Reference'!$A$8:$W$8,1,MOD($A33-1,23)+1)&amp;TEXT(CP$2+FLOOR((CP$2-1)/9,1),"000"),"")</f>
        <v>BH103</v>
      </c>
      <c r="CQ33" s="19" t="str">
        <f>IF(INDEX('Shot Map'!$B$6:$V$26,CEILING($A33/5,1),CEILING(CQ$2/5,1))=1,INDEX('Serial Reference'!$A$8:$W$8,1,FLOOR(($A33-1)/23,1)+1)&amp;INDEX('Serial Reference'!$A$8:$W$8,1,MOD($A33-1,23)+1)&amp;TEXT(CQ$2+FLOOR((CQ$2-1)/9,1),"000"),"")</f>
        <v>BH104</v>
      </c>
      <c r="CR33" s="20" t="str">
        <f>IF(INDEX('Shot Map'!$B$6:$V$26,CEILING($A33/5,1),CEILING(CR$2/5,1))=1,INDEX('Serial Reference'!$A$8:$W$8,1,FLOOR(($A33-1)/23,1)+1)&amp;INDEX('Serial Reference'!$A$8:$W$8,1,MOD($A33-1,23)+1)&amp;TEXT(CR$2+FLOOR((CR$2-1)/9,1),"000"),"")</f>
        <v>BH105</v>
      </c>
      <c r="CS33" s="18" t="str">
        <f>IF(INDEX('Shot Map'!$B$6:$V$26,CEILING($A33/5,1),CEILING(CS$2/5,1))=1,INDEX('Serial Reference'!$A$8:$W$8,1,FLOOR(($A33-1)/23,1)+1)&amp;INDEX('Serial Reference'!$A$8:$W$8,1,MOD($A33-1,23)+1)&amp;TEXT(CS$2+FLOOR((CS$2-1)/9,1),"000"),"")</f>
        <v>BH106</v>
      </c>
      <c r="CT33" s="19" t="str">
        <f>IF(INDEX('Shot Map'!$B$6:$V$26,CEILING($A33/5,1),CEILING(CT$2/5,1))=1,INDEX('Serial Reference'!$A$8:$W$8,1,FLOOR(($A33-1)/23,1)+1)&amp;INDEX('Serial Reference'!$A$8:$W$8,1,MOD($A33-1,23)+1)&amp;TEXT(CT$2+FLOOR((CT$2-1)/9,1),"000"),"")</f>
        <v>BH107</v>
      </c>
      <c r="CU33" s="19" t="str">
        <f>IF(INDEX('Shot Map'!$B$6:$V$26,CEILING($A33/5,1),CEILING(CU$2/5,1))=1,INDEX('Serial Reference'!$A$8:$W$8,1,FLOOR(($A33-1)/23,1)+1)&amp;INDEX('Serial Reference'!$A$8:$W$8,1,MOD($A33-1,23)+1)&amp;TEXT(CU$2+FLOOR((CU$2-1)/9,1),"000"),"")</f>
        <v>BH108</v>
      </c>
      <c r="CV33" s="19" t="str">
        <f>IF(INDEX('Shot Map'!$B$6:$V$26,CEILING($A33/5,1),CEILING(CV$2/5,1))=1,INDEX('Serial Reference'!$A$8:$W$8,1,FLOOR(($A33-1)/23,1)+1)&amp;INDEX('Serial Reference'!$A$8:$W$8,1,MOD($A33-1,23)+1)&amp;TEXT(CV$2+FLOOR((CV$2-1)/9,1),"000"),"")</f>
        <v>BH109</v>
      </c>
      <c r="CW33" s="20" t="str">
        <f>IF(INDEX('Shot Map'!$B$6:$V$26,CEILING($A33/5,1),CEILING(CW$2/5,1))=1,INDEX('Serial Reference'!$A$8:$W$8,1,FLOOR(($A33-1)/23,1)+1)&amp;INDEX('Serial Reference'!$A$8:$W$8,1,MOD($A33-1,23)+1)&amp;TEXT(CW$2+FLOOR((CW$2-1)/9,1),"000"),"")</f>
        <v>BH111</v>
      </c>
      <c r="CX33" s="18" t="str">
        <f>IF(INDEX('Shot Map'!$B$6:$V$26,CEILING($A33/5,1),CEILING(CX$2/5,1))=1,INDEX('Serial Reference'!$A$8:$W$8,1,FLOOR(($A33-1)/23,1)+1)&amp;INDEX('Serial Reference'!$A$8:$W$8,1,MOD($A33-1,23)+1)&amp;TEXT(CX$2+FLOOR((CX$2-1)/9,1),"000"),"")</f>
        <v/>
      </c>
      <c r="CY33" s="19" t="str">
        <f>IF(INDEX('Shot Map'!$B$6:$V$26,CEILING($A33/5,1),CEILING(CY$2/5,1))=1,INDEX('Serial Reference'!$A$8:$W$8,1,FLOOR(($A33-1)/23,1)+1)&amp;INDEX('Serial Reference'!$A$8:$W$8,1,MOD($A33-1,23)+1)&amp;TEXT(CY$2+FLOOR((CY$2-1)/9,1),"000"),"")</f>
        <v/>
      </c>
      <c r="CZ33" s="19" t="str">
        <f>IF(INDEX('Shot Map'!$B$6:$V$26,CEILING($A33/5,1),CEILING(CZ$2/5,1))=1,INDEX('Serial Reference'!$A$8:$W$8,1,FLOOR(($A33-1)/23,1)+1)&amp;INDEX('Serial Reference'!$A$8:$W$8,1,MOD($A33-1,23)+1)&amp;TEXT(CZ$2+FLOOR((CZ$2-1)/9,1),"000"),"")</f>
        <v/>
      </c>
      <c r="DA33" s="19" t="str">
        <f>IF(INDEX('Shot Map'!$B$6:$V$26,CEILING($A33/5,1),CEILING(DA$2/5,1))=1,INDEX('Serial Reference'!$A$8:$W$8,1,FLOOR(($A33-1)/23,1)+1)&amp;INDEX('Serial Reference'!$A$8:$W$8,1,MOD($A33-1,23)+1)&amp;TEXT(DA$2+FLOOR((DA$2-1)/9,1),"000"),"")</f>
        <v/>
      </c>
      <c r="DB33" s="20" t="str">
        <f>IF(INDEX('Shot Map'!$B$6:$V$26,CEILING($A33/5,1),CEILING(DB$2/5,1))=1,INDEX('Serial Reference'!$A$8:$W$8,1,FLOOR(($A33-1)/23,1)+1)&amp;INDEX('Serial Reference'!$A$8:$W$8,1,MOD($A33-1,23)+1)&amp;TEXT(DB$2+FLOOR((DB$2-1)/9,1),"000"),"")</f>
        <v/>
      </c>
    </row>
    <row r="34" spans="1:106" ht="12.75" customHeight="1" x14ac:dyDescent="0.25">
      <c r="A34" s="17">
        <v>32</v>
      </c>
      <c r="B34" s="21" t="str">
        <f>IF(INDEX('Shot Map'!$B$6:$V$26,CEILING($A34/5,1),CEILING(B$2/5,1))=1,INDEX('Serial Reference'!$A$8:$W$8,1,FLOOR(($A34-1)/23,1)+1)&amp;INDEX('Serial Reference'!$A$8:$W$8,1,MOD($A34-1,23)+1)&amp;TEXT(B$2+FLOOR((B$2-1)/9,1),"000"),"")</f>
        <v/>
      </c>
      <c r="C34" s="22" t="str">
        <f>IF(INDEX('Shot Map'!$B$6:$V$26,CEILING($A34/5,1),CEILING(C$2/5,1))=1,INDEX('Serial Reference'!$A$8:$W$8,1,FLOOR(($A34-1)/23,1)+1)&amp;INDEX('Serial Reference'!$A$8:$W$8,1,MOD($A34-1,23)+1)&amp;TEXT(C$2+FLOOR((C$2-1)/9,1),"000"),"")</f>
        <v/>
      </c>
      <c r="D34" s="22" t="str">
        <f>IF(INDEX('Shot Map'!$B$6:$V$26,CEILING($A34/5,1),CEILING(D$2/5,1))=1,INDEX('Serial Reference'!$A$8:$W$8,1,FLOOR(($A34-1)/23,1)+1)&amp;INDEX('Serial Reference'!$A$8:$W$8,1,MOD($A34-1,23)+1)&amp;TEXT(D$2+FLOOR((D$2-1)/9,1),"000"),"")</f>
        <v/>
      </c>
      <c r="E34" s="22" t="str">
        <f>IF(INDEX('Shot Map'!$B$6:$V$26,CEILING($A34/5,1),CEILING(E$2/5,1))=1,INDEX('Serial Reference'!$A$8:$W$8,1,FLOOR(($A34-1)/23,1)+1)&amp;INDEX('Serial Reference'!$A$8:$W$8,1,MOD($A34-1,23)+1)&amp;TEXT(E$2+FLOOR((E$2-1)/9,1),"000"),"")</f>
        <v/>
      </c>
      <c r="F34" s="23" t="str">
        <f>IF(INDEX('Shot Map'!$B$6:$V$26,CEILING($A34/5,1),CEILING(F$2/5,1))=1,INDEX('Serial Reference'!$A$8:$W$8,1,FLOOR(($A34-1)/23,1)+1)&amp;INDEX('Serial Reference'!$A$8:$W$8,1,MOD($A34-1,23)+1)&amp;TEXT(F$2+FLOOR((F$2-1)/9,1),"000"),"")</f>
        <v/>
      </c>
      <c r="G34" s="21" t="str">
        <f>IF(INDEX('Shot Map'!$B$6:$V$26,CEILING($A34/5,1),CEILING(G$2/5,1))=1,INDEX('Serial Reference'!$A$8:$W$8,1,FLOOR(($A34-1)/23,1)+1)&amp;INDEX('Serial Reference'!$A$8:$W$8,1,MOD($A34-1,23)+1)&amp;TEXT(G$2+FLOOR((G$2-1)/9,1),"000"),"")</f>
        <v>BJ006</v>
      </c>
      <c r="H34" s="22" t="str">
        <f>IF(INDEX('Shot Map'!$B$6:$V$26,CEILING($A34/5,1),CEILING(H$2/5,1))=1,INDEX('Serial Reference'!$A$8:$W$8,1,FLOOR(($A34-1)/23,1)+1)&amp;INDEX('Serial Reference'!$A$8:$W$8,1,MOD($A34-1,23)+1)&amp;TEXT(H$2+FLOOR((H$2-1)/9,1),"000"),"")</f>
        <v>BJ007</v>
      </c>
      <c r="I34" s="22" t="str">
        <f>IF(INDEX('Shot Map'!$B$6:$V$26,CEILING($A34/5,1),CEILING(I$2/5,1))=1,INDEX('Serial Reference'!$A$8:$W$8,1,FLOOR(($A34-1)/23,1)+1)&amp;INDEX('Serial Reference'!$A$8:$W$8,1,MOD($A34-1,23)+1)&amp;TEXT(I$2+FLOOR((I$2-1)/9,1),"000"),"")</f>
        <v>BJ008</v>
      </c>
      <c r="J34" s="22" t="str">
        <f>IF(INDEX('Shot Map'!$B$6:$V$26,CEILING($A34/5,1),CEILING(J$2/5,1))=1,INDEX('Serial Reference'!$A$8:$W$8,1,FLOOR(($A34-1)/23,1)+1)&amp;INDEX('Serial Reference'!$A$8:$W$8,1,MOD($A34-1,23)+1)&amp;TEXT(J$2+FLOOR((J$2-1)/9,1),"000"),"")</f>
        <v>BJ009</v>
      </c>
      <c r="K34" s="23" t="str">
        <f>IF(INDEX('Shot Map'!$B$6:$V$26,CEILING($A34/5,1),CEILING(K$2/5,1))=1,INDEX('Serial Reference'!$A$8:$W$8,1,FLOOR(($A34-1)/23,1)+1)&amp;INDEX('Serial Reference'!$A$8:$W$8,1,MOD($A34-1,23)+1)&amp;TEXT(K$2+FLOOR((K$2-1)/9,1),"000"),"")</f>
        <v>BJ011</v>
      </c>
      <c r="L34" s="21" t="str">
        <f>IF(INDEX('Shot Map'!$B$6:$V$26,CEILING($A34/5,1),CEILING(L$2/5,1))=1,INDEX('Serial Reference'!$A$8:$W$8,1,FLOOR(($A34-1)/23,1)+1)&amp;INDEX('Serial Reference'!$A$8:$W$8,1,MOD($A34-1,23)+1)&amp;TEXT(L$2+FLOOR((L$2-1)/9,1),"000"),"")</f>
        <v>BJ012</v>
      </c>
      <c r="M34" s="22" t="str">
        <f>IF(INDEX('Shot Map'!$B$6:$V$26,CEILING($A34/5,1),CEILING(M$2/5,1))=1,INDEX('Serial Reference'!$A$8:$W$8,1,FLOOR(($A34-1)/23,1)+1)&amp;INDEX('Serial Reference'!$A$8:$W$8,1,MOD($A34-1,23)+1)&amp;TEXT(M$2+FLOOR((M$2-1)/9,1),"000"),"")</f>
        <v>BJ013</v>
      </c>
      <c r="N34" s="22" t="str">
        <f>IF(INDEX('Shot Map'!$B$6:$V$26,CEILING($A34/5,1),CEILING(N$2/5,1))=1,INDEX('Serial Reference'!$A$8:$W$8,1,FLOOR(($A34-1)/23,1)+1)&amp;INDEX('Serial Reference'!$A$8:$W$8,1,MOD($A34-1,23)+1)&amp;TEXT(N$2+FLOOR((N$2-1)/9,1),"000"),"")</f>
        <v>BJ014</v>
      </c>
      <c r="O34" s="22" t="str">
        <f>IF(INDEX('Shot Map'!$B$6:$V$26,CEILING($A34/5,1),CEILING(O$2/5,1))=1,INDEX('Serial Reference'!$A$8:$W$8,1,FLOOR(($A34-1)/23,1)+1)&amp;INDEX('Serial Reference'!$A$8:$W$8,1,MOD($A34-1,23)+1)&amp;TEXT(O$2+FLOOR((O$2-1)/9,1),"000"),"")</f>
        <v>BJ015</v>
      </c>
      <c r="P34" s="23" t="str">
        <f>IF(INDEX('Shot Map'!$B$6:$V$26,CEILING($A34/5,1),CEILING(P$2/5,1))=1,INDEX('Serial Reference'!$A$8:$W$8,1,FLOOR(($A34-1)/23,1)+1)&amp;INDEX('Serial Reference'!$A$8:$W$8,1,MOD($A34-1,23)+1)&amp;TEXT(P$2+FLOOR((P$2-1)/9,1),"000"),"")</f>
        <v>BJ016</v>
      </c>
      <c r="Q34" s="21" t="str">
        <f>IF(INDEX('Shot Map'!$B$6:$V$26,CEILING($A34/5,1),CEILING(Q$2/5,1))=1,INDEX('Serial Reference'!$A$8:$W$8,1,FLOOR(($A34-1)/23,1)+1)&amp;INDEX('Serial Reference'!$A$8:$W$8,1,MOD($A34-1,23)+1)&amp;TEXT(Q$2+FLOOR((Q$2-1)/9,1),"000"),"")</f>
        <v>BJ017</v>
      </c>
      <c r="R34" s="22" t="str">
        <f>IF(INDEX('Shot Map'!$B$6:$V$26,CEILING($A34/5,1),CEILING(R$2/5,1))=1,INDEX('Serial Reference'!$A$8:$W$8,1,FLOOR(($A34-1)/23,1)+1)&amp;INDEX('Serial Reference'!$A$8:$W$8,1,MOD($A34-1,23)+1)&amp;TEXT(R$2+FLOOR((R$2-1)/9,1),"000"),"")</f>
        <v>BJ018</v>
      </c>
      <c r="S34" s="22" t="str">
        <f>IF(INDEX('Shot Map'!$B$6:$V$26,CEILING($A34/5,1),CEILING(S$2/5,1))=1,INDEX('Serial Reference'!$A$8:$W$8,1,FLOOR(($A34-1)/23,1)+1)&amp;INDEX('Serial Reference'!$A$8:$W$8,1,MOD($A34-1,23)+1)&amp;TEXT(S$2+FLOOR((S$2-1)/9,1),"000"),"")</f>
        <v>BJ019</v>
      </c>
      <c r="T34" s="22" t="str">
        <f>IF(INDEX('Shot Map'!$B$6:$V$26,CEILING($A34/5,1),CEILING(T$2/5,1))=1,INDEX('Serial Reference'!$A$8:$W$8,1,FLOOR(($A34-1)/23,1)+1)&amp;INDEX('Serial Reference'!$A$8:$W$8,1,MOD($A34-1,23)+1)&amp;TEXT(T$2+FLOOR((T$2-1)/9,1),"000"),"")</f>
        <v>BJ021</v>
      </c>
      <c r="U34" s="23" t="str">
        <f>IF(INDEX('Shot Map'!$B$6:$V$26,CEILING($A34/5,1),CEILING(U$2/5,1))=1,INDEX('Serial Reference'!$A$8:$W$8,1,FLOOR(($A34-1)/23,1)+1)&amp;INDEX('Serial Reference'!$A$8:$W$8,1,MOD($A34-1,23)+1)&amp;TEXT(U$2+FLOOR((U$2-1)/9,1),"000"),"")</f>
        <v>BJ022</v>
      </c>
      <c r="V34" s="21" t="str">
        <f>IF(INDEX('Shot Map'!$B$6:$V$26,CEILING($A34/5,1),CEILING(V$2/5,1))=1,INDEX('Serial Reference'!$A$8:$W$8,1,FLOOR(($A34-1)/23,1)+1)&amp;INDEX('Serial Reference'!$A$8:$W$8,1,MOD($A34-1,23)+1)&amp;TEXT(V$2+FLOOR((V$2-1)/9,1),"000"),"")</f>
        <v>BJ023</v>
      </c>
      <c r="W34" s="22" t="str">
        <f>IF(INDEX('Shot Map'!$B$6:$V$26,CEILING($A34/5,1),CEILING(W$2/5,1))=1,INDEX('Serial Reference'!$A$8:$W$8,1,FLOOR(($A34-1)/23,1)+1)&amp;INDEX('Serial Reference'!$A$8:$W$8,1,MOD($A34-1,23)+1)&amp;TEXT(W$2+FLOOR((W$2-1)/9,1),"000"),"")</f>
        <v>BJ024</v>
      </c>
      <c r="X34" s="22" t="str">
        <f>IF(INDEX('Shot Map'!$B$6:$V$26,CEILING($A34/5,1),CEILING(X$2/5,1))=1,INDEX('Serial Reference'!$A$8:$W$8,1,FLOOR(($A34-1)/23,1)+1)&amp;INDEX('Serial Reference'!$A$8:$W$8,1,MOD($A34-1,23)+1)&amp;TEXT(X$2+FLOOR((X$2-1)/9,1),"000"),"")</f>
        <v>BJ025</v>
      </c>
      <c r="Y34" s="22" t="str">
        <f>IF(INDEX('Shot Map'!$B$6:$V$26,CEILING($A34/5,1),CEILING(Y$2/5,1))=1,INDEX('Serial Reference'!$A$8:$W$8,1,FLOOR(($A34-1)/23,1)+1)&amp;INDEX('Serial Reference'!$A$8:$W$8,1,MOD($A34-1,23)+1)&amp;TEXT(Y$2+FLOOR((Y$2-1)/9,1),"000"),"")</f>
        <v>BJ026</v>
      </c>
      <c r="Z34" s="23" t="str">
        <f>IF(INDEX('Shot Map'!$B$6:$V$26,CEILING($A34/5,1),CEILING(Z$2/5,1))=1,INDEX('Serial Reference'!$A$8:$W$8,1,FLOOR(($A34-1)/23,1)+1)&amp;INDEX('Serial Reference'!$A$8:$W$8,1,MOD($A34-1,23)+1)&amp;TEXT(Z$2+FLOOR((Z$2-1)/9,1),"000"),"")</f>
        <v>BJ027</v>
      </c>
      <c r="AA34" s="21" t="str">
        <f>IF(INDEX('Shot Map'!$B$6:$V$26,CEILING($A34/5,1),CEILING(AA$2/5,1))=1,INDEX('Serial Reference'!$A$8:$W$8,1,FLOOR(($A34-1)/23,1)+1)&amp;INDEX('Serial Reference'!$A$8:$W$8,1,MOD($A34-1,23)+1)&amp;TEXT(AA$2+FLOOR((AA$2-1)/9,1),"000"),"")</f>
        <v>BJ028</v>
      </c>
      <c r="AB34" s="22" t="str">
        <f>IF(INDEX('Shot Map'!$B$6:$V$26,CEILING($A34/5,1),CEILING(AB$2/5,1))=1,INDEX('Serial Reference'!$A$8:$W$8,1,FLOOR(($A34-1)/23,1)+1)&amp;INDEX('Serial Reference'!$A$8:$W$8,1,MOD($A34-1,23)+1)&amp;TEXT(AB$2+FLOOR((AB$2-1)/9,1),"000"),"")</f>
        <v>BJ029</v>
      </c>
      <c r="AC34" s="22" t="str">
        <f>IF(INDEX('Shot Map'!$B$6:$V$26,CEILING($A34/5,1),CEILING(AC$2/5,1))=1,INDEX('Serial Reference'!$A$8:$W$8,1,FLOOR(($A34-1)/23,1)+1)&amp;INDEX('Serial Reference'!$A$8:$W$8,1,MOD($A34-1,23)+1)&amp;TEXT(AC$2+FLOOR((AC$2-1)/9,1),"000"),"")</f>
        <v>BJ031</v>
      </c>
      <c r="AD34" s="22" t="str">
        <f>IF(INDEX('Shot Map'!$B$6:$V$26,CEILING($A34/5,1),CEILING(AD$2/5,1))=1,INDEX('Serial Reference'!$A$8:$W$8,1,FLOOR(($A34-1)/23,1)+1)&amp;INDEX('Serial Reference'!$A$8:$W$8,1,MOD($A34-1,23)+1)&amp;TEXT(AD$2+FLOOR((AD$2-1)/9,1),"000"),"")</f>
        <v>BJ032</v>
      </c>
      <c r="AE34" s="23" t="str">
        <f>IF(INDEX('Shot Map'!$B$6:$V$26,CEILING($A34/5,1),CEILING(AE$2/5,1))=1,INDEX('Serial Reference'!$A$8:$W$8,1,FLOOR(($A34-1)/23,1)+1)&amp;INDEX('Serial Reference'!$A$8:$W$8,1,MOD($A34-1,23)+1)&amp;TEXT(AE$2+FLOOR((AE$2-1)/9,1),"000"),"")</f>
        <v>BJ033</v>
      </c>
      <c r="AF34" s="21" t="str">
        <f>IF(INDEX('Shot Map'!$B$6:$V$26,CEILING($A34/5,1),CEILING(AF$2/5,1))=1,INDEX('Serial Reference'!$A$8:$W$8,1,FLOOR(($A34-1)/23,1)+1)&amp;INDEX('Serial Reference'!$A$8:$W$8,1,MOD($A34-1,23)+1)&amp;TEXT(AF$2+FLOOR((AF$2-1)/9,1),"000"),"")</f>
        <v>BJ034</v>
      </c>
      <c r="AG34" s="22" t="str">
        <f>IF(INDEX('Shot Map'!$B$6:$V$26,CEILING($A34/5,1),CEILING(AG$2/5,1))=1,INDEX('Serial Reference'!$A$8:$W$8,1,FLOOR(($A34-1)/23,1)+1)&amp;INDEX('Serial Reference'!$A$8:$W$8,1,MOD($A34-1,23)+1)&amp;TEXT(AG$2+FLOOR((AG$2-1)/9,1),"000"),"")</f>
        <v>BJ035</v>
      </c>
      <c r="AH34" s="22" t="str">
        <f>IF(INDEX('Shot Map'!$B$6:$V$26,CEILING($A34/5,1),CEILING(AH$2/5,1))=1,INDEX('Serial Reference'!$A$8:$W$8,1,FLOOR(($A34-1)/23,1)+1)&amp;INDEX('Serial Reference'!$A$8:$W$8,1,MOD($A34-1,23)+1)&amp;TEXT(AH$2+FLOOR((AH$2-1)/9,1),"000"),"")</f>
        <v>BJ036</v>
      </c>
      <c r="AI34" s="22" t="str">
        <f>IF(INDEX('Shot Map'!$B$6:$V$26,CEILING($A34/5,1),CEILING(AI$2/5,1))=1,INDEX('Serial Reference'!$A$8:$W$8,1,FLOOR(($A34-1)/23,1)+1)&amp;INDEX('Serial Reference'!$A$8:$W$8,1,MOD($A34-1,23)+1)&amp;TEXT(AI$2+FLOOR((AI$2-1)/9,1),"000"),"")</f>
        <v>BJ037</v>
      </c>
      <c r="AJ34" s="23" t="str">
        <f>IF(INDEX('Shot Map'!$B$6:$V$26,CEILING($A34/5,1),CEILING(AJ$2/5,1))=1,INDEX('Serial Reference'!$A$8:$W$8,1,FLOOR(($A34-1)/23,1)+1)&amp;INDEX('Serial Reference'!$A$8:$W$8,1,MOD($A34-1,23)+1)&amp;TEXT(AJ$2+FLOOR((AJ$2-1)/9,1),"000"),"")</f>
        <v>BJ038</v>
      </c>
      <c r="AK34" s="21" t="str">
        <f>IF(INDEX('Shot Map'!$B$6:$V$26,CEILING($A34/5,1),CEILING(AK$2/5,1))=1,INDEX('Serial Reference'!$A$8:$W$8,1,FLOOR(($A34-1)/23,1)+1)&amp;INDEX('Serial Reference'!$A$8:$W$8,1,MOD($A34-1,23)+1)&amp;TEXT(AK$2+FLOOR((AK$2-1)/9,1),"000"),"")</f>
        <v>BJ039</v>
      </c>
      <c r="AL34" s="22" t="str">
        <f>IF(INDEX('Shot Map'!$B$6:$V$26,CEILING($A34/5,1),CEILING(AL$2/5,1))=1,INDEX('Serial Reference'!$A$8:$W$8,1,FLOOR(($A34-1)/23,1)+1)&amp;INDEX('Serial Reference'!$A$8:$W$8,1,MOD($A34-1,23)+1)&amp;TEXT(AL$2+FLOOR((AL$2-1)/9,1),"000"),"")</f>
        <v>BJ041</v>
      </c>
      <c r="AM34" s="22" t="str">
        <f>IF(INDEX('Shot Map'!$B$6:$V$26,CEILING($A34/5,1),CEILING(AM$2/5,1))=1,INDEX('Serial Reference'!$A$8:$W$8,1,FLOOR(($A34-1)/23,1)+1)&amp;INDEX('Serial Reference'!$A$8:$W$8,1,MOD($A34-1,23)+1)&amp;TEXT(AM$2+FLOOR((AM$2-1)/9,1),"000"),"")</f>
        <v>BJ042</v>
      </c>
      <c r="AN34" s="22" t="str">
        <f>IF(INDEX('Shot Map'!$B$6:$V$26,CEILING($A34/5,1),CEILING(AN$2/5,1))=1,INDEX('Serial Reference'!$A$8:$W$8,1,FLOOR(($A34-1)/23,1)+1)&amp;INDEX('Serial Reference'!$A$8:$W$8,1,MOD($A34-1,23)+1)&amp;TEXT(AN$2+FLOOR((AN$2-1)/9,1),"000"),"")</f>
        <v>BJ043</v>
      </c>
      <c r="AO34" s="23" t="str">
        <f>IF(INDEX('Shot Map'!$B$6:$V$26,CEILING($A34/5,1),CEILING(AO$2/5,1))=1,INDEX('Serial Reference'!$A$8:$W$8,1,FLOOR(($A34-1)/23,1)+1)&amp;INDEX('Serial Reference'!$A$8:$W$8,1,MOD($A34-1,23)+1)&amp;TEXT(AO$2+FLOOR((AO$2-1)/9,1),"000"),"")</f>
        <v>BJ044</v>
      </c>
      <c r="AP34" s="21" t="str">
        <f>IF(INDEX('Shot Map'!$B$6:$V$26,CEILING($A34/5,1),CEILING(AP$2/5,1))=1,INDEX('Serial Reference'!$A$8:$W$8,1,FLOOR(($A34-1)/23,1)+1)&amp;INDEX('Serial Reference'!$A$8:$W$8,1,MOD($A34-1,23)+1)&amp;TEXT(AP$2+FLOOR((AP$2-1)/9,1),"000"),"")</f>
        <v>BJ045</v>
      </c>
      <c r="AQ34" s="22" t="str">
        <f>IF(INDEX('Shot Map'!$B$6:$V$26,CEILING($A34/5,1),CEILING(AQ$2/5,1))=1,INDEX('Serial Reference'!$A$8:$W$8,1,FLOOR(($A34-1)/23,1)+1)&amp;INDEX('Serial Reference'!$A$8:$W$8,1,MOD($A34-1,23)+1)&amp;TEXT(AQ$2+FLOOR((AQ$2-1)/9,1),"000"),"")</f>
        <v>BJ046</v>
      </c>
      <c r="AR34" s="22" t="str">
        <f>IF(INDEX('Shot Map'!$B$6:$V$26,CEILING($A34/5,1),CEILING(AR$2/5,1))=1,INDEX('Serial Reference'!$A$8:$W$8,1,FLOOR(($A34-1)/23,1)+1)&amp;INDEX('Serial Reference'!$A$8:$W$8,1,MOD($A34-1,23)+1)&amp;TEXT(AR$2+FLOOR((AR$2-1)/9,1),"000"),"")</f>
        <v>BJ047</v>
      </c>
      <c r="AS34" s="22" t="str">
        <f>IF(INDEX('Shot Map'!$B$6:$V$26,CEILING($A34/5,1),CEILING(AS$2/5,1))=1,INDEX('Serial Reference'!$A$8:$W$8,1,FLOOR(($A34-1)/23,1)+1)&amp;INDEX('Serial Reference'!$A$8:$W$8,1,MOD($A34-1,23)+1)&amp;TEXT(AS$2+FLOOR((AS$2-1)/9,1),"000"),"")</f>
        <v>BJ048</v>
      </c>
      <c r="AT34" s="23" t="str">
        <f>IF(INDEX('Shot Map'!$B$6:$V$26,CEILING($A34/5,1),CEILING(AT$2/5,1))=1,INDEX('Serial Reference'!$A$8:$W$8,1,FLOOR(($A34-1)/23,1)+1)&amp;INDEX('Serial Reference'!$A$8:$W$8,1,MOD($A34-1,23)+1)&amp;TEXT(AT$2+FLOOR((AT$2-1)/9,1),"000"),"")</f>
        <v>BJ049</v>
      </c>
      <c r="AU34" s="21" t="str">
        <f>IF(INDEX('Shot Map'!$B$6:$V$26,CEILING($A34/5,1),CEILING(AU$2/5,1))=1,INDEX('Serial Reference'!$A$8:$W$8,1,FLOOR(($A34-1)/23,1)+1)&amp;INDEX('Serial Reference'!$A$8:$W$8,1,MOD($A34-1,23)+1)&amp;TEXT(AU$2+FLOOR((AU$2-1)/9,1),"000"),"")</f>
        <v>BJ051</v>
      </c>
      <c r="AV34" s="22" t="str">
        <f>IF(INDEX('Shot Map'!$B$6:$V$26,CEILING($A34/5,1),CEILING(AV$2/5,1))=1,INDEX('Serial Reference'!$A$8:$W$8,1,FLOOR(($A34-1)/23,1)+1)&amp;INDEX('Serial Reference'!$A$8:$W$8,1,MOD($A34-1,23)+1)&amp;TEXT(AV$2+FLOOR((AV$2-1)/9,1),"000"),"")</f>
        <v>BJ052</v>
      </c>
      <c r="AW34" s="22" t="str">
        <f>IF(INDEX('Shot Map'!$B$6:$V$26,CEILING($A34/5,1),CEILING(AW$2/5,1))=1,INDEX('Serial Reference'!$A$8:$W$8,1,FLOOR(($A34-1)/23,1)+1)&amp;INDEX('Serial Reference'!$A$8:$W$8,1,MOD($A34-1,23)+1)&amp;TEXT(AW$2+FLOOR((AW$2-1)/9,1),"000"),"")</f>
        <v>BJ053</v>
      </c>
      <c r="AX34" s="22" t="str">
        <f>IF(INDEX('Shot Map'!$B$6:$V$26,CEILING($A34/5,1),CEILING(AX$2/5,1))=1,INDEX('Serial Reference'!$A$8:$W$8,1,FLOOR(($A34-1)/23,1)+1)&amp;INDEX('Serial Reference'!$A$8:$W$8,1,MOD($A34-1,23)+1)&amp;TEXT(AX$2+FLOOR((AX$2-1)/9,1),"000"),"")</f>
        <v>BJ054</v>
      </c>
      <c r="AY34" s="23" t="str">
        <f>IF(INDEX('Shot Map'!$B$6:$V$26,CEILING($A34/5,1),CEILING(AY$2/5,1))=1,INDEX('Serial Reference'!$A$8:$W$8,1,FLOOR(($A34-1)/23,1)+1)&amp;INDEX('Serial Reference'!$A$8:$W$8,1,MOD($A34-1,23)+1)&amp;TEXT(AY$2+FLOOR((AY$2-1)/9,1),"000"),"")</f>
        <v>BJ055</v>
      </c>
      <c r="AZ34" s="21" t="str">
        <f>IF(INDEX('Shot Map'!$B$6:$V$26,CEILING($A34/5,1),CEILING(AZ$2/5,1))=1,INDEX('Serial Reference'!$A$8:$W$8,1,FLOOR(($A34-1)/23,1)+1)&amp;INDEX('Serial Reference'!$A$8:$W$8,1,MOD($A34-1,23)+1)&amp;TEXT(AZ$2+FLOOR((AZ$2-1)/9,1),"000"),"")</f>
        <v>BJ056</v>
      </c>
      <c r="BA34" s="22" t="str">
        <f>IF(INDEX('Shot Map'!$B$6:$V$26,CEILING($A34/5,1),CEILING(BA$2/5,1))=1,INDEX('Serial Reference'!$A$8:$W$8,1,FLOOR(($A34-1)/23,1)+1)&amp;INDEX('Serial Reference'!$A$8:$W$8,1,MOD($A34-1,23)+1)&amp;TEXT(BA$2+FLOOR((BA$2-1)/9,1),"000"),"")</f>
        <v>BJ057</v>
      </c>
      <c r="BB34" s="22" t="str">
        <f>IF(INDEX('Shot Map'!$B$6:$V$26,CEILING($A34/5,1),CEILING(BB$2/5,1))=1,INDEX('Serial Reference'!$A$8:$W$8,1,FLOOR(($A34-1)/23,1)+1)&amp;INDEX('Serial Reference'!$A$8:$W$8,1,MOD($A34-1,23)+1)&amp;TEXT(BB$2+FLOOR((BB$2-1)/9,1),"000"),"")</f>
        <v>BJ058</v>
      </c>
      <c r="BC34" s="22" t="str">
        <f>IF(INDEX('Shot Map'!$B$6:$V$26,CEILING($A34/5,1),CEILING(BC$2/5,1))=1,INDEX('Serial Reference'!$A$8:$W$8,1,FLOOR(($A34-1)/23,1)+1)&amp;INDEX('Serial Reference'!$A$8:$W$8,1,MOD($A34-1,23)+1)&amp;TEXT(BC$2+FLOOR((BC$2-1)/9,1),"000"),"")</f>
        <v>BJ059</v>
      </c>
      <c r="BD34" s="23" t="str">
        <f>IF(INDEX('Shot Map'!$B$6:$V$26,CEILING($A34/5,1),CEILING(BD$2/5,1))=1,INDEX('Serial Reference'!$A$8:$W$8,1,FLOOR(($A34-1)/23,1)+1)&amp;INDEX('Serial Reference'!$A$8:$W$8,1,MOD($A34-1,23)+1)&amp;TEXT(BD$2+FLOOR((BD$2-1)/9,1),"000"),"")</f>
        <v>BJ061</v>
      </c>
      <c r="BE34" s="21" t="str">
        <f>IF(INDEX('Shot Map'!$B$6:$V$26,CEILING($A34/5,1),CEILING(BE$2/5,1))=1,INDEX('Serial Reference'!$A$8:$W$8,1,FLOOR(($A34-1)/23,1)+1)&amp;INDEX('Serial Reference'!$A$8:$W$8,1,MOD($A34-1,23)+1)&amp;TEXT(BE$2+FLOOR((BE$2-1)/9,1),"000"),"")</f>
        <v>BJ062</v>
      </c>
      <c r="BF34" s="22" t="str">
        <f>IF(INDEX('Shot Map'!$B$6:$V$26,CEILING($A34/5,1),CEILING(BF$2/5,1))=1,INDEX('Serial Reference'!$A$8:$W$8,1,FLOOR(($A34-1)/23,1)+1)&amp;INDEX('Serial Reference'!$A$8:$W$8,1,MOD($A34-1,23)+1)&amp;TEXT(BF$2+FLOOR((BF$2-1)/9,1),"000"),"")</f>
        <v>BJ063</v>
      </c>
      <c r="BG34" s="22" t="str">
        <f>IF(INDEX('Shot Map'!$B$6:$V$26,CEILING($A34/5,1),CEILING(BG$2/5,1))=1,INDEX('Serial Reference'!$A$8:$W$8,1,FLOOR(($A34-1)/23,1)+1)&amp;INDEX('Serial Reference'!$A$8:$W$8,1,MOD($A34-1,23)+1)&amp;TEXT(BG$2+FLOOR((BG$2-1)/9,1),"000"),"")</f>
        <v>BJ064</v>
      </c>
      <c r="BH34" s="22" t="str">
        <f>IF(INDEX('Shot Map'!$B$6:$V$26,CEILING($A34/5,1),CEILING(BH$2/5,1))=1,INDEX('Serial Reference'!$A$8:$W$8,1,FLOOR(($A34-1)/23,1)+1)&amp;INDEX('Serial Reference'!$A$8:$W$8,1,MOD($A34-1,23)+1)&amp;TEXT(BH$2+FLOOR((BH$2-1)/9,1),"000"),"")</f>
        <v>BJ065</v>
      </c>
      <c r="BI34" s="23" t="str">
        <f>IF(INDEX('Shot Map'!$B$6:$V$26,CEILING($A34/5,1),CEILING(BI$2/5,1))=1,INDEX('Serial Reference'!$A$8:$W$8,1,FLOOR(($A34-1)/23,1)+1)&amp;INDEX('Serial Reference'!$A$8:$W$8,1,MOD($A34-1,23)+1)&amp;TEXT(BI$2+FLOOR((BI$2-1)/9,1),"000"),"")</f>
        <v>BJ066</v>
      </c>
      <c r="BJ34" s="21" t="str">
        <f>IF(INDEX('Shot Map'!$B$6:$V$26,CEILING($A34/5,1),CEILING(BJ$2/5,1))=1,INDEX('Serial Reference'!$A$8:$W$8,1,FLOOR(($A34-1)/23,1)+1)&amp;INDEX('Serial Reference'!$A$8:$W$8,1,MOD($A34-1,23)+1)&amp;TEXT(BJ$2+FLOOR((BJ$2-1)/9,1),"000"),"")</f>
        <v>BJ067</v>
      </c>
      <c r="BK34" s="22" t="str">
        <f>IF(INDEX('Shot Map'!$B$6:$V$26,CEILING($A34/5,1),CEILING(BK$2/5,1))=1,INDEX('Serial Reference'!$A$8:$W$8,1,FLOOR(($A34-1)/23,1)+1)&amp;INDEX('Serial Reference'!$A$8:$W$8,1,MOD($A34-1,23)+1)&amp;TEXT(BK$2+FLOOR((BK$2-1)/9,1),"000"),"")</f>
        <v>BJ068</v>
      </c>
      <c r="BL34" s="22" t="str">
        <f>IF(INDEX('Shot Map'!$B$6:$V$26,CEILING($A34/5,1),CEILING(BL$2/5,1))=1,INDEX('Serial Reference'!$A$8:$W$8,1,FLOOR(($A34-1)/23,1)+1)&amp;INDEX('Serial Reference'!$A$8:$W$8,1,MOD($A34-1,23)+1)&amp;TEXT(BL$2+FLOOR((BL$2-1)/9,1),"000"),"")</f>
        <v>BJ069</v>
      </c>
      <c r="BM34" s="22" t="str">
        <f>IF(INDEX('Shot Map'!$B$6:$V$26,CEILING($A34/5,1),CEILING(BM$2/5,1))=1,INDEX('Serial Reference'!$A$8:$W$8,1,FLOOR(($A34-1)/23,1)+1)&amp;INDEX('Serial Reference'!$A$8:$W$8,1,MOD($A34-1,23)+1)&amp;TEXT(BM$2+FLOOR((BM$2-1)/9,1),"000"),"")</f>
        <v>BJ071</v>
      </c>
      <c r="BN34" s="23" t="str">
        <f>IF(INDEX('Shot Map'!$B$6:$V$26,CEILING($A34/5,1),CEILING(BN$2/5,1))=1,INDEX('Serial Reference'!$A$8:$W$8,1,FLOOR(($A34-1)/23,1)+1)&amp;INDEX('Serial Reference'!$A$8:$W$8,1,MOD($A34-1,23)+1)&amp;TEXT(BN$2+FLOOR((BN$2-1)/9,1),"000"),"")</f>
        <v>BJ072</v>
      </c>
      <c r="BO34" s="21" t="str">
        <f>IF(INDEX('Shot Map'!$B$6:$V$26,CEILING($A34/5,1),CEILING(BO$2/5,1))=1,INDEX('Serial Reference'!$A$8:$W$8,1,FLOOR(($A34-1)/23,1)+1)&amp;INDEX('Serial Reference'!$A$8:$W$8,1,MOD($A34-1,23)+1)&amp;TEXT(BO$2+FLOOR((BO$2-1)/9,1),"000"),"")</f>
        <v>BJ073</v>
      </c>
      <c r="BP34" s="22" t="str">
        <f>IF(INDEX('Shot Map'!$B$6:$V$26,CEILING($A34/5,1),CEILING(BP$2/5,1))=1,INDEX('Serial Reference'!$A$8:$W$8,1,FLOOR(($A34-1)/23,1)+1)&amp;INDEX('Serial Reference'!$A$8:$W$8,1,MOD($A34-1,23)+1)&amp;TEXT(BP$2+FLOOR((BP$2-1)/9,1),"000"),"")</f>
        <v>BJ074</v>
      </c>
      <c r="BQ34" s="22" t="str">
        <f>IF(INDEX('Shot Map'!$B$6:$V$26,CEILING($A34/5,1),CEILING(BQ$2/5,1))=1,INDEX('Serial Reference'!$A$8:$W$8,1,FLOOR(($A34-1)/23,1)+1)&amp;INDEX('Serial Reference'!$A$8:$W$8,1,MOD($A34-1,23)+1)&amp;TEXT(BQ$2+FLOOR((BQ$2-1)/9,1),"000"),"")</f>
        <v>BJ075</v>
      </c>
      <c r="BR34" s="22" t="str">
        <f>IF(INDEX('Shot Map'!$B$6:$V$26,CEILING($A34/5,1),CEILING(BR$2/5,1))=1,INDEX('Serial Reference'!$A$8:$W$8,1,FLOOR(($A34-1)/23,1)+1)&amp;INDEX('Serial Reference'!$A$8:$W$8,1,MOD($A34-1,23)+1)&amp;TEXT(BR$2+FLOOR((BR$2-1)/9,1),"000"),"")</f>
        <v>BJ076</v>
      </c>
      <c r="BS34" s="23" t="str">
        <f>IF(INDEX('Shot Map'!$B$6:$V$26,CEILING($A34/5,1),CEILING(BS$2/5,1))=1,INDEX('Serial Reference'!$A$8:$W$8,1,FLOOR(($A34-1)/23,1)+1)&amp;INDEX('Serial Reference'!$A$8:$W$8,1,MOD($A34-1,23)+1)&amp;TEXT(BS$2+FLOOR((BS$2-1)/9,1),"000"),"")</f>
        <v>BJ077</v>
      </c>
      <c r="BT34" s="21" t="str">
        <f>IF(INDEX('Shot Map'!$B$6:$V$26,CEILING($A34/5,1),CEILING(BT$2/5,1))=1,INDEX('Serial Reference'!$A$8:$W$8,1,FLOOR(($A34-1)/23,1)+1)&amp;INDEX('Serial Reference'!$A$8:$W$8,1,MOD($A34-1,23)+1)&amp;TEXT(BT$2+FLOOR((BT$2-1)/9,1),"000"),"")</f>
        <v>BJ078</v>
      </c>
      <c r="BU34" s="22" t="str">
        <f>IF(INDEX('Shot Map'!$B$6:$V$26,CEILING($A34/5,1),CEILING(BU$2/5,1))=1,INDEX('Serial Reference'!$A$8:$W$8,1,FLOOR(($A34-1)/23,1)+1)&amp;INDEX('Serial Reference'!$A$8:$W$8,1,MOD($A34-1,23)+1)&amp;TEXT(BU$2+FLOOR((BU$2-1)/9,1),"000"),"")</f>
        <v>BJ079</v>
      </c>
      <c r="BV34" s="22" t="str">
        <f>IF(INDEX('Shot Map'!$B$6:$V$26,CEILING($A34/5,1),CEILING(BV$2/5,1))=1,INDEX('Serial Reference'!$A$8:$W$8,1,FLOOR(($A34-1)/23,1)+1)&amp;INDEX('Serial Reference'!$A$8:$W$8,1,MOD($A34-1,23)+1)&amp;TEXT(BV$2+FLOOR((BV$2-1)/9,1),"000"),"")</f>
        <v>BJ081</v>
      </c>
      <c r="BW34" s="22" t="str">
        <f>IF(INDEX('Shot Map'!$B$6:$V$26,CEILING($A34/5,1),CEILING(BW$2/5,1))=1,INDEX('Serial Reference'!$A$8:$W$8,1,FLOOR(($A34-1)/23,1)+1)&amp;INDEX('Serial Reference'!$A$8:$W$8,1,MOD($A34-1,23)+1)&amp;TEXT(BW$2+FLOOR((BW$2-1)/9,1),"000"),"")</f>
        <v>BJ082</v>
      </c>
      <c r="BX34" s="23" t="str">
        <f>IF(INDEX('Shot Map'!$B$6:$V$26,CEILING($A34/5,1),CEILING(BX$2/5,1))=1,INDEX('Serial Reference'!$A$8:$W$8,1,FLOOR(($A34-1)/23,1)+1)&amp;INDEX('Serial Reference'!$A$8:$W$8,1,MOD($A34-1,23)+1)&amp;TEXT(BX$2+FLOOR((BX$2-1)/9,1),"000"),"")</f>
        <v>BJ083</v>
      </c>
      <c r="BY34" s="21" t="str">
        <f>IF(INDEX('Shot Map'!$B$6:$V$26,CEILING($A34/5,1),CEILING(BY$2/5,1))=1,INDEX('Serial Reference'!$A$8:$W$8,1,FLOOR(($A34-1)/23,1)+1)&amp;INDEX('Serial Reference'!$A$8:$W$8,1,MOD($A34-1,23)+1)&amp;TEXT(BY$2+FLOOR((BY$2-1)/9,1),"000"),"")</f>
        <v>BJ084</v>
      </c>
      <c r="BZ34" s="22" t="str">
        <f>IF(INDEX('Shot Map'!$B$6:$V$26,CEILING($A34/5,1),CEILING(BZ$2/5,1))=1,INDEX('Serial Reference'!$A$8:$W$8,1,FLOOR(($A34-1)/23,1)+1)&amp;INDEX('Serial Reference'!$A$8:$W$8,1,MOD($A34-1,23)+1)&amp;TEXT(BZ$2+FLOOR((BZ$2-1)/9,1),"000"),"")</f>
        <v>BJ085</v>
      </c>
      <c r="CA34" s="22" t="str">
        <f>IF(INDEX('Shot Map'!$B$6:$V$26,CEILING($A34/5,1),CEILING(CA$2/5,1))=1,INDEX('Serial Reference'!$A$8:$W$8,1,FLOOR(($A34-1)/23,1)+1)&amp;INDEX('Serial Reference'!$A$8:$W$8,1,MOD($A34-1,23)+1)&amp;TEXT(CA$2+FLOOR((CA$2-1)/9,1),"000"),"")</f>
        <v>BJ086</v>
      </c>
      <c r="CB34" s="22" t="str">
        <f>IF(INDEX('Shot Map'!$B$6:$V$26,CEILING($A34/5,1),CEILING(CB$2/5,1))=1,INDEX('Serial Reference'!$A$8:$W$8,1,FLOOR(($A34-1)/23,1)+1)&amp;INDEX('Serial Reference'!$A$8:$W$8,1,MOD($A34-1,23)+1)&amp;TEXT(CB$2+FLOOR((CB$2-1)/9,1),"000"),"")</f>
        <v>BJ087</v>
      </c>
      <c r="CC34" s="23" t="str">
        <f>IF(INDEX('Shot Map'!$B$6:$V$26,CEILING($A34/5,1),CEILING(CC$2/5,1))=1,INDEX('Serial Reference'!$A$8:$W$8,1,FLOOR(($A34-1)/23,1)+1)&amp;INDEX('Serial Reference'!$A$8:$W$8,1,MOD($A34-1,23)+1)&amp;TEXT(CC$2+FLOOR((CC$2-1)/9,1),"000"),"")</f>
        <v>BJ088</v>
      </c>
      <c r="CD34" s="21" t="str">
        <f>IF(INDEX('Shot Map'!$B$6:$V$26,CEILING($A34/5,1),CEILING(CD$2/5,1))=1,INDEX('Serial Reference'!$A$8:$W$8,1,FLOOR(($A34-1)/23,1)+1)&amp;INDEX('Serial Reference'!$A$8:$W$8,1,MOD($A34-1,23)+1)&amp;TEXT(CD$2+FLOOR((CD$2-1)/9,1),"000"),"")</f>
        <v>BJ089</v>
      </c>
      <c r="CE34" s="22" t="str">
        <f>IF(INDEX('Shot Map'!$B$6:$V$26,CEILING($A34/5,1),CEILING(CE$2/5,1))=1,INDEX('Serial Reference'!$A$8:$W$8,1,FLOOR(($A34-1)/23,1)+1)&amp;INDEX('Serial Reference'!$A$8:$W$8,1,MOD($A34-1,23)+1)&amp;TEXT(CE$2+FLOOR((CE$2-1)/9,1),"000"),"")</f>
        <v>BJ091</v>
      </c>
      <c r="CF34" s="22" t="str">
        <f>IF(INDEX('Shot Map'!$B$6:$V$26,CEILING($A34/5,1),CEILING(CF$2/5,1))=1,INDEX('Serial Reference'!$A$8:$W$8,1,FLOOR(($A34-1)/23,1)+1)&amp;INDEX('Serial Reference'!$A$8:$W$8,1,MOD($A34-1,23)+1)&amp;TEXT(CF$2+FLOOR((CF$2-1)/9,1),"000"),"")</f>
        <v>BJ092</v>
      </c>
      <c r="CG34" s="22" t="str">
        <f>IF(INDEX('Shot Map'!$B$6:$V$26,CEILING($A34/5,1),CEILING(CG$2/5,1))=1,INDEX('Serial Reference'!$A$8:$W$8,1,FLOOR(($A34-1)/23,1)+1)&amp;INDEX('Serial Reference'!$A$8:$W$8,1,MOD($A34-1,23)+1)&amp;TEXT(CG$2+FLOOR((CG$2-1)/9,1),"000"),"")</f>
        <v>BJ093</v>
      </c>
      <c r="CH34" s="23" t="str">
        <f>IF(INDEX('Shot Map'!$B$6:$V$26,CEILING($A34/5,1),CEILING(CH$2/5,1))=1,INDEX('Serial Reference'!$A$8:$W$8,1,FLOOR(($A34-1)/23,1)+1)&amp;INDEX('Serial Reference'!$A$8:$W$8,1,MOD($A34-1,23)+1)&amp;TEXT(CH$2+FLOOR((CH$2-1)/9,1),"000"),"")</f>
        <v>BJ094</v>
      </c>
      <c r="CI34" s="21" t="str">
        <f>IF(INDEX('Shot Map'!$B$6:$V$26,CEILING($A34/5,1),CEILING(CI$2/5,1))=1,INDEX('Serial Reference'!$A$8:$W$8,1,FLOOR(($A34-1)/23,1)+1)&amp;INDEX('Serial Reference'!$A$8:$W$8,1,MOD($A34-1,23)+1)&amp;TEXT(CI$2+FLOOR((CI$2-1)/9,1),"000"),"")</f>
        <v>BJ095</v>
      </c>
      <c r="CJ34" s="22" t="str">
        <f>IF(INDEX('Shot Map'!$B$6:$V$26,CEILING($A34/5,1),CEILING(CJ$2/5,1))=1,INDEX('Serial Reference'!$A$8:$W$8,1,FLOOR(($A34-1)/23,1)+1)&amp;INDEX('Serial Reference'!$A$8:$W$8,1,MOD($A34-1,23)+1)&amp;TEXT(CJ$2+FLOOR((CJ$2-1)/9,1),"000"),"")</f>
        <v>BJ096</v>
      </c>
      <c r="CK34" s="22" t="str">
        <f>IF(INDEX('Shot Map'!$B$6:$V$26,CEILING($A34/5,1),CEILING(CK$2/5,1))=1,INDEX('Serial Reference'!$A$8:$W$8,1,FLOOR(($A34-1)/23,1)+1)&amp;INDEX('Serial Reference'!$A$8:$W$8,1,MOD($A34-1,23)+1)&amp;TEXT(CK$2+FLOOR((CK$2-1)/9,1),"000"),"")</f>
        <v>BJ097</v>
      </c>
      <c r="CL34" s="22" t="str">
        <f>IF(INDEX('Shot Map'!$B$6:$V$26,CEILING($A34/5,1),CEILING(CL$2/5,1))=1,INDEX('Serial Reference'!$A$8:$W$8,1,FLOOR(($A34-1)/23,1)+1)&amp;INDEX('Serial Reference'!$A$8:$W$8,1,MOD($A34-1,23)+1)&amp;TEXT(CL$2+FLOOR((CL$2-1)/9,1),"000"),"")</f>
        <v>BJ098</v>
      </c>
      <c r="CM34" s="23" t="str">
        <f>IF(INDEX('Shot Map'!$B$6:$V$26,CEILING($A34/5,1),CEILING(CM$2/5,1))=1,INDEX('Serial Reference'!$A$8:$W$8,1,FLOOR(($A34-1)/23,1)+1)&amp;INDEX('Serial Reference'!$A$8:$W$8,1,MOD($A34-1,23)+1)&amp;TEXT(CM$2+FLOOR((CM$2-1)/9,1),"000"),"")</f>
        <v>BJ099</v>
      </c>
      <c r="CN34" s="21" t="str">
        <f>IF(INDEX('Shot Map'!$B$6:$V$26,CEILING($A34/5,1),CEILING(CN$2/5,1))=1,INDEX('Serial Reference'!$A$8:$W$8,1,FLOOR(($A34-1)/23,1)+1)&amp;INDEX('Serial Reference'!$A$8:$W$8,1,MOD($A34-1,23)+1)&amp;TEXT(CN$2+FLOOR((CN$2-1)/9,1),"000"),"")</f>
        <v>BJ101</v>
      </c>
      <c r="CO34" s="22" t="str">
        <f>IF(INDEX('Shot Map'!$B$6:$V$26,CEILING($A34/5,1),CEILING(CO$2/5,1))=1,INDEX('Serial Reference'!$A$8:$W$8,1,FLOOR(($A34-1)/23,1)+1)&amp;INDEX('Serial Reference'!$A$8:$W$8,1,MOD($A34-1,23)+1)&amp;TEXT(CO$2+FLOOR((CO$2-1)/9,1),"000"),"")</f>
        <v>BJ102</v>
      </c>
      <c r="CP34" s="22" t="str">
        <f>IF(INDEX('Shot Map'!$B$6:$V$26,CEILING($A34/5,1),CEILING(CP$2/5,1))=1,INDEX('Serial Reference'!$A$8:$W$8,1,FLOOR(($A34-1)/23,1)+1)&amp;INDEX('Serial Reference'!$A$8:$W$8,1,MOD($A34-1,23)+1)&amp;TEXT(CP$2+FLOOR((CP$2-1)/9,1),"000"),"")</f>
        <v>BJ103</v>
      </c>
      <c r="CQ34" s="22" t="str">
        <f>IF(INDEX('Shot Map'!$B$6:$V$26,CEILING($A34/5,1),CEILING(CQ$2/5,1))=1,INDEX('Serial Reference'!$A$8:$W$8,1,FLOOR(($A34-1)/23,1)+1)&amp;INDEX('Serial Reference'!$A$8:$W$8,1,MOD($A34-1,23)+1)&amp;TEXT(CQ$2+FLOOR((CQ$2-1)/9,1),"000"),"")</f>
        <v>BJ104</v>
      </c>
      <c r="CR34" s="23" t="str">
        <f>IF(INDEX('Shot Map'!$B$6:$V$26,CEILING($A34/5,1),CEILING(CR$2/5,1))=1,INDEX('Serial Reference'!$A$8:$W$8,1,FLOOR(($A34-1)/23,1)+1)&amp;INDEX('Serial Reference'!$A$8:$W$8,1,MOD($A34-1,23)+1)&amp;TEXT(CR$2+FLOOR((CR$2-1)/9,1),"000"),"")</f>
        <v>BJ105</v>
      </c>
      <c r="CS34" s="21" t="str">
        <f>IF(INDEX('Shot Map'!$B$6:$V$26,CEILING($A34/5,1),CEILING(CS$2/5,1))=1,INDEX('Serial Reference'!$A$8:$W$8,1,FLOOR(($A34-1)/23,1)+1)&amp;INDEX('Serial Reference'!$A$8:$W$8,1,MOD($A34-1,23)+1)&amp;TEXT(CS$2+FLOOR((CS$2-1)/9,1),"000"),"")</f>
        <v>BJ106</v>
      </c>
      <c r="CT34" s="22" t="str">
        <f>IF(INDEX('Shot Map'!$B$6:$V$26,CEILING($A34/5,1),CEILING(CT$2/5,1))=1,INDEX('Serial Reference'!$A$8:$W$8,1,FLOOR(($A34-1)/23,1)+1)&amp;INDEX('Serial Reference'!$A$8:$W$8,1,MOD($A34-1,23)+1)&amp;TEXT(CT$2+FLOOR((CT$2-1)/9,1),"000"),"")</f>
        <v>BJ107</v>
      </c>
      <c r="CU34" s="22" t="str">
        <f>IF(INDEX('Shot Map'!$B$6:$V$26,CEILING($A34/5,1),CEILING(CU$2/5,1))=1,INDEX('Serial Reference'!$A$8:$W$8,1,FLOOR(($A34-1)/23,1)+1)&amp;INDEX('Serial Reference'!$A$8:$W$8,1,MOD($A34-1,23)+1)&amp;TEXT(CU$2+FLOOR((CU$2-1)/9,1),"000"),"")</f>
        <v>BJ108</v>
      </c>
      <c r="CV34" s="22" t="str">
        <f>IF(INDEX('Shot Map'!$B$6:$V$26,CEILING($A34/5,1),CEILING(CV$2/5,1))=1,INDEX('Serial Reference'!$A$8:$W$8,1,FLOOR(($A34-1)/23,1)+1)&amp;INDEX('Serial Reference'!$A$8:$W$8,1,MOD($A34-1,23)+1)&amp;TEXT(CV$2+FLOOR((CV$2-1)/9,1),"000"),"")</f>
        <v>BJ109</v>
      </c>
      <c r="CW34" s="23" t="str">
        <f>IF(INDEX('Shot Map'!$B$6:$V$26,CEILING($A34/5,1),CEILING(CW$2/5,1))=1,INDEX('Serial Reference'!$A$8:$W$8,1,FLOOR(($A34-1)/23,1)+1)&amp;INDEX('Serial Reference'!$A$8:$W$8,1,MOD($A34-1,23)+1)&amp;TEXT(CW$2+FLOOR((CW$2-1)/9,1),"000"),"")</f>
        <v>BJ111</v>
      </c>
      <c r="CX34" s="21" t="str">
        <f>IF(INDEX('Shot Map'!$B$6:$V$26,CEILING($A34/5,1),CEILING(CX$2/5,1))=1,INDEX('Serial Reference'!$A$8:$W$8,1,FLOOR(($A34-1)/23,1)+1)&amp;INDEX('Serial Reference'!$A$8:$W$8,1,MOD($A34-1,23)+1)&amp;TEXT(CX$2+FLOOR((CX$2-1)/9,1),"000"),"")</f>
        <v/>
      </c>
      <c r="CY34" s="22" t="str">
        <f>IF(INDEX('Shot Map'!$B$6:$V$26,CEILING($A34/5,1),CEILING(CY$2/5,1))=1,INDEX('Serial Reference'!$A$8:$W$8,1,FLOOR(($A34-1)/23,1)+1)&amp;INDEX('Serial Reference'!$A$8:$W$8,1,MOD($A34-1,23)+1)&amp;TEXT(CY$2+FLOOR((CY$2-1)/9,1),"000"),"")</f>
        <v/>
      </c>
      <c r="CZ34" s="22" t="str">
        <f>IF(INDEX('Shot Map'!$B$6:$V$26,CEILING($A34/5,1),CEILING(CZ$2/5,1))=1,INDEX('Serial Reference'!$A$8:$W$8,1,FLOOR(($A34-1)/23,1)+1)&amp;INDEX('Serial Reference'!$A$8:$W$8,1,MOD($A34-1,23)+1)&amp;TEXT(CZ$2+FLOOR((CZ$2-1)/9,1),"000"),"")</f>
        <v/>
      </c>
      <c r="DA34" s="22" t="str">
        <f>IF(INDEX('Shot Map'!$B$6:$V$26,CEILING($A34/5,1),CEILING(DA$2/5,1))=1,INDEX('Serial Reference'!$A$8:$W$8,1,FLOOR(($A34-1)/23,1)+1)&amp;INDEX('Serial Reference'!$A$8:$W$8,1,MOD($A34-1,23)+1)&amp;TEXT(DA$2+FLOOR((DA$2-1)/9,1),"000"),"")</f>
        <v/>
      </c>
      <c r="DB34" s="23" t="str">
        <f>IF(INDEX('Shot Map'!$B$6:$V$26,CEILING($A34/5,1),CEILING(DB$2/5,1))=1,INDEX('Serial Reference'!$A$8:$W$8,1,FLOOR(($A34-1)/23,1)+1)&amp;INDEX('Serial Reference'!$A$8:$W$8,1,MOD($A34-1,23)+1)&amp;TEXT(DB$2+FLOOR((DB$2-1)/9,1),"000"),"")</f>
        <v/>
      </c>
    </row>
    <row r="35" spans="1:106" ht="12.75" customHeight="1" x14ac:dyDescent="0.25">
      <c r="A35" s="17">
        <v>33</v>
      </c>
      <c r="B35" s="21" t="str">
        <f>IF(INDEX('Shot Map'!$B$6:$V$26,CEILING($A35/5,1),CEILING(B$2/5,1))=1,INDEX('Serial Reference'!$A$8:$W$8,1,FLOOR(($A35-1)/23,1)+1)&amp;INDEX('Serial Reference'!$A$8:$W$8,1,MOD($A35-1,23)+1)&amp;TEXT(B$2+FLOOR((B$2-1)/9,1),"000"),"")</f>
        <v/>
      </c>
      <c r="C35" s="22" t="str">
        <f>IF(INDEX('Shot Map'!$B$6:$V$26,CEILING($A35/5,1),CEILING(C$2/5,1))=1,INDEX('Serial Reference'!$A$8:$W$8,1,FLOOR(($A35-1)/23,1)+1)&amp;INDEX('Serial Reference'!$A$8:$W$8,1,MOD($A35-1,23)+1)&amp;TEXT(C$2+FLOOR((C$2-1)/9,1),"000"),"")</f>
        <v/>
      </c>
      <c r="D35" s="22" t="str">
        <f>IF(INDEX('Shot Map'!$B$6:$V$26,CEILING($A35/5,1),CEILING(D$2/5,1))=1,INDEX('Serial Reference'!$A$8:$W$8,1,FLOOR(($A35-1)/23,1)+1)&amp;INDEX('Serial Reference'!$A$8:$W$8,1,MOD($A35-1,23)+1)&amp;TEXT(D$2+FLOOR((D$2-1)/9,1),"000"),"")</f>
        <v/>
      </c>
      <c r="E35" s="22" t="str">
        <f>IF(INDEX('Shot Map'!$B$6:$V$26,CEILING($A35/5,1),CEILING(E$2/5,1))=1,INDEX('Serial Reference'!$A$8:$W$8,1,FLOOR(($A35-1)/23,1)+1)&amp;INDEX('Serial Reference'!$A$8:$W$8,1,MOD($A35-1,23)+1)&amp;TEXT(E$2+FLOOR((E$2-1)/9,1),"000"),"")</f>
        <v/>
      </c>
      <c r="F35" s="23" t="str">
        <f>IF(INDEX('Shot Map'!$B$6:$V$26,CEILING($A35/5,1),CEILING(F$2/5,1))=1,INDEX('Serial Reference'!$A$8:$W$8,1,FLOOR(($A35-1)/23,1)+1)&amp;INDEX('Serial Reference'!$A$8:$W$8,1,MOD($A35-1,23)+1)&amp;TEXT(F$2+FLOOR((F$2-1)/9,1),"000"),"")</f>
        <v/>
      </c>
      <c r="G35" s="21" t="str">
        <f>IF(INDEX('Shot Map'!$B$6:$V$26,CEILING($A35/5,1),CEILING(G$2/5,1))=1,INDEX('Serial Reference'!$A$8:$W$8,1,FLOOR(($A35-1)/23,1)+1)&amp;INDEX('Serial Reference'!$A$8:$W$8,1,MOD($A35-1,23)+1)&amp;TEXT(G$2+FLOOR((G$2-1)/9,1),"000"),"")</f>
        <v>BK006</v>
      </c>
      <c r="H35" s="22" t="str">
        <f>IF(INDEX('Shot Map'!$B$6:$V$26,CEILING($A35/5,1),CEILING(H$2/5,1))=1,INDEX('Serial Reference'!$A$8:$W$8,1,FLOOR(($A35-1)/23,1)+1)&amp;INDEX('Serial Reference'!$A$8:$W$8,1,MOD($A35-1,23)+1)&amp;TEXT(H$2+FLOOR((H$2-1)/9,1),"000"),"")</f>
        <v>BK007</v>
      </c>
      <c r="I35" s="22" t="str">
        <f>IF(INDEX('Shot Map'!$B$6:$V$26,CEILING($A35/5,1),CEILING(I$2/5,1))=1,INDEX('Serial Reference'!$A$8:$W$8,1,FLOOR(($A35-1)/23,1)+1)&amp;INDEX('Serial Reference'!$A$8:$W$8,1,MOD($A35-1,23)+1)&amp;TEXT(I$2+FLOOR((I$2-1)/9,1),"000"),"")</f>
        <v>BK008</v>
      </c>
      <c r="J35" s="22" t="str">
        <f>IF(INDEX('Shot Map'!$B$6:$V$26,CEILING($A35/5,1),CEILING(J$2/5,1))=1,INDEX('Serial Reference'!$A$8:$W$8,1,FLOOR(($A35-1)/23,1)+1)&amp;INDEX('Serial Reference'!$A$8:$W$8,1,MOD($A35-1,23)+1)&amp;TEXT(J$2+FLOOR((J$2-1)/9,1),"000"),"")</f>
        <v>BK009</v>
      </c>
      <c r="K35" s="23" t="str">
        <f>IF(INDEX('Shot Map'!$B$6:$V$26,CEILING($A35/5,1),CEILING(K$2/5,1))=1,INDEX('Serial Reference'!$A$8:$W$8,1,FLOOR(($A35-1)/23,1)+1)&amp;INDEX('Serial Reference'!$A$8:$W$8,1,MOD($A35-1,23)+1)&amp;TEXT(K$2+FLOOR((K$2-1)/9,1),"000"),"")</f>
        <v>BK011</v>
      </c>
      <c r="L35" s="21" t="str">
        <f>IF(INDEX('Shot Map'!$B$6:$V$26,CEILING($A35/5,1),CEILING(L$2/5,1))=1,INDEX('Serial Reference'!$A$8:$W$8,1,FLOOR(($A35-1)/23,1)+1)&amp;INDEX('Serial Reference'!$A$8:$W$8,1,MOD($A35-1,23)+1)&amp;TEXT(L$2+FLOOR((L$2-1)/9,1),"000"),"")</f>
        <v>BK012</v>
      </c>
      <c r="M35" s="22" t="str">
        <f>IF(INDEX('Shot Map'!$B$6:$V$26,CEILING($A35/5,1),CEILING(M$2/5,1))=1,INDEX('Serial Reference'!$A$8:$W$8,1,FLOOR(($A35-1)/23,1)+1)&amp;INDEX('Serial Reference'!$A$8:$W$8,1,MOD($A35-1,23)+1)&amp;TEXT(M$2+FLOOR((M$2-1)/9,1),"000"),"")</f>
        <v>BK013</v>
      </c>
      <c r="N35" s="22" t="str">
        <f>IF(INDEX('Shot Map'!$B$6:$V$26,CEILING($A35/5,1),CEILING(N$2/5,1))=1,INDEX('Serial Reference'!$A$8:$W$8,1,FLOOR(($A35-1)/23,1)+1)&amp;INDEX('Serial Reference'!$A$8:$W$8,1,MOD($A35-1,23)+1)&amp;TEXT(N$2+FLOOR((N$2-1)/9,1),"000"),"")</f>
        <v>BK014</v>
      </c>
      <c r="O35" s="22" t="str">
        <f>IF(INDEX('Shot Map'!$B$6:$V$26,CEILING($A35/5,1),CEILING(O$2/5,1))=1,INDEX('Serial Reference'!$A$8:$W$8,1,FLOOR(($A35-1)/23,1)+1)&amp;INDEX('Serial Reference'!$A$8:$W$8,1,MOD($A35-1,23)+1)&amp;TEXT(O$2+FLOOR((O$2-1)/9,1),"000"),"")</f>
        <v>BK015</v>
      </c>
      <c r="P35" s="23" t="str">
        <f>IF(INDEX('Shot Map'!$B$6:$V$26,CEILING($A35/5,1),CEILING(P$2/5,1))=1,INDEX('Serial Reference'!$A$8:$W$8,1,FLOOR(($A35-1)/23,1)+1)&amp;INDEX('Serial Reference'!$A$8:$W$8,1,MOD($A35-1,23)+1)&amp;TEXT(P$2+FLOOR((P$2-1)/9,1),"000"),"")</f>
        <v>BK016</v>
      </c>
      <c r="Q35" s="21" t="str">
        <f>IF(INDEX('Shot Map'!$B$6:$V$26,CEILING($A35/5,1),CEILING(Q$2/5,1))=1,INDEX('Serial Reference'!$A$8:$W$8,1,FLOOR(($A35-1)/23,1)+1)&amp;INDEX('Serial Reference'!$A$8:$W$8,1,MOD($A35-1,23)+1)&amp;TEXT(Q$2+FLOOR((Q$2-1)/9,1),"000"),"")</f>
        <v>BK017</v>
      </c>
      <c r="R35" s="22" t="str">
        <f>IF(INDEX('Shot Map'!$B$6:$V$26,CEILING($A35/5,1),CEILING(R$2/5,1))=1,INDEX('Serial Reference'!$A$8:$W$8,1,FLOOR(($A35-1)/23,1)+1)&amp;INDEX('Serial Reference'!$A$8:$W$8,1,MOD($A35-1,23)+1)&amp;TEXT(R$2+FLOOR((R$2-1)/9,1),"000"),"")</f>
        <v>BK018</v>
      </c>
      <c r="S35" s="22" t="str">
        <f>IF(INDEX('Shot Map'!$B$6:$V$26,CEILING($A35/5,1),CEILING(S$2/5,1))=1,INDEX('Serial Reference'!$A$8:$W$8,1,FLOOR(($A35-1)/23,1)+1)&amp;INDEX('Serial Reference'!$A$8:$W$8,1,MOD($A35-1,23)+1)&amp;TEXT(S$2+FLOOR((S$2-1)/9,1),"000"),"")</f>
        <v>BK019</v>
      </c>
      <c r="T35" s="22" t="str">
        <f>IF(INDEX('Shot Map'!$B$6:$V$26,CEILING($A35/5,1),CEILING(T$2/5,1))=1,INDEX('Serial Reference'!$A$8:$W$8,1,FLOOR(($A35-1)/23,1)+1)&amp;INDEX('Serial Reference'!$A$8:$W$8,1,MOD($A35-1,23)+1)&amp;TEXT(T$2+FLOOR((T$2-1)/9,1),"000"),"")</f>
        <v>BK021</v>
      </c>
      <c r="U35" s="23" t="str">
        <f>IF(INDEX('Shot Map'!$B$6:$V$26,CEILING($A35/5,1),CEILING(U$2/5,1))=1,INDEX('Serial Reference'!$A$8:$W$8,1,FLOOR(($A35-1)/23,1)+1)&amp;INDEX('Serial Reference'!$A$8:$W$8,1,MOD($A35-1,23)+1)&amp;TEXT(U$2+FLOOR((U$2-1)/9,1),"000"),"")</f>
        <v>BK022</v>
      </c>
      <c r="V35" s="21" t="str">
        <f>IF(INDEX('Shot Map'!$B$6:$V$26,CEILING($A35/5,1),CEILING(V$2/5,1))=1,INDEX('Serial Reference'!$A$8:$W$8,1,FLOOR(($A35-1)/23,1)+1)&amp;INDEX('Serial Reference'!$A$8:$W$8,1,MOD($A35-1,23)+1)&amp;TEXT(V$2+FLOOR((V$2-1)/9,1),"000"),"")</f>
        <v>BK023</v>
      </c>
      <c r="W35" s="22" t="str">
        <f>IF(INDEX('Shot Map'!$B$6:$V$26,CEILING($A35/5,1),CEILING(W$2/5,1))=1,INDEX('Serial Reference'!$A$8:$W$8,1,FLOOR(($A35-1)/23,1)+1)&amp;INDEX('Serial Reference'!$A$8:$W$8,1,MOD($A35-1,23)+1)&amp;TEXT(W$2+FLOOR((W$2-1)/9,1),"000"),"")</f>
        <v>BK024</v>
      </c>
      <c r="X35" s="22" t="str">
        <f>IF(INDEX('Shot Map'!$B$6:$V$26,CEILING($A35/5,1),CEILING(X$2/5,1))=1,INDEX('Serial Reference'!$A$8:$W$8,1,FLOOR(($A35-1)/23,1)+1)&amp;INDEX('Serial Reference'!$A$8:$W$8,1,MOD($A35-1,23)+1)&amp;TEXT(X$2+FLOOR((X$2-1)/9,1),"000"),"")</f>
        <v>BK025</v>
      </c>
      <c r="Y35" s="22" t="str">
        <f>IF(INDEX('Shot Map'!$B$6:$V$26,CEILING($A35/5,1),CEILING(Y$2/5,1))=1,INDEX('Serial Reference'!$A$8:$W$8,1,FLOOR(($A35-1)/23,1)+1)&amp;INDEX('Serial Reference'!$A$8:$W$8,1,MOD($A35-1,23)+1)&amp;TEXT(Y$2+FLOOR((Y$2-1)/9,1),"000"),"")</f>
        <v>BK026</v>
      </c>
      <c r="Z35" s="23" t="str">
        <f>IF(INDEX('Shot Map'!$B$6:$V$26,CEILING($A35/5,1),CEILING(Z$2/5,1))=1,INDEX('Serial Reference'!$A$8:$W$8,1,FLOOR(($A35-1)/23,1)+1)&amp;INDEX('Serial Reference'!$A$8:$W$8,1,MOD($A35-1,23)+1)&amp;TEXT(Z$2+FLOOR((Z$2-1)/9,1),"000"),"")</f>
        <v>BK027</v>
      </c>
      <c r="AA35" s="21" t="str">
        <f>IF(INDEX('Shot Map'!$B$6:$V$26,CEILING($A35/5,1),CEILING(AA$2/5,1))=1,INDEX('Serial Reference'!$A$8:$W$8,1,FLOOR(($A35-1)/23,1)+1)&amp;INDEX('Serial Reference'!$A$8:$W$8,1,MOD($A35-1,23)+1)&amp;TEXT(AA$2+FLOOR((AA$2-1)/9,1),"000"),"")</f>
        <v>BK028</v>
      </c>
      <c r="AB35" s="22" t="str">
        <f>IF(INDEX('Shot Map'!$B$6:$V$26,CEILING($A35/5,1),CEILING(AB$2/5,1))=1,INDEX('Serial Reference'!$A$8:$W$8,1,FLOOR(($A35-1)/23,1)+1)&amp;INDEX('Serial Reference'!$A$8:$W$8,1,MOD($A35-1,23)+1)&amp;TEXT(AB$2+FLOOR((AB$2-1)/9,1),"000"),"")</f>
        <v>BK029</v>
      </c>
      <c r="AC35" s="22" t="str">
        <f>IF(INDEX('Shot Map'!$B$6:$V$26,CEILING($A35/5,1),CEILING(AC$2/5,1))=1,INDEX('Serial Reference'!$A$8:$W$8,1,FLOOR(($A35-1)/23,1)+1)&amp;INDEX('Serial Reference'!$A$8:$W$8,1,MOD($A35-1,23)+1)&amp;TEXT(AC$2+FLOOR((AC$2-1)/9,1),"000"),"")</f>
        <v>BK031</v>
      </c>
      <c r="AD35" s="22" t="str">
        <f>IF(INDEX('Shot Map'!$B$6:$V$26,CEILING($A35/5,1),CEILING(AD$2/5,1))=1,INDEX('Serial Reference'!$A$8:$W$8,1,FLOOR(($A35-1)/23,1)+1)&amp;INDEX('Serial Reference'!$A$8:$W$8,1,MOD($A35-1,23)+1)&amp;TEXT(AD$2+FLOOR((AD$2-1)/9,1),"000"),"")</f>
        <v>BK032</v>
      </c>
      <c r="AE35" s="23" t="str">
        <f>IF(INDEX('Shot Map'!$B$6:$V$26,CEILING($A35/5,1),CEILING(AE$2/5,1))=1,INDEX('Serial Reference'!$A$8:$W$8,1,FLOOR(($A35-1)/23,1)+1)&amp;INDEX('Serial Reference'!$A$8:$W$8,1,MOD($A35-1,23)+1)&amp;TEXT(AE$2+FLOOR((AE$2-1)/9,1),"000"),"")</f>
        <v>BK033</v>
      </c>
      <c r="AF35" s="21" t="str">
        <f>IF(INDEX('Shot Map'!$B$6:$V$26,CEILING($A35/5,1),CEILING(AF$2/5,1))=1,INDEX('Serial Reference'!$A$8:$W$8,1,FLOOR(($A35-1)/23,1)+1)&amp;INDEX('Serial Reference'!$A$8:$W$8,1,MOD($A35-1,23)+1)&amp;TEXT(AF$2+FLOOR((AF$2-1)/9,1),"000"),"")</f>
        <v>BK034</v>
      </c>
      <c r="AG35" s="22" t="str">
        <f>IF(INDEX('Shot Map'!$B$6:$V$26,CEILING($A35/5,1),CEILING(AG$2/5,1))=1,INDEX('Serial Reference'!$A$8:$W$8,1,FLOOR(($A35-1)/23,1)+1)&amp;INDEX('Serial Reference'!$A$8:$W$8,1,MOD($A35-1,23)+1)&amp;TEXT(AG$2+FLOOR((AG$2-1)/9,1),"000"),"")</f>
        <v>BK035</v>
      </c>
      <c r="AH35" s="22" t="str">
        <f>IF(INDEX('Shot Map'!$B$6:$V$26,CEILING($A35/5,1),CEILING(AH$2/5,1))=1,INDEX('Serial Reference'!$A$8:$W$8,1,FLOOR(($A35-1)/23,1)+1)&amp;INDEX('Serial Reference'!$A$8:$W$8,1,MOD($A35-1,23)+1)&amp;TEXT(AH$2+FLOOR((AH$2-1)/9,1),"000"),"")</f>
        <v>BK036</v>
      </c>
      <c r="AI35" s="22" t="str">
        <f>IF(INDEX('Shot Map'!$B$6:$V$26,CEILING($A35/5,1),CEILING(AI$2/5,1))=1,INDEX('Serial Reference'!$A$8:$W$8,1,FLOOR(($A35-1)/23,1)+1)&amp;INDEX('Serial Reference'!$A$8:$W$8,1,MOD($A35-1,23)+1)&amp;TEXT(AI$2+FLOOR((AI$2-1)/9,1),"000"),"")</f>
        <v>BK037</v>
      </c>
      <c r="AJ35" s="23" t="str">
        <f>IF(INDEX('Shot Map'!$B$6:$V$26,CEILING($A35/5,1),CEILING(AJ$2/5,1))=1,INDEX('Serial Reference'!$A$8:$W$8,1,FLOOR(($A35-1)/23,1)+1)&amp;INDEX('Serial Reference'!$A$8:$W$8,1,MOD($A35-1,23)+1)&amp;TEXT(AJ$2+FLOOR((AJ$2-1)/9,1),"000"),"")</f>
        <v>BK038</v>
      </c>
      <c r="AK35" s="21" t="str">
        <f>IF(INDEX('Shot Map'!$B$6:$V$26,CEILING($A35/5,1),CEILING(AK$2/5,1))=1,INDEX('Serial Reference'!$A$8:$W$8,1,FLOOR(($A35-1)/23,1)+1)&amp;INDEX('Serial Reference'!$A$8:$W$8,1,MOD($A35-1,23)+1)&amp;TEXT(AK$2+FLOOR((AK$2-1)/9,1),"000"),"")</f>
        <v>BK039</v>
      </c>
      <c r="AL35" s="22" t="str">
        <f>IF(INDEX('Shot Map'!$B$6:$V$26,CEILING($A35/5,1),CEILING(AL$2/5,1))=1,INDEX('Serial Reference'!$A$8:$W$8,1,FLOOR(($A35-1)/23,1)+1)&amp;INDEX('Serial Reference'!$A$8:$W$8,1,MOD($A35-1,23)+1)&amp;TEXT(AL$2+FLOOR((AL$2-1)/9,1),"000"),"")</f>
        <v>BK041</v>
      </c>
      <c r="AM35" s="22" t="str">
        <f>IF(INDEX('Shot Map'!$B$6:$V$26,CEILING($A35/5,1),CEILING(AM$2/5,1))=1,INDEX('Serial Reference'!$A$8:$W$8,1,FLOOR(($A35-1)/23,1)+1)&amp;INDEX('Serial Reference'!$A$8:$W$8,1,MOD($A35-1,23)+1)&amp;TEXT(AM$2+FLOOR((AM$2-1)/9,1),"000"),"")</f>
        <v>BK042</v>
      </c>
      <c r="AN35" s="22" t="str">
        <f>IF(INDEX('Shot Map'!$B$6:$V$26,CEILING($A35/5,1),CEILING(AN$2/5,1))=1,INDEX('Serial Reference'!$A$8:$W$8,1,FLOOR(($A35-1)/23,1)+1)&amp;INDEX('Serial Reference'!$A$8:$W$8,1,MOD($A35-1,23)+1)&amp;TEXT(AN$2+FLOOR((AN$2-1)/9,1),"000"),"")</f>
        <v>BK043</v>
      </c>
      <c r="AO35" s="23" t="str">
        <f>IF(INDEX('Shot Map'!$B$6:$V$26,CEILING($A35/5,1),CEILING(AO$2/5,1))=1,INDEX('Serial Reference'!$A$8:$W$8,1,FLOOR(($A35-1)/23,1)+1)&amp;INDEX('Serial Reference'!$A$8:$W$8,1,MOD($A35-1,23)+1)&amp;TEXT(AO$2+FLOOR((AO$2-1)/9,1),"000"),"")</f>
        <v>BK044</v>
      </c>
      <c r="AP35" s="21" t="str">
        <f>IF(INDEX('Shot Map'!$B$6:$V$26,CEILING($A35/5,1),CEILING(AP$2/5,1))=1,INDEX('Serial Reference'!$A$8:$W$8,1,FLOOR(($A35-1)/23,1)+1)&amp;INDEX('Serial Reference'!$A$8:$W$8,1,MOD($A35-1,23)+1)&amp;TEXT(AP$2+FLOOR((AP$2-1)/9,1),"000"),"")</f>
        <v>BK045</v>
      </c>
      <c r="AQ35" s="22" t="str">
        <f>IF(INDEX('Shot Map'!$B$6:$V$26,CEILING($A35/5,1),CEILING(AQ$2/5,1))=1,INDEX('Serial Reference'!$A$8:$W$8,1,FLOOR(($A35-1)/23,1)+1)&amp;INDEX('Serial Reference'!$A$8:$W$8,1,MOD($A35-1,23)+1)&amp;TEXT(AQ$2+FLOOR((AQ$2-1)/9,1),"000"),"")</f>
        <v>BK046</v>
      </c>
      <c r="AR35" s="22" t="str">
        <f>IF(INDEX('Shot Map'!$B$6:$V$26,CEILING($A35/5,1),CEILING(AR$2/5,1))=1,INDEX('Serial Reference'!$A$8:$W$8,1,FLOOR(($A35-1)/23,1)+1)&amp;INDEX('Serial Reference'!$A$8:$W$8,1,MOD($A35-1,23)+1)&amp;TEXT(AR$2+FLOOR((AR$2-1)/9,1),"000"),"")</f>
        <v>BK047</v>
      </c>
      <c r="AS35" s="22" t="str">
        <f>IF(INDEX('Shot Map'!$B$6:$V$26,CEILING($A35/5,1),CEILING(AS$2/5,1))=1,INDEX('Serial Reference'!$A$8:$W$8,1,FLOOR(($A35-1)/23,1)+1)&amp;INDEX('Serial Reference'!$A$8:$W$8,1,MOD($A35-1,23)+1)&amp;TEXT(AS$2+FLOOR((AS$2-1)/9,1),"000"),"")</f>
        <v>BK048</v>
      </c>
      <c r="AT35" s="23" t="str">
        <f>IF(INDEX('Shot Map'!$B$6:$V$26,CEILING($A35/5,1),CEILING(AT$2/5,1))=1,INDEX('Serial Reference'!$A$8:$W$8,1,FLOOR(($A35-1)/23,1)+1)&amp;INDEX('Serial Reference'!$A$8:$W$8,1,MOD($A35-1,23)+1)&amp;TEXT(AT$2+FLOOR((AT$2-1)/9,1),"000"),"")</f>
        <v>BK049</v>
      </c>
      <c r="AU35" s="21" t="str">
        <f>IF(INDEX('Shot Map'!$B$6:$V$26,CEILING($A35/5,1),CEILING(AU$2/5,1))=1,INDEX('Serial Reference'!$A$8:$W$8,1,FLOOR(($A35-1)/23,1)+1)&amp;INDEX('Serial Reference'!$A$8:$W$8,1,MOD($A35-1,23)+1)&amp;TEXT(AU$2+FLOOR((AU$2-1)/9,1),"000"),"")</f>
        <v>BK051</v>
      </c>
      <c r="AV35" s="22" t="str">
        <f>IF(INDEX('Shot Map'!$B$6:$V$26,CEILING($A35/5,1),CEILING(AV$2/5,1))=1,INDEX('Serial Reference'!$A$8:$W$8,1,FLOOR(($A35-1)/23,1)+1)&amp;INDEX('Serial Reference'!$A$8:$W$8,1,MOD($A35-1,23)+1)&amp;TEXT(AV$2+FLOOR((AV$2-1)/9,1),"000"),"")</f>
        <v>BK052</v>
      </c>
      <c r="AW35" s="22" t="str">
        <f>IF(INDEX('Shot Map'!$B$6:$V$26,CEILING($A35/5,1),CEILING(AW$2/5,1))=1,INDEX('Serial Reference'!$A$8:$W$8,1,FLOOR(($A35-1)/23,1)+1)&amp;INDEX('Serial Reference'!$A$8:$W$8,1,MOD($A35-1,23)+1)&amp;TEXT(AW$2+FLOOR((AW$2-1)/9,1),"000"),"")</f>
        <v>BK053</v>
      </c>
      <c r="AX35" s="22" t="str">
        <f>IF(INDEX('Shot Map'!$B$6:$V$26,CEILING($A35/5,1),CEILING(AX$2/5,1))=1,INDEX('Serial Reference'!$A$8:$W$8,1,FLOOR(($A35-1)/23,1)+1)&amp;INDEX('Serial Reference'!$A$8:$W$8,1,MOD($A35-1,23)+1)&amp;TEXT(AX$2+FLOOR((AX$2-1)/9,1),"000"),"")</f>
        <v>BK054</v>
      </c>
      <c r="AY35" s="23" t="str">
        <f>IF(INDEX('Shot Map'!$B$6:$V$26,CEILING($A35/5,1),CEILING(AY$2/5,1))=1,INDEX('Serial Reference'!$A$8:$W$8,1,FLOOR(($A35-1)/23,1)+1)&amp;INDEX('Serial Reference'!$A$8:$W$8,1,MOD($A35-1,23)+1)&amp;TEXT(AY$2+FLOOR((AY$2-1)/9,1),"000"),"")</f>
        <v>BK055</v>
      </c>
      <c r="AZ35" s="21" t="str">
        <f>IF(INDEX('Shot Map'!$B$6:$V$26,CEILING($A35/5,1),CEILING(AZ$2/5,1))=1,INDEX('Serial Reference'!$A$8:$W$8,1,FLOOR(($A35-1)/23,1)+1)&amp;INDEX('Serial Reference'!$A$8:$W$8,1,MOD($A35-1,23)+1)&amp;TEXT(AZ$2+FLOOR((AZ$2-1)/9,1),"000"),"")</f>
        <v>BK056</v>
      </c>
      <c r="BA35" s="22" t="str">
        <f>IF(INDEX('Shot Map'!$B$6:$V$26,CEILING($A35/5,1),CEILING(BA$2/5,1))=1,INDEX('Serial Reference'!$A$8:$W$8,1,FLOOR(($A35-1)/23,1)+1)&amp;INDEX('Serial Reference'!$A$8:$W$8,1,MOD($A35-1,23)+1)&amp;TEXT(BA$2+FLOOR((BA$2-1)/9,1),"000"),"")</f>
        <v>BK057</v>
      </c>
      <c r="BB35" s="22" t="str">
        <f>IF(INDEX('Shot Map'!$B$6:$V$26,CEILING($A35/5,1),CEILING(BB$2/5,1))=1,INDEX('Serial Reference'!$A$8:$W$8,1,FLOOR(($A35-1)/23,1)+1)&amp;INDEX('Serial Reference'!$A$8:$W$8,1,MOD($A35-1,23)+1)&amp;TEXT(BB$2+FLOOR((BB$2-1)/9,1),"000"),"")</f>
        <v>BK058</v>
      </c>
      <c r="BC35" s="22" t="str">
        <f>IF(INDEX('Shot Map'!$B$6:$V$26,CEILING($A35/5,1),CEILING(BC$2/5,1))=1,INDEX('Serial Reference'!$A$8:$W$8,1,FLOOR(($A35-1)/23,1)+1)&amp;INDEX('Serial Reference'!$A$8:$W$8,1,MOD($A35-1,23)+1)&amp;TEXT(BC$2+FLOOR((BC$2-1)/9,1),"000"),"")</f>
        <v>BK059</v>
      </c>
      <c r="BD35" s="23" t="str">
        <f>IF(INDEX('Shot Map'!$B$6:$V$26,CEILING($A35/5,1),CEILING(BD$2/5,1))=1,INDEX('Serial Reference'!$A$8:$W$8,1,FLOOR(($A35-1)/23,1)+1)&amp;INDEX('Serial Reference'!$A$8:$W$8,1,MOD($A35-1,23)+1)&amp;TEXT(BD$2+FLOOR((BD$2-1)/9,1),"000"),"")</f>
        <v>BK061</v>
      </c>
      <c r="BE35" s="21" t="str">
        <f>IF(INDEX('Shot Map'!$B$6:$V$26,CEILING($A35/5,1),CEILING(BE$2/5,1))=1,INDEX('Serial Reference'!$A$8:$W$8,1,FLOOR(($A35-1)/23,1)+1)&amp;INDEX('Serial Reference'!$A$8:$W$8,1,MOD($A35-1,23)+1)&amp;TEXT(BE$2+FLOOR((BE$2-1)/9,1),"000"),"")</f>
        <v>BK062</v>
      </c>
      <c r="BF35" s="22" t="str">
        <f>IF(INDEX('Shot Map'!$B$6:$V$26,CEILING($A35/5,1),CEILING(BF$2/5,1))=1,INDEX('Serial Reference'!$A$8:$W$8,1,FLOOR(($A35-1)/23,1)+1)&amp;INDEX('Serial Reference'!$A$8:$W$8,1,MOD($A35-1,23)+1)&amp;TEXT(BF$2+FLOOR((BF$2-1)/9,1),"000"),"")</f>
        <v>BK063</v>
      </c>
      <c r="BG35" s="22" t="str">
        <f>IF(INDEX('Shot Map'!$B$6:$V$26,CEILING($A35/5,1),CEILING(BG$2/5,1))=1,INDEX('Serial Reference'!$A$8:$W$8,1,FLOOR(($A35-1)/23,1)+1)&amp;INDEX('Serial Reference'!$A$8:$W$8,1,MOD($A35-1,23)+1)&amp;TEXT(BG$2+FLOOR((BG$2-1)/9,1),"000"),"")</f>
        <v>BK064</v>
      </c>
      <c r="BH35" s="22" t="str">
        <f>IF(INDEX('Shot Map'!$B$6:$V$26,CEILING($A35/5,1),CEILING(BH$2/5,1))=1,INDEX('Serial Reference'!$A$8:$W$8,1,FLOOR(($A35-1)/23,1)+1)&amp;INDEX('Serial Reference'!$A$8:$W$8,1,MOD($A35-1,23)+1)&amp;TEXT(BH$2+FLOOR((BH$2-1)/9,1),"000"),"")</f>
        <v>BK065</v>
      </c>
      <c r="BI35" s="23" t="str">
        <f>IF(INDEX('Shot Map'!$B$6:$V$26,CEILING($A35/5,1),CEILING(BI$2/5,1))=1,INDEX('Serial Reference'!$A$8:$W$8,1,FLOOR(($A35-1)/23,1)+1)&amp;INDEX('Serial Reference'!$A$8:$W$8,1,MOD($A35-1,23)+1)&amp;TEXT(BI$2+FLOOR((BI$2-1)/9,1),"000"),"")</f>
        <v>BK066</v>
      </c>
      <c r="BJ35" s="21" t="str">
        <f>IF(INDEX('Shot Map'!$B$6:$V$26,CEILING($A35/5,1),CEILING(BJ$2/5,1))=1,INDEX('Serial Reference'!$A$8:$W$8,1,FLOOR(($A35-1)/23,1)+1)&amp;INDEX('Serial Reference'!$A$8:$W$8,1,MOD($A35-1,23)+1)&amp;TEXT(BJ$2+FLOOR((BJ$2-1)/9,1),"000"),"")</f>
        <v>BK067</v>
      </c>
      <c r="BK35" s="22" t="str">
        <f>IF(INDEX('Shot Map'!$B$6:$V$26,CEILING($A35/5,1),CEILING(BK$2/5,1))=1,INDEX('Serial Reference'!$A$8:$W$8,1,FLOOR(($A35-1)/23,1)+1)&amp;INDEX('Serial Reference'!$A$8:$W$8,1,MOD($A35-1,23)+1)&amp;TEXT(BK$2+FLOOR((BK$2-1)/9,1),"000"),"")</f>
        <v>BK068</v>
      </c>
      <c r="BL35" s="22" t="str">
        <f>IF(INDEX('Shot Map'!$B$6:$V$26,CEILING($A35/5,1),CEILING(BL$2/5,1))=1,INDEX('Serial Reference'!$A$8:$W$8,1,FLOOR(($A35-1)/23,1)+1)&amp;INDEX('Serial Reference'!$A$8:$W$8,1,MOD($A35-1,23)+1)&amp;TEXT(BL$2+FLOOR((BL$2-1)/9,1),"000"),"")</f>
        <v>BK069</v>
      </c>
      <c r="BM35" s="22" t="str">
        <f>IF(INDEX('Shot Map'!$B$6:$V$26,CEILING($A35/5,1),CEILING(BM$2/5,1))=1,INDEX('Serial Reference'!$A$8:$W$8,1,FLOOR(($A35-1)/23,1)+1)&amp;INDEX('Serial Reference'!$A$8:$W$8,1,MOD($A35-1,23)+1)&amp;TEXT(BM$2+FLOOR((BM$2-1)/9,1),"000"),"")</f>
        <v>BK071</v>
      </c>
      <c r="BN35" s="23" t="str">
        <f>IF(INDEX('Shot Map'!$B$6:$V$26,CEILING($A35/5,1),CEILING(BN$2/5,1))=1,INDEX('Serial Reference'!$A$8:$W$8,1,FLOOR(($A35-1)/23,1)+1)&amp;INDEX('Serial Reference'!$A$8:$W$8,1,MOD($A35-1,23)+1)&amp;TEXT(BN$2+FLOOR((BN$2-1)/9,1),"000"),"")</f>
        <v>BK072</v>
      </c>
      <c r="BO35" s="21" t="str">
        <f>IF(INDEX('Shot Map'!$B$6:$V$26,CEILING($A35/5,1),CEILING(BO$2/5,1))=1,INDEX('Serial Reference'!$A$8:$W$8,1,FLOOR(($A35-1)/23,1)+1)&amp;INDEX('Serial Reference'!$A$8:$W$8,1,MOD($A35-1,23)+1)&amp;TEXT(BO$2+FLOOR((BO$2-1)/9,1),"000"),"")</f>
        <v>BK073</v>
      </c>
      <c r="BP35" s="22" t="str">
        <f>IF(INDEX('Shot Map'!$B$6:$V$26,CEILING($A35/5,1),CEILING(BP$2/5,1))=1,INDEX('Serial Reference'!$A$8:$W$8,1,FLOOR(($A35-1)/23,1)+1)&amp;INDEX('Serial Reference'!$A$8:$W$8,1,MOD($A35-1,23)+1)&amp;TEXT(BP$2+FLOOR((BP$2-1)/9,1),"000"),"")</f>
        <v>BK074</v>
      </c>
      <c r="BQ35" s="22" t="str">
        <f>IF(INDEX('Shot Map'!$B$6:$V$26,CEILING($A35/5,1),CEILING(BQ$2/5,1))=1,INDEX('Serial Reference'!$A$8:$W$8,1,FLOOR(($A35-1)/23,1)+1)&amp;INDEX('Serial Reference'!$A$8:$W$8,1,MOD($A35-1,23)+1)&amp;TEXT(BQ$2+FLOOR((BQ$2-1)/9,1),"000"),"")</f>
        <v>BK075</v>
      </c>
      <c r="BR35" s="22" t="str">
        <f>IF(INDEX('Shot Map'!$B$6:$V$26,CEILING($A35/5,1),CEILING(BR$2/5,1))=1,INDEX('Serial Reference'!$A$8:$W$8,1,FLOOR(($A35-1)/23,1)+1)&amp;INDEX('Serial Reference'!$A$8:$W$8,1,MOD($A35-1,23)+1)&amp;TEXT(BR$2+FLOOR((BR$2-1)/9,1),"000"),"")</f>
        <v>BK076</v>
      </c>
      <c r="BS35" s="23" t="str">
        <f>IF(INDEX('Shot Map'!$B$6:$V$26,CEILING($A35/5,1),CEILING(BS$2/5,1))=1,INDEX('Serial Reference'!$A$8:$W$8,1,FLOOR(($A35-1)/23,1)+1)&amp;INDEX('Serial Reference'!$A$8:$W$8,1,MOD($A35-1,23)+1)&amp;TEXT(BS$2+FLOOR((BS$2-1)/9,1),"000"),"")</f>
        <v>BK077</v>
      </c>
      <c r="BT35" s="21" t="str">
        <f>IF(INDEX('Shot Map'!$B$6:$V$26,CEILING($A35/5,1),CEILING(BT$2/5,1))=1,INDEX('Serial Reference'!$A$8:$W$8,1,FLOOR(($A35-1)/23,1)+1)&amp;INDEX('Serial Reference'!$A$8:$W$8,1,MOD($A35-1,23)+1)&amp;TEXT(BT$2+FLOOR((BT$2-1)/9,1),"000"),"")</f>
        <v>BK078</v>
      </c>
      <c r="BU35" s="22" t="str">
        <f>IF(INDEX('Shot Map'!$B$6:$V$26,CEILING($A35/5,1),CEILING(BU$2/5,1))=1,INDEX('Serial Reference'!$A$8:$W$8,1,FLOOR(($A35-1)/23,1)+1)&amp;INDEX('Serial Reference'!$A$8:$W$8,1,MOD($A35-1,23)+1)&amp;TEXT(BU$2+FLOOR((BU$2-1)/9,1),"000"),"")</f>
        <v>BK079</v>
      </c>
      <c r="BV35" s="22" t="str">
        <f>IF(INDEX('Shot Map'!$B$6:$V$26,CEILING($A35/5,1),CEILING(BV$2/5,1))=1,INDEX('Serial Reference'!$A$8:$W$8,1,FLOOR(($A35-1)/23,1)+1)&amp;INDEX('Serial Reference'!$A$8:$W$8,1,MOD($A35-1,23)+1)&amp;TEXT(BV$2+FLOOR((BV$2-1)/9,1),"000"),"")</f>
        <v>BK081</v>
      </c>
      <c r="BW35" s="22" t="str">
        <f>IF(INDEX('Shot Map'!$B$6:$V$26,CEILING($A35/5,1),CEILING(BW$2/5,1))=1,INDEX('Serial Reference'!$A$8:$W$8,1,FLOOR(($A35-1)/23,1)+1)&amp;INDEX('Serial Reference'!$A$8:$W$8,1,MOD($A35-1,23)+1)&amp;TEXT(BW$2+FLOOR((BW$2-1)/9,1),"000"),"")</f>
        <v>BK082</v>
      </c>
      <c r="BX35" s="23" t="str">
        <f>IF(INDEX('Shot Map'!$B$6:$V$26,CEILING($A35/5,1),CEILING(BX$2/5,1))=1,INDEX('Serial Reference'!$A$8:$W$8,1,FLOOR(($A35-1)/23,1)+1)&amp;INDEX('Serial Reference'!$A$8:$W$8,1,MOD($A35-1,23)+1)&amp;TEXT(BX$2+FLOOR((BX$2-1)/9,1),"000"),"")</f>
        <v>BK083</v>
      </c>
      <c r="BY35" s="21" t="str">
        <f>IF(INDEX('Shot Map'!$B$6:$V$26,CEILING($A35/5,1),CEILING(BY$2/5,1))=1,INDEX('Serial Reference'!$A$8:$W$8,1,FLOOR(($A35-1)/23,1)+1)&amp;INDEX('Serial Reference'!$A$8:$W$8,1,MOD($A35-1,23)+1)&amp;TEXT(BY$2+FLOOR((BY$2-1)/9,1),"000"),"")</f>
        <v>BK084</v>
      </c>
      <c r="BZ35" s="22" t="str">
        <f>IF(INDEX('Shot Map'!$B$6:$V$26,CEILING($A35/5,1),CEILING(BZ$2/5,1))=1,INDEX('Serial Reference'!$A$8:$W$8,1,FLOOR(($A35-1)/23,1)+1)&amp;INDEX('Serial Reference'!$A$8:$W$8,1,MOD($A35-1,23)+1)&amp;TEXT(BZ$2+FLOOR((BZ$2-1)/9,1),"000"),"")</f>
        <v>BK085</v>
      </c>
      <c r="CA35" s="22" t="str">
        <f>IF(INDEX('Shot Map'!$B$6:$V$26,CEILING($A35/5,1),CEILING(CA$2/5,1))=1,INDEX('Serial Reference'!$A$8:$W$8,1,FLOOR(($A35-1)/23,1)+1)&amp;INDEX('Serial Reference'!$A$8:$W$8,1,MOD($A35-1,23)+1)&amp;TEXT(CA$2+FLOOR((CA$2-1)/9,1),"000"),"")</f>
        <v>BK086</v>
      </c>
      <c r="CB35" s="22" t="str">
        <f>IF(INDEX('Shot Map'!$B$6:$V$26,CEILING($A35/5,1),CEILING(CB$2/5,1))=1,INDEX('Serial Reference'!$A$8:$W$8,1,FLOOR(($A35-1)/23,1)+1)&amp;INDEX('Serial Reference'!$A$8:$W$8,1,MOD($A35-1,23)+1)&amp;TEXT(CB$2+FLOOR((CB$2-1)/9,1),"000"),"")</f>
        <v>BK087</v>
      </c>
      <c r="CC35" s="23" t="str">
        <f>IF(INDEX('Shot Map'!$B$6:$V$26,CEILING($A35/5,1),CEILING(CC$2/5,1))=1,INDEX('Serial Reference'!$A$8:$W$8,1,FLOOR(($A35-1)/23,1)+1)&amp;INDEX('Serial Reference'!$A$8:$W$8,1,MOD($A35-1,23)+1)&amp;TEXT(CC$2+FLOOR((CC$2-1)/9,1),"000"),"")</f>
        <v>BK088</v>
      </c>
      <c r="CD35" s="21" t="str">
        <f>IF(INDEX('Shot Map'!$B$6:$V$26,CEILING($A35/5,1),CEILING(CD$2/5,1))=1,INDEX('Serial Reference'!$A$8:$W$8,1,FLOOR(($A35-1)/23,1)+1)&amp;INDEX('Serial Reference'!$A$8:$W$8,1,MOD($A35-1,23)+1)&amp;TEXT(CD$2+FLOOR((CD$2-1)/9,1),"000"),"")</f>
        <v>BK089</v>
      </c>
      <c r="CE35" s="22" t="str">
        <f>IF(INDEX('Shot Map'!$B$6:$V$26,CEILING($A35/5,1),CEILING(CE$2/5,1))=1,INDEX('Serial Reference'!$A$8:$W$8,1,FLOOR(($A35-1)/23,1)+1)&amp;INDEX('Serial Reference'!$A$8:$W$8,1,MOD($A35-1,23)+1)&amp;TEXT(CE$2+FLOOR((CE$2-1)/9,1),"000"),"")</f>
        <v>BK091</v>
      </c>
      <c r="CF35" s="22" t="str">
        <f>IF(INDEX('Shot Map'!$B$6:$V$26,CEILING($A35/5,1),CEILING(CF$2/5,1))=1,INDEX('Serial Reference'!$A$8:$W$8,1,FLOOR(($A35-1)/23,1)+1)&amp;INDEX('Serial Reference'!$A$8:$W$8,1,MOD($A35-1,23)+1)&amp;TEXT(CF$2+FLOOR((CF$2-1)/9,1),"000"),"")</f>
        <v>BK092</v>
      </c>
      <c r="CG35" s="22" t="str">
        <f>IF(INDEX('Shot Map'!$B$6:$V$26,CEILING($A35/5,1),CEILING(CG$2/5,1))=1,INDEX('Serial Reference'!$A$8:$W$8,1,FLOOR(($A35-1)/23,1)+1)&amp;INDEX('Serial Reference'!$A$8:$W$8,1,MOD($A35-1,23)+1)&amp;TEXT(CG$2+FLOOR((CG$2-1)/9,1),"000"),"")</f>
        <v>BK093</v>
      </c>
      <c r="CH35" s="23" t="str">
        <f>IF(INDEX('Shot Map'!$B$6:$V$26,CEILING($A35/5,1),CEILING(CH$2/5,1))=1,INDEX('Serial Reference'!$A$8:$W$8,1,FLOOR(($A35-1)/23,1)+1)&amp;INDEX('Serial Reference'!$A$8:$W$8,1,MOD($A35-1,23)+1)&amp;TEXT(CH$2+FLOOR((CH$2-1)/9,1),"000"),"")</f>
        <v>BK094</v>
      </c>
      <c r="CI35" s="21" t="str">
        <f>IF(INDEX('Shot Map'!$B$6:$V$26,CEILING($A35/5,1),CEILING(CI$2/5,1))=1,INDEX('Serial Reference'!$A$8:$W$8,1,FLOOR(($A35-1)/23,1)+1)&amp;INDEX('Serial Reference'!$A$8:$W$8,1,MOD($A35-1,23)+1)&amp;TEXT(CI$2+FLOOR((CI$2-1)/9,1),"000"),"")</f>
        <v>BK095</v>
      </c>
      <c r="CJ35" s="22" t="str">
        <f>IF(INDEX('Shot Map'!$B$6:$V$26,CEILING($A35/5,1),CEILING(CJ$2/5,1))=1,INDEX('Serial Reference'!$A$8:$W$8,1,FLOOR(($A35-1)/23,1)+1)&amp;INDEX('Serial Reference'!$A$8:$W$8,1,MOD($A35-1,23)+1)&amp;TEXT(CJ$2+FLOOR((CJ$2-1)/9,1),"000"),"")</f>
        <v>BK096</v>
      </c>
      <c r="CK35" s="22" t="str">
        <f>IF(INDEX('Shot Map'!$B$6:$V$26,CEILING($A35/5,1),CEILING(CK$2/5,1))=1,INDEX('Serial Reference'!$A$8:$W$8,1,FLOOR(($A35-1)/23,1)+1)&amp;INDEX('Serial Reference'!$A$8:$W$8,1,MOD($A35-1,23)+1)&amp;TEXT(CK$2+FLOOR((CK$2-1)/9,1),"000"),"")</f>
        <v>BK097</v>
      </c>
      <c r="CL35" s="22" t="str">
        <f>IF(INDEX('Shot Map'!$B$6:$V$26,CEILING($A35/5,1),CEILING(CL$2/5,1))=1,INDEX('Serial Reference'!$A$8:$W$8,1,FLOOR(($A35-1)/23,1)+1)&amp;INDEX('Serial Reference'!$A$8:$W$8,1,MOD($A35-1,23)+1)&amp;TEXT(CL$2+FLOOR((CL$2-1)/9,1),"000"),"")</f>
        <v>BK098</v>
      </c>
      <c r="CM35" s="23" t="str">
        <f>IF(INDEX('Shot Map'!$B$6:$V$26,CEILING($A35/5,1),CEILING(CM$2/5,1))=1,INDEX('Serial Reference'!$A$8:$W$8,1,FLOOR(($A35-1)/23,1)+1)&amp;INDEX('Serial Reference'!$A$8:$W$8,1,MOD($A35-1,23)+1)&amp;TEXT(CM$2+FLOOR((CM$2-1)/9,1),"000"),"")</f>
        <v>BK099</v>
      </c>
      <c r="CN35" s="21" t="str">
        <f>IF(INDEX('Shot Map'!$B$6:$V$26,CEILING($A35/5,1),CEILING(CN$2/5,1))=1,INDEX('Serial Reference'!$A$8:$W$8,1,FLOOR(($A35-1)/23,1)+1)&amp;INDEX('Serial Reference'!$A$8:$W$8,1,MOD($A35-1,23)+1)&amp;TEXT(CN$2+FLOOR((CN$2-1)/9,1),"000"),"")</f>
        <v>BK101</v>
      </c>
      <c r="CO35" s="22" t="str">
        <f>IF(INDEX('Shot Map'!$B$6:$V$26,CEILING($A35/5,1),CEILING(CO$2/5,1))=1,INDEX('Serial Reference'!$A$8:$W$8,1,FLOOR(($A35-1)/23,1)+1)&amp;INDEX('Serial Reference'!$A$8:$W$8,1,MOD($A35-1,23)+1)&amp;TEXT(CO$2+FLOOR((CO$2-1)/9,1),"000"),"")</f>
        <v>BK102</v>
      </c>
      <c r="CP35" s="22" t="str">
        <f>IF(INDEX('Shot Map'!$B$6:$V$26,CEILING($A35/5,1),CEILING(CP$2/5,1))=1,INDEX('Serial Reference'!$A$8:$W$8,1,FLOOR(($A35-1)/23,1)+1)&amp;INDEX('Serial Reference'!$A$8:$W$8,1,MOD($A35-1,23)+1)&amp;TEXT(CP$2+FLOOR((CP$2-1)/9,1),"000"),"")</f>
        <v>BK103</v>
      </c>
      <c r="CQ35" s="22" t="str">
        <f>IF(INDEX('Shot Map'!$B$6:$V$26,CEILING($A35/5,1),CEILING(CQ$2/5,1))=1,INDEX('Serial Reference'!$A$8:$W$8,1,FLOOR(($A35-1)/23,1)+1)&amp;INDEX('Serial Reference'!$A$8:$W$8,1,MOD($A35-1,23)+1)&amp;TEXT(CQ$2+FLOOR((CQ$2-1)/9,1),"000"),"")</f>
        <v>BK104</v>
      </c>
      <c r="CR35" s="23" t="str">
        <f>IF(INDEX('Shot Map'!$B$6:$V$26,CEILING($A35/5,1),CEILING(CR$2/5,1))=1,INDEX('Serial Reference'!$A$8:$W$8,1,FLOOR(($A35-1)/23,1)+1)&amp;INDEX('Serial Reference'!$A$8:$W$8,1,MOD($A35-1,23)+1)&amp;TEXT(CR$2+FLOOR((CR$2-1)/9,1),"000"),"")</f>
        <v>BK105</v>
      </c>
      <c r="CS35" s="21" t="str">
        <f>IF(INDEX('Shot Map'!$B$6:$V$26,CEILING($A35/5,1),CEILING(CS$2/5,1))=1,INDEX('Serial Reference'!$A$8:$W$8,1,FLOOR(($A35-1)/23,1)+1)&amp;INDEX('Serial Reference'!$A$8:$W$8,1,MOD($A35-1,23)+1)&amp;TEXT(CS$2+FLOOR((CS$2-1)/9,1),"000"),"")</f>
        <v>BK106</v>
      </c>
      <c r="CT35" s="22" t="str">
        <f>IF(INDEX('Shot Map'!$B$6:$V$26,CEILING($A35/5,1),CEILING(CT$2/5,1))=1,INDEX('Serial Reference'!$A$8:$W$8,1,FLOOR(($A35-1)/23,1)+1)&amp;INDEX('Serial Reference'!$A$8:$W$8,1,MOD($A35-1,23)+1)&amp;TEXT(CT$2+FLOOR((CT$2-1)/9,1),"000"),"")</f>
        <v>BK107</v>
      </c>
      <c r="CU35" s="22" t="str">
        <f>IF(INDEX('Shot Map'!$B$6:$V$26,CEILING($A35/5,1),CEILING(CU$2/5,1))=1,INDEX('Serial Reference'!$A$8:$W$8,1,FLOOR(($A35-1)/23,1)+1)&amp;INDEX('Serial Reference'!$A$8:$W$8,1,MOD($A35-1,23)+1)&amp;TEXT(CU$2+FLOOR((CU$2-1)/9,1),"000"),"")</f>
        <v>BK108</v>
      </c>
      <c r="CV35" s="22" t="str">
        <f>IF(INDEX('Shot Map'!$B$6:$V$26,CEILING($A35/5,1),CEILING(CV$2/5,1))=1,INDEX('Serial Reference'!$A$8:$W$8,1,FLOOR(($A35-1)/23,1)+1)&amp;INDEX('Serial Reference'!$A$8:$W$8,1,MOD($A35-1,23)+1)&amp;TEXT(CV$2+FLOOR((CV$2-1)/9,1),"000"),"")</f>
        <v>BK109</v>
      </c>
      <c r="CW35" s="23" t="str">
        <f>IF(INDEX('Shot Map'!$B$6:$V$26,CEILING($A35/5,1),CEILING(CW$2/5,1))=1,INDEX('Serial Reference'!$A$8:$W$8,1,FLOOR(($A35-1)/23,1)+1)&amp;INDEX('Serial Reference'!$A$8:$W$8,1,MOD($A35-1,23)+1)&amp;TEXT(CW$2+FLOOR((CW$2-1)/9,1),"000"),"")</f>
        <v>BK111</v>
      </c>
      <c r="CX35" s="21" t="str">
        <f>IF(INDEX('Shot Map'!$B$6:$V$26,CEILING($A35/5,1),CEILING(CX$2/5,1))=1,INDEX('Serial Reference'!$A$8:$W$8,1,FLOOR(($A35-1)/23,1)+1)&amp;INDEX('Serial Reference'!$A$8:$W$8,1,MOD($A35-1,23)+1)&amp;TEXT(CX$2+FLOOR((CX$2-1)/9,1),"000"),"")</f>
        <v/>
      </c>
      <c r="CY35" s="22" t="str">
        <f>IF(INDEX('Shot Map'!$B$6:$V$26,CEILING($A35/5,1),CEILING(CY$2/5,1))=1,INDEX('Serial Reference'!$A$8:$W$8,1,FLOOR(($A35-1)/23,1)+1)&amp;INDEX('Serial Reference'!$A$8:$W$8,1,MOD($A35-1,23)+1)&amp;TEXT(CY$2+FLOOR((CY$2-1)/9,1),"000"),"")</f>
        <v/>
      </c>
      <c r="CZ35" s="22" t="str">
        <f>IF(INDEX('Shot Map'!$B$6:$V$26,CEILING($A35/5,1),CEILING(CZ$2/5,1))=1,INDEX('Serial Reference'!$A$8:$W$8,1,FLOOR(($A35-1)/23,1)+1)&amp;INDEX('Serial Reference'!$A$8:$W$8,1,MOD($A35-1,23)+1)&amp;TEXT(CZ$2+FLOOR((CZ$2-1)/9,1),"000"),"")</f>
        <v/>
      </c>
      <c r="DA35" s="22" t="str">
        <f>IF(INDEX('Shot Map'!$B$6:$V$26,CEILING($A35/5,1),CEILING(DA$2/5,1))=1,INDEX('Serial Reference'!$A$8:$W$8,1,FLOOR(($A35-1)/23,1)+1)&amp;INDEX('Serial Reference'!$A$8:$W$8,1,MOD($A35-1,23)+1)&amp;TEXT(DA$2+FLOOR((DA$2-1)/9,1),"000"),"")</f>
        <v/>
      </c>
      <c r="DB35" s="23" t="str">
        <f>IF(INDEX('Shot Map'!$B$6:$V$26,CEILING($A35/5,1),CEILING(DB$2/5,1))=1,INDEX('Serial Reference'!$A$8:$W$8,1,FLOOR(($A35-1)/23,1)+1)&amp;INDEX('Serial Reference'!$A$8:$W$8,1,MOD($A35-1,23)+1)&amp;TEXT(DB$2+FLOOR((DB$2-1)/9,1),"000"),"")</f>
        <v/>
      </c>
    </row>
    <row r="36" spans="1:106" ht="12.75" customHeight="1" x14ac:dyDescent="0.25">
      <c r="A36" s="17">
        <v>34</v>
      </c>
      <c r="B36" s="21" t="str">
        <f>IF(INDEX('Shot Map'!$B$6:$V$26,CEILING($A36/5,1),CEILING(B$2/5,1))=1,INDEX('Serial Reference'!$A$8:$W$8,1,FLOOR(($A36-1)/23,1)+1)&amp;INDEX('Serial Reference'!$A$8:$W$8,1,MOD($A36-1,23)+1)&amp;TEXT(B$2+FLOOR((B$2-1)/9,1),"000"),"")</f>
        <v/>
      </c>
      <c r="C36" s="22" t="str">
        <f>IF(INDEX('Shot Map'!$B$6:$V$26,CEILING($A36/5,1),CEILING(C$2/5,1))=1,INDEX('Serial Reference'!$A$8:$W$8,1,FLOOR(($A36-1)/23,1)+1)&amp;INDEX('Serial Reference'!$A$8:$W$8,1,MOD($A36-1,23)+1)&amp;TEXT(C$2+FLOOR((C$2-1)/9,1),"000"),"")</f>
        <v/>
      </c>
      <c r="D36" s="22" t="str">
        <f>IF(INDEX('Shot Map'!$B$6:$V$26,CEILING($A36/5,1),CEILING(D$2/5,1))=1,INDEX('Serial Reference'!$A$8:$W$8,1,FLOOR(($A36-1)/23,1)+1)&amp;INDEX('Serial Reference'!$A$8:$W$8,1,MOD($A36-1,23)+1)&amp;TEXT(D$2+FLOOR((D$2-1)/9,1),"000"),"")</f>
        <v/>
      </c>
      <c r="E36" s="22" t="str">
        <f>IF(INDEX('Shot Map'!$B$6:$V$26,CEILING($A36/5,1),CEILING(E$2/5,1))=1,INDEX('Serial Reference'!$A$8:$W$8,1,FLOOR(($A36-1)/23,1)+1)&amp;INDEX('Serial Reference'!$A$8:$W$8,1,MOD($A36-1,23)+1)&amp;TEXT(E$2+FLOOR((E$2-1)/9,1),"000"),"")</f>
        <v/>
      </c>
      <c r="F36" s="23" t="str">
        <f>IF(INDEX('Shot Map'!$B$6:$V$26,CEILING($A36/5,1),CEILING(F$2/5,1))=1,INDEX('Serial Reference'!$A$8:$W$8,1,FLOOR(($A36-1)/23,1)+1)&amp;INDEX('Serial Reference'!$A$8:$W$8,1,MOD($A36-1,23)+1)&amp;TEXT(F$2+FLOOR((F$2-1)/9,1),"000"),"")</f>
        <v/>
      </c>
      <c r="G36" s="21" t="str">
        <f>IF(INDEX('Shot Map'!$B$6:$V$26,CEILING($A36/5,1),CEILING(G$2/5,1))=1,INDEX('Serial Reference'!$A$8:$W$8,1,FLOOR(($A36-1)/23,1)+1)&amp;INDEX('Serial Reference'!$A$8:$W$8,1,MOD($A36-1,23)+1)&amp;TEXT(G$2+FLOOR((G$2-1)/9,1),"000"),"")</f>
        <v>BL006</v>
      </c>
      <c r="H36" s="22" t="str">
        <f>IF(INDEX('Shot Map'!$B$6:$V$26,CEILING($A36/5,1),CEILING(H$2/5,1))=1,INDEX('Serial Reference'!$A$8:$W$8,1,FLOOR(($A36-1)/23,1)+1)&amp;INDEX('Serial Reference'!$A$8:$W$8,1,MOD($A36-1,23)+1)&amp;TEXT(H$2+FLOOR((H$2-1)/9,1),"000"),"")</f>
        <v>BL007</v>
      </c>
      <c r="I36" s="22" t="str">
        <f>IF(INDEX('Shot Map'!$B$6:$V$26,CEILING($A36/5,1),CEILING(I$2/5,1))=1,INDEX('Serial Reference'!$A$8:$W$8,1,FLOOR(($A36-1)/23,1)+1)&amp;INDEX('Serial Reference'!$A$8:$W$8,1,MOD($A36-1,23)+1)&amp;TEXT(I$2+FLOOR((I$2-1)/9,1),"000"),"")</f>
        <v>BL008</v>
      </c>
      <c r="J36" s="22" t="str">
        <f>IF(INDEX('Shot Map'!$B$6:$V$26,CEILING($A36/5,1),CEILING(J$2/5,1))=1,INDEX('Serial Reference'!$A$8:$W$8,1,FLOOR(($A36-1)/23,1)+1)&amp;INDEX('Serial Reference'!$A$8:$W$8,1,MOD($A36-1,23)+1)&amp;TEXT(J$2+FLOOR((J$2-1)/9,1),"000"),"")</f>
        <v>BL009</v>
      </c>
      <c r="K36" s="23" t="str">
        <f>IF(INDEX('Shot Map'!$B$6:$V$26,CEILING($A36/5,1),CEILING(K$2/5,1))=1,INDEX('Serial Reference'!$A$8:$W$8,1,FLOOR(($A36-1)/23,1)+1)&amp;INDEX('Serial Reference'!$A$8:$W$8,1,MOD($A36-1,23)+1)&amp;TEXT(K$2+FLOOR((K$2-1)/9,1),"000"),"")</f>
        <v>BL011</v>
      </c>
      <c r="L36" s="21" t="str">
        <f>IF(INDEX('Shot Map'!$B$6:$V$26,CEILING($A36/5,1),CEILING(L$2/5,1))=1,INDEX('Serial Reference'!$A$8:$W$8,1,FLOOR(($A36-1)/23,1)+1)&amp;INDEX('Serial Reference'!$A$8:$W$8,1,MOD($A36-1,23)+1)&amp;TEXT(L$2+FLOOR((L$2-1)/9,1),"000"),"")</f>
        <v>BL012</v>
      </c>
      <c r="M36" s="22" t="str">
        <f>IF(INDEX('Shot Map'!$B$6:$V$26,CEILING($A36/5,1),CEILING(M$2/5,1))=1,INDEX('Serial Reference'!$A$8:$W$8,1,FLOOR(($A36-1)/23,1)+1)&amp;INDEX('Serial Reference'!$A$8:$W$8,1,MOD($A36-1,23)+1)&amp;TEXT(M$2+FLOOR((M$2-1)/9,1),"000"),"")</f>
        <v>BL013</v>
      </c>
      <c r="N36" s="22" t="str">
        <f>IF(INDEX('Shot Map'!$B$6:$V$26,CEILING($A36/5,1),CEILING(N$2/5,1))=1,INDEX('Serial Reference'!$A$8:$W$8,1,FLOOR(($A36-1)/23,1)+1)&amp;INDEX('Serial Reference'!$A$8:$W$8,1,MOD($A36-1,23)+1)&amp;TEXT(N$2+FLOOR((N$2-1)/9,1),"000"),"")</f>
        <v>BL014</v>
      </c>
      <c r="O36" s="22" t="str">
        <f>IF(INDEX('Shot Map'!$B$6:$V$26,CEILING($A36/5,1),CEILING(O$2/5,1))=1,INDEX('Serial Reference'!$A$8:$W$8,1,FLOOR(($A36-1)/23,1)+1)&amp;INDEX('Serial Reference'!$A$8:$W$8,1,MOD($A36-1,23)+1)&amp;TEXT(O$2+FLOOR((O$2-1)/9,1),"000"),"")</f>
        <v>BL015</v>
      </c>
      <c r="P36" s="23" t="str">
        <f>IF(INDEX('Shot Map'!$B$6:$V$26,CEILING($A36/5,1),CEILING(P$2/5,1))=1,INDEX('Serial Reference'!$A$8:$W$8,1,FLOOR(($A36-1)/23,1)+1)&amp;INDEX('Serial Reference'!$A$8:$W$8,1,MOD($A36-1,23)+1)&amp;TEXT(P$2+FLOOR((P$2-1)/9,1),"000"),"")</f>
        <v>BL016</v>
      </c>
      <c r="Q36" s="21" t="str">
        <f>IF(INDEX('Shot Map'!$B$6:$V$26,CEILING($A36/5,1),CEILING(Q$2/5,1))=1,INDEX('Serial Reference'!$A$8:$W$8,1,FLOOR(($A36-1)/23,1)+1)&amp;INDEX('Serial Reference'!$A$8:$W$8,1,MOD($A36-1,23)+1)&amp;TEXT(Q$2+FLOOR((Q$2-1)/9,1),"000"),"")</f>
        <v>BL017</v>
      </c>
      <c r="R36" s="22" t="str">
        <f>IF(INDEX('Shot Map'!$B$6:$V$26,CEILING($A36/5,1),CEILING(R$2/5,1))=1,INDEX('Serial Reference'!$A$8:$W$8,1,FLOOR(($A36-1)/23,1)+1)&amp;INDEX('Serial Reference'!$A$8:$W$8,1,MOD($A36-1,23)+1)&amp;TEXT(R$2+FLOOR((R$2-1)/9,1),"000"),"")</f>
        <v>BL018</v>
      </c>
      <c r="S36" s="22" t="str">
        <f>IF(INDEX('Shot Map'!$B$6:$V$26,CEILING($A36/5,1),CEILING(S$2/5,1))=1,INDEX('Serial Reference'!$A$8:$W$8,1,FLOOR(($A36-1)/23,1)+1)&amp;INDEX('Serial Reference'!$A$8:$W$8,1,MOD($A36-1,23)+1)&amp;TEXT(S$2+FLOOR((S$2-1)/9,1),"000"),"")</f>
        <v>BL019</v>
      </c>
      <c r="T36" s="22" t="str">
        <f>IF(INDEX('Shot Map'!$B$6:$V$26,CEILING($A36/5,1),CEILING(T$2/5,1))=1,INDEX('Serial Reference'!$A$8:$W$8,1,FLOOR(($A36-1)/23,1)+1)&amp;INDEX('Serial Reference'!$A$8:$W$8,1,MOD($A36-1,23)+1)&amp;TEXT(T$2+FLOOR((T$2-1)/9,1),"000"),"")</f>
        <v>BL021</v>
      </c>
      <c r="U36" s="23" t="str">
        <f>IF(INDEX('Shot Map'!$B$6:$V$26,CEILING($A36/5,1),CEILING(U$2/5,1))=1,INDEX('Serial Reference'!$A$8:$W$8,1,FLOOR(($A36-1)/23,1)+1)&amp;INDEX('Serial Reference'!$A$8:$W$8,1,MOD($A36-1,23)+1)&amp;TEXT(U$2+FLOOR((U$2-1)/9,1),"000"),"")</f>
        <v>BL022</v>
      </c>
      <c r="V36" s="21" t="str">
        <f>IF(INDEX('Shot Map'!$B$6:$V$26,CEILING($A36/5,1),CEILING(V$2/5,1))=1,INDEX('Serial Reference'!$A$8:$W$8,1,FLOOR(($A36-1)/23,1)+1)&amp;INDEX('Serial Reference'!$A$8:$W$8,1,MOD($A36-1,23)+1)&amp;TEXT(V$2+FLOOR((V$2-1)/9,1),"000"),"")</f>
        <v>BL023</v>
      </c>
      <c r="W36" s="22" t="str">
        <f>IF(INDEX('Shot Map'!$B$6:$V$26,CEILING($A36/5,1),CEILING(W$2/5,1))=1,INDEX('Serial Reference'!$A$8:$W$8,1,FLOOR(($A36-1)/23,1)+1)&amp;INDEX('Serial Reference'!$A$8:$W$8,1,MOD($A36-1,23)+1)&amp;TEXT(W$2+FLOOR((W$2-1)/9,1),"000"),"")</f>
        <v>BL024</v>
      </c>
      <c r="X36" s="22" t="str">
        <f>IF(INDEX('Shot Map'!$B$6:$V$26,CEILING($A36/5,1),CEILING(X$2/5,1))=1,INDEX('Serial Reference'!$A$8:$W$8,1,FLOOR(($A36-1)/23,1)+1)&amp;INDEX('Serial Reference'!$A$8:$W$8,1,MOD($A36-1,23)+1)&amp;TEXT(X$2+FLOOR((X$2-1)/9,1),"000"),"")</f>
        <v>BL025</v>
      </c>
      <c r="Y36" s="22" t="str">
        <f>IF(INDEX('Shot Map'!$B$6:$V$26,CEILING($A36/5,1),CEILING(Y$2/5,1))=1,INDEX('Serial Reference'!$A$8:$W$8,1,FLOOR(($A36-1)/23,1)+1)&amp;INDEX('Serial Reference'!$A$8:$W$8,1,MOD($A36-1,23)+1)&amp;TEXT(Y$2+FLOOR((Y$2-1)/9,1),"000"),"")</f>
        <v>BL026</v>
      </c>
      <c r="Z36" s="23" t="str">
        <f>IF(INDEX('Shot Map'!$B$6:$V$26,CEILING($A36/5,1),CEILING(Z$2/5,1))=1,INDEX('Serial Reference'!$A$8:$W$8,1,FLOOR(($A36-1)/23,1)+1)&amp;INDEX('Serial Reference'!$A$8:$W$8,1,MOD($A36-1,23)+1)&amp;TEXT(Z$2+FLOOR((Z$2-1)/9,1),"000"),"")</f>
        <v>BL027</v>
      </c>
      <c r="AA36" s="21" t="str">
        <f>IF(INDEX('Shot Map'!$B$6:$V$26,CEILING($A36/5,1),CEILING(AA$2/5,1))=1,INDEX('Serial Reference'!$A$8:$W$8,1,FLOOR(($A36-1)/23,1)+1)&amp;INDEX('Serial Reference'!$A$8:$W$8,1,MOD($A36-1,23)+1)&amp;TEXT(AA$2+FLOOR((AA$2-1)/9,1),"000"),"")</f>
        <v>BL028</v>
      </c>
      <c r="AB36" s="22" t="str">
        <f>IF(INDEX('Shot Map'!$B$6:$V$26,CEILING($A36/5,1),CEILING(AB$2/5,1))=1,INDEX('Serial Reference'!$A$8:$W$8,1,FLOOR(($A36-1)/23,1)+1)&amp;INDEX('Serial Reference'!$A$8:$W$8,1,MOD($A36-1,23)+1)&amp;TEXT(AB$2+FLOOR((AB$2-1)/9,1),"000"),"")</f>
        <v>BL029</v>
      </c>
      <c r="AC36" s="22" t="str">
        <f>IF(INDEX('Shot Map'!$B$6:$V$26,CEILING($A36/5,1),CEILING(AC$2/5,1))=1,INDEX('Serial Reference'!$A$8:$W$8,1,FLOOR(($A36-1)/23,1)+1)&amp;INDEX('Serial Reference'!$A$8:$W$8,1,MOD($A36-1,23)+1)&amp;TEXT(AC$2+FLOOR((AC$2-1)/9,1),"000"),"")</f>
        <v>BL031</v>
      </c>
      <c r="AD36" s="22" t="str">
        <f>IF(INDEX('Shot Map'!$B$6:$V$26,CEILING($A36/5,1),CEILING(AD$2/5,1))=1,INDEX('Serial Reference'!$A$8:$W$8,1,FLOOR(($A36-1)/23,1)+1)&amp;INDEX('Serial Reference'!$A$8:$W$8,1,MOD($A36-1,23)+1)&amp;TEXT(AD$2+FLOOR((AD$2-1)/9,1),"000"),"")</f>
        <v>BL032</v>
      </c>
      <c r="AE36" s="23" t="str">
        <f>IF(INDEX('Shot Map'!$B$6:$V$26,CEILING($A36/5,1),CEILING(AE$2/5,1))=1,INDEX('Serial Reference'!$A$8:$W$8,1,FLOOR(($A36-1)/23,1)+1)&amp;INDEX('Serial Reference'!$A$8:$W$8,1,MOD($A36-1,23)+1)&amp;TEXT(AE$2+FLOOR((AE$2-1)/9,1),"000"),"")</f>
        <v>BL033</v>
      </c>
      <c r="AF36" s="21" t="str">
        <f>IF(INDEX('Shot Map'!$B$6:$V$26,CEILING($A36/5,1),CEILING(AF$2/5,1))=1,INDEX('Serial Reference'!$A$8:$W$8,1,FLOOR(($A36-1)/23,1)+1)&amp;INDEX('Serial Reference'!$A$8:$W$8,1,MOD($A36-1,23)+1)&amp;TEXT(AF$2+FLOOR((AF$2-1)/9,1),"000"),"")</f>
        <v>BL034</v>
      </c>
      <c r="AG36" s="22" t="str">
        <f>IF(INDEX('Shot Map'!$B$6:$V$26,CEILING($A36/5,1),CEILING(AG$2/5,1))=1,INDEX('Serial Reference'!$A$8:$W$8,1,FLOOR(($A36-1)/23,1)+1)&amp;INDEX('Serial Reference'!$A$8:$W$8,1,MOD($A36-1,23)+1)&amp;TEXT(AG$2+FLOOR((AG$2-1)/9,1),"000"),"")</f>
        <v>BL035</v>
      </c>
      <c r="AH36" s="22" t="str">
        <f>IF(INDEX('Shot Map'!$B$6:$V$26,CEILING($A36/5,1),CEILING(AH$2/5,1))=1,INDEX('Serial Reference'!$A$8:$W$8,1,FLOOR(($A36-1)/23,1)+1)&amp;INDEX('Serial Reference'!$A$8:$W$8,1,MOD($A36-1,23)+1)&amp;TEXT(AH$2+FLOOR((AH$2-1)/9,1),"000"),"")</f>
        <v>BL036</v>
      </c>
      <c r="AI36" s="22" t="str">
        <f>IF(INDEX('Shot Map'!$B$6:$V$26,CEILING($A36/5,1),CEILING(AI$2/5,1))=1,INDEX('Serial Reference'!$A$8:$W$8,1,FLOOR(($A36-1)/23,1)+1)&amp;INDEX('Serial Reference'!$A$8:$W$8,1,MOD($A36-1,23)+1)&amp;TEXT(AI$2+FLOOR((AI$2-1)/9,1),"000"),"")</f>
        <v>BL037</v>
      </c>
      <c r="AJ36" s="23" t="str">
        <f>IF(INDEX('Shot Map'!$B$6:$V$26,CEILING($A36/5,1),CEILING(AJ$2/5,1))=1,INDEX('Serial Reference'!$A$8:$W$8,1,FLOOR(($A36-1)/23,1)+1)&amp;INDEX('Serial Reference'!$A$8:$W$8,1,MOD($A36-1,23)+1)&amp;TEXT(AJ$2+FLOOR((AJ$2-1)/9,1),"000"),"")</f>
        <v>BL038</v>
      </c>
      <c r="AK36" s="21" t="str">
        <f>IF(INDEX('Shot Map'!$B$6:$V$26,CEILING($A36/5,1),CEILING(AK$2/5,1))=1,INDEX('Serial Reference'!$A$8:$W$8,1,FLOOR(($A36-1)/23,1)+1)&amp;INDEX('Serial Reference'!$A$8:$W$8,1,MOD($A36-1,23)+1)&amp;TEXT(AK$2+FLOOR((AK$2-1)/9,1),"000"),"")</f>
        <v>BL039</v>
      </c>
      <c r="AL36" s="22" t="str">
        <f>IF(INDEX('Shot Map'!$B$6:$V$26,CEILING($A36/5,1),CEILING(AL$2/5,1))=1,INDEX('Serial Reference'!$A$8:$W$8,1,FLOOR(($A36-1)/23,1)+1)&amp;INDEX('Serial Reference'!$A$8:$W$8,1,MOD($A36-1,23)+1)&amp;TEXT(AL$2+FLOOR((AL$2-1)/9,1),"000"),"")</f>
        <v>BL041</v>
      </c>
      <c r="AM36" s="22" t="str">
        <f>IF(INDEX('Shot Map'!$B$6:$V$26,CEILING($A36/5,1),CEILING(AM$2/5,1))=1,INDEX('Serial Reference'!$A$8:$W$8,1,FLOOR(($A36-1)/23,1)+1)&amp;INDEX('Serial Reference'!$A$8:$W$8,1,MOD($A36-1,23)+1)&amp;TEXT(AM$2+FLOOR((AM$2-1)/9,1),"000"),"")</f>
        <v>BL042</v>
      </c>
      <c r="AN36" s="22" t="str">
        <f>IF(INDEX('Shot Map'!$B$6:$V$26,CEILING($A36/5,1),CEILING(AN$2/5,1))=1,INDEX('Serial Reference'!$A$8:$W$8,1,FLOOR(($A36-1)/23,1)+1)&amp;INDEX('Serial Reference'!$A$8:$W$8,1,MOD($A36-1,23)+1)&amp;TEXT(AN$2+FLOOR((AN$2-1)/9,1),"000"),"")</f>
        <v>BL043</v>
      </c>
      <c r="AO36" s="23" t="str">
        <f>IF(INDEX('Shot Map'!$B$6:$V$26,CEILING($A36/5,1),CEILING(AO$2/5,1))=1,INDEX('Serial Reference'!$A$8:$W$8,1,FLOOR(($A36-1)/23,1)+1)&amp;INDEX('Serial Reference'!$A$8:$W$8,1,MOD($A36-1,23)+1)&amp;TEXT(AO$2+FLOOR((AO$2-1)/9,1),"000"),"")</f>
        <v>BL044</v>
      </c>
      <c r="AP36" s="21" t="str">
        <f>IF(INDEX('Shot Map'!$B$6:$V$26,CEILING($A36/5,1),CEILING(AP$2/5,1))=1,INDEX('Serial Reference'!$A$8:$W$8,1,FLOOR(($A36-1)/23,1)+1)&amp;INDEX('Serial Reference'!$A$8:$W$8,1,MOD($A36-1,23)+1)&amp;TEXT(AP$2+FLOOR((AP$2-1)/9,1),"000"),"")</f>
        <v>BL045</v>
      </c>
      <c r="AQ36" s="22" t="str">
        <f>IF(INDEX('Shot Map'!$B$6:$V$26,CEILING($A36/5,1),CEILING(AQ$2/5,1))=1,INDEX('Serial Reference'!$A$8:$W$8,1,FLOOR(($A36-1)/23,1)+1)&amp;INDEX('Serial Reference'!$A$8:$W$8,1,MOD($A36-1,23)+1)&amp;TEXT(AQ$2+FLOOR((AQ$2-1)/9,1),"000"),"")</f>
        <v>BL046</v>
      </c>
      <c r="AR36" s="22" t="str">
        <f>IF(INDEX('Shot Map'!$B$6:$V$26,CEILING($A36/5,1),CEILING(AR$2/5,1))=1,INDEX('Serial Reference'!$A$8:$W$8,1,FLOOR(($A36-1)/23,1)+1)&amp;INDEX('Serial Reference'!$A$8:$W$8,1,MOD($A36-1,23)+1)&amp;TEXT(AR$2+FLOOR((AR$2-1)/9,1),"000"),"")</f>
        <v>BL047</v>
      </c>
      <c r="AS36" s="22" t="str">
        <f>IF(INDEX('Shot Map'!$B$6:$V$26,CEILING($A36/5,1),CEILING(AS$2/5,1))=1,INDEX('Serial Reference'!$A$8:$W$8,1,FLOOR(($A36-1)/23,1)+1)&amp;INDEX('Serial Reference'!$A$8:$W$8,1,MOD($A36-1,23)+1)&amp;TEXT(AS$2+FLOOR((AS$2-1)/9,1),"000"),"")</f>
        <v>BL048</v>
      </c>
      <c r="AT36" s="23" t="str">
        <f>IF(INDEX('Shot Map'!$B$6:$V$26,CEILING($A36/5,1),CEILING(AT$2/5,1))=1,INDEX('Serial Reference'!$A$8:$W$8,1,FLOOR(($A36-1)/23,1)+1)&amp;INDEX('Serial Reference'!$A$8:$W$8,1,MOD($A36-1,23)+1)&amp;TEXT(AT$2+FLOOR((AT$2-1)/9,1),"000"),"")</f>
        <v>BL049</v>
      </c>
      <c r="AU36" s="21" t="str">
        <f>IF(INDEX('Shot Map'!$B$6:$V$26,CEILING($A36/5,1),CEILING(AU$2/5,1))=1,INDEX('Serial Reference'!$A$8:$W$8,1,FLOOR(($A36-1)/23,1)+1)&amp;INDEX('Serial Reference'!$A$8:$W$8,1,MOD($A36-1,23)+1)&amp;TEXT(AU$2+FLOOR((AU$2-1)/9,1),"000"),"")</f>
        <v>BL051</v>
      </c>
      <c r="AV36" s="22" t="str">
        <f>IF(INDEX('Shot Map'!$B$6:$V$26,CEILING($A36/5,1),CEILING(AV$2/5,1))=1,INDEX('Serial Reference'!$A$8:$W$8,1,FLOOR(($A36-1)/23,1)+1)&amp;INDEX('Serial Reference'!$A$8:$W$8,1,MOD($A36-1,23)+1)&amp;TEXT(AV$2+FLOOR((AV$2-1)/9,1),"000"),"")</f>
        <v>BL052</v>
      </c>
      <c r="AW36" s="22" t="str">
        <f>IF(INDEX('Shot Map'!$B$6:$V$26,CEILING($A36/5,1),CEILING(AW$2/5,1))=1,INDEX('Serial Reference'!$A$8:$W$8,1,FLOOR(($A36-1)/23,1)+1)&amp;INDEX('Serial Reference'!$A$8:$W$8,1,MOD($A36-1,23)+1)&amp;TEXT(AW$2+FLOOR((AW$2-1)/9,1),"000"),"")</f>
        <v>BL053</v>
      </c>
      <c r="AX36" s="22" t="str">
        <f>IF(INDEX('Shot Map'!$B$6:$V$26,CEILING($A36/5,1),CEILING(AX$2/5,1))=1,INDEX('Serial Reference'!$A$8:$W$8,1,FLOOR(($A36-1)/23,1)+1)&amp;INDEX('Serial Reference'!$A$8:$W$8,1,MOD($A36-1,23)+1)&amp;TEXT(AX$2+FLOOR((AX$2-1)/9,1),"000"),"")</f>
        <v>BL054</v>
      </c>
      <c r="AY36" s="23" t="str">
        <f>IF(INDEX('Shot Map'!$B$6:$V$26,CEILING($A36/5,1),CEILING(AY$2/5,1))=1,INDEX('Serial Reference'!$A$8:$W$8,1,FLOOR(($A36-1)/23,1)+1)&amp;INDEX('Serial Reference'!$A$8:$W$8,1,MOD($A36-1,23)+1)&amp;TEXT(AY$2+FLOOR((AY$2-1)/9,1),"000"),"")</f>
        <v>BL055</v>
      </c>
      <c r="AZ36" s="21" t="str">
        <f>IF(INDEX('Shot Map'!$B$6:$V$26,CEILING($A36/5,1),CEILING(AZ$2/5,1))=1,INDEX('Serial Reference'!$A$8:$W$8,1,FLOOR(($A36-1)/23,1)+1)&amp;INDEX('Serial Reference'!$A$8:$W$8,1,MOD($A36-1,23)+1)&amp;TEXT(AZ$2+FLOOR((AZ$2-1)/9,1),"000"),"")</f>
        <v>BL056</v>
      </c>
      <c r="BA36" s="22" t="str">
        <f>IF(INDEX('Shot Map'!$B$6:$V$26,CEILING($A36/5,1),CEILING(BA$2/5,1))=1,INDEX('Serial Reference'!$A$8:$W$8,1,FLOOR(($A36-1)/23,1)+1)&amp;INDEX('Serial Reference'!$A$8:$W$8,1,MOD($A36-1,23)+1)&amp;TEXT(BA$2+FLOOR((BA$2-1)/9,1),"000"),"")</f>
        <v>BL057</v>
      </c>
      <c r="BB36" s="22" t="str">
        <f>IF(INDEX('Shot Map'!$B$6:$V$26,CEILING($A36/5,1),CEILING(BB$2/5,1))=1,INDEX('Serial Reference'!$A$8:$W$8,1,FLOOR(($A36-1)/23,1)+1)&amp;INDEX('Serial Reference'!$A$8:$W$8,1,MOD($A36-1,23)+1)&amp;TEXT(BB$2+FLOOR((BB$2-1)/9,1),"000"),"")</f>
        <v>BL058</v>
      </c>
      <c r="BC36" s="22" t="str">
        <f>IF(INDEX('Shot Map'!$B$6:$V$26,CEILING($A36/5,1),CEILING(BC$2/5,1))=1,INDEX('Serial Reference'!$A$8:$W$8,1,FLOOR(($A36-1)/23,1)+1)&amp;INDEX('Serial Reference'!$A$8:$W$8,1,MOD($A36-1,23)+1)&amp;TEXT(BC$2+FLOOR((BC$2-1)/9,1),"000"),"")</f>
        <v>BL059</v>
      </c>
      <c r="BD36" s="23" t="str">
        <f>IF(INDEX('Shot Map'!$B$6:$V$26,CEILING($A36/5,1),CEILING(BD$2/5,1))=1,INDEX('Serial Reference'!$A$8:$W$8,1,FLOOR(($A36-1)/23,1)+1)&amp;INDEX('Serial Reference'!$A$8:$W$8,1,MOD($A36-1,23)+1)&amp;TEXT(BD$2+FLOOR((BD$2-1)/9,1),"000"),"")</f>
        <v>BL061</v>
      </c>
      <c r="BE36" s="21" t="str">
        <f>IF(INDEX('Shot Map'!$B$6:$V$26,CEILING($A36/5,1),CEILING(BE$2/5,1))=1,INDEX('Serial Reference'!$A$8:$W$8,1,FLOOR(($A36-1)/23,1)+1)&amp;INDEX('Serial Reference'!$A$8:$W$8,1,MOD($A36-1,23)+1)&amp;TEXT(BE$2+FLOOR((BE$2-1)/9,1),"000"),"")</f>
        <v>BL062</v>
      </c>
      <c r="BF36" s="22" t="str">
        <f>IF(INDEX('Shot Map'!$B$6:$V$26,CEILING($A36/5,1),CEILING(BF$2/5,1))=1,INDEX('Serial Reference'!$A$8:$W$8,1,FLOOR(($A36-1)/23,1)+1)&amp;INDEX('Serial Reference'!$A$8:$W$8,1,MOD($A36-1,23)+1)&amp;TEXT(BF$2+FLOOR((BF$2-1)/9,1),"000"),"")</f>
        <v>BL063</v>
      </c>
      <c r="BG36" s="22" t="str">
        <f>IF(INDEX('Shot Map'!$B$6:$V$26,CEILING($A36/5,1),CEILING(BG$2/5,1))=1,INDEX('Serial Reference'!$A$8:$W$8,1,FLOOR(($A36-1)/23,1)+1)&amp;INDEX('Serial Reference'!$A$8:$W$8,1,MOD($A36-1,23)+1)&amp;TEXT(BG$2+FLOOR((BG$2-1)/9,1),"000"),"")</f>
        <v>BL064</v>
      </c>
      <c r="BH36" s="22" t="str">
        <f>IF(INDEX('Shot Map'!$B$6:$V$26,CEILING($A36/5,1),CEILING(BH$2/5,1))=1,INDEX('Serial Reference'!$A$8:$W$8,1,FLOOR(($A36-1)/23,1)+1)&amp;INDEX('Serial Reference'!$A$8:$W$8,1,MOD($A36-1,23)+1)&amp;TEXT(BH$2+FLOOR((BH$2-1)/9,1),"000"),"")</f>
        <v>BL065</v>
      </c>
      <c r="BI36" s="23" t="str">
        <f>IF(INDEX('Shot Map'!$B$6:$V$26,CEILING($A36/5,1),CEILING(BI$2/5,1))=1,INDEX('Serial Reference'!$A$8:$W$8,1,FLOOR(($A36-1)/23,1)+1)&amp;INDEX('Serial Reference'!$A$8:$W$8,1,MOD($A36-1,23)+1)&amp;TEXT(BI$2+FLOOR((BI$2-1)/9,1),"000"),"")</f>
        <v>BL066</v>
      </c>
      <c r="BJ36" s="21" t="str">
        <f>IF(INDEX('Shot Map'!$B$6:$V$26,CEILING($A36/5,1),CEILING(BJ$2/5,1))=1,INDEX('Serial Reference'!$A$8:$W$8,1,FLOOR(($A36-1)/23,1)+1)&amp;INDEX('Serial Reference'!$A$8:$W$8,1,MOD($A36-1,23)+1)&amp;TEXT(BJ$2+FLOOR((BJ$2-1)/9,1),"000"),"")</f>
        <v>BL067</v>
      </c>
      <c r="BK36" s="22" t="str">
        <f>IF(INDEX('Shot Map'!$B$6:$V$26,CEILING($A36/5,1),CEILING(BK$2/5,1))=1,INDEX('Serial Reference'!$A$8:$W$8,1,FLOOR(($A36-1)/23,1)+1)&amp;INDEX('Serial Reference'!$A$8:$W$8,1,MOD($A36-1,23)+1)&amp;TEXT(BK$2+FLOOR((BK$2-1)/9,1),"000"),"")</f>
        <v>BL068</v>
      </c>
      <c r="BL36" s="22" t="str">
        <f>IF(INDEX('Shot Map'!$B$6:$V$26,CEILING($A36/5,1),CEILING(BL$2/5,1))=1,INDEX('Serial Reference'!$A$8:$W$8,1,FLOOR(($A36-1)/23,1)+1)&amp;INDEX('Serial Reference'!$A$8:$W$8,1,MOD($A36-1,23)+1)&amp;TEXT(BL$2+FLOOR((BL$2-1)/9,1),"000"),"")</f>
        <v>BL069</v>
      </c>
      <c r="BM36" s="22" t="str">
        <f>IF(INDEX('Shot Map'!$B$6:$V$26,CEILING($A36/5,1),CEILING(BM$2/5,1))=1,INDEX('Serial Reference'!$A$8:$W$8,1,FLOOR(($A36-1)/23,1)+1)&amp;INDEX('Serial Reference'!$A$8:$W$8,1,MOD($A36-1,23)+1)&amp;TEXT(BM$2+FLOOR((BM$2-1)/9,1),"000"),"")</f>
        <v>BL071</v>
      </c>
      <c r="BN36" s="23" t="str">
        <f>IF(INDEX('Shot Map'!$B$6:$V$26,CEILING($A36/5,1),CEILING(BN$2/5,1))=1,INDEX('Serial Reference'!$A$8:$W$8,1,FLOOR(($A36-1)/23,1)+1)&amp;INDEX('Serial Reference'!$A$8:$W$8,1,MOD($A36-1,23)+1)&amp;TEXT(BN$2+FLOOR((BN$2-1)/9,1),"000"),"")</f>
        <v>BL072</v>
      </c>
      <c r="BO36" s="21" t="str">
        <f>IF(INDEX('Shot Map'!$B$6:$V$26,CEILING($A36/5,1),CEILING(BO$2/5,1))=1,INDEX('Serial Reference'!$A$8:$W$8,1,FLOOR(($A36-1)/23,1)+1)&amp;INDEX('Serial Reference'!$A$8:$W$8,1,MOD($A36-1,23)+1)&amp;TEXT(BO$2+FLOOR((BO$2-1)/9,1),"000"),"")</f>
        <v>BL073</v>
      </c>
      <c r="BP36" s="22" t="str">
        <f>IF(INDEX('Shot Map'!$B$6:$V$26,CEILING($A36/5,1),CEILING(BP$2/5,1))=1,INDEX('Serial Reference'!$A$8:$W$8,1,FLOOR(($A36-1)/23,1)+1)&amp;INDEX('Serial Reference'!$A$8:$W$8,1,MOD($A36-1,23)+1)&amp;TEXT(BP$2+FLOOR((BP$2-1)/9,1),"000"),"")</f>
        <v>BL074</v>
      </c>
      <c r="BQ36" s="22" t="str">
        <f>IF(INDEX('Shot Map'!$B$6:$V$26,CEILING($A36/5,1),CEILING(BQ$2/5,1))=1,INDEX('Serial Reference'!$A$8:$W$8,1,FLOOR(($A36-1)/23,1)+1)&amp;INDEX('Serial Reference'!$A$8:$W$8,1,MOD($A36-1,23)+1)&amp;TEXT(BQ$2+FLOOR((BQ$2-1)/9,1),"000"),"")</f>
        <v>BL075</v>
      </c>
      <c r="BR36" s="22" t="str">
        <f>IF(INDEX('Shot Map'!$B$6:$V$26,CEILING($A36/5,1),CEILING(BR$2/5,1))=1,INDEX('Serial Reference'!$A$8:$W$8,1,FLOOR(($A36-1)/23,1)+1)&amp;INDEX('Serial Reference'!$A$8:$W$8,1,MOD($A36-1,23)+1)&amp;TEXT(BR$2+FLOOR((BR$2-1)/9,1),"000"),"")</f>
        <v>BL076</v>
      </c>
      <c r="BS36" s="23" t="str">
        <f>IF(INDEX('Shot Map'!$B$6:$V$26,CEILING($A36/5,1),CEILING(BS$2/5,1))=1,INDEX('Serial Reference'!$A$8:$W$8,1,FLOOR(($A36-1)/23,1)+1)&amp;INDEX('Serial Reference'!$A$8:$W$8,1,MOD($A36-1,23)+1)&amp;TEXT(BS$2+FLOOR((BS$2-1)/9,1),"000"),"")</f>
        <v>BL077</v>
      </c>
      <c r="BT36" s="21" t="str">
        <f>IF(INDEX('Shot Map'!$B$6:$V$26,CEILING($A36/5,1),CEILING(BT$2/5,1))=1,INDEX('Serial Reference'!$A$8:$W$8,1,FLOOR(($A36-1)/23,1)+1)&amp;INDEX('Serial Reference'!$A$8:$W$8,1,MOD($A36-1,23)+1)&amp;TEXT(BT$2+FLOOR((BT$2-1)/9,1),"000"),"")</f>
        <v>BL078</v>
      </c>
      <c r="BU36" s="22" t="str">
        <f>IF(INDEX('Shot Map'!$B$6:$V$26,CEILING($A36/5,1),CEILING(BU$2/5,1))=1,INDEX('Serial Reference'!$A$8:$W$8,1,FLOOR(($A36-1)/23,1)+1)&amp;INDEX('Serial Reference'!$A$8:$W$8,1,MOD($A36-1,23)+1)&amp;TEXT(BU$2+FLOOR((BU$2-1)/9,1),"000"),"")</f>
        <v>BL079</v>
      </c>
      <c r="BV36" s="22" t="str">
        <f>IF(INDEX('Shot Map'!$B$6:$V$26,CEILING($A36/5,1),CEILING(BV$2/5,1))=1,INDEX('Serial Reference'!$A$8:$W$8,1,FLOOR(($A36-1)/23,1)+1)&amp;INDEX('Serial Reference'!$A$8:$W$8,1,MOD($A36-1,23)+1)&amp;TEXT(BV$2+FLOOR((BV$2-1)/9,1),"000"),"")</f>
        <v>BL081</v>
      </c>
      <c r="BW36" s="22" t="str">
        <f>IF(INDEX('Shot Map'!$B$6:$V$26,CEILING($A36/5,1),CEILING(BW$2/5,1))=1,INDEX('Serial Reference'!$A$8:$W$8,1,FLOOR(($A36-1)/23,1)+1)&amp;INDEX('Serial Reference'!$A$8:$W$8,1,MOD($A36-1,23)+1)&amp;TEXT(BW$2+FLOOR((BW$2-1)/9,1),"000"),"")</f>
        <v>BL082</v>
      </c>
      <c r="BX36" s="23" t="str">
        <f>IF(INDEX('Shot Map'!$B$6:$V$26,CEILING($A36/5,1),CEILING(BX$2/5,1))=1,INDEX('Serial Reference'!$A$8:$W$8,1,FLOOR(($A36-1)/23,1)+1)&amp;INDEX('Serial Reference'!$A$8:$W$8,1,MOD($A36-1,23)+1)&amp;TEXT(BX$2+FLOOR((BX$2-1)/9,1),"000"),"")</f>
        <v>BL083</v>
      </c>
      <c r="BY36" s="21" t="str">
        <f>IF(INDEX('Shot Map'!$B$6:$V$26,CEILING($A36/5,1),CEILING(BY$2/5,1))=1,INDEX('Serial Reference'!$A$8:$W$8,1,FLOOR(($A36-1)/23,1)+1)&amp;INDEX('Serial Reference'!$A$8:$W$8,1,MOD($A36-1,23)+1)&amp;TEXT(BY$2+FLOOR((BY$2-1)/9,1),"000"),"")</f>
        <v>BL084</v>
      </c>
      <c r="BZ36" s="22" t="str">
        <f>IF(INDEX('Shot Map'!$B$6:$V$26,CEILING($A36/5,1),CEILING(BZ$2/5,1))=1,INDEX('Serial Reference'!$A$8:$W$8,1,FLOOR(($A36-1)/23,1)+1)&amp;INDEX('Serial Reference'!$A$8:$W$8,1,MOD($A36-1,23)+1)&amp;TEXT(BZ$2+FLOOR((BZ$2-1)/9,1),"000"),"")</f>
        <v>BL085</v>
      </c>
      <c r="CA36" s="22" t="str">
        <f>IF(INDEX('Shot Map'!$B$6:$V$26,CEILING($A36/5,1),CEILING(CA$2/5,1))=1,INDEX('Serial Reference'!$A$8:$W$8,1,FLOOR(($A36-1)/23,1)+1)&amp;INDEX('Serial Reference'!$A$8:$W$8,1,MOD($A36-1,23)+1)&amp;TEXT(CA$2+FLOOR((CA$2-1)/9,1),"000"),"")</f>
        <v>BL086</v>
      </c>
      <c r="CB36" s="22" t="str">
        <f>IF(INDEX('Shot Map'!$B$6:$V$26,CEILING($A36/5,1),CEILING(CB$2/5,1))=1,INDEX('Serial Reference'!$A$8:$W$8,1,FLOOR(($A36-1)/23,1)+1)&amp;INDEX('Serial Reference'!$A$8:$W$8,1,MOD($A36-1,23)+1)&amp;TEXT(CB$2+FLOOR((CB$2-1)/9,1),"000"),"")</f>
        <v>BL087</v>
      </c>
      <c r="CC36" s="23" t="str">
        <f>IF(INDEX('Shot Map'!$B$6:$V$26,CEILING($A36/5,1),CEILING(CC$2/5,1))=1,INDEX('Serial Reference'!$A$8:$W$8,1,FLOOR(($A36-1)/23,1)+1)&amp;INDEX('Serial Reference'!$A$8:$W$8,1,MOD($A36-1,23)+1)&amp;TEXT(CC$2+FLOOR((CC$2-1)/9,1),"000"),"")</f>
        <v>BL088</v>
      </c>
      <c r="CD36" s="21" t="str">
        <f>IF(INDEX('Shot Map'!$B$6:$V$26,CEILING($A36/5,1),CEILING(CD$2/5,1))=1,INDEX('Serial Reference'!$A$8:$W$8,1,FLOOR(($A36-1)/23,1)+1)&amp;INDEX('Serial Reference'!$A$8:$W$8,1,MOD($A36-1,23)+1)&amp;TEXT(CD$2+FLOOR((CD$2-1)/9,1),"000"),"")</f>
        <v>BL089</v>
      </c>
      <c r="CE36" s="22" t="str">
        <f>IF(INDEX('Shot Map'!$B$6:$V$26,CEILING($A36/5,1),CEILING(CE$2/5,1))=1,INDEX('Serial Reference'!$A$8:$W$8,1,FLOOR(($A36-1)/23,1)+1)&amp;INDEX('Serial Reference'!$A$8:$W$8,1,MOD($A36-1,23)+1)&amp;TEXT(CE$2+FLOOR((CE$2-1)/9,1),"000"),"")</f>
        <v>BL091</v>
      </c>
      <c r="CF36" s="22" t="str">
        <f>IF(INDEX('Shot Map'!$B$6:$V$26,CEILING($A36/5,1),CEILING(CF$2/5,1))=1,INDEX('Serial Reference'!$A$8:$W$8,1,FLOOR(($A36-1)/23,1)+1)&amp;INDEX('Serial Reference'!$A$8:$W$8,1,MOD($A36-1,23)+1)&amp;TEXT(CF$2+FLOOR((CF$2-1)/9,1),"000"),"")</f>
        <v>BL092</v>
      </c>
      <c r="CG36" s="22" t="str">
        <f>IF(INDEX('Shot Map'!$B$6:$V$26,CEILING($A36/5,1),CEILING(CG$2/5,1))=1,INDEX('Serial Reference'!$A$8:$W$8,1,FLOOR(($A36-1)/23,1)+1)&amp;INDEX('Serial Reference'!$A$8:$W$8,1,MOD($A36-1,23)+1)&amp;TEXT(CG$2+FLOOR((CG$2-1)/9,1),"000"),"")</f>
        <v>BL093</v>
      </c>
      <c r="CH36" s="23" t="str">
        <f>IF(INDEX('Shot Map'!$B$6:$V$26,CEILING($A36/5,1),CEILING(CH$2/5,1))=1,INDEX('Serial Reference'!$A$8:$W$8,1,FLOOR(($A36-1)/23,1)+1)&amp;INDEX('Serial Reference'!$A$8:$W$8,1,MOD($A36-1,23)+1)&amp;TEXT(CH$2+FLOOR((CH$2-1)/9,1),"000"),"")</f>
        <v>BL094</v>
      </c>
      <c r="CI36" s="21" t="str">
        <f>IF(INDEX('Shot Map'!$B$6:$V$26,CEILING($A36/5,1),CEILING(CI$2/5,1))=1,INDEX('Serial Reference'!$A$8:$W$8,1,FLOOR(($A36-1)/23,1)+1)&amp;INDEX('Serial Reference'!$A$8:$W$8,1,MOD($A36-1,23)+1)&amp;TEXT(CI$2+FLOOR((CI$2-1)/9,1),"000"),"")</f>
        <v>BL095</v>
      </c>
      <c r="CJ36" s="22" t="str">
        <f>IF(INDEX('Shot Map'!$B$6:$V$26,CEILING($A36/5,1),CEILING(CJ$2/5,1))=1,INDEX('Serial Reference'!$A$8:$W$8,1,FLOOR(($A36-1)/23,1)+1)&amp;INDEX('Serial Reference'!$A$8:$W$8,1,MOD($A36-1,23)+1)&amp;TEXT(CJ$2+FLOOR((CJ$2-1)/9,1),"000"),"")</f>
        <v>BL096</v>
      </c>
      <c r="CK36" s="22" t="str">
        <f>IF(INDEX('Shot Map'!$B$6:$V$26,CEILING($A36/5,1),CEILING(CK$2/5,1))=1,INDEX('Serial Reference'!$A$8:$W$8,1,FLOOR(($A36-1)/23,1)+1)&amp;INDEX('Serial Reference'!$A$8:$W$8,1,MOD($A36-1,23)+1)&amp;TEXT(CK$2+FLOOR((CK$2-1)/9,1),"000"),"")</f>
        <v>BL097</v>
      </c>
      <c r="CL36" s="22" t="str">
        <f>IF(INDEX('Shot Map'!$B$6:$V$26,CEILING($A36/5,1),CEILING(CL$2/5,1))=1,INDEX('Serial Reference'!$A$8:$W$8,1,FLOOR(($A36-1)/23,1)+1)&amp;INDEX('Serial Reference'!$A$8:$W$8,1,MOD($A36-1,23)+1)&amp;TEXT(CL$2+FLOOR((CL$2-1)/9,1),"000"),"")</f>
        <v>BL098</v>
      </c>
      <c r="CM36" s="23" t="str">
        <f>IF(INDEX('Shot Map'!$B$6:$V$26,CEILING($A36/5,1),CEILING(CM$2/5,1))=1,INDEX('Serial Reference'!$A$8:$W$8,1,FLOOR(($A36-1)/23,1)+1)&amp;INDEX('Serial Reference'!$A$8:$W$8,1,MOD($A36-1,23)+1)&amp;TEXT(CM$2+FLOOR((CM$2-1)/9,1),"000"),"")</f>
        <v>BL099</v>
      </c>
      <c r="CN36" s="21" t="str">
        <f>IF(INDEX('Shot Map'!$B$6:$V$26,CEILING($A36/5,1),CEILING(CN$2/5,1))=1,INDEX('Serial Reference'!$A$8:$W$8,1,FLOOR(($A36-1)/23,1)+1)&amp;INDEX('Serial Reference'!$A$8:$W$8,1,MOD($A36-1,23)+1)&amp;TEXT(CN$2+FLOOR((CN$2-1)/9,1),"000"),"")</f>
        <v>BL101</v>
      </c>
      <c r="CO36" s="22" t="str">
        <f>IF(INDEX('Shot Map'!$B$6:$V$26,CEILING($A36/5,1),CEILING(CO$2/5,1))=1,INDEX('Serial Reference'!$A$8:$W$8,1,FLOOR(($A36-1)/23,1)+1)&amp;INDEX('Serial Reference'!$A$8:$W$8,1,MOD($A36-1,23)+1)&amp;TEXT(CO$2+FLOOR((CO$2-1)/9,1),"000"),"")</f>
        <v>BL102</v>
      </c>
      <c r="CP36" s="22" t="str">
        <f>IF(INDEX('Shot Map'!$B$6:$V$26,CEILING($A36/5,1),CEILING(CP$2/5,1))=1,INDEX('Serial Reference'!$A$8:$W$8,1,FLOOR(($A36-1)/23,1)+1)&amp;INDEX('Serial Reference'!$A$8:$W$8,1,MOD($A36-1,23)+1)&amp;TEXT(CP$2+FLOOR((CP$2-1)/9,1),"000"),"")</f>
        <v>BL103</v>
      </c>
      <c r="CQ36" s="22" t="str">
        <f>IF(INDEX('Shot Map'!$B$6:$V$26,CEILING($A36/5,1),CEILING(CQ$2/5,1))=1,INDEX('Serial Reference'!$A$8:$W$8,1,FLOOR(($A36-1)/23,1)+1)&amp;INDEX('Serial Reference'!$A$8:$W$8,1,MOD($A36-1,23)+1)&amp;TEXT(CQ$2+FLOOR((CQ$2-1)/9,1),"000"),"")</f>
        <v>BL104</v>
      </c>
      <c r="CR36" s="23" t="str">
        <f>IF(INDEX('Shot Map'!$B$6:$V$26,CEILING($A36/5,1),CEILING(CR$2/5,1))=1,INDEX('Serial Reference'!$A$8:$W$8,1,FLOOR(($A36-1)/23,1)+1)&amp;INDEX('Serial Reference'!$A$8:$W$8,1,MOD($A36-1,23)+1)&amp;TEXT(CR$2+FLOOR((CR$2-1)/9,1),"000"),"")</f>
        <v>BL105</v>
      </c>
      <c r="CS36" s="21" t="str">
        <f>IF(INDEX('Shot Map'!$B$6:$V$26,CEILING($A36/5,1),CEILING(CS$2/5,1))=1,INDEX('Serial Reference'!$A$8:$W$8,1,FLOOR(($A36-1)/23,1)+1)&amp;INDEX('Serial Reference'!$A$8:$W$8,1,MOD($A36-1,23)+1)&amp;TEXT(CS$2+FLOOR((CS$2-1)/9,1),"000"),"")</f>
        <v>BL106</v>
      </c>
      <c r="CT36" s="22" t="str">
        <f>IF(INDEX('Shot Map'!$B$6:$V$26,CEILING($A36/5,1),CEILING(CT$2/5,1))=1,INDEX('Serial Reference'!$A$8:$W$8,1,FLOOR(($A36-1)/23,1)+1)&amp;INDEX('Serial Reference'!$A$8:$W$8,1,MOD($A36-1,23)+1)&amp;TEXT(CT$2+FLOOR((CT$2-1)/9,1),"000"),"")</f>
        <v>BL107</v>
      </c>
      <c r="CU36" s="22" t="str">
        <f>IF(INDEX('Shot Map'!$B$6:$V$26,CEILING($A36/5,1),CEILING(CU$2/5,1))=1,INDEX('Serial Reference'!$A$8:$W$8,1,FLOOR(($A36-1)/23,1)+1)&amp;INDEX('Serial Reference'!$A$8:$W$8,1,MOD($A36-1,23)+1)&amp;TEXT(CU$2+FLOOR((CU$2-1)/9,1),"000"),"")</f>
        <v>BL108</v>
      </c>
      <c r="CV36" s="22" t="str">
        <f>IF(INDEX('Shot Map'!$B$6:$V$26,CEILING($A36/5,1),CEILING(CV$2/5,1))=1,INDEX('Serial Reference'!$A$8:$W$8,1,FLOOR(($A36-1)/23,1)+1)&amp;INDEX('Serial Reference'!$A$8:$W$8,1,MOD($A36-1,23)+1)&amp;TEXT(CV$2+FLOOR((CV$2-1)/9,1),"000"),"")</f>
        <v>BL109</v>
      </c>
      <c r="CW36" s="23" t="str">
        <f>IF(INDEX('Shot Map'!$B$6:$V$26,CEILING($A36/5,1),CEILING(CW$2/5,1))=1,INDEX('Serial Reference'!$A$8:$W$8,1,FLOOR(($A36-1)/23,1)+1)&amp;INDEX('Serial Reference'!$A$8:$W$8,1,MOD($A36-1,23)+1)&amp;TEXT(CW$2+FLOOR((CW$2-1)/9,1),"000"),"")</f>
        <v>BL111</v>
      </c>
      <c r="CX36" s="21" t="str">
        <f>IF(INDEX('Shot Map'!$B$6:$V$26,CEILING($A36/5,1),CEILING(CX$2/5,1))=1,INDEX('Serial Reference'!$A$8:$W$8,1,FLOOR(($A36-1)/23,1)+1)&amp;INDEX('Serial Reference'!$A$8:$W$8,1,MOD($A36-1,23)+1)&amp;TEXT(CX$2+FLOOR((CX$2-1)/9,1),"000"),"")</f>
        <v/>
      </c>
      <c r="CY36" s="22" t="str">
        <f>IF(INDEX('Shot Map'!$B$6:$V$26,CEILING($A36/5,1),CEILING(CY$2/5,1))=1,INDEX('Serial Reference'!$A$8:$W$8,1,FLOOR(($A36-1)/23,1)+1)&amp;INDEX('Serial Reference'!$A$8:$W$8,1,MOD($A36-1,23)+1)&amp;TEXT(CY$2+FLOOR((CY$2-1)/9,1),"000"),"")</f>
        <v/>
      </c>
      <c r="CZ36" s="22" t="str">
        <f>IF(INDEX('Shot Map'!$B$6:$V$26,CEILING($A36/5,1),CEILING(CZ$2/5,1))=1,INDEX('Serial Reference'!$A$8:$W$8,1,FLOOR(($A36-1)/23,1)+1)&amp;INDEX('Serial Reference'!$A$8:$W$8,1,MOD($A36-1,23)+1)&amp;TEXT(CZ$2+FLOOR((CZ$2-1)/9,1),"000"),"")</f>
        <v/>
      </c>
      <c r="DA36" s="22" t="str">
        <f>IF(INDEX('Shot Map'!$B$6:$V$26,CEILING($A36/5,1),CEILING(DA$2/5,1))=1,INDEX('Serial Reference'!$A$8:$W$8,1,FLOOR(($A36-1)/23,1)+1)&amp;INDEX('Serial Reference'!$A$8:$W$8,1,MOD($A36-1,23)+1)&amp;TEXT(DA$2+FLOOR((DA$2-1)/9,1),"000"),"")</f>
        <v/>
      </c>
      <c r="DB36" s="23" t="str">
        <f>IF(INDEX('Shot Map'!$B$6:$V$26,CEILING($A36/5,1),CEILING(DB$2/5,1))=1,INDEX('Serial Reference'!$A$8:$W$8,1,FLOOR(($A36-1)/23,1)+1)&amp;INDEX('Serial Reference'!$A$8:$W$8,1,MOD($A36-1,23)+1)&amp;TEXT(DB$2+FLOOR((DB$2-1)/9,1),"000"),"")</f>
        <v/>
      </c>
    </row>
    <row r="37" spans="1:106" ht="12.75" customHeight="1" x14ac:dyDescent="0.25">
      <c r="A37" s="17">
        <v>35</v>
      </c>
      <c r="B37" s="24" t="str">
        <f>IF(INDEX('Shot Map'!$B$6:$V$26,CEILING($A37/5,1),CEILING(B$2/5,1))=1,INDEX('Serial Reference'!$A$8:$W$8,1,FLOOR(($A37-1)/23,1)+1)&amp;INDEX('Serial Reference'!$A$8:$W$8,1,MOD($A37-1,23)+1)&amp;TEXT(B$2+FLOOR((B$2-1)/9,1),"000"),"")</f>
        <v/>
      </c>
      <c r="C37" s="25" t="str">
        <f>IF(INDEX('Shot Map'!$B$6:$V$26,CEILING($A37/5,1),CEILING(C$2/5,1))=1,INDEX('Serial Reference'!$A$8:$W$8,1,FLOOR(($A37-1)/23,1)+1)&amp;INDEX('Serial Reference'!$A$8:$W$8,1,MOD($A37-1,23)+1)&amp;TEXT(C$2+FLOOR((C$2-1)/9,1),"000"),"")</f>
        <v/>
      </c>
      <c r="D37" s="25" t="str">
        <f>IF(INDEX('Shot Map'!$B$6:$V$26,CEILING($A37/5,1),CEILING(D$2/5,1))=1,INDEX('Serial Reference'!$A$8:$W$8,1,FLOOR(($A37-1)/23,1)+1)&amp;INDEX('Serial Reference'!$A$8:$W$8,1,MOD($A37-1,23)+1)&amp;TEXT(D$2+FLOOR((D$2-1)/9,1),"000"),"")</f>
        <v/>
      </c>
      <c r="E37" s="25" t="str">
        <f>IF(INDEX('Shot Map'!$B$6:$V$26,CEILING($A37/5,1),CEILING(E$2/5,1))=1,INDEX('Serial Reference'!$A$8:$W$8,1,FLOOR(($A37-1)/23,1)+1)&amp;INDEX('Serial Reference'!$A$8:$W$8,1,MOD($A37-1,23)+1)&amp;TEXT(E$2+FLOOR((E$2-1)/9,1),"000"),"")</f>
        <v/>
      </c>
      <c r="F37" s="26" t="str">
        <f>IF(INDEX('Shot Map'!$B$6:$V$26,CEILING($A37/5,1),CEILING(F$2/5,1))=1,INDEX('Serial Reference'!$A$8:$W$8,1,FLOOR(($A37-1)/23,1)+1)&amp;INDEX('Serial Reference'!$A$8:$W$8,1,MOD($A37-1,23)+1)&amp;TEXT(F$2+FLOOR((F$2-1)/9,1),"000"),"")</f>
        <v/>
      </c>
      <c r="G37" s="24" t="str">
        <f>IF(INDEX('Shot Map'!$B$6:$V$26,CEILING($A37/5,1),CEILING(G$2/5,1))=1,INDEX('Serial Reference'!$A$8:$W$8,1,FLOOR(($A37-1)/23,1)+1)&amp;INDEX('Serial Reference'!$A$8:$W$8,1,MOD($A37-1,23)+1)&amp;TEXT(G$2+FLOOR((G$2-1)/9,1),"000"),"")</f>
        <v>BM006</v>
      </c>
      <c r="H37" s="25" t="str">
        <f>IF(INDEX('Shot Map'!$B$6:$V$26,CEILING($A37/5,1),CEILING(H$2/5,1))=1,INDEX('Serial Reference'!$A$8:$W$8,1,FLOOR(($A37-1)/23,1)+1)&amp;INDEX('Serial Reference'!$A$8:$W$8,1,MOD($A37-1,23)+1)&amp;TEXT(H$2+FLOOR((H$2-1)/9,1),"000"),"")</f>
        <v>BM007</v>
      </c>
      <c r="I37" s="25" t="str">
        <f>IF(INDEX('Shot Map'!$B$6:$V$26,CEILING($A37/5,1),CEILING(I$2/5,1))=1,INDEX('Serial Reference'!$A$8:$W$8,1,FLOOR(($A37-1)/23,1)+1)&amp;INDEX('Serial Reference'!$A$8:$W$8,1,MOD($A37-1,23)+1)&amp;TEXT(I$2+FLOOR((I$2-1)/9,1),"000"),"")</f>
        <v>BM008</v>
      </c>
      <c r="J37" s="25" t="str">
        <f>IF(INDEX('Shot Map'!$B$6:$V$26,CEILING($A37/5,1),CEILING(J$2/5,1))=1,INDEX('Serial Reference'!$A$8:$W$8,1,FLOOR(($A37-1)/23,1)+1)&amp;INDEX('Serial Reference'!$A$8:$W$8,1,MOD($A37-1,23)+1)&amp;TEXT(J$2+FLOOR((J$2-1)/9,1),"000"),"")</f>
        <v>BM009</v>
      </c>
      <c r="K37" s="26" t="str">
        <f>IF(INDEX('Shot Map'!$B$6:$V$26,CEILING($A37/5,1),CEILING(K$2/5,1))=1,INDEX('Serial Reference'!$A$8:$W$8,1,FLOOR(($A37-1)/23,1)+1)&amp;INDEX('Serial Reference'!$A$8:$W$8,1,MOD($A37-1,23)+1)&amp;TEXT(K$2+FLOOR((K$2-1)/9,1),"000"),"")</f>
        <v>BM011</v>
      </c>
      <c r="L37" s="24" t="str">
        <f>IF(INDEX('Shot Map'!$B$6:$V$26,CEILING($A37/5,1),CEILING(L$2/5,1))=1,INDEX('Serial Reference'!$A$8:$W$8,1,FLOOR(($A37-1)/23,1)+1)&amp;INDEX('Serial Reference'!$A$8:$W$8,1,MOD($A37-1,23)+1)&amp;TEXT(L$2+FLOOR((L$2-1)/9,1),"000"),"")</f>
        <v>BM012</v>
      </c>
      <c r="M37" s="25" t="str">
        <f>IF(INDEX('Shot Map'!$B$6:$V$26,CEILING($A37/5,1),CEILING(M$2/5,1))=1,INDEX('Serial Reference'!$A$8:$W$8,1,FLOOR(($A37-1)/23,1)+1)&amp;INDEX('Serial Reference'!$A$8:$W$8,1,MOD($A37-1,23)+1)&amp;TEXT(M$2+FLOOR((M$2-1)/9,1),"000"),"")</f>
        <v>BM013</v>
      </c>
      <c r="N37" s="25" t="str">
        <f>IF(INDEX('Shot Map'!$B$6:$V$26,CEILING($A37/5,1),CEILING(N$2/5,1))=1,INDEX('Serial Reference'!$A$8:$W$8,1,FLOOR(($A37-1)/23,1)+1)&amp;INDEX('Serial Reference'!$A$8:$W$8,1,MOD($A37-1,23)+1)&amp;TEXT(N$2+FLOOR((N$2-1)/9,1),"000"),"")</f>
        <v>BM014</v>
      </c>
      <c r="O37" s="25" t="str">
        <f>IF(INDEX('Shot Map'!$B$6:$V$26,CEILING($A37/5,1),CEILING(O$2/5,1))=1,INDEX('Serial Reference'!$A$8:$W$8,1,FLOOR(($A37-1)/23,1)+1)&amp;INDEX('Serial Reference'!$A$8:$W$8,1,MOD($A37-1,23)+1)&amp;TEXT(O$2+FLOOR((O$2-1)/9,1),"000"),"")</f>
        <v>BM015</v>
      </c>
      <c r="P37" s="26" t="str">
        <f>IF(INDEX('Shot Map'!$B$6:$V$26,CEILING($A37/5,1),CEILING(P$2/5,1))=1,INDEX('Serial Reference'!$A$8:$W$8,1,FLOOR(($A37-1)/23,1)+1)&amp;INDEX('Serial Reference'!$A$8:$W$8,1,MOD($A37-1,23)+1)&amp;TEXT(P$2+FLOOR((P$2-1)/9,1),"000"),"")</f>
        <v>BM016</v>
      </c>
      <c r="Q37" s="24" t="str">
        <f>IF(INDEX('Shot Map'!$B$6:$V$26,CEILING($A37/5,1),CEILING(Q$2/5,1))=1,INDEX('Serial Reference'!$A$8:$W$8,1,FLOOR(($A37-1)/23,1)+1)&amp;INDEX('Serial Reference'!$A$8:$W$8,1,MOD($A37-1,23)+1)&amp;TEXT(Q$2+FLOOR((Q$2-1)/9,1),"000"),"")</f>
        <v>BM017</v>
      </c>
      <c r="R37" s="25" t="str">
        <f>IF(INDEX('Shot Map'!$B$6:$V$26,CEILING($A37/5,1),CEILING(R$2/5,1))=1,INDEX('Serial Reference'!$A$8:$W$8,1,FLOOR(($A37-1)/23,1)+1)&amp;INDEX('Serial Reference'!$A$8:$W$8,1,MOD($A37-1,23)+1)&amp;TEXT(R$2+FLOOR((R$2-1)/9,1),"000"),"")</f>
        <v>BM018</v>
      </c>
      <c r="S37" s="25" t="str">
        <f>IF(INDEX('Shot Map'!$B$6:$V$26,CEILING($A37/5,1),CEILING(S$2/5,1))=1,INDEX('Serial Reference'!$A$8:$W$8,1,FLOOR(($A37-1)/23,1)+1)&amp;INDEX('Serial Reference'!$A$8:$W$8,1,MOD($A37-1,23)+1)&amp;TEXT(S$2+FLOOR((S$2-1)/9,1),"000"),"")</f>
        <v>BM019</v>
      </c>
      <c r="T37" s="25" t="str">
        <f>IF(INDEX('Shot Map'!$B$6:$V$26,CEILING($A37/5,1),CEILING(T$2/5,1))=1,INDEX('Serial Reference'!$A$8:$W$8,1,FLOOR(($A37-1)/23,1)+1)&amp;INDEX('Serial Reference'!$A$8:$W$8,1,MOD($A37-1,23)+1)&amp;TEXT(T$2+FLOOR((T$2-1)/9,1),"000"),"")</f>
        <v>BM021</v>
      </c>
      <c r="U37" s="26" t="str">
        <f>IF(INDEX('Shot Map'!$B$6:$V$26,CEILING($A37/5,1),CEILING(U$2/5,1))=1,INDEX('Serial Reference'!$A$8:$W$8,1,FLOOR(($A37-1)/23,1)+1)&amp;INDEX('Serial Reference'!$A$8:$W$8,1,MOD($A37-1,23)+1)&amp;TEXT(U$2+FLOOR((U$2-1)/9,1),"000"),"")</f>
        <v>BM022</v>
      </c>
      <c r="V37" s="24" t="str">
        <f>IF(INDEX('Shot Map'!$B$6:$V$26,CEILING($A37/5,1),CEILING(V$2/5,1))=1,INDEX('Serial Reference'!$A$8:$W$8,1,FLOOR(($A37-1)/23,1)+1)&amp;INDEX('Serial Reference'!$A$8:$W$8,1,MOD($A37-1,23)+1)&amp;TEXT(V$2+FLOOR((V$2-1)/9,1),"000"),"")</f>
        <v>BM023</v>
      </c>
      <c r="W37" s="25" t="str">
        <f>IF(INDEX('Shot Map'!$B$6:$V$26,CEILING($A37/5,1),CEILING(W$2/5,1))=1,INDEX('Serial Reference'!$A$8:$W$8,1,FLOOR(($A37-1)/23,1)+1)&amp;INDEX('Serial Reference'!$A$8:$W$8,1,MOD($A37-1,23)+1)&amp;TEXT(W$2+FLOOR((W$2-1)/9,1),"000"),"")</f>
        <v>BM024</v>
      </c>
      <c r="X37" s="25" t="str">
        <f>IF(INDEX('Shot Map'!$B$6:$V$26,CEILING($A37/5,1),CEILING(X$2/5,1))=1,INDEX('Serial Reference'!$A$8:$W$8,1,FLOOR(($A37-1)/23,1)+1)&amp;INDEX('Serial Reference'!$A$8:$W$8,1,MOD($A37-1,23)+1)&amp;TEXT(X$2+FLOOR((X$2-1)/9,1),"000"),"")</f>
        <v>BM025</v>
      </c>
      <c r="Y37" s="25" t="str">
        <f>IF(INDEX('Shot Map'!$B$6:$V$26,CEILING($A37/5,1),CEILING(Y$2/5,1))=1,INDEX('Serial Reference'!$A$8:$W$8,1,FLOOR(($A37-1)/23,1)+1)&amp;INDEX('Serial Reference'!$A$8:$W$8,1,MOD($A37-1,23)+1)&amp;TEXT(Y$2+FLOOR((Y$2-1)/9,1),"000"),"")</f>
        <v>BM026</v>
      </c>
      <c r="Z37" s="26" t="str">
        <f>IF(INDEX('Shot Map'!$B$6:$V$26,CEILING($A37/5,1),CEILING(Z$2/5,1))=1,INDEX('Serial Reference'!$A$8:$W$8,1,FLOOR(($A37-1)/23,1)+1)&amp;INDEX('Serial Reference'!$A$8:$W$8,1,MOD($A37-1,23)+1)&amp;TEXT(Z$2+FLOOR((Z$2-1)/9,1),"000"),"")</f>
        <v>BM027</v>
      </c>
      <c r="AA37" s="24" t="str">
        <f>IF(INDEX('Shot Map'!$B$6:$V$26,CEILING($A37/5,1),CEILING(AA$2/5,1))=1,INDEX('Serial Reference'!$A$8:$W$8,1,FLOOR(($A37-1)/23,1)+1)&amp;INDEX('Serial Reference'!$A$8:$W$8,1,MOD($A37-1,23)+1)&amp;TEXT(AA$2+FLOOR((AA$2-1)/9,1),"000"),"")</f>
        <v>BM028</v>
      </c>
      <c r="AB37" s="25" t="str">
        <f>IF(INDEX('Shot Map'!$B$6:$V$26,CEILING($A37/5,1),CEILING(AB$2/5,1))=1,INDEX('Serial Reference'!$A$8:$W$8,1,FLOOR(($A37-1)/23,1)+1)&amp;INDEX('Serial Reference'!$A$8:$W$8,1,MOD($A37-1,23)+1)&amp;TEXT(AB$2+FLOOR((AB$2-1)/9,1),"000"),"")</f>
        <v>BM029</v>
      </c>
      <c r="AC37" s="25" t="str">
        <f>IF(INDEX('Shot Map'!$B$6:$V$26,CEILING($A37/5,1),CEILING(AC$2/5,1))=1,INDEX('Serial Reference'!$A$8:$W$8,1,FLOOR(($A37-1)/23,1)+1)&amp;INDEX('Serial Reference'!$A$8:$W$8,1,MOD($A37-1,23)+1)&amp;TEXT(AC$2+FLOOR((AC$2-1)/9,1),"000"),"")</f>
        <v>BM031</v>
      </c>
      <c r="AD37" s="25" t="str">
        <f>IF(INDEX('Shot Map'!$B$6:$V$26,CEILING($A37/5,1),CEILING(AD$2/5,1))=1,INDEX('Serial Reference'!$A$8:$W$8,1,FLOOR(($A37-1)/23,1)+1)&amp;INDEX('Serial Reference'!$A$8:$W$8,1,MOD($A37-1,23)+1)&amp;TEXT(AD$2+FLOOR((AD$2-1)/9,1),"000"),"")</f>
        <v>BM032</v>
      </c>
      <c r="AE37" s="26" t="str">
        <f>IF(INDEX('Shot Map'!$B$6:$V$26,CEILING($A37/5,1),CEILING(AE$2/5,1))=1,INDEX('Serial Reference'!$A$8:$W$8,1,FLOOR(($A37-1)/23,1)+1)&amp;INDEX('Serial Reference'!$A$8:$W$8,1,MOD($A37-1,23)+1)&amp;TEXT(AE$2+FLOOR((AE$2-1)/9,1),"000"),"")</f>
        <v>BM033</v>
      </c>
      <c r="AF37" s="24" t="str">
        <f>IF(INDEX('Shot Map'!$B$6:$V$26,CEILING($A37/5,1),CEILING(AF$2/5,1))=1,INDEX('Serial Reference'!$A$8:$W$8,1,FLOOR(($A37-1)/23,1)+1)&amp;INDEX('Serial Reference'!$A$8:$W$8,1,MOD($A37-1,23)+1)&amp;TEXT(AF$2+FLOOR((AF$2-1)/9,1),"000"),"")</f>
        <v>BM034</v>
      </c>
      <c r="AG37" s="25" t="str">
        <f>IF(INDEX('Shot Map'!$B$6:$V$26,CEILING($A37/5,1),CEILING(AG$2/5,1))=1,INDEX('Serial Reference'!$A$8:$W$8,1,FLOOR(($A37-1)/23,1)+1)&amp;INDEX('Serial Reference'!$A$8:$W$8,1,MOD($A37-1,23)+1)&amp;TEXT(AG$2+FLOOR((AG$2-1)/9,1),"000"),"")</f>
        <v>BM035</v>
      </c>
      <c r="AH37" s="25" t="str">
        <f>IF(INDEX('Shot Map'!$B$6:$V$26,CEILING($A37/5,1),CEILING(AH$2/5,1))=1,INDEX('Serial Reference'!$A$8:$W$8,1,FLOOR(($A37-1)/23,1)+1)&amp;INDEX('Serial Reference'!$A$8:$W$8,1,MOD($A37-1,23)+1)&amp;TEXT(AH$2+FLOOR((AH$2-1)/9,1),"000"),"")</f>
        <v>BM036</v>
      </c>
      <c r="AI37" s="25" t="str">
        <f>IF(INDEX('Shot Map'!$B$6:$V$26,CEILING($A37/5,1),CEILING(AI$2/5,1))=1,INDEX('Serial Reference'!$A$8:$W$8,1,FLOOR(($A37-1)/23,1)+1)&amp;INDEX('Serial Reference'!$A$8:$W$8,1,MOD($A37-1,23)+1)&amp;TEXT(AI$2+FLOOR((AI$2-1)/9,1),"000"),"")</f>
        <v>BM037</v>
      </c>
      <c r="AJ37" s="26" t="str">
        <f>IF(INDEX('Shot Map'!$B$6:$V$26,CEILING($A37/5,1),CEILING(AJ$2/5,1))=1,INDEX('Serial Reference'!$A$8:$W$8,1,FLOOR(($A37-1)/23,1)+1)&amp;INDEX('Serial Reference'!$A$8:$W$8,1,MOD($A37-1,23)+1)&amp;TEXT(AJ$2+FLOOR((AJ$2-1)/9,1),"000"),"")</f>
        <v>BM038</v>
      </c>
      <c r="AK37" s="24" t="str">
        <f>IF(INDEX('Shot Map'!$B$6:$V$26,CEILING($A37/5,1),CEILING(AK$2/5,1))=1,INDEX('Serial Reference'!$A$8:$W$8,1,FLOOR(($A37-1)/23,1)+1)&amp;INDEX('Serial Reference'!$A$8:$W$8,1,MOD($A37-1,23)+1)&amp;TEXT(AK$2+FLOOR((AK$2-1)/9,1),"000"),"")</f>
        <v>BM039</v>
      </c>
      <c r="AL37" s="25" t="str">
        <f>IF(INDEX('Shot Map'!$B$6:$V$26,CEILING($A37/5,1),CEILING(AL$2/5,1))=1,INDEX('Serial Reference'!$A$8:$W$8,1,FLOOR(($A37-1)/23,1)+1)&amp;INDEX('Serial Reference'!$A$8:$W$8,1,MOD($A37-1,23)+1)&amp;TEXT(AL$2+FLOOR((AL$2-1)/9,1),"000"),"")</f>
        <v>BM041</v>
      </c>
      <c r="AM37" s="25" t="str">
        <f>IF(INDEX('Shot Map'!$B$6:$V$26,CEILING($A37/5,1),CEILING(AM$2/5,1))=1,INDEX('Serial Reference'!$A$8:$W$8,1,FLOOR(($A37-1)/23,1)+1)&amp;INDEX('Serial Reference'!$A$8:$W$8,1,MOD($A37-1,23)+1)&amp;TEXT(AM$2+FLOOR((AM$2-1)/9,1),"000"),"")</f>
        <v>BM042</v>
      </c>
      <c r="AN37" s="25" t="str">
        <f>IF(INDEX('Shot Map'!$B$6:$V$26,CEILING($A37/5,1),CEILING(AN$2/5,1))=1,INDEX('Serial Reference'!$A$8:$W$8,1,FLOOR(($A37-1)/23,1)+1)&amp;INDEX('Serial Reference'!$A$8:$W$8,1,MOD($A37-1,23)+1)&amp;TEXT(AN$2+FLOOR((AN$2-1)/9,1),"000"),"")</f>
        <v>BM043</v>
      </c>
      <c r="AO37" s="26" t="str">
        <f>IF(INDEX('Shot Map'!$B$6:$V$26,CEILING($A37/5,1),CEILING(AO$2/5,1))=1,INDEX('Serial Reference'!$A$8:$W$8,1,FLOOR(($A37-1)/23,1)+1)&amp;INDEX('Serial Reference'!$A$8:$W$8,1,MOD($A37-1,23)+1)&amp;TEXT(AO$2+FLOOR((AO$2-1)/9,1),"000"),"")</f>
        <v>BM044</v>
      </c>
      <c r="AP37" s="24" t="str">
        <f>IF(INDEX('Shot Map'!$B$6:$V$26,CEILING($A37/5,1),CEILING(AP$2/5,1))=1,INDEX('Serial Reference'!$A$8:$W$8,1,FLOOR(($A37-1)/23,1)+1)&amp;INDEX('Serial Reference'!$A$8:$W$8,1,MOD($A37-1,23)+1)&amp;TEXT(AP$2+FLOOR((AP$2-1)/9,1),"000"),"")</f>
        <v>BM045</v>
      </c>
      <c r="AQ37" s="25" t="str">
        <f>IF(INDEX('Shot Map'!$B$6:$V$26,CEILING($A37/5,1),CEILING(AQ$2/5,1))=1,INDEX('Serial Reference'!$A$8:$W$8,1,FLOOR(($A37-1)/23,1)+1)&amp;INDEX('Serial Reference'!$A$8:$W$8,1,MOD($A37-1,23)+1)&amp;TEXT(AQ$2+FLOOR((AQ$2-1)/9,1),"000"),"")</f>
        <v>BM046</v>
      </c>
      <c r="AR37" s="25" t="str">
        <f>IF(INDEX('Shot Map'!$B$6:$V$26,CEILING($A37/5,1),CEILING(AR$2/5,1))=1,INDEX('Serial Reference'!$A$8:$W$8,1,FLOOR(($A37-1)/23,1)+1)&amp;INDEX('Serial Reference'!$A$8:$W$8,1,MOD($A37-1,23)+1)&amp;TEXT(AR$2+FLOOR((AR$2-1)/9,1),"000"),"")</f>
        <v>BM047</v>
      </c>
      <c r="AS37" s="25" t="str">
        <f>IF(INDEX('Shot Map'!$B$6:$V$26,CEILING($A37/5,1),CEILING(AS$2/5,1))=1,INDEX('Serial Reference'!$A$8:$W$8,1,FLOOR(($A37-1)/23,1)+1)&amp;INDEX('Serial Reference'!$A$8:$W$8,1,MOD($A37-1,23)+1)&amp;TEXT(AS$2+FLOOR((AS$2-1)/9,1),"000"),"")</f>
        <v>BM048</v>
      </c>
      <c r="AT37" s="26" t="str">
        <f>IF(INDEX('Shot Map'!$B$6:$V$26,CEILING($A37/5,1),CEILING(AT$2/5,1))=1,INDEX('Serial Reference'!$A$8:$W$8,1,FLOOR(($A37-1)/23,1)+1)&amp;INDEX('Serial Reference'!$A$8:$W$8,1,MOD($A37-1,23)+1)&amp;TEXT(AT$2+FLOOR((AT$2-1)/9,1),"000"),"")</f>
        <v>BM049</v>
      </c>
      <c r="AU37" s="24" t="str">
        <f>IF(INDEX('Shot Map'!$B$6:$V$26,CEILING($A37/5,1),CEILING(AU$2/5,1))=1,INDEX('Serial Reference'!$A$8:$W$8,1,FLOOR(($A37-1)/23,1)+1)&amp;INDEX('Serial Reference'!$A$8:$W$8,1,MOD($A37-1,23)+1)&amp;TEXT(AU$2+FLOOR((AU$2-1)/9,1),"000"),"")</f>
        <v>BM051</v>
      </c>
      <c r="AV37" s="25" t="str">
        <f>IF(INDEX('Shot Map'!$B$6:$V$26,CEILING($A37/5,1),CEILING(AV$2/5,1))=1,INDEX('Serial Reference'!$A$8:$W$8,1,FLOOR(($A37-1)/23,1)+1)&amp;INDEX('Serial Reference'!$A$8:$W$8,1,MOD($A37-1,23)+1)&amp;TEXT(AV$2+FLOOR((AV$2-1)/9,1),"000"),"")</f>
        <v>BM052</v>
      </c>
      <c r="AW37" s="25" t="str">
        <f>IF(INDEX('Shot Map'!$B$6:$V$26,CEILING($A37/5,1),CEILING(AW$2/5,1))=1,INDEX('Serial Reference'!$A$8:$W$8,1,FLOOR(($A37-1)/23,1)+1)&amp;INDEX('Serial Reference'!$A$8:$W$8,1,MOD($A37-1,23)+1)&amp;TEXT(AW$2+FLOOR((AW$2-1)/9,1),"000"),"")</f>
        <v>BM053</v>
      </c>
      <c r="AX37" s="25" t="str">
        <f>IF(INDEX('Shot Map'!$B$6:$V$26,CEILING($A37/5,1),CEILING(AX$2/5,1))=1,INDEX('Serial Reference'!$A$8:$W$8,1,FLOOR(($A37-1)/23,1)+1)&amp;INDEX('Serial Reference'!$A$8:$W$8,1,MOD($A37-1,23)+1)&amp;TEXT(AX$2+FLOOR((AX$2-1)/9,1),"000"),"")</f>
        <v>BM054</v>
      </c>
      <c r="AY37" s="26" t="str">
        <f>IF(INDEX('Shot Map'!$B$6:$V$26,CEILING($A37/5,1),CEILING(AY$2/5,1))=1,INDEX('Serial Reference'!$A$8:$W$8,1,FLOOR(($A37-1)/23,1)+1)&amp;INDEX('Serial Reference'!$A$8:$W$8,1,MOD($A37-1,23)+1)&amp;TEXT(AY$2+FLOOR((AY$2-1)/9,1),"000"),"")</f>
        <v>BM055</v>
      </c>
      <c r="AZ37" s="24" t="str">
        <f>IF(INDEX('Shot Map'!$B$6:$V$26,CEILING($A37/5,1),CEILING(AZ$2/5,1))=1,INDEX('Serial Reference'!$A$8:$W$8,1,FLOOR(($A37-1)/23,1)+1)&amp;INDEX('Serial Reference'!$A$8:$W$8,1,MOD($A37-1,23)+1)&amp;TEXT(AZ$2+FLOOR((AZ$2-1)/9,1),"000"),"")</f>
        <v>BM056</v>
      </c>
      <c r="BA37" s="25" t="str">
        <f>IF(INDEX('Shot Map'!$B$6:$V$26,CEILING($A37/5,1),CEILING(BA$2/5,1))=1,INDEX('Serial Reference'!$A$8:$W$8,1,FLOOR(($A37-1)/23,1)+1)&amp;INDEX('Serial Reference'!$A$8:$W$8,1,MOD($A37-1,23)+1)&amp;TEXT(BA$2+FLOOR((BA$2-1)/9,1),"000"),"")</f>
        <v>BM057</v>
      </c>
      <c r="BB37" s="25" t="str">
        <f>IF(INDEX('Shot Map'!$B$6:$V$26,CEILING($A37/5,1),CEILING(BB$2/5,1))=1,INDEX('Serial Reference'!$A$8:$W$8,1,FLOOR(($A37-1)/23,1)+1)&amp;INDEX('Serial Reference'!$A$8:$W$8,1,MOD($A37-1,23)+1)&amp;TEXT(BB$2+FLOOR((BB$2-1)/9,1),"000"),"")</f>
        <v>BM058</v>
      </c>
      <c r="BC37" s="25" t="str">
        <f>IF(INDEX('Shot Map'!$B$6:$V$26,CEILING($A37/5,1),CEILING(BC$2/5,1))=1,INDEX('Serial Reference'!$A$8:$W$8,1,FLOOR(($A37-1)/23,1)+1)&amp;INDEX('Serial Reference'!$A$8:$W$8,1,MOD($A37-1,23)+1)&amp;TEXT(BC$2+FLOOR((BC$2-1)/9,1),"000"),"")</f>
        <v>BM059</v>
      </c>
      <c r="BD37" s="26" t="str">
        <f>IF(INDEX('Shot Map'!$B$6:$V$26,CEILING($A37/5,1),CEILING(BD$2/5,1))=1,INDEX('Serial Reference'!$A$8:$W$8,1,FLOOR(($A37-1)/23,1)+1)&amp;INDEX('Serial Reference'!$A$8:$W$8,1,MOD($A37-1,23)+1)&amp;TEXT(BD$2+FLOOR((BD$2-1)/9,1),"000"),"")</f>
        <v>BM061</v>
      </c>
      <c r="BE37" s="24" t="str">
        <f>IF(INDEX('Shot Map'!$B$6:$V$26,CEILING($A37/5,1),CEILING(BE$2/5,1))=1,INDEX('Serial Reference'!$A$8:$W$8,1,FLOOR(($A37-1)/23,1)+1)&amp;INDEX('Serial Reference'!$A$8:$W$8,1,MOD($A37-1,23)+1)&amp;TEXT(BE$2+FLOOR((BE$2-1)/9,1),"000"),"")</f>
        <v>BM062</v>
      </c>
      <c r="BF37" s="25" t="str">
        <f>IF(INDEX('Shot Map'!$B$6:$V$26,CEILING($A37/5,1),CEILING(BF$2/5,1))=1,INDEX('Serial Reference'!$A$8:$W$8,1,FLOOR(($A37-1)/23,1)+1)&amp;INDEX('Serial Reference'!$A$8:$W$8,1,MOD($A37-1,23)+1)&amp;TEXT(BF$2+FLOOR((BF$2-1)/9,1),"000"),"")</f>
        <v>BM063</v>
      </c>
      <c r="BG37" s="25" t="str">
        <f>IF(INDEX('Shot Map'!$B$6:$V$26,CEILING($A37/5,1),CEILING(BG$2/5,1))=1,INDEX('Serial Reference'!$A$8:$W$8,1,FLOOR(($A37-1)/23,1)+1)&amp;INDEX('Serial Reference'!$A$8:$W$8,1,MOD($A37-1,23)+1)&amp;TEXT(BG$2+FLOOR((BG$2-1)/9,1),"000"),"")</f>
        <v>BM064</v>
      </c>
      <c r="BH37" s="25" t="str">
        <f>IF(INDEX('Shot Map'!$B$6:$V$26,CEILING($A37/5,1),CEILING(BH$2/5,1))=1,INDEX('Serial Reference'!$A$8:$W$8,1,FLOOR(($A37-1)/23,1)+1)&amp;INDEX('Serial Reference'!$A$8:$W$8,1,MOD($A37-1,23)+1)&amp;TEXT(BH$2+FLOOR((BH$2-1)/9,1),"000"),"")</f>
        <v>BM065</v>
      </c>
      <c r="BI37" s="26" t="str">
        <f>IF(INDEX('Shot Map'!$B$6:$V$26,CEILING($A37/5,1),CEILING(BI$2/5,1))=1,INDEX('Serial Reference'!$A$8:$W$8,1,FLOOR(($A37-1)/23,1)+1)&amp;INDEX('Serial Reference'!$A$8:$W$8,1,MOD($A37-1,23)+1)&amp;TEXT(BI$2+FLOOR((BI$2-1)/9,1),"000"),"")</f>
        <v>BM066</v>
      </c>
      <c r="BJ37" s="24" t="str">
        <f>IF(INDEX('Shot Map'!$B$6:$V$26,CEILING($A37/5,1),CEILING(BJ$2/5,1))=1,INDEX('Serial Reference'!$A$8:$W$8,1,FLOOR(($A37-1)/23,1)+1)&amp;INDEX('Serial Reference'!$A$8:$W$8,1,MOD($A37-1,23)+1)&amp;TEXT(BJ$2+FLOOR((BJ$2-1)/9,1),"000"),"")</f>
        <v>BM067</v>
      </c>
      <c r="BK37" s="25" t="str">
        <f>IF(INDEX('Shot Map'!$B$6:$V$26,CEILING($A37/5,1),CEILING(BK$2/5,1))=1,INDEX('Serial Reference'!$A$8:$W$8,1,FLOOR(($A37-1)/23,1)+1)&amp;INDEX('Serial Reference'!$A$8:$W$8,1,MOD($A37-1,23)+1)&amp;TEXT(BK$2+FLOOR((BK$2-1)/9,1),"000"),"")</f>
        <v>BM068</v>
      </c>
      <c r="BL37" s="25" t="str">
        <f>IF(INDEX('Shot Map'!$B$6:$V$26,CEILING($A37/5,1),CEILING(BL$2/5,1))=1,INDEX('Serial Reference'!$A$8:$W$8,1,FLOOR(($A37-1)/23,1)+1)&amp;INDEX('Serial Reference'!$A$8:$W$8,1,MOD($A37-1,23)+1)&amp;TEXT(BL$2+FLOOR((BL$2-1)/9,1),"000"),"")</f>
        <v>BM069</v>
      </c>
      <c r="BM37" s="25" t="str">
        <f>IF(INDEX('Shot Map'!$B$6:$V$26,CEILING($A37/5,1),CEILING(BM$2/5,1))=1,INDEX('Serial Reference'!$A$8:$W$8,1,FLOOR(($A37-1)/23,1)+1)&amp;INDEX('Serial Reference'!$A$8:$W$8,1,MOD($A37-1,23)+1)&amp;TEXT(BM$2+FLOOR((BM$2-1)/9,1),"000"),"")</f>
        <v>BM071</v>
      </c>
      <c r="BN37" s="26" t="str">
        <f>IF(INDEX('Shot Map'!$B$6:$V$26,CEILING($A37/5,1),CEILING(BN$2/5,1))=1,INDEX('Serial Reference'!$A$8:$W$8,1,FLOOR(($A37-1)/23,1)+1)&amp;INDEX('Serial Reference'!$A$8:$W$8,1,MOD($A37-1,23)+1)&amp;TEXT(BN$2+FLOOR((BN$2-1)/9,1),"000"),"")</f>
        <v>BM072</v>
      </c>
      <c r="BO37" s="24" t="str">
        <f>IF(INDEX('Shot Map'!$B$6:$V$26,CEILING($A37/5,1),CEILING(BO$2/5,1))=1,INDEX('Serial Reference'!$A$8:$W$8,1,FLOOR(($A37-1)/23,1)+1)&amp;INDEX('Serial Reference'!$A$8:$W$8,1,MOD($A37-1,23)+1)&amp;TEXT(BO$2+FLOOR((BO$2-1)/9,1),"000"),"")</f>
        <v>BM073</v>
      </c>
      <c r="BP37" s="25" t="str">
        <f>IF(INDEX('Shot Map'!$B$6:$V$26,CEILING($A37/5,1),CEILING(BP$2/5,1))=1,INDEX('Serial Reference'!$A$8:$W$8,1,FLOOR(($A37-1)/23,1)+1)&amp;INDEX('Serial Reference'!$A$8:$W$8,1,MOD($A37-1,23)+1)&amp;TEXT(BP$2+FLOOR((BP$2-1)/9,1),"000"),"")</f>
        <v>BM074</v>
      </c>
      <c r="BQ37" s="25" t="str">
        <f>IF(INDEX('Shot Map'!$B$6:$V$26,CEILING($A37/5,1),CEILING(BQ$2/5,1))=1,INDEX('Serial Reference'!$A$8:$W$8,1,FLOOR(($A37-1)/23,1)+1)&amp;INDEX('Serial Reference'!$A$8:$W$8,1,MOD($A37-1,23)+1)&amp;TEXT(BQ$2+FLOOR((BQ$2-1)/9,1),"000"),"")</f>
        <v>BM075</v>
      </c>
      <c r="BR37" s="25" t="str">
        <f>IF(INDEX('Shot Map'!$B$6:$V$26,CEILING($A37/5,1),CEILING(BR$2/5,1))=1,INDEX('Serial Reference'!$A$8:$W$8,1,FLOOR(($A37-1)/23,1)+1)&amp;INDEX('Serial Reference'!$A$8:$W$8,1,MOD($A37-1,23)+1)&amp;TEXT(BR$2+FLOOR((BR$2-1)/9,1),"000"),"")</f>
        <v>BM076</v>
      </c>
      <c r="BS37" s="26" t="str">
        <f>IF(INDEX('Shot Map'!$B$6:$V$26,CEILING($A37/5,1),CEILING(BS$2/5,1))=1,INDEX('Serial Reference'!$A$8:$W$8,1,FLOOR(($A37-1)/23,1)+1)&amp;INDEX('Serial Reference'!$A$8:$W$8,1,MOD($A37-1,23)+1)&amp;TEXT(BS$2+FLOOR((BS$2-1)/9,1),"000"),"")</f>
        <v>BM077</v>
      </c>
      <c r="BT37" s="24" t="str">
        <f>IF(INDEX('Shot Map'!$B$6:$V$26,CEILING($A37/5,1),CEILING(BT$2/5,1))=1,INDEX('Serial Reference'!$A$8:$W$8,1,FLOOR(($A37-1)/23,1)+1)&amp;INDEX('Serial Reference'!$A$8:$W$8,1,MOD($A37-1,23)+1)&amp;TEXT(BT$2+FLOOR((BT$2-1)/9,1),"000"),"")</f>
        <v>BM078</v>
      </c>
      <c r="BU37" s="25" t="str">
        <f>IF(INDEX('Shot Map'!$B$6:$V$26,CEILING($A37/5,1),CEILING(BU$2/5,1))=1,INDEX('Serial Reference'!$A$8:$W$8,1,FLOOR(($A37-1)/23,1)+1)&amp;INDEX('Serial Reference'!$A$8:$W$8,1,MOD($A37-1,23)+1)&amp;TEXT(BU$2+FLOOR((BU$2-1)/9,1),"000"),"")</f>
        <v>BM079</v>
      </c>
      <c r="BV37" s="25" t="str">
        <f>IF(INDEX('Shot Map'!$B$6:$V$26,CEILING($A37/5,1),CEILING(BV$2/5,1))=1,INDEX('Serial Reference'!$A$8:$W$8,1,FLOOR(($A37-1)/23,1)+1)&amp;INDEX('Serial Reference'!$A$8:$W$8,1,MOD($A37-1,23)+1)&amp;TEXT(BV$2+FLOOR((BV$2-1)/9,1),"000"),"")</f>
        <v>BM081</v>
      </c>
      <c r="BW37" s="25" t="str">
        <f>IF(INDEX('Shot Map'!$B$6:$V$26,CEILING($A37/5,1),CEILING(BW$2/5,1))=1,INDEX('Serial Reference'!$A$8:$W$8,1,FLOOR(($A37-1)/23,1)+1)&amp;INDEX('Serial Reference'!$A$8:$W$8,1,MOD($A37-1,23)+1)&amp;TEXT(BW$2+FLOOR((BW$2-1)/9,1),"000"),"")</f>
        <v>BM082</v>
      </c>
      <c r="BX37" s="26" t="str">
        <f>IF(INDEX('Shot Map'!$B$6:$V$26,CEILING($A37/5,1),CEILING(BX$2/5,1))=1,INDEX('Serial Reference'!$A$8:$W$8,1,FLOOR(($A37-1)/23,1)+1)&amp;INDEX('Serial Reference'!$A$8:$W$8,1,MOD($A37-1,23)+1)&amp;TEXT(BX$2+FLOOR((BX$2-1)/9,1),"000"),"")</f>
        <v>BM083</v>
      </c>
      <c r="BY37" s="24" t="str">
        <f>IF(INDEX('Shot Map'!$B$6:$V$26,CEILING($A37/5,1),CEILING(BY$2/5,1))=1,INDEX('Serial Reference'!$A$8:$W$8,1,FLOOR(($A37-1)/23,1)+1)&amp;INDEX('Serial Reference'!$A$8:$W$8,1,MOD($A37-1,23)+1)&amp;TEXT(BY$2+FLOOR((BY$2-1)/9,1),"000"),"")</f>
        <v>BM084</v>
      </c>
      <c r="BZ37" s="25" t="str">
        <f>IF(INDEX('Shot Map'!$B$6:$V$26,CEILING($A37/5,1),CEILING(BZ$2/5,1))=1,INDEX('Serial Reference'!$A$8:$W$8,1,FLOOR(($A37-1)/23,1)+1)&amp;INDEX('Serial Reference'!$A$8:$W$8,1,MOD($A37-1,23)+1)&amp;TEXT(BZ$2+FLOOR((BZ$2-1)/9,1),"000"),"")</f>
        <v>BM085</v>
      </c>
      <c r="CA37" s="25" t="str">
        <f>IF(INDEX('Shot Map'!$B$6:$V$26,CEILING($A37/5,1),CEILING(CA$2/5,1))=1,INDEX('Serial Reference'!$A$8:$W$8,1,FLOOR(($A37-1)/23,1)+1)&amp;INDEX('Serial Reference'!$A$8:$W$8,1,MOD($A37-1,23)+1)&amp;TEXT(CA$2+FLOOR((CA$2-1)/9,1),"000"),"")</f>
        <v>BM086</v>
      </c>
      <c r="CB37" s="25" t="str">
        <f>IF(INDEX('Shot Map'!$B$6:$V$26,CEILING($A37/5,1),CEILING(CB$2/5,1))=1,INDEX('Serial Reference'!$A$8:$W$8,1,FLOOR(($A37-1)/23,1)+1)&amp;INDEX('Serial Reference'!$A$8:$W$8,1,MOD($A37-1,23)+1)&amp;TEXT(CB$2+FLOOR((CB$2-1)/9,1),"000"),"")</f>
        <v>BM087</v>
      </c>
      <c r="CC37" s="26" t="str">
        <f>IF(INDEX('Shot Map'!$B$6:$V$26,CEILING($A37/5,1),CEILING(CC$2/5,1))=1,INDEX('Serial Reference'!$A$8:$W$8,1,FLOOR(($A37-1)/23,1)+1)&amp;INDEX('Serial Reference'!$A$8:$W$8,1,MOD($A37-1,23)+1)&amp;TEXT(CC$2+FLOOR((CC$2-1)/9,1),"000"),"")</f>
        <v>BM088</v>
      </c>
      <c r="CD37" s="24" t="str">
        <f>IF(INDEX('Shot Map'!$B$6:$V$26,CEILING($A37/5,1),CEILING(CD$2/5,1))=1,INDEX('Serial Reference'!$A$8:$W$8,1,FLOOR(($A37-1)/23,1)+1)&amp;INDEX('Serial Reference'!$A$8:$W$8,1,MOD($A37-1,23)+1)&amp;TEXT(CD$2+FLOOR((CD$2-1)/9,1),"000"),"")</f>
        <v>BM089</v>
      </c>
      <c r="CE37" s="25" t="str">
        <f>IF(INDEX('Shot Map'!$B$6:$V$26,CEILING($A37/5,1),CEILING(CE$2/5,1))=1,INDEX('Serial Reference'!$A$8:$W$8,1,FLOOR(($A37-1)/23,1)+1)&amp;INDEX('Serial Reference'!$A$8:$W$8,1,MOD($A37-1,23)+1)&amp;TEXT(CE$2+FLOOR((CE$2-1)/9,1),"000"),"")</f>
        <v>BM091</v>
      </c>
      <c r="CF37" s="25" t="str">
        <f>IF(INDEX('Shot Map'!$B$6:$V$26,CEILING($A37/5,1),CEILING(CF$2/5,1))=1,INDEX('Serial Reference'!$A$8:$W$8,1,FLOOR(($A37-1)/23,1)+1)&amp;INDEX('Serial Reference'!$A$8:$W$8,1,MOD($A37-1,23)+1)&amp;TEXT(CF$2+FLOOR((CF$2-1)/9,1),"000"),"")</f>
        <v>BM092</v>
      </c>
      <c r="CG37" s="25" t="str">
        <f>IF(INDEX('Shot Map'!$B$6:$V$26,CEILING($A37/5,1),CEILING(CG$2/5,1))=1,INDEX('Serial Reference'!$A$8:$W$8,1,FLOOR(($A37-1)/23,1)+1)&amp;INDEX('Serial Reference'!$A$8:$W$8,1,MOD($A37-1,23)+1)&amp;TEXT(CG$2+FLOOR((CG$2-1)/9,1),"000"),"")</f>
        <v>BM093</v>
      </c>
      <c r="CH37" s="26" t="str">
        <f>IF(INDEX('Shot Map'!$B$6:$V$26,CEILING($A37/5,1),CEILING(CH$2/5,1))=1,INDEX('Serial Reference'!$A$8:$W$8,1,FLOOR(($A37-1)/23,1)+1)&amp;INDEX('Serial Reference'!$A$8:$W$8,1,MOD($A37-1,23)+1)&amp;TEXT(CH$2+FLOOR((CH$2-1)/9,1),"000"),"")</f>
        <v>BM094</v>
      </c>
      <c r="CI37" s="24" t="str">
        <f>IF(INDEX('Shot Map'!$B$6:$V$26,CEILING($A37/5,1),CEILING(CI$2/5,1))=1,INDEX('Serial Reference'!$A$8:$W$8,1,FLOOR(($A37-1)/23,1)+1)&amp;INDEX('Serial Reference'!$A$8:$W$8,1,MOD($A37-1,23)+1)&amp;TEXT(CI$2+FLOOR((CI$2-1)/9,1),"000"),"")</f>
        <v>BM095</v>
      </c>
      <c r="CJ37" s="25" t="str">
        <f>IF(INDEX('Shot Map'!$B$6:$V$26,CEILING($A37/5,1),CEILING(CJ$2/5,1))=1,INDEX('Serial Reference'!$A$8:$W$8,1,FLOOR(($A37-1)/23,1)+1)&amp;INDEX('Serial Reference'!$A$8:$W$8,1,MOD($A37-1,23)+1)&amp;TEXT(CJ$2+FLOOR((CJ$2-1)/9,1),"000"),"")</f>
        <v>BM096</v>
      </c>
      <c r="CK37" s="25" t="str">
        <f>IF(INDEX('Shot Map'!$B$6:$V$26,CEILING($A37/5,1),CEILING(CK$2/5,1))=1,INDEX('Serial Reference'!$A$8:$W$8,1,FLOOR(($A37-1)/23,1)+1)&amp;INDEX('Serial Reference'!$A$8:$W$8,1,MOD($A37-1,23)+1)&amp;TEXT(CK$2+FLOOR((CK$2-1)/9,1),"000"),"")</f>
        <v>BM097</v>
      </c>
      <c r="CL37" s="25" t="str">
        <f>IF(INDEX('Shot Map'!$B$6:$V$26,CEILING($A37/5,1),CEILING(CL$2/5,1))=1,INDEX('Serial Reference'!$A$8:$W$8,1,FLOOR(($A37-1)/23,1)+1)&amp;INDEX('Serial Reference'!$A$8:$W$8,1,MOD($A37-1,23)+1)&amp;TEXT(CL$2+FLOOR((CL$2-1)/9,1),"000"),"")</f>
        <v>BM098</v>
      </c>
      <c r="CM37" s="26" t="str">
        <f>IF(INDEX('Shot Map'!$B$6:$V$26,CEILING($A37/5,1),CEILING(CM$2/5,1))=1,INDEX('Serial Reference'!$A$8:$W$8,1,FLOOR(($A37-1)/23,1)+1)&amp;INDEX('Serial Reference'!$A$8:$W$8,1,MOD($A37-1,23)+1)&amp;TEXT(CM$2+FLOOR((CM$2-1)/9,1),"000"),"")</f>
        <v>BM099</v>
      </c>
      <c r="CN37" s="24" t="str">
        <f>IF(INDEX('Shot Map'!$B$6:$V$26,CEILING($A37/5,1),CEILING(CN$2/5,1))=1,INDEX('Serial Reference'!$A$8:$W$8,1,FLOOR(($A37-1)/23,1)+1)&amp;INDEX('Serial Reference'!$A$8:$W$8,1,MOD($A37-1,23)+1)&amp;TEXT(CN$2+FLOOR((CN$2-1)/9,1),"000"),"")</f>
        <v>BM101</v>
      </c>
      <c r="CO37" s="25" t="str">
        <f>IF(INDEX('Shot Map'!$B$6:$V$26,CEILING($A37/5,1),CEILING(CO$2/5,1))=1,INDEX('Serial Reference'!$A$8:$W$8,1,FLOOR(($A37-1)/23,1)+1)&amp;INDEX('Serial Reference'!$A$8:$W$8,1,MOD($A37-1,23)+1)&amp;TEXT(CO$2+FLOOR((CO$2-1)/9,1),"000"),"")</f>
        <v>BM102</v>
      </c>
      <c r="CP37" s="25" t="str">
        <f>IF(INDEX('Shot Map'!$B$6:$V$26,CEILING($A37/5,1),CEILING(CP$2/5,1))=1,INDEX('Serial Reference'!$A$8:$W$8,1,FLOOR(($A37-1)/23,1)+1)&amp;INDEX('Serial Reference'!$A$8:$W$8,1,MOD($A37-1,23)+1)&amp;TEXT(CP$2+FLOOR((CP$2-1)/9,1),"000"),"")</f>
        <v>BM103</v>
      </c>
      <c r="CQ37" s="25" t="str">
        <f>IF(INDEX('Shot Map'!$B$6:$V$26,CEILING($A37/5,1),CEILING(CQ$2/5,1))=1,INDEX('Serial Reference'!$A$8:$W$8,1,FLOOR(($A37-1)/23,1)+1)&amp;INDEX('Serial Reference'!$A$8:$W$8,1,MOD($A37-1,23)+1)&amp;TEXT(CQ$2+FLOOR((CQ$2-1)/9,1),"000"),"")</f>
        <v>BM104</v>
      </c>
      <c r="CR37" s="26" t="str">
        <f>IF(INDEX('Shot Map'!$B$6:$V$26,CEILING($A37/5,1),CEILING(CR$2/5,1))=1,INDEX('Serial Reference'!$A$8:$W$8,1,FLOOR(($A37-1)/23,1)+1)&amp;INDEX('Serial Reference'!$A$8:$W$8,1,MOD($A37-1,23)+1)&amp;TEXT(CR$2+FLOOR((CR$2-1)/9,1),"000"),"")</f>
        <v>BM105</v>
      </c>
      <c r="CS37" s="24" t="str">
        <f>IF(INDEX('Shot Map'!$B$6:$V$26,CEILING($A37/5,1),CEILING(CS$2/5,1))=1,INDEX('Serial Reference'!$A$8:$W$8,1,FLOOR(($A37-1)/23,1)+1)&amp;INDEX('Serial Reference'!$A$8:$W$8,1,MOD($A37-1,23)+1)&amp;TEXT(CS$2+FLOOR((CS$2-1)/9,1),"000"),"")</f>
        <v>BM106</v>
      </c>
      <c r="CT37" s="25" t="str">
        <f>IF(INDEX('Shot Map'!$B$6:$V$26,CEILING($A37/5,1),CEILING(CT$2/5,1))=1,INDEX('Serial Reference'!$A$8:$W$8,1,FLOOR(($A37-1)/23,1)+1)&amp;INDEX('Serial Reference'!$A$8:$W$8,1,MOD($A37-1,23)+1)&amp;TEXT(CT$2+FLOOR((CT$2-1)/9,1),"000"),"")</f>
        <v>BM107</v>
      </c>
      <c r="CU37" s="25" t="str">
        <f>IF(INDEX('Shot Map'!$B$6:$V$26,CEILING($A37/5,1),CEILING(CU$2/5,1))=1,INDEX('Serial Reference'!$A$8:$W$8,1,FLOOR(($A37-1)/23,1)+1)&amp;INDEX('Serial Reference'!$A$8:$W$8,1,MOD($A37-1,23)+1)&amp;TEXT(CU$2+FLOOR((CU$2-1)/9,1),"000"),"")</f>
        <v>BM108</v>
      </c>
      <c r="CV37" s="25" t="str">
        <f>IF(INDEX('Shot Map'!$B$6:$V$26,CEILING($A37/5,1),CEILING(CV$2/5,1))=1,INDEX('Serial Reference'!$A$8:$W$8,1,FLOOR(($A37-1)/23,1)+1)&amp;INDEX('Serial Reference'!$A$8:$W$8,1,MOD($A37-1,23)+1)&amp;TEXT(CV$2+FLOOR((CV$2-1)/9,1),"000"),"")</f>
        <v>BM109</v>
      </c>
      <c r="CW37" s="26" t="str">
        <f>IF(INDEX('Shot Map'!$B$6:$V$26,CEILING($A37/5,1),CEILING(CW$2/5,1))=1,INDEX('Serial Reference'!$A$8:$W$8,1,FLOOR(($A37-1)/23,1)+1)&amp;INDEX('Serial Reference'!$A$8:$W$8,1,MOD($A37-1,23)+1)&amp;TEXT(CW$2+FLOOR((CW$2-1)/9,1),"000"),"")</f>
        <v>BM111</v>
      </c>
      <c r="CX37" s="24" t="str">
        <f>IF(INDEX('Shot Map'!$B$6:$V$26,CEILING($A37/5,1),CEILING(CX$2/5,1))=1,INDEX('Serial Reference'!$A$8:$W$8,1,FLOOR(($A37-1)/23,1)+1)&amp;INDEX('Serial Reference'!$A$8:$W$8,1,MOD($A37-1,23)+1)&amp;TEXT(CX$2+FLOOR((CX$2-1)/9,1),"000"),"")</f>
        <v/>
      </c>
      <c r="CY37" s="25" t="str">
        <f>IF(INDEX('Shot Map'!$B$6:$V$26,CEILING($A37/5,1),CEILING(CY$2/5,1))=1,INDEX('Serial Reference'!$A$8:$W$8,1,FLOOR(($A37-1)/23,1)+1)&amp;INDEX('Serial Reference'!$A$8:$W$8,1,MOD($A37-1,23)+1)&amp;TEXT(CY$2+FLOOR((CY$2-1)/9,1),"000"),"")</f>
        <v/>
      </c>
      <c r="CZ37" s="25" t="str">
        <f>IF(INDEX('Shot Map'!$B$6:$V$26,CEILING($A37/5,1),CEILING(CZ$2/5,1))=1,INDEX('Serial Reference'!$A$8:$W$8,1,FLOOR(($A37-1)/23,1)+1)&amp;INDEX('Serial Reference'!$A$8:$W$8,1,MOD($A37-1,23)+1)&amp;TEXT(CZ$2+FLOOR((CZ$2-1)/9,1),"000"),"")</f>
        <v/>
      </c>
      <c r="DA37" s="25" t="str">
        <f>IF(INDEX('Shot Map'!$B$6:$V$26,CEILING($A37/5,1),CEILING(DA$2/5,1))=1,INDEX('Serial Reference'!$A$8:$W$8,1,FLOOR(($A37-1)/23,1)+1)&amp;INDEX('Serial Reference'!$A$8:$W$8,1,MOD($A37-1,23)+1)&amp;TEXT(DA$2+FLOOR((DA$2-1)/9,1),"000"),"")</f>
        <v/>
      </c>
      <c r="DB37" s="26" t="str">
        <f>IF(INDEX('Shot Map'!$B$6:$V$26,CEILING($A37/5,1),CEILING(DB$2/5,1))=1,INDEX('Serial Reference'!$A$8:$W$8,1,FLOOR(($A37-1)/23,1)+1)&amp;INDEX('Serial Reference'!$A$8:$W$8,1,MOD($A37-1,23)+1)&amp;TEXT(DB$2+FLOOR((DB$2-1)/9,1),"000"),"")</f>
        <v/>
      </c>
    </row>
    <row r="38" spans="1:106" ht="12.75" customHeight="1" x14ac:dyDescent="0.25">
      <c r="A38" s="17">
        <v>36</v>
      </c>
      <c r="B38" s="18" t="str">
        <f>IF(INDEX('Shot Map'!$B$6:$V$26,CEILING($A38/5,1),CEILING(B$2/5,1))=1,INDEX('Serial Reference'!$A$8:$W$8,1,FLOOR(($A38-1)/23,1)+1)&amp;INDEX('Serial Reference'!$A$8:$W$8,1,MOD($A38-1,23)+1)&amp;TEXT(B$2+FLOOR((B$2-1)/9,1),"000"),"")</f>
        <v/>
      </c>
      <c r="C38" s="19" t="str">
        <f>IF(INDEX('Shot Map'!$B$6:$V$26,CEILING($A38/5,1),CEILING(C$2/5,1))=1,INDEX('Serial Reference'!$A$8:$W$8,1,FLOOR(($A38-1)/23,1)+1)&amp;INDEX('Serial Reference'!$A$8:$W$8,1,MOD($A38-1,23)+1)&amp;TEXT(C$2+FLOOR((C$2-1)/9,1),"000"),"")</f>
        <v/>
      </c>
      <c r="D38" s="19" t="str">
        <f>IF(INDEX('Shot Map'!$B$6:$V$26,CEILING($A38/5,1),CEILING(D$2/5,1))=1,INDEX('Serial Reference'!$A$8:$W$8,1,FLOOR(($A38-1)/23,1)+1)&amp;INDEX('Serial Reference'!$A$8:$W$8,1,MOD($A38-1,23)+1)&amp;TEXT(D$2+FLOOR((D$2-1)/9,1),"000"),"")</f>
        <v/>
      </c>
      <c r="E38" s="19" t="str">
        <f>IF(INDEX('Shot Map'!$B$6:$V$26,CEILING($A38/5,1),CEILING(E$2/5,1))=1,INDEX('Serial Reference'!$A$8:$W$8,1,FLOOR(($A38-1)/23,1)+1)&amp;INDEX('Serial Reference'!$A$8:$W$8,1,MOD($A38-1,23)+1)&amp;TEXT(E$2+FLOOR((E$2-1)/9,1),"000"),"")</f>
        <v/>
      </c>
      <c r="F38" s="20" t="str">
        <f>IF(INDEX('Shot Map'!$B$6:$V$26,CEILING($A38/5,1),CEILING(F$2/5,1))=1,INDEX('Serial Reference'!$A$8:$W$8,1,FLOOR(($A38-1)/23,1)+1)&amp;INDEX('Serial Reference'!$A$8:$W$8,1,MOD($A38-1,23)+1)&amp;TEXT(F$2+FLOOR((F$2-1)/9,1),"000"),"")</f>
        <v/>
      </c>
      <c r="G38" s="18" t="str">
        <f>IF(INDEX('Shot Map'!$B$6:$V$26,CEILING($A38/5,1),CEILING(G$2/5,1))=1,INDEX('Serial Reference'!$A$8:$W$8,1,FLOOR(($A38-1)/23,1)+1)&amp;INDEX('Serial Reference'!$A$8:$W$8,1,MOD($A38-1,23)+1)&amp;TEXT(G$2+FLOOR((G$2-1)/9,1),"000"),"")</f>
        <v>BN006</v>
      </c>
      <c r="H38" s="19" t="str">
        <f>IF(INDEX('Shot Map'!$B$6:$V$26,CEILING($A38/5,1),CEILING(H$2/5,1))=1,INDEX('Serial Reference'!$A$8:$W$8,1,FLOOR(($A38-1)/23,1)+1)&amp;INDEX('Serial Reference'!$A$8:$W$8,1,MOD($A38-1,23)+1)&amp;TEXT(H$2+FLOOR((H$2-1)/9,1),"000"),"")</f>
        <v>BN007</v>
      </c>
      <c r="I38" s="19" t="str">
        <f>IF(INDEX('Shot Map'!$B$6:$V$26,CEILING($A38/5,1),CEILING(I$2/5,1))=1,INDEX('Serial Reference'!$A$8:$W$8,1,FLOOR(($A38-1)/23,1)+1)&amp;INDEX('Serial Reference'!$A$8:$W$8,1,MOD($A38-1,23)+1)&amp;TEXT(I$2+FLOOR((I$2-1)/9,1),"000"),"")</f>
        <v>BN008</v>
      </c>
      <c r="J38" s="19" t="str">
        <f>IF(INDEX('Shot Map'!$B$6:$V$26,CEILING($A38/5,1),CEILING(J$2/5,1))=1,INDEX('Serial Reference'!$A$8:$W$8,1,FLOOR(($A38-1)/23,1)+1)&amp;INDEX('Serial Reference'!$A$8:$W$8,1,MOD($A38-1,23)+1)&amp;TEXT(J$2+FLOOR((J$2-1)/9,1),"000"),"")</f>
        <v>BN009</v>
      </c>
      <c r="K38" s="20" t="str">
        <f>IF(INDEX('Shot Map'!$B$6:$V$26,CEILING($A38/5,1),CEILING(K$2/5,1))=1,INDEX('Serial Reference'!$A$8:$W$8,1,FLOOR(($A38-1)/23,1)+1)&amp;INDEX('Serial Reference'!$A$8:$W$8,1,MOD($A38-1,23)+1)&amp;TEXT(K$2+FLOOR((K$2-1)/9,1),"000"),"")</f>
        <v>BN011</v>
      </c>
      <c r="L38" s="18" t="str">
        <f>IF(INDEX('Shot Map'!$B$6:$V$26,CEILING($A38/5,1),CEILING(L$2/5,1))=1,INDEX('Serial Reference'!$A$8:$W$8,1,FLOOR(($A38-1)/23,1)+1)&amp;INDEX('Serial Reference'!$A$8:$W$8,1,MOD($A38-1,23)+1)&amp;TEXT(L$2+FLOOR((L$2-1)/9,1),"000"),"")</f>
        <v>BN012</v>
      </c>
      <c r="M38" s="19" t="str">
        <f>IF(INDEX('Shot Map'!$B$6:$V$26,CEILING($A38/5,1),CEILING(M$2/5,1))=1,INDEX('Serial Reference'!$A$8:$W$8,1,FLOOR(($A38-1)/23,1)+1)&amp;INDEX('Serial Reference'!$A$8:$W$8,1,MOD($A38-1,23)+1)&amp;TEXT(M$2+FLOOR((M$2-1)/9,1),"000"),"")</f>
        <v>BN013</v>
      </c>
      <c r="N38" s="19" t="str">
        <f>IF(INDEX('Shot Map'!$B$6:$V$26,CEILING($A38/5,1),CEILING(N$2/5,1))=1,INDEX('Serial Reference'!$A$8:$W$8,1,FLOOR(($A38-1)/23,1)+1)&amp;INDEX('Serial Reference'!$A$8:$W$8,1,MOD($A38-1,23)+1)&amp;TEXT(N$2+FLOOR((N$2-1)/9,1),"000"),"")</f>
        <v>BN014</v>
      </c>
      <c r="O38" s="19" t="str">
        <f>IF(INDEX('Shot Map'!$B$6:$V$26,CEILING($A38/5,1),CEILING(O$2/5,1))=1,INDEX('Serial Reference'!$A$8:$W$8,1,FLOOR(($A38-1)/23,1)+1)&amp;INDEX('Serial Reference'!$A$8:$W$8,1,MOD($A38-1,23)+1)&amp;TEXT(O$2+FLOOR((O$2-1)/9,1),"000"),"")</f>
        <v>BN015</v>
      </c>
      <c r="P38" s="20" t="str">
        <f>IF(INDEX('Shot Map'!$B$6:$V$26,CEILING($A38/5,1),CEILING(P$2/5,1))=1,INDEX('Serial Reference'!$A$8:$W$8,1,FLOOR(($A38-1)/23,1)+1)&amp;INDEX('Serial Reference'!$A$8:$W$8,1,MOD($A38-1,23)+1)&amp;TEXT(P$2+FLOOR((P$2-1)/9,1),"000"),"")</f>
        <v>BN016</v>
      </c>
      <c r="Q38" s="18" t="str">
        <f>IF(INDEX('Shot Map'!$B$6:$V$26,CEILING($A38/5,1),CEILING(Q$2/5,1))=1,INDEX('Serial Reference'!$A$8:$W$8,1,FLOOR(($A38-1)/23,1)+1)&amp;INDEX('Serial Reference'!$A$8:$W$8,1,MOD($A38-1,23)+1)&amp;TEXT(Q$2+FLOOR((Q$2-1)/9,1),"000"),"")</f>
        <v>BN017</v>
      </c>
      <c r="R38" s="19" t="str">
        <f>IF(INDEX('Shot Map'!$B$6:$V$26,CEILING($A38/5,1),CEILING(R$2/5,1))=1,INDEX('Serial Reference'!$A$8:$W$8,1,FLOOR(($A38-1)/23,1)+1)&amp;INDEX('Serial Reference'!$A$8:$W$8,1,MOD($A38-1,23)+1)&amp;TEXT(R$2+FLOOR((R$2-1)/9,1),"000"),"")</f>
        <v>BN018</v>
      </c>
      <c r="S38" s="19" t="str">
        <f>IF(INDEX('Shot Map'!$B$6:$V$26,CEILING($A38/5,1),CEILING(S$2/5,1))=1,INDEX('Serial Reference'!$A$8:$W$8,1,FLOOR(($A38-1)/23,1)+1)&amp;INDEX('Serial Reference'!$A$8:$W$8,1,MOD($A38-1,23)+1)&amp;TEXT(S$2+FLOOR((S$2-1)/9,1),"000"),"")</f>
        <v>BN019</v>
      </c>
      <c r="T38" s="19" t="str">
        <f>IF(INDEX('Shot Map'!$B$6:$V$26,CEILING($A38/5,1),CEILING(T$2/5,1))=1,INDEX('Serial Reference'!$A$8:$W$8,1,FLOOR(($A38-1)/23,1)+1)&amp;INDEX('Serial Reference'!$A$8:$W$8,1,MOD($A38-1,23)+1)&amp;TEXT(T$2+FLOOR((T$2-1)/9,1),"000"),"")</f>
        <v>BN021</v>
      </c>
      <c r="U38" s="20" t="str">
        <f>IF(INDEX('Shot Map'!$B$6:$V$26,CEILING($A38/5,1),CEILING(U$2/5,1))=1,INDEX('Serial Reference'!$A$8:$W$8,1,FLOOR(($A38-1)/23,1)+1)&amp;INDEX('Serial Reference'!$A$8:$W$8,1,MOD($A38-1,23)+1)&amp;TEXT(U$2+FLOOR((U$2-1)/9,1),"000"),"")</f>
        <v>BN022</v>
      </c>
      <c r="V38" s="18" t="str">
        <f>IF(INDEX('Shot Map'!$B$6:$V$26,CEILING($A38/5,1),CEILING(V$2/5,1))=1,INDEX('Serial Reference'!$A$8:$W$8,1,FLOOR(($A38-1)/23,1)+1)&amp;INDEX('Serial Reference'!$A$8:$W$8,1,MOD($A38-1,23)+1)&amp;TEXT(V$2+FLOOR((V$2-1)/9,1),"000"),"")</f>
        <v>BN023</v>
      </c>
      <c r="W38" s="19" t="str">
        <f>IF(INDEX('Shot Map'!$B$6:$V$26,CEILING($A38/5,1),CEILING(W$2/5,1))=1,INDEX('Serial Reference'!$A$8:$W$8,1,FLOOR(($A38-1)/23,1)+1)&amp;INDEX('Serial Reference'!$A$8:$W$8,1,MOD($A38-1,23)+1)&amp;TEXT(W$2+FLOOR((W$2-1)/9,1),"000"),"")</f>
        <v>BN024</v>
      </c>
      <c r="X38" s="19" t="str">
        <f>IF(INDEX('Shot Map'!$B$6:$V$26,CEILING($A38/5,1),CEILING(X$2/5,1))=1,INDEX('Serial Reference'!$A$8:$W$8,1,FLOOR(($A38-1)/23,1)+1)&amp;INDEX('Serial Reference'!$A$8:$W$8,1,MOD($A38-1,23)+1)&amp;TEXT(X$2+FLOOR((X$2-1)/9,1),"000"),"")</f>
        <v>BN025</v>
      </c>
      <c r="Y38" s="19" t="str">
        <f>IF(INDEX('Shot Map'!$B$6:$V$26,CEILING($A38/5,1),CEILING(Y$2/5,1))=1,INDEX('Serial Reference'!$A$8:$W$8,1,FLOOR(($A38-1)/23,1)+1)&amp;INDEX('Serial Reference'!$A$8:$W$8,1,MOD($A38-1,23)+1)&amp;TEXT(Y$2+FLOOR((Y$2-1)/9,1),"000"),"")</f>
        <v>BN026</v>
      </c>
      <c r="Z38" s="20" t="str">
        <f>IF(INDEX('Shot Map'!$B$6:$V$26,CEILING($A38/5,1),CEILING(Z$2/5,1))=1,INDEX('Serial Reference'!$A$8:$W$8,1,FLOOR(($A38-1)/23,1)+1)&amp;INDEX('Serial Reference'!$A$8:$W$8,1,MOD($A38-1,23)+1)&amp;TEXT(Z$2+FLOOR((Z$2-1)/9,1),"000"),"")</f>
        <v>BN027</v>
      </c>
      <c r="AA38" s="18" t="str">
        <f>IF(INDEX('Shot Map'!$B$6:$V$26,CEILING($A38/5,1),CEILING(AA$2/5,1))=1,INDEX('Serial Reference'!$A$8:$W$8,1,FLOOR(($A38-1)/23,1)+1)&amp;INDEX('Serial Reference'!$A$8:$W$8,1,MOD($A38-1,23)+1)&amp;TEXT(AA$2+FLOOR((AA$2-1)/9,1),"000"),"")</f>
        <v>BN028</v>
      </c>
      <c r="AB38" s="19" t="str">
        <f>IF(INDEX('Shot Map'!$B$6:$V$26,CEILING($A38/5,1),CEILING(AB$2/5,1))=1,INDEX('Serial Reference'!$A$8:$W$8,1,FLOOR(($A38-1)/23,1)+1)&amp;INDEX('Serial Reference'!$A$8:$W$8,1,MOD($A38-1,23)+1)&amp;TEXT(AB$2+FLOOR((AB$2-1)/9,1),"000"),"")</f>
        <v>BN029</v>
      </c>
      <c r="AC38" s="19" t="str">
        <f>IF(INDEX('Shot Map'!$B$6:$V$26,CEILING($A38/5,1),CEILING(AC$2/5,1))=1,INDEX('Serial Reference'!$A$8:$W$8,1,FLOOR(($A38-1)/23,1)+1)&amp;INDEX('Serial Reference'!$A$8:$W$8,1,MOD($A38-1,23)+1)&amp;TEXT(AC$2+FLOOR((AC$2-1)/9,1),"000"),"")</f>
        <v>BN031</v>
      </c>
      <c r="AD38" s="19" t="str">
        <f>IF(INDEX('Shot Map'!$B$6:$V$26,CEILING($A38/5,1),CEILING(AD$2/5,1))=1,INDEX('Serial Reference'!$A$8:$W$8,1,FLOOR(($A38-1)/23,1)+1)&amp;INDEX('Serial Reference'!$A$8:$W$8,1,MOD($A38-1,23)+1)&amp;TEXT(AD$2+FLOOR((AD$2-1)/9,1),"000"),"")</f>
        <v>BN032</v>
      </c>
      <c r="AE38" s="20" t="str">
        <f>IF(INDEX('Shot Map'!$B$6:$V$26,CEILING($A38/5,1),CEILING(AE$2/5,1))=1,INDEX('Serial Reference'!$A$8:$W$8,1,FLOOR(($A38-1)/23,1)+1)&amp;INDEX('Serial Reference'!$A$8:$W$8,1,MOD($A38-1,23)+1)&amp;TEXT(AE$2+FLOOR((AE$2-1)/9,1),"000"),"")</f>
        <v>BN033</v>
      </c>
      <c r="AF38" s="18" t="str">
        <f>IF(INDEX('Shot Map'!$B$6:$V$26,CEILING($A38/5,1),CEILING(AF$2/5,1))=1,INDEX('Serial Reference'!$A$8:$W$8,1,FLOOR(($A38-1)/23,1)+1)&amp;INDEX('Serial Reference'!$A$8:$W$8,1,MOD($A38-1,23)+1)&amp;TEXT(AF$2+FLOOR((AF$2-1)/9,1),"000"),"")</f>
        <v>BN034</v>
      </c>
      <c r="AG38" s="19" t="str">
        <f>IF(INDEX('Shot Map'!$B$6:$V$26,CEILING($A38/5,1),CEILING(AG$2/5,1))=1,INDEX('Serial Reference'!$A$8:$W$8,1,FLOOR(($A38-1)/23,1)+1)&amp;INDEX('Serial Reference'!$A$8:$W$8,1,MOD($A38-1,23)+1)&amp;TEXT(AG$2+FLOOR((AG$2-1)/9,1),"000"),"")</f>
        <v>BN035</v>
      </c>
      <c r="AH38" s="19" t="str">
        <f>IF(INDEX('Shot Map'!$B$6:$V$26,CEILING($A38/5,1),CEILING(AH$2/5,1))=1,INDEX('Serial Reference'!$A$8:$W$8,1,FLOOR(($A38-1)/23,1)+1)&amp;INDEX('Serial Reference'!$A$8:$W$8,1,MOD($A38-1,23)+1)&amp;TEXT(AH$2+FLOOR((AH$2-1)/9,1),"000"),"")</f>
        <v>BN036</v>
      </c>
      <c r="AI38" s="19" t="str">
        <f>IF(INDEX('Shot Map'!$B$6:$V$26,CEILING($A38/5,1),CEILING(AI$2/5,1))=1,INDEX('Serial Reference'!$A$8:$W$8,1,FLOOR(($A38-1)/23,1)+1)&amp;INDEX('Serial Reference'!$A$8:$W$8,1,MOD($A38-1,23)+1)&amp;TEXT(AI$2+FLOOR((AI$2-1)/9,1),"000"),"")</f>
        <v>BN037</v>
      </c>
      <c r="AJ38" s="20" t="str">
        <f>IF(INDEX('Shot Map'!$B$6:$V$26,CEILING($A38/5,1),CEILING(AJ$2/5,1))=1,INDEX('Serial Reference'!$A$8:$W$8,1,FLOOR(($A38-1)/23,1)+1)&amp;INDEX('Serial Reference'!$A$8:$W$8,1,MOD($A38-1,23)+1)&amp;TEXT(AJ$2+FLOOR((AJ$2-1)/9,1),"000"),"")</f>
        <v>BN038</v>
      </c>
      <c r="AK38" s="18" t="str">
        <f>IF(INDEX('Shot Map'!$B$6:$V$26,CEILING($A38/5,1),CEILING(AK$2/5,1))=1,INDEX('Serial Reference'!$A$8:$W$8,1,FLOOR(($A38-1)/23,1)+1)&amp;INDEX('Serial Reference'!$A$8:$W$8,1,MOD($A38-1,23)+1)&amp;TEXT(AK$2+FLOOR((AK$2-1)/9,1),"000"),"")</f>
        <v>BN039</v>
      </c>
      <c r="AL38" s="19" t="str">
        <f>IF(INDEX('Shot Map'!$B$6:$V$26,CEILING($A38/5,1),CEILING(AL$2/5,1))=1,INDEX('Serial Reference'!$A$8:$W$8,1,FLOOR(($A38-1)/23,1)+1)&amp;INDEX('Serial Reference'!$A$8:$W$8,1,MOD($A38-1,23)+1)&amp;TEXT(AL$2+FLOOR((AL$2-1)/9,1),"000"),"")</f>
        <v>BN041</v>
      </c>
      <c r="AM38" s="19" t="str">
        <f>IF(INDEX('Shot Map'!$B$6:$V$26,CEILING($A38/5,1),CEILING(AM$2/5,1))=1,INDEX('Serial Reference'!$A$8:$W$8,1,FLOOR(($A38-1)/23,1)+1)&amp;INDEX('Serial Reference'!$A$8:$W$8,1,MOD($A38-1,23)+1)&amp;TEXT(AM$2+FLOOR((AM$2-1)/9,1),"000"),"")</f>
        <v>BN042</v>
      </c>
      <c r="AN38" s="19" t="str">
        <f>IF(INDEX('Shot Map'!$B$6:$V$26,CEILING($A38/5,1),CEILING(AN$2/5,1))=1,INDEX('Serial Reference'!$A$8:$W$8,1,FLOOR(($A38-1)/23,1)+1)&amp;INDEX('Serial Reference'!$A$8:$W$8,1,MOD($A38-1,23)+1)&amp;TEXT(AN$2+FLOOR((AN$2-1)/9,1),"000"),"")</f>
        <v>BN043</v>
      </c>
      <c r="AO38" s="20" t="str">
        <f>IF(INDEX('Shot Map'!$B$6:$V$26,CEILING($A38/5,1),CEILING(AO$2/5,1))=1,INDEX('Serial Reference'!$A$8:$W$8,1,FLOOR(($A38-1)/23,1)+1)&amp;INDEX('Serial Reference'!$A$8:$W$8,1,MOD($A38-1,23)+1)&amp;TEXT(AO$2+FLOOR((AO$2-1)/9,1),"000"),"")</f>
        <v>BN044</v>
      </c>
      <c r="AP38" s="18" t="str">
        <f>IF(INDEX('Shot Map'!$B$6:$V$26,CEILING($A38/5,1),CEILING(AP$2/5,1))=1,INDEX('Serial Reference'!$A$8:$W$8,1,FLOOR(($A38-1)/23,1)+1)&amp;INDEX('Serial Reference'!$A$8:$W$8,1,MOD($A38-1,23)+1)&amp;TEXT(AP$2+FLOOR((AP$2-1)/9,1),"000"),"")</f>
        <v>BN045</v>
      </c>
      <c r="AQ38" s="19" t="str">
        <f>IF(INDEX('Shot Map'!$B$6:$V$26,CEILING($A38/5,1),CEILING(AQ$2/5,1))=1,INDEX('Serial Reference'!$A$8:$W$8,1,FLOOR(($A38-1)/23,1)+1)&amp;INDEX('Serial Reference'!$A$8:$W$8,1,MOD($A38-1,23)+1)&amp;TEXT(AQ$2+FLOOR((AQ$2-1)/9,1),"000"),"")</f>
        <v>BN046</v>
      </c>
      <c r="AR38" s="19" t="str">
        <f>IF(INDEX('Shot Map'!$B$6:$V$26,CEILING($A38/5,1),CEILING(AR$2/5,1))=1,INDEX('Serial Reference'!$A$8:$W$8,1,FLOOR(($A38-1)/23,1)+1)&amp;INDEX('Serial Reference'!$A$8:$W$8,1,MOD($A38-1,23)+1)&amp;TEXT(AR$2+FLOOR((AR$2-1)/9,1),"000"),"")</f>
        <v>BN047</v>
      </c>
      <c r="AS38" s="19" t="str">
        <f>IF(INDEX('Shot Map'!$B$6:$V$26,CEILING($A38/5,1),CEILING(AS$2/5,1))=1,INDEX('Serial Reference'!$A$8:$W$8,1,FLOOR(($A38-1)/23,1)+1)&amp;INDEX('Serial Reference'!$A$8:$W$8,1,MOD($A38-1,23)+1)&amp;TEXT(AS$2+FLOOR((AS$2-1)/9,1),"000"),"")</f>
        <v>BN048</v>
      </c>
      <c r="AT38" s="20" t="str">
        <f>IF(INDEX('Shot Map'!$B$6:$V$26,CEILING($A38/5,1),CEILING(AT$2/5,1))=1,INDEX('Serial Reference'!$A$8:$W$8,1,FLOOR(($A38-1)/23,1)+1)&amp;INDEX('Serial Reference'!$A$8:$W$8,1,MOD($A38-1,23)+1)&amp;TEXT(AT$2+FLOOR((AT$2-1)/9,1),"000"),"")</f>
        <v>BN049</v>
      </c>
      <c r="AU38" s="18" t="str">
        <f>IF(INDEX('Shot Map'!$B$6:$V$26,CEILING($A38/5,1),CEILING(AU$2/5,1))=1,INDEX('Serial Reference'!$A$8:$W$8,1,FLOOR(($A38-1)/23,1)+1)&amp;INDEX('Serial Reference'!$A$8:$W$8,1,MOD($A38-1,23)+1)&amp;TEXT(AU$2+FLOOR((AU$2-1)/9,1),"000"),"")</f>
        <v>BN051</v>
      </c>
      <c r="AV38" s="19" t="str">
        <f>IF(INDEX('Shot Map'!$B$6:$V$26,CEILING($A38/5,1),CEILING(AV$2/5,1))=1,INDEX('Serial Reference'!$A$8:$W$8,1,FLOOR(($A38-1)/23,1)+1)&amp;INDEX('Serial Reference'!$A$8:$W$8,1,MOD($A38-1,23)+1)&amp;TEXT(AV$2+FLOOR((AV$2-1)/9,1),"000"),"")</f>
        <v>BN052</v>
      </c>
      <c r="AW38" s="19" t="str">
        <f>IF(INDEX('Shot Map'!$B$6:$V$26,CEILING($A38/5,1),CEILING(AW$2/5,1))=1,INDEX('Serial Reference'!$A$8:$W$8,1,FLOOR(($A38-1)/23,1)+1)&amp;INDEX('Serial Reference'!$A$8:$W$8,1,MOD($A38-1,23)+1)&amp;TEXT(AW$2+FLOOR((AW$2-1)/9,1),"000"),"")</f>
        <v>BN053</v>
      </c>
      <c r="AX38" s="19" t="str">
        <f>IF(INDEX('Shot Map'!$B$6:$V$26,CEILING($A38/5,1),CEILING(AX$2/5,1))=1,INDEX('Serial Reference'!$A$8:$W$8,1,FLOOR(($A38-1)/23,1)+1)&amp;INDEX('Serial Reference'!$A$8:$W$8,1,MOD($A38-1,23)+1)&amp;TEXT(AX$2+FLOOR((AX$2-1)/9,1),"000"),"")</f>
        <v>BN054</v>
      </c>
      <c r="AY38" s="20" t="str">
        <f>IF(INDEX('Shot Map'!$B$6:$V$26,CEILING($A38/5,1),CEILING(AY$2/5,1))=1,INDEX('Serial Reference'!$A$8:$W$8,1,FLOOR(($A38-1)/23,1)+1)&amp;INDEX('Serial Reference'!$A$8:$W$8,1,MOD($A38-1,23)+1)&amp;TEXT(AY$2+FLOOR((AY$2-1)/9,1),"000"),"")</f>
        <v>BN055</v>
      </c>
      <c r="AZ38" s="18" t="str">
        <f>IF(INDEX('Shot Map'!$B$6:$V$26,CEILING($A38/5,1),CEILING(AZ$2/5,1))=1,INDEX('Serial Reference'!$A$8:$W$8,1,FLOOR(($A38-1)/23,1)+1)&amp;INDEX('Serial Reference'!$A$8:$W$8,1,MOD($A38-1,23)+1)&amp;TEXT(AZ$2+FLOOR((AZ$2-1)/9,1),"000"),"")</f>
        <v>BN056</v>
      </c>
      <c r="BA38" s="19" t="str">
        <f>IF(INDEX('Shot Map'!$B$6:$V$26,CEILING($A38/5,1),CEILING(BA$2/5,1))=1,INDEX('Serial Reference'!$A$8:$W$8,1,FLOOR(($A38-1)/23,1)+1)&amp;INDEX('Serial Reference'!$A$8:$W$8,1,MOD($A38-1,23)+1)&amp;TEXT(BA$2+FLOOR((BA$2-1)/9,1),"000"),"")</f>
        <v>BN057</v>
      </c>
      <c r="BB38" s="19" t="str">
        <f>IF(INDEX('Shot Map'!$B$6:$V$26,CEILING($A38/5,1),CEILING(BB$2/5,1))=1,INDEX('Serial Reference'!$A$8:$W$8,1,FLOOR(($A38-1)/23,1)+1)&amp;INDEX('Serial Reference'!$A$8:$W$8,1,MOD($A38-1,23)+1)&amp;TEXT(BB$2+FLOOR((BB$2-1)/9,1),"000"),"")</f>
        <v>BN058</v>
      </c>
      <c r="BC38" s="19" t="str">
        <f>IF(INDEX('Shot Map'!$B$6:$V$26,CEILING($A38/5,1),CEILING(BC$2/5,1))=1,INDEX('Serial Reference'!$A$8:$W$8,1,FLOOR(($A38-1)/23,1)+1)&amp;INDEX('Serial Reference'!$A$8:$W$8,1,MOD($A38-1,23)+1)&amp;TEXT(BC$2+FLOOR((BC$2-1)/9,1),"000"),"")</f>
        <v>BN059</v>
      </c>
      <c r="BD38" s="20" t="str">
        <f>IF(INDEX('Shot Map'!$B$6:$V$26,CEILING($A38/5,1),CEILING(BD$2/5,1))=1,INDEX('Serial Reference'!$A$8:$W$8,1,FLOOR(($A38-1)/23,1)+1)&amp;INDEX('Serial Reference'!$A$8:$W$8,1,MOD($A38-1,23)+1)&amp;TEXT(BD$2+FLOOR((BD$2-1)/9,1),"000"),"")</f>
        <v>BN061</v>
      </c>
      <c r="BE38" s="18" t="str">
        <f>IF(INDEX('Shot Map'!$B$6:$V$26,CEILING($A38/5,1),CEILING(BE$2/5,1))=1,INDEX('Serial Reference'!$A$8:$W$8,1,FLOOR(($A38-1)/23,1)+1)&amp;INDEX('Serial Reference'!$A$8:$W$8,1,MOD($A38-1,23)+1)&amp;TEXT(BE$2+FLOOR((BE$2-1)/9,1),"000"),"")</f>
        <v>BN062</v>
      </c>
      <c r="BF38" s="19" t="str">
        <f>IF(INDEX('Shot Map'!$B$6:$V$26,CEILING($A38/5,1),CEILING(BF$2/5,1))=1,INDEX('Serial Reference'!$A$8:$W$8,1,FLOOR(($A38-1)/23,1)+1)&amp;INDEX('Serial Reference'!$A$8:$W$8,1,MOD($A38-1,23)+1)&amp;TEXT(BF$2+FLOOR((BF$2-1)/9,1),"000"),"")</f>
        <v>BN063</v>
      </c>
      <c r="BG38" s="19" t="str">
        <f>IF(INDEX('Shot Map'!$B$6:$V$26,CEILING($A38/5,1),CEILING(BG$2/5,1))=1,INDEX('Serial Reference'!$A$8:$W$8,1,FLOOR(($A38-1)/23,1)+1)&amp;INDEX('Serial Reference'!$A$8:$W$8,1,MOD($A38-1,23)+1)&amp;TEXT(BG$2+FLOOR((BG$2-1)/9,1),"000"),"")</f>
        <v>BN064</v>
      </c>
      <c r="BH38" s="19" t="str">
        <f>IF(INDEX('Shot Map'!$B$6:$V$26,CEILING($A38/5,1),CEILING(BH$2/5,1))=1,INDEX('Serial Reference'!$A$8:$W$8,1,FLOOR(($A38-1)/23,1)+1)&amp;INDEX('Serial Reference'!$A$8:$W$8,1,MOD($A38-1,23)+1)&amp;TEXT(BH$2+FLOOR((BH$2-1)/9,1),"000"),"")</f>
        <v>BN065</v>
      </c>
      <c r="BI38" s="20" t="str">
        <f>IF(INDEX('Shot Map'!$B$6:$V$26,CEILING($A38/5,1),CEILING(BI$2/5,1))=1,INDEX('Serial Reference'!$A$8:$W$8,1,FLOOR(($A38-1)/23,1)+1)&amp;INDEX('Serial Reference'!$A$8:$W$8,1,MOD($A38-1,23)+1)&amp;TEXT(BI$2+FLOOR((BI$2-1)/9,1),"000"),"")</f>
        <v>BN066</v>
      </c>
      <c r="BJ38" s="18" t="str">
        <f>IF(INDEX('Shot Map'!$B$6:$V$26,CEILING($A38/5,1),CEILING(BJ$2/5,1))=1,INDEX('Serial Reference'!$A$8:$W$8,1,FLOOR(($A38-1)/23,1)+1)&amp;INDEX('Serial Reference'!$A$8:$W$8,1,MOD($A38-1,23)+1)&amp;TEXT(BJ$2+FLOOR((BJ$2-1)/9,1),"000"),"")</f>
        <v>BN067</v>
      </c>
      <c r="BK38" s="19" t="str">
        <f>IF(INDEX('Shot Map'!$B$6:$V$26,CEILING($A38/5,1),CEILING(BK$2/5,1))=1,INDEX('Serial Reference'!$A$8:$W$8,1,FLOOR(($A38-1)/23,1)+1)&amp;INDEX('Serial Reference'!$A$8:$W$8,1,MOD($A38-1,23)+1)&amp;TEXT(BK$2+FLOOR((BK$2-1)/9,1),"000"),"")</f>
        <v>BN068</v>
      </c>
      <c r="BL38" s="19" t="str">
        <f>IF(INDEX('Shot Map'!$B$6:$V$26,CEILING($A38/5,1),CEILING(BL$2/5,1))=1,INDEX('Serial Reference'!$A$8:$W$8,1,FLOOR(($A38-1)/23,1)+1)&amp;INDEX('Serial Reference'!$A$8:$W$8,1,MOD($A38-1,23)+1)&amp;TEXT(BL$2+FLOOR((BL$2-1)/9,1),"000"),"")</f>
        <v>BN069</v>
      </c>
      <c r="BM38" s="19" t="str">
        <f>IF(INDEX('Shot Map'!$B$6:$V$26,CEILING($A38/5,1),CEILING(BM$2/5,1))=1,INDEX('Serial Reference'!$A$8:$W$8,1,FLOOR(($A38-1)/23,1)+1)&amp;INDEX('Serial Reference'!$A$8:$W$8,1,MOD($A38-1,23)+1)&amp;TEXT(BM$2+FLOOR((BM$2-1)/9,1),"000"),"")</f>
        <v>BN071</v>
      </c>
      <c r="BN38" s="20" t="str">
        <f>IF(INDEX('Shot Map'!$B$6:$V$26,CEILING($A38/5,1),CEILING(BN$2/5,1))=1,INDEX('Serial Reference'!$A$8:$W$8,1,FLOOR(($A38-1)/23,1)+1)&amp;INDEX('Serial Reference'!$A$8:$W$8,1,MOD($A38-1,23)+1)&amp;TEXT(BN$2+FLOOR((BN$2-1)/9,1),"000"),"")</f>
        <v>BN072</v>
      </c>
      <c r="BO38" s="18" t="str">
        <f>IF(INDEX('Shot Map'!$B$6:$V$26,CEILING($A38/5,1),CEILING(BO$2/5,1))=1,INDEX('Serial Reference'!$A$8:$W$8,1,FLOOR(($A38-1)/23,1)+1)&amp;INDEX('Serial Reference'!$A$8:$W$8,1,MOD($A38-1,23)+1)&amp;TEXT(BO$2+FLOOR((BO$2-1)/9,1),"000"),"")</f>
        <v>BN073</v>
      </c>
      <c r="BP38" s="19" t="str">
        <f>IF(INDEX('Shot Map'!$B$6:$V$26,CEILING($A38/5,1),CEILING(BP$2/5,1))=1,INDEX('Serial Reference'!$A$8:$W$8,1,FLOOR(($A38-1)/23,1)+1)&amp;INDEX('Serial Reference'!$A$8:$W$8,1,MOD($A38-1,23)+1)&amp;TEXT(BP$2+FLOOR((BP$2-1)/9,1),"000"),"")</f>
        <v>BN074</v>
      </c>
      <c r="BQ38" s="19" t="str">
        <f>IF(INDEX('Shot Map'!$B$6:$V$26,CEILING($A38/5,1),CEILING(BQ$2/5,1))=1,INDEX('Serial Reference'!$A$8:$W$8,1,FLOOR(($A38-1)/23,1)+1)&amp;INDEX('Serial Reference'!$A$8:$W$8,1,MOD($A38-1,23)+1)&amp;TEXT(BQ$2+FLOOR((BQ$2-1)/9,1),"000"),"")</f>
        <v>BN075</v>
      </c>
      <c r="BR38" s="19" t="str">
        <f>IF(INDEX('Shot Map'!$B$6:$V$26,CEILING($A38/5,1),CEILING(BR$2/5,1))=1,INDEX('Serial Reference'!$A$8:$W$8,1,FLOOR(($A38-1)/23,1)+1)&amp;INDEX('Serial Reference'!$A$8:$W$8,1,MOD($A38-1,23)+1)&amp;TEXT(BR$2+FLOOR((BR$2-1)/9,1),"000"),"")</f>
        <v>BN076</v>
      </c>
      <c r="BS38" s="20" t="str">
        <f>IF(INDEX('Shot Map'!$B$6:$V$26,CEILING($A38/5,1),CEILING(BS$2/5,1))=1,INDEX('Serial Reference'!$A$8:$W$8,1,FLOOR(($A38-1)/23,1)+1)&amp;INDEX('Serial Reference'!$A$8:$W$8,1,MOD($A38-1,23)+1)&amp;TEXT(BS$2+FLOOR((BS$2-1)/9,1),"000"),"")</f>
        <v>BN077</v>
      </c>
      <c r="BT38" s="18" t="str">
        <f>IF(INDEX('Shot Map'!$B$6:$V$26,CEILING($A38/5,1),CEILING(BT$2/5,1))=1,INDEX('Serial Reference'!$A$8:$W$8,1,FLOOR(($A38-1)/23,1)+1)&amp;INDEX('Serial Reference'!$A$8:$W$8,1,MOD($A38-1,23)+1)&amp;TEXT(BT$2+FLOOR((BT$2-1)/9,1),"000"),"")</f>
        <v>BN078</v>
      </c>
      <c r="BU38" s="19" t="str">
        <f>IF(INDEX('Shot Map'!$B$6:$V$26,CEILING($A38/5,1),CEILING(BU$2/5,1))=1,INDEX('Serial Reference'!$A$8:$W$8,1,FLOOR(($A38-1)/23,1)+1)&amp;INDEX('Serial Reference'!$A$8:$W$8,1,MOD($A38-1,23)+1)&amp;TEXT(BU$2+FLOOR((BU$2-1)/9,1),"000"),"")</f>
        <v>BN079</v>
      </c>
      <c r="BV38" s="19" t="str">
        <f>IF(INDEX('Shot Map'!$B$6:$V$26,CEILING($A38/5,1),CEILING(BV$2/5,1))=1,INDEX('Serial Reference'!$A$8:$W$8,1,FLOOR(($A38-1)/23,1)+1)&amp;INDEX('Serial Reference'!$A$8:$W$8,1,MOD($A38-1,23)+1)&amp;TEXT(BV$2+FLOOR((BV$2-1)/9,1),"000"),"")</f>
        <v>BN081</v>
      </c>
      <c r="BW38" s="19" t="str">
        <f>IF(INDEX('Shot Map'!$B$6:$V$26,CEILING($A38/5,1),CEILING(BW$2/5,1))=1,INDEX('Serial Reference'!$A$8:$W$8,1,FLOOR(($A38-1)/23,1)+1)&amp;INDEX('Serial Reference'!$A$8:$W$8,1,MOD($A38-1,23)+1)&amp;TEXT(BW$2+FLOOR((BW$2-1)/9,1),"000"),"")</f>
        <v>BN082</v>
      </c>
      <c r="BX38" s="20" t="str">
        <f>IF(INDEX('Shot Map'!$B$6:$V$26,CEILING($A38/5,1),CEILING(BX$2/5,1))=1,INDEX('Serial Reference'!$A$8:$W$8,1,FLOOR(($A38-1)/23,1)+1)&amp;INDEX('Serial Reference'!$A$8:$W$8,1,MOD($A38-1,23)+1)&amp;TEXT(BX$2+FLOOR((BX$2-1)/9,1),"000"),"")</f>
        <v>BN083</v>
      </c>
      <c r="BY38" s="18" t="str">
        <f>IF(INDEX('Shot Map'!$B$6:$V$26,CEILING($A38/5,1),CEILING(BY$2/5,1))=1,INDEX('Serial Reference'!$A$8:$W$8,1,FLOOR(($A38-1)/23,1)+1)&amp;INDEX('Serial Reference'!$A$8:$W$8,1,MOD($A38-1,23)+1)&amp;TEXT(BY$2+FLOOR((BY$2-1)/9,1),"000"),"")</f>
        <v>BN084</v>
      </c>
      <c r="BZ38" s="19" t="str">
        <f>IF(INDEX('Shot Map'!$B$6:$V$26,CEILING($A38/5,1),CEILING(BZ$2/5,1))=1,INDEX('Serial Reference'!$A$8:$W$8,1,FLOOR(($A38-1)/23,1)+1)&amp;INDEX('Serial Reference'!$A$8:$W$8,1,MOD($A38-1,23)+1)&amp;TEXT(BZ$2+FLOOR((BZ$2-1)/9,1),"000"),"")</f>
        <v>BN085</v>
      </c>
      <c r="CA38" s="19" t="str">
        <f>IF(INDEX('Shot Map'!$B$6:$V$26,CEILING($A38/5,1),CEILING(CA$2/5,1))=1,INDEX('Serial Reference'!$A$8:$W$8,1,FLOOR(($A38-1)/23,1)+1)&amp;INDEX('Serial Reference'!$A$8:$W$8,1,MOD($A38-1,23)+1)&amp;TEXT(CA$2+FLOOR((CA$2-1)/9,1),"000"),"")</f>
        <v>BN086</v>
      </c>
      <c r="CB38" s="19" t="str">
        <f>IF(INDEX('Shot Map'!$B$6:$V$26,CEILING($A38/5,1),CEILING(CB$2/5,1))=1,INDEX('Serial Reference'!$A$8:$W$8,1,FLOOR(($A38-1)/23,1)+1)&amp;INDEX('Serial Reference'!$A$8:$W$8,1,MOD($A38-1,23)+1)&amp;TEXT(CB$2+FLOOR((CB$2-1)/9,1),"000"),"")</f>
        <v>BN087</v>
      </c>
      <c r="CC38" s="20" t="str">
        <f>IF(INDEX('Shot Map'!$B$6:$V$26,CEILING($A38/5,1),CEILING(CC$2/5,1))=1,INDEX('Serial Reference'!$A$8:$W$8,1,FLOOR(($A38-1)/23,1)+1)&amp;INDEX('Serial Reference'!$A$8:$W$8,1,MOD($A38-1,23)+1)&amp;TEXT(CC$2+FLOOR((CC$2-1)/9,1),"000"),"")</f>
        <v>BN088</v>
      </c>
      <c r="CD38" s="18" t="str">
        <f>IF(INDEX('Shot Map'!$B$6:$V$26,CEILING($A38/5,1),CEILING(CD$2/5,1))=1,INDEX('Serial Reference'!$A$8:$W$8,1,FLOOR(($A38-1)/23,1)+1)&amp;INDEX('Serial Reference'!$A$8:$W$8,1,MOD($A38-1,23)+1)&amp;TEXT(CD$2+FLOOR((CD$2-1)/9,1),"000"),"")</f>
        <v>BN089</v>
      </c>
      <c r="CE38" s="19" t="str">
        <f>IF(INDEX('Shot Map'!$B$6:$V$26,CEILING($A38/5,1),CEILING(CE$2/5,1))=1,INDEX('Serial Reference'!$A$8:$W$8,1,FLOOR(($A38-1)/23,1)+1)&amp;INDEX('Serial Reference'!$A$8:$W$8,1,MOD($A38-1,23)+1)&amp;TEXT(CE$2+FLOOR((CE$2-1)/9,1),"000"),"")</f>
        <v>BN091</v>
      </c>
      <c r="CF38" s="19" t="str">
        <f>IF(INDEX('Shot Map'!$B$6:$V$26,CEILING($A38/5,1),CEILING(CF$2/5,1))=1,INDEX('Serial Reference'!$A$8:$W$8,1,FLOOR(($A38-1)/23,1)+1)&amp;INDEX('Serial Reference'!$A$8:$W$8,1,MOD($A38-1,23)+1)&amp;TEXT(CF$2+FLOOR((CF$2-1)/9,1),"000"),"")</f>
        <v>BN092</v>
      </c>
      <c r="CG38" s="19" t="str">
        <f>IF(INDEX('Shot Map'!$B$6:$V$26,CEILING($A38/5,1),CEILING(CG$2/5,1))=1,INDEX('Serial Reference'!$A$8:$W$8,1,FLOOR(($A38-1)/23,1)+1)&amp;INDEX('Serial Reference'!$A$8:$W$8,1,MOD($A38-1,23)+1)&amp;TEXT(CG$2+FLOOR((CG$2-1)/9,1),"000"),"")</f>
        <v>BN093</v>
      </c>
      <c r="CH38" s="20" t="str">
        <f>IF(INDEX('Shot Map'!$B$6:$V$26,CEILING($A38/5,1),CEILING(CH$2/5,1))=1,INDEX('Serial Reference'!$A$8:$W$8,1,FLOOR(($A38-1)/23,1)+1)&amp;INDEX('Serial Reference'!$A$8:$W$8,1,MOD($A38-1,23)+1)&amp;TEXT(CH$2+FLOOR((CH$2-1)/9,1),"000"),"")</f>
        <v>BN094</v>
      </c>
      <c r="CI38" s="18" t="str">
        <f>IF(INDEX('Shot Map'!$B$6:$V$26,CEILING($A38/5,1),CEILING(CI$2/5,1))=1,INDEX('Serial Reference'!$A$8:$W$8,1,FLOOR(($A38-1)/23,1)+1)&amp;INDEX('Serial Reference'!$A$8:$W$8,1,MOD($A38-1,23)+1)&amp;TEXT(CI$2+FLOOR((CI$2-1)/9,1),"000"),"")</f>
        <v>BN095</v>
      </c>
      <c r="CJ38" s="19" t="str">
        <f>IF(INDEX('Shot Map'!$B$6:$V$26,CEILING($A38/5,1),CEILING(CJ$2/5,1))=1,INDEX('Serial Reference'!$A$8:$W$8,1,FLOOR(($A38-1)/23,1)+1)&amp;INDEX('Serial Reference'!$A$8:$W$8,1,MOD($A38-1,23)+1)&amp;TEXT(CJ$2+FLOOR((CJ$2-1)/9,1),"000"),"")</f>
        <v>BN096</v>
      </c>
      <c r="CK38" s="19" t="str">
        <f>IF(INDEX('Shot Map'!$B$6:$V$26,CEILING($A38/5,1),CEILING(CK$2/5,1))=1,INDEX('Serial Reference'!$A$8:$W$8,1,FLOOR(($A38-1)/23,1)+1)&amp;INDEX('Serial Reference'!$A$8:$W$8,1,MOD($A38-1,23)+1)&amp;TEXT(CK$2+FLOOR((CK$2-1)/9,1),"000"),"")</f>
        <v>BN097</v>
      </c>
      <c r="CL38" s="19" t="str">
        <f>IF(INDEX('Shot Map'!$B$6:$V$26,CEILING($A38/5,1),CEILING(CL$2/5,1))=1,INDEX('Serial Reference'!$A$8:$W$8,1,FLOOR(($A38-1)/23,1)+1)&amp;INDEX('Serial Reference'!$A$8:$W$8,1,MOD($A38-1,23)+1)&amp;TEXT(CL$2+FLOOR((CL$2-1)/9,1),"000"),"")</f>
        <v>BN098</v>
      </c>
      <c r="CM38" s="20" t="str">
        <f>IF(INDEX('Shot Map'!$B$6:$V$26,CEILING($A38/5,1),CEILING(CM$2/5,1))=1,INDEX('Serial Reference'!$A$8:$W$8,1,FLOOR(($A38-1)/23,1)+1)&amp;INDEX('Serial Reference'!$A$8:$W$8,1,MOD($A38-1,23)+1)&amp;TEXT(CM$2+FLOOR((CM$2-1)/9,1),"000"),"")</f>
        <v>BN099</v>
      </c>
      <c r="CN38" s="18" t="str">
        <f>IF(INDEX('Shot Map'!$B$6:$V$26,CEILING($A38/5,1),CEILING(CN$2/5,1))=1,INDEX('Serial Reference'!$A$8:$W$8,1,FLOOR(($A38-1)/23,1)+1)&amp;INDEX('Serial Reference'!$A$8:$W$8,1,MOD($A38-1,23)+1)&amp;TEXT(CN$2+FLOOR((CN$2-1)/9,1),"000"),"")</f>
        <v>BN101</v>
      </c>
      <c r="CO38" s="19" t="str">
        <f>IF(INDEX('Shot Map'!$B$6:$V$26,CEILING($A38/5,1),CEILING(CO$2/5,1))=1,INDEX('Serial Reference'!$A$8:$W$8,1,FLOOR(($A38-1)/23,1)+1)&amp;INDEX('Serial Reference'!$A$8:$W$8,1,MOD($A38-1,23)+1)&amp;TEXT(CO$2+FLOOR((CO$2-1)/9,1),"000"),"")</f>
        <v>BN102</v>
      </c>
      <c r="CP38" s="19" t="str">
        <f>IF(INDEX('Shot Map'!$B$6:$V$26,CEILING($A38/5,1),CEILING(CP$2/5,1))=1,INDEX('Serial Reference'!$A$8:$W$8,1,FLOOR(($A38-1)/23,1)+1)&amp;INDEX('Serial Reference'!$A$8:$W$8,1,MOD($A38-1,23)+1)&amp;TEXT(CP$2+FLOOR((CP$2-1)/9,1),"000"),"")</f>
        <v>BN103</v>
      </c>
      <c r="CQ38" s="19" t="str">
        <f>IF(INDEX('Shot Map'!$B$6:$V$26,CEILING($A38/5,1),CEILING(CQ$2/5,1))=1,INDEX('Serial Reference'!$A$8:$W$8,1,FLOOR(($A38-1)/23,1)+1)&amp;INDEX('Serial Reference'!$A$8:$W$8,1,MOD($A38-1,23)+1)&amp;TEXT(CQ$2+FLOOR((CQ$2-1)/9,1),"000"),"")</f>
        <v>BN104</v>
      </c>
      <c r="CR38" s="20" t="str">
        <f>IF(INDEX('Shot Map'!$B$6:$V$26,CEILING($A38/5,1),CEILING(CR$2/5,1))=1,INDEX('Serial Reference'!$A$8:$W$8,1,FLOOR(($A38-1)/23,1)+1)&amp;INDEX('Serial Reference'!$A$8:$W$8,1,MOD($A38-1,23)+1)&amp;TEXT(CR$2+FLOOR((CR$2-1)/9,1),"000"),"")</f>
        <v>BN105</v>
      </c>
      <c r="CS38" s="18" t="str">
        <f>IF(INDEX('Shot Map'!$B$6:$V$26,CEILING($A38/5,1),CEILING(CS$2/5,1))=1,INDEX('Serial Reference'!$A$8:$W$8,1,FLOOR(($A38-1)/23,1)+1)&amp;INDEX('Serial Reference'!$A$8:$W$8,1,MOD($A38-1,23)+1)&amp;TEXT(CS$2+FLOOR((CS$2-1)/9,1),"000"),"")</f>
        <v>BN106</v>
      </c>
      <c r="CT38" s="19" t="str">
        <f>IF(INDEX('Shot Map'!$B$6:$V$26,CEILING($A38/5,1),CEILING(CT$2/5,1))=1,INDEX('Serial Reference'!$A$8:$W$8,1,FLOOR(($A38-1)/23,1)+1)&amp;INDEX('Serial Reference'!$A$8:$W$8,1,MOD($A38-1,23)+1)&amp;TEXT(CT$2+FLOOR((CT$2-1)/9,1),"000"),"")</f>
        <v>BN107</v>
      </c>
      <c r="CU38" s="19" t="str">
        <f>IF(INDEX('Shot Map'!$B$6:$V$26,CEILING($A38/5,1),CEILING(CU$2/5,1))=1,INDEX('Serial Reference'!$A$8:$W$8,1,FLOOR(($A38-1)/23,1)+1)&amp;INDEX('Serial Reference'!$A$8:$W$8,1,MOD($A38-1,23)+1)&amp;TEXT(CU$2+FLOOR((CU$2-1)/9,1),"000"),"")</f>
        <v>BN108</v>
      </c>
      <c r="CV38" s="19" t="str">
        <f>IF(INDEX('Shot Map'!$B$6:$V$26,CEILING($A38/5,1),CEILING(CV$2/5,1))=1,INDEX('Serial Reference'!$A$8:$W$8,1,FLOOR(($A38-1)/23,1)+1)&amp;INDEX('Serial Reference'!$A$8:$W$8,1,MOD($A38-1,23)+1)&amp;TEXT(CV$2+FLOOR((CV$2-1)/9,1),"000"),"")</f>
        <v>BN109</v>
      </c>
      <c r="CW38" s="20" t="str">
        <f>IF(INDEX('Shot Map'!$B$6:$V$26,CEILING($A38/5,1),CEILING(CW$2/5,1))=1,INDEX('Serial Reference'!$A$8:$W$8,1,FLOOR(($A38-1)/23,1)+1)&amp;INDEX('Serial Reference'!$A$8:$W$8,1,MOD($A38-1,23)+1)&amp;TEXT(CW$2+FLOOR((CW$2-1)/9,1),"000"),"")</f>
        <v>BN111</v>
      </c>
      <c r="CX38" s="18" t="str">
        <f>IF(INDEX('Shot Map'!$B$6:$V$26,CEILING($A38/5,1),CEILING(CX$2/5,1))=1,INDEX('Serial Reference'!$A$8:$W$8,1,FLOOR(($A38-1)/23,1)+1)&amp;INDEX('Serial Reference'!$A$8:$W$8,1,MOD($A38-1,23)+1)&amp;TEXT(CX$2+FLOOR((CX$2-1)/9,1),"000"),"")</f>
        <v/>
      </c>
      <c r="CY38" s="19" t="str">
        <f>IF(INDEX('Shot Map'!$B$6:$V$26,CEILING($A38/5,1),CEILING(CY$2/5,1))=1,INDEX('Serial Reference'!$A$8:$W$8,1,FLOOR(($A38-1)/23,1)+1)&amp;INDEX('Serial Reference'!$A$8:$W$8,1,MOD($A38-1,23)+1)&amp;TEXT(CY$2+FLOOR((CY$2-1)/9,1),"000"),"")</f>
        <v/>
      </c>
      <c r="CZ38" s="19" t="str">
        <f>IF(INDEX('Shot Map'!$B$6:$V$26,CEILING($A38/5,1),CEILING(CZ$2/5,1))=1,INDEX('Serial Reference'!$A$8:$W$8,1,FLOOR(($A38-1)/23,1)+1)&amp;INDEX('Serial Reference'!$A$8:$W$8,1,MOD($A38-1,23)+1)&amp;TEXT(CZ$2+FLOOR((CZ$2-1)/9,1),"000"),"")</f>
        <v/>
      </c>
      <c r="DA38" s="19" t="str">
        <f>IF(INDEX('Shot Map'!$B$6:$V$26,CEILING($A38/5,1),CEILING(DA$2/5,1))=1,INDEX('Serial Reference'!$A$8:$W$8,1,FLOOR(($A38-1)/23,1)+1)&amp;INDEX('Serial Reference'!$A$8:$W$8,1,MOD($A38-1,23)+1)&amp;TEXT(DA$2+FLOOR((DA$2-1)/9,1),"000"),"")</f>
        <v/>
      </c>
      <c r="DB38" s="20" t="str">
        <f>IF(INDEX('Shot Map'!$B$6:$V$26,CEILING($A38/5,1),CEILING(DB$2/5,1))=1,INDEX('Serial Reference'!$A$8:$W$8,1,FLOOR(($A38-1)/23,1)+1)&amp;INDEX('Serial Reference'!$A$8:$W$8,1,MOD($A38-1,23)+1)&amp;TEXT(DB$2+FLOOR((DB$2-1)/9,1),"000"),"")</f>
        <v/>
      </c>
    </row>
    <row r="39" spans="1:106" ht="12.75" customHeight="1" x14ac:dyDescent="0.25">
      <c r="A39" s="17">
        <v>37</v>
      </c>
      <c r="B39" s="21" t="str">
        <f>IF(INDEX('Shot Map'!$B$6:$V$26,CEILING($A39/5,1),CEILING(B$2/5,1))=1,INDEX('Serial Reference'!$A$8:$W$8,1,FLOOR(($A39-1)/23,1)+1)&amp;INDEX('Serial Reference'!$A$8:$W$8,1,MOD($A39-1,23)+1)&amp;TEXT(B$2+FLOOR((B$2-1)/9,1),"000"),"")</f>
        <v/>
      </c>
      <c r="C39" s="22" t="str">
        <f>IF(INDEX('Shot Map'!$B$6:$V$26,CEILING($A39/5,1),CEILING(C$2/5,1))=1,INDEX('Serial Reference'!$A$8:$W$8,1,FLOOR(($A39-1)/23,1)+1)&amp;INDEX('Serial Reference'!$A$8:$W$8,1,MOD($A39-1,23)+1)&amp;TEXT(C$2+FLOOR((C$2-1)/9,1),"000"),"")</f>
        <v/>
      </c>
      <c r="D39" s="22" t="str">
        <f>IF(INDEX('Shot Map'!$B$6:$V$26,CEILING($A39/5,1),CEILING(D$2/5,1))=1,INDEX('Serial Reference'!$A$8:$W$8,1,FLOOR(($A39-1)/23,1)+1)&amp;INDEX('Serial Reference'!$A$8:$W$8,1,MOD($A39-1,23)+1)&amp;TEXT(D$2+FLOOR((D$2-1)/9,1),"000"),"")</f>
        <v/>
      </c>
      <c r="E39" s="22" t="str">
        <f>IF(INDEX('Shot Map'!$B$6:$V$26,CEILING($A39/5,1),CEILING(E$2/5,1))=1,INDEX('Serial Reference'!$A$8:$W$8,1,FLOOR(($A39-1)/23,1)+1)&amp;INDEX('Serial Reference'!$A$8:$W$8,1,MOD($A39-1,23)+1)&amp;TEXT(E$2+FLOOR((E$2-1)/9,1),"000"),"")</f>
        <v/>
      </c>
      <c r="F39" s="23" t="str">
        <f>IF(INDEX('Shot Map'!$B$6:$V$26,CEILING($A39/5,1),CEILING(F$2/5,1))=1,INDEX('Serial Reference'!$A$8:$W$8,1,FLOOR(($A39-1)/23,1)+1)&amp;INDEX('Serial Reference'!$A$8:$W$8,1,MOD($A39-1,23)+1)&amp;TEXT(F$2+FLOOR((F$2-1)/9,1),"000"),"")</f>
        <v/>
      </c>
      <c r="G39" s="21" t="str">
        <f>IF(INDEX('Shot Map'!$B$6:$V$26,CEILING($A39/5,1),CEILING(G$2/5,1))=1,INDEX('Serial Reference'!$A$8:$W$8,1,FLOOR(($A39-1)/23,1)+1)&amp;INDEX('Serial Reference'!$A$8:$W$8,1,MOD($A39-1,23)+1)&amp;TEXT(G$2+FLOOR((G$2-1)/9,1),"000"),"")</f>
        <v>BP006</v>
      </c>
      <c r="H39" s="22" t="str">
        <f>IF(INDEX('Shot Map'!$B$6:$V$26,CEILING($A39/5,1),CEILING(H$2/5,1))=1,INDEX('Serial Reference'!$A$8:$W$8,1,FLOOR(($A39-1)/23,1)+1)&amp;INDEX('Serial Reference'!$A$8:$W$8,1,MOD($A39-1,23)+1)&amp;TEXT(H$2+FLOOR((H$2-1)/9,1),"000"),"")</f>
        <v>BP007</v>
      </c>
      <c r="I39" s="22" t="str">
        <f>IF(INDEX('Shot Map'!$B$6:$V$26,CEILING($A39/5,1),CEILING(I$2/5,1))=1,INDEX('Serial Reference'!$A$8:$W$8,1,FLOOR(($A39-1)/23,1)+1)&amp;INDEX('Serial Reference'!$A$8:$W$8,1,MOD($A39-1,23)+1)&amp;TEXT(I$2+FLOOR((I$2-1)/9,1),"000"),"")</f>
        <v>BP008</v>
      </c>
      <c r="J39" s="22" t="str">
        <f>IF(INDEX('Shot Map'!$B$6:$V$26,CEILING($A39/5,1),CEILING(J$2/5,1))=1,INDEX('Serial Reference'!$A$8:$W$8,1,FLOOR(($A39-1)/23,1)+1)&amp;INDEX('Serial Reference'!$A$8:$W$8,1,MOD($A39-1,23)+1)&amp;TEXT(J$2+FLOOR((J$2-1)/9,1),"000"),"")</f>
        <v>BP009</v>
      </c>
      <c r="K39" s="23" t="str">
        <f>IF(INDEX('Shot Map'!$B$6:$V$26,CEILING($A39/5,1),CEILING(K$2/5,1))=1,INDEX('Serial Reference'!$A$8:$W$8,1,FLOOR(($A39-1)/23,1)+1)&amp;INDEX('Serial Reference'!$A$8:$W$8,1,MOD($A39-1,23)+1)&amp;TEXT(K$2+FLOOR((K$2-1)/9,1),"000"),"")</f>
        <v>BP011</v>
      </c>
      <c r="L39" s="21" t="str">
        <f>IF(INDEX('Shot Map'!$B$6:$V$26,CEILING($A39/5,1),CEILING(L$2/5,1))=1,INDEX('Serial Reference'!$A$8:$W$8,1,FLOOR(($A39-1)/23,1)+1)&amp;INDEX('Serial Reference'!$A$8:$W$8,1,MOD($A39-1,23)+1)&amp;TEXT(L$2+FLOOR((L$2-1)/9,1),"000"),"")</f>
        <v>BP012</v>
      </c>
      <c r="M39" s="22" t="str">
        <f>IF(INDEX('Shot Map'!$B$6:$V$26,CEILING($A39/5,1),CEILING(M$2/5,1))=1,INDEX('Serial Reference'!$A$8:$W$8,1,FLOOR(($A39-1)/23,1)+1)&amp;INDEX('Serial Reference'!$A$8:$W$8,1,MOD($A39-1,23)+1)&amp;TEXT(M$2+FLOOR((M$2-1)/9,1),"000"),"")</f>
        <v>BP013</v>
      </c>
      <c r="N39" s="22" t="str">
        <f>IF(INDEX('Shot Map'!$B$6:$V$26,CEILING($A39/5,1),CEILING(N$2/5,1))=1,INDEX('Serial Reference'!$A$8:$W$8,1,FLOOR(($A39-1)/23,1)+1)&amp;INDEX('Serial Reference'!$A$8:$W$8,1,MOD($A39-1,23)+1)&amp;TEXT(N$2+FLOOR((N$2-1)/9,1),"000"),"")</f>
        <v>BP014</v>
      </c>
      <c r="O39" s="22" t="str">
        <f>IF(INDEX('Shot Map'!$B$6:$V$26,CEILING($A39/5,1),CEILING(O$2/5,1))=1,INDEX('Serial Reference'!$A$8:$W$8,1,FLOOR(($A39-1)/23,1)+1)&amp;INDEX('Serial Reference'!$A$8:$W$8,1,MOD($A39-1,23)+1)&amp;TEXT(O$2+FLOOR((O$2-1)/9,1),"000"),"")</f>
        <v>BP015</v>
      </c>
      <c r="P39" s="23" t="str">
        <f>IF(INDEX('Shot Map'!$B$6:$V$26,CEILING($A39/5,1),CEILING(P$2/5,1))=1,INDEX('Serial Reference'!$A$8:$W$8,1,FLOOR(($A39-1)/23,1)+1)&amp;INDEX('Serial Reference'!$A$8:$W$8,1,MOD($A39-1,23)+1)&amp;TEXT(P$2+FLOOR((P$2-1)/9,1),"000"),"")</f>
        <v>BP016</v>
      </c>
      <c r="Q39" s="21" t="str">
        <f>IF(INDEX('Shot Map'!$B$6:$V$26,CEILING($A39/5,1),CEILING(Q$2/5,1))=1,INDEX('Serial Reference'!$A$8:$W$8,1,FLOOR(($A39-1)/23,1)+1)&amp;INDEX('Serial Reference'!$A$8:$W$8,1,MOD($A39-1,23)+1)&amp;TEXT(Q$2+FLOOR((Q$2-1)/9,1),"000"),"")</f>
        <v>BP017</v>
      </c>
      <c r="R39" s="22" t="str">
        <f>IF(INDEX('Shot Map'!$B$6:$V$26,CEILING($A39/5,1),CEILING(R$2/5,1))=1,INDEX('Serial Reference'!$A$8:$W$8,1,FLOOR(($A39-1)/23,1)+1)&amp;INDEX('Serial Reference'!$A$8:$W$8,1,MOD($A39-1,23)+1)&amp;TEXT(R$2+FLOOR((R$2-1)/9,1),"000"),"")</f>
        <v>BP018</v>
      </c>
      <c r="S39" s="22" t="str">
        <f>IF(INDEX('Shot Map'!$B$6:$V$26,CEILING($A39/5,1),CEILING(S$2/5,1))=1,INDEX('Serial Reference'!$A$8:$W$8,1,FLOOR(($A39-1)/23,1)+1)&amp;INDEX('Serial Reference'!$A$8:$W$8,1,MOD($A39-1,23)+1)&amp;TEXT(S$2+FLOOR((S$2-1)/9,1),"000"),"")</f>
        <v>BP019</v>
      </c>
      <c r="T39" s="22" t="str">
        <f>IF(INDEX('Shot Map'!$B$6:$V$26,CEILING($A39/5,1),CEILING(T$2/5,1))=1,INDEX('Serial Reference'!$A$8:$W$8,1,FLOOR(($A39-1)/23,1)+1)&amp;INDEX('Serial Reference'!$A$8:$W$8,1,MOD($A39-1,23)+1)&amp;TEXT(T$2+FLOOR((T$2-1)/9,1),"000"),"")</f>
        <v>BP021</v>
      </c>
      <c r="U39" s="23" t="str">
        <f>IF(INDEX('Shot Map'!$B$6:$V$26,CEILING($A39/5,1),CEILING(U$2/5,1))=1,INDEX('Serial Reference'!$A$8:$W$8,1,FLOOR(($A39-1)/23,1)+1)&amp;INDEX('Serial Reference'!$A$8:$W$8,1,MOD($A39-1,23)+1)&amp;TEXT(U$2+FLOOR((U$2-1)/9,1),"000"),"")</f>
        <v>BP022</v>
      </c>
      <c r="V39" s="21" t="str">
        <f>IF(INDEX('Shot Map'!$B$6:$V$26,CEILING($A39/5,1),CEILING(V$2/5,1))=1,INDEX('Serial Reference'!$A$8:$W$8,1,FLOOR(($A39-1)/23,1)+1)&amp;INDEX('Serial Reference'!$A$8:$W$8,1,MOD($A39-1,23)+1)&amp;TEXT(V$2+FLOOR((V$2-1)/9,1),"000"),"")</f>
        <v>BP023</v>
      </c>
      <c r="W39" s="22" t="str">
        <f>IF(INDEX('Shot Map'!$B$6:$V$26,CEILING($A39/5,1),CEILING(W$2/5,1))=1,INDEX('Serial Reference'!$A$8:$W$8,1,FLOOR(($A39-1)/23,1)+1)&amp;INDEX('Serial Reference'!$A$8:$W$8,1,MOD($A39-1,23)+1)&amp;TEXT(W$2+FLOOR((W$2-1)/9,1),"000"),"")</f>
        <v>BP024</v>
      </c>
      <c r="X39" s="22" t="str">
        <f>IF(INDEX('Shot Map'!$B$6:$V$26,CEILING($A39/5,1),CEILING(X$2/5,1))=1,INDEX('Serial Reference'!$A$8:$W$8,1,FLOOR(($A39-1)/23,1)+1)&amp;INDEX('Serial Reference'!$A$8:$W$8,1,MOD($A39-1,23)+1)&amp;TEXT(X$2+FLOOR((X$2-1)/9,1),"000"),"")</f>
        <v>BP025</v>
      </c>
      <c r="Y39" s="22" t="str">
        <f>IF(INDEX('Shot Map'!$B$6:$V$26,CEILING($A39/5,1),CEILING(Y$2/5,1))=1,INDEX('Serial Reference'!$A$8:$W$8,1,FLOOR(($A39-1)/23,1)+1)&amp;INDEX('Serial Reference'!$A$8:$W$8,1,MOD($A39-1,23)+1)&amp;TEXT(Y$2+FLOOR((Y$2-1)/9,1),"000"),"")</f>
        <v>BP026</v>
      </c>
      <c r="Z39" s="23" t="str">
        <f>IF(INDEX('Shot Map'!$B$6:$V$26,CEILING($A39/5,1),CEILING(Z$2/5,1))=1,INDEX('Serial Reference'!$A$8:$W$8,1,FLOOR(($A39-1)/23,1)+1)&amp;INDEX('Serial Reference'!$A$8:$W$8,1,MOD($A39-1,23)+1)&amp;TEXT(Z$2+FLOOR((Z$2-1)/9,1),"000"),"")</f>
        <v>BP027</v>
      </c>
      <c r="AA39" s="21" t="str">
        <f>IF(INDEX('Shot Map'!$B$6:$V$26,CEILING($A39/5,1),CEILING(AA$2/5,1))=1,INDEX('Serial Reference'!$A$8:$W$8,1,FLOOR(($A39-1)/23,1)+1)&amp;INDEX('Serial Reference'!$A$8:$W$8,1,MOD($A39-1,23)+1)&amp;TEXT(AA$2+FLOOR((AA$2-1)/9,1),"000"),"")</f>
        <v>BP028</v>
      </c>
      <c r="AB39" s="22" t="str">
        <f>IF(INDEX('Shot Map'!$B$6:$V$26,CEILING($A39/5,1),CEILING(AB$2/5,1))=1,INDEX('Serial Reference'!$A$8:$W$8,1,FLOOR(($A39-1)/23,1)+1)&amp;INDEX('Serial Reference'!$A$8:$W$8,1,MOD($A39-1,23)+1)&amp;TEXT(AB$2+FLOOR((AB$2-1)/9,1),"000"),"")</f>
        <v>BP029</v>
      </c>
      <c r="AC39" s="22" t="str">
        <f>IF(INDEX('Shot Map'!$B$6:$V$26,CEILING($A39/5,1),CEILING(AC$2/5,1))=1,INDEX('Serial Reference'!$A$8:$W$8,1,FLOOR(($A39-1)/23,1)+1)&amp;INDEX('Serial Reference'!$A$8:$W$8,1,MOD($A39-1,23)+1)&amp;TEXT(AC$2+FLOOR((AC$2-1)/9,1),"000"),"")</f>
        <v>BP031</v>
      </c>
      <c r="AD39" s="22" t="str">
        <f>IF(INDEX('Shot Map'!$B$6:$V$26,CEILING($A39/5,1),CEILING(AD$2/5,1))=1,INDEX('Serial Reference'!$A$8:$W$8,1,FLOOR(($A39-1)/23,1)+1)&amp;INDEX('Serial Reference'!$A$8:$W$8,1,MOD($A39-1,23)+1)&amp;TEXT(AD$2+FLOOR((AD$2-1)/9,1),"000"),"")</f>
        <v>BP032</v>
      </c>
      <c r="AE39" s="23" t="str">
        <f>IF(INDEX('Shot Map'!$B$6:$V$26,CEILING($A39/5,1),CEILING(AE$2/5,1))=1,INDEX('Serial Reference'!$A$8:$W$8,1,FLOOR(($A39-1)/23,1)+1)&amp;INDEX('Serial Reference'!$A$8:$W$8,1,MOD($A39-1,23)+1)&amp;TEXT(AE$2+FLOOR((AE$2-1)/9,1),"000"),"")</f>
        <v>BP033</v>
      </c>
      <c r="AF39" s="21" t="str">
        <f>IF(INDEX('Shot Map'!$B$6:$V$26,CEILING($A39/5,1),CEILING(AF$2/5,1))=1,INDEX('Serial Reference'!$A$8:$W$8,1,FLOOR(($A39-1)/23,1)+1)&amp;INDEX('Serial Reference'!$A$8:$W$8,1,MOD($A39-1,23)+1)&amp;TEXT(AF$2+FLOOR((AF$2-1)/9,1),"000"),"")</f>
        <v>BP034</v>
      </c>
      <c r="AG39" s="22" t="str">
        <f>IF(INDEX('Shot Map'!$B$6:$V$26,CEILING($A39/5,1),CEILING(AG$2/5,1))=1,INDEX('Serial Reference'!$A$8:$W$8,1,FLOOR(($A39-1)/23,1)+1)&amp;INDEX('Serial Reference'!$A$8:$W$8,1,MOD($A39-1,23)+1)&amp;TEXT(AG$2+FLOOR((AG$2-1)/9,1),"000"),"")</f>
        <v>BP035</v>
      </c>
      <c r="AH39" s="22" t="str">
        <f>IF(INDEX('Shot Map'!$B$6:$V$26,CEILING($A39/5,1),CEILING(AH$2/5,1))=1,INDEX('Serial Reference'!$A$8:$W$8,1,FLOOR(($A39-1)/23,1)+1)&amp;INDEX('Serial Reference'!$A$8:$W$8,1,MOD($A39-1,23)+1)&amp;TEXT(AH$2+FLOOR((AH$2-1)/9,1),"000"),"")</f>
        <v>BP036</v>
      </c>
      <c r="AI39" s="22" t="str">
        <f>IF(INDEX('Shot Map'!$B$6:$V$26,CEILING($A39/5,1),CEILING(AI$2/5,1))=1,INDEX('Serial Reference'!$A$8:$W$8,1,FLOOR(($A39-1)/23,1)+1)&amp;INDEX('Serial Reference'!$A$8:$W$8,1,MOD($A39-1,23)+1)&amp;TEXT(AI$2+FLOOR((AI$2-1)/9,1),"000"),"")</f>
        <v>BP037</v>
      </c>
      <c r="AJ39" s="23" t="str">
        <f>IF(INDEX('Shot Map'!$B$6:$V$26,CEILING($A39/5,1),CEILING(AJ$2/5,1))=1,INDEX('Serial Reference'!$A$8:$W$8,1,FLOOR(($A39-1)/23,1)+1)&amp;INDEX('Serial Reference'!$A$8:$W$8,1,MOD($A39-1,23)+1)&amp;TEXT(AJ$2+FLOOR((AJ$2-1)/9,1),"000"),"")</f>
        <v>BP038</v>
      </c>
      <c r="AK39" s="21" t="str">
        <f>IF(INDEX('Shot Map'!$B$6:$V$26,CEILING($A39/5,1),CEILING(AK$2/5,1))=1,INDEX('Serial Reference'!$A$8:$W$8,1,FLOOR(($A39-1)/23,1)+1)&amp;INDEX('Serial Reference'!$A$8:$W$8,1,MOD($A39-1,23)+1)&amp;TEXT(AK$2+FLOOR((AK$2-1)/9,1),"000"),"")</f>
        <v>BP039</v>
      </c>
      <c r="AL39" s="22" t="str">
        <f>IF(INDEX('Shot Map'!$B$6:$V$26,CEILING($A39/5,1),CEILING(AL$2/5,1))=1,INDEX('Serial Reference'!$A$8:$W$8,1,FLOOR(($A39-1)/23,1)+1)&amp;INDEX('Serial Reference'!$A$8:$W$8,1,MOD($A39-1,23)+1)&amp;TEXT(AL$2+FLOOR((AL$2-1)/9,1),"000"),"")</f>
        <v>BP041</v>
      </c>
      <c r="AM39" s="22" t="str">
        <f>IF(INDEX('Shot Map'!$B$6:$V$26,CEILING($A39/5,1),CEILING(AM$2/5,1))=1,INDEX('Serial Reference'!$A$8:$W$8,1,FLOOR(($A39-1)/23,1)+1)&amp;INDEX('Serial Reference'!$A$8:$W$8,1,MOD($A39-1,23)+1)&amp;TEXT(AM$2+FLOOR((AM$2-1)/9,1),"000"),"")</f>
        <v>BP042</v>
      </c>
      <c r="AN39" s="22" t="str">
        <f>IF(INDEX('Shot Map'!$B$6:$V$26,CEILING($A39/5,1),CEILING(AN$2/5,1))=1,INDEX('Serial Reference'!$A$8:$W$8,1,FLOOR(($A39-1)/23,1)+1)&amp;INDEX('Serial Reference'!$A$8:$W$8,1,MOD($A39-1,23)+1)&amp;TEXT(AN$2+FLOOR((AN$2-1)/9,1),"000"),"")</f>
        <v>BP043</v>
      </c>
      <c r="AO39" s="23" t="str">
        <f>IF(INDEX('Shot Map'!$B$6:$V$26,CEILING($A39/5,1),CEILING(AO$2/5,1))=1,INDEX('Serial Reference'!$A$8:$W$8,1,FLOOR(($A39-1)/23,1)+1)&amp;INDEX('Serial Reference'!$A$8:$W$8,1,MOD($A39-1,23)+1)&amp;TEXT(AO$2+FLOOR((AO$2-1)/9,1),"000"),"")</f>
        <v>BP044</v>
      </c>
      <c r="AP39" s="21" t="str">
        <f>IF(INDEX('Shot Map'!$B$6:$V$26,CEILING($A39/5,1),CEILING(AP$2/5,1))=1,INDEX('Serial Reference'!$A$8:$W$8,1,FLOOR(($A39-1)/23,1)+1)&amp;INDEX('Serial Reference'!$A$8:$W$8,1,MOD($A39-1,23)+1)&amp;TEXT(AP$2+FLOOR((AP$2-1)/9,1),"000"),"")</f>
        <v>BP045</v>
      </c>
      <c r="AQ39" s="22" t="str">
        <f>IF(INDEX('Shot Map'!$B$6:$V$26,CEILING($A39/5,1),CEILING(AQ$2/5,1))=1,INDEX('Serial Reference'!$A$8:$W$8,1,FLOOR(($A39-1)/23,1)+1)&amp;INDEX('Serial Reference'!$A$8:$W$8,1,MOD($A39-1,23)+1)&amp;TEXT(AQ$2+FLOOR((AQ$2-1)/9,1),"000"),"")</f>
        <v>BP046</v>
      </c>
      <c r="AR39" s="22" t="str">
        <f>IF(INDEX('Shot Map'!$B$6:$V$26,CEILING($A39/5,1),CEILING(AR$2/5,1))=1,INDEX('Serial Reference'!$A$8:$W$8,1,FLOOR(($A39-1)/23,1)+1)&amp;INDEX('Serial Reference'!$A$8:$W$8,1,MOD($A39-1,23)+1)&amp;TEXT(AR$2+FLOOR((AR$2-1)/9,1),"000"),"")</f>
        <v>BP047</v>
      </c>
      <c r="AS39" s="22" t="str">
        <f>IF(INDEX('Shot Map'!$B$6:$V$26,CEILING($A39/5,1),CEILING(AS$2/5,1))=1,INDEX('Serial Reference'!$A$8:$W$8,1,FLOOR(($A39-1)/23,1)+1)&amp;INDEX('Serial Reference'!$A$8:$W$8,1,MOD($A39-1,23)+1)&amp;TEXT(AS$2+FLOOR((AS$2-1)/9,1),"000"),"")</f>
        <v>BP048</v>
      </c>
      <c r="AT39" s="23" t="str">
        <f>IF(INDEX('Shot Map'!$B$6:$V$26,CEILING($A39/5,1),CEILING(AT$2/5,1))=1,INDEX('Serial Reference'!$A$8:$W$8,1,FLOOR(($A39-1)/23,1)+1)&amp;INDEX('Serial Reference'!$A$8:$W$8,1,MOD($A39-1,23)+1)&amp;TEXT(AT$2+FLOOR((AT$2-1)/9,1),"000"),"")</f>
        <v>BP049</v>
      </c>
      <c r="AU39" s="21" t="str">
        <f>IF(INDEX('Shot Map'!$B$6:$V$26,CEILING($A39/5,1),CEILING(AU$2/5,1))=1,INDEX('Serial Reference'!$A$8:$W$8,1,FLOOR(($A39-1)/23,1)+1)&amp;INDEX('Serial Reference'!$A$8:$W$8,1,MOD($A39-1,23)+1)&amp;TEXT(AU$2+FLOOR((AU$2-1)/9,1),"000"),"")</f>
        <v>BP051</v>
      </c>
      <c r="AV39" s="22" t="str">
        <f>IF(INDEX('Shot Map'!$B$6:$V$26,CEILING($A39/5,1),CEILING(AV$2/5,1))=1,INDEX('Serial Reference'!$A$8:$W$8,1,FLOOR(($A39-1)/23,1)+1)&amp;INDEX('Serial Reference'!$A$8:$W$8,1,MOD($A39-1,23)+1)&amp;TEXT(AV$2+FLOOR((AV$2-1)/9,1),"000"),"")</f>
        <v>BP052</v>
      </c>
      <c r="AW39" s="22" t="str">
        <f>IF(INDEX('Shot Map'!$B$6:$V$26,CEILING($A39/5,1),CEILING(AW$2/5,1))=1,INDEX('Serial Reference'!$A$8:$W$8,1,FLOOR(($A39-1)/23,1)+1)&amp;INDEX('Serial Reference'!$A$8:$W$8,1,MOD($A39-1,23)+1)&amp;TEXT(AW$2+FLOOR((AW$2-1)/9,1),"000"),"")</f>
        <v>BP053</v>
      </c>
      <c r="AX39" s="22" t="str">
        <f>IF(INDEX('Shot Map'!$B$6:$V$26,CEILING($A39/5,1),CEILING(AX$2/5,1))=1,INDEX('Serial Reference'!$A$8:$W$8,1,FLOOR(($A39-1)/23,1)+1)&amp;INDEX('Serial Reference'!$A$8:$W$8,1,MOD($A39-1,23)+1)&amp;TEXT(AX$2+FLOOR((AX$2-1)/9,1),"000"),"")</f>
        <v>BP054</v>
      </c>
      <c r="AY39" s="23" t="str">
        <f>IF(INDEX('Shot Map'!$B$6:$V$26,CEILING($A39/5,1),CEILING(AY$2/5,1))=1,INDEX('Serial Reference'!$A$8:$W$8,1,FLOOR(($A39-1)/23,1)+1)&amp;INDEX('Serial Reference'!$A$8:$W$8,1,MOD($A39-1,23)+1)&amp;TEXT(AY$2+FLOOR((AY$2-1)/9,1),"000"),"")</f>
        <v>BP055</v>
      </c>
      <c r="AZ39" s="21" t="str">
        <f>IF(INDEX('Shot Map'!$B$6:$V$26,CEILING($A39/5,1),CEILING(AZ$2/5,1))=1,INDEX('Serial Reference'!$A$8:$W$8,1,FLOOR(($A39-1)/23,1)+1)&amp;INDEX('Serial Reference'!$A$8:$W$8,1,MOD($A39-1,23)+1)&amp;TEXT(AZ$2+FLOOR((AZ$2-1)/9,1),"000"),"")</f>
        <v>BP056</v>
      </c>
      <c r="BA39" s="22" t="str">
        <f>IF(INDEX('Shot Map'!$B$6:$V$26,CEILING($A39/5,1),CEILING(BA$2/5,1))=1,INDEX('Serial Reference'!$A$8:$W$8,1,FLOOR(($A39-1)/23,1)+1)&amp;INDEX('Serial Reference'!$A$8:$W$8,1,MOD($A39-1,23)+1)&amp;TEXT(BA$2+FLOOR((BA$2-1)/9,1),"000"),"")</f>
        <v>BP057</v>
      </c>
      <c r="BB39" s="22" t="str">
        <f>IF(INDEX('Shot Map'!$B$6:$V$26,CEILING($A39/5,1),CEILING(BB$2/5,1))=1,INDEX('Serial Reference'!$A$8:$W$8,1,FLOOR(($A39-1)/23,1)+1)&amp;INDEX('Serial Reference'!$A$8:$W$8,1,MOD($A39-1,23)+1)&amp;TEXT(BB$2+FLOOR((BB$2-1)/9,1),"000"),"")</f>
        <v>BP058</v>
      </c>
      <c r="BC39" s="22" t="str">
        <f>IF(INDEX('Shot Map'!$B$6:$V$26,CEILING($A39/5,1),CEILING(BC$2/5,1))=1,INDEX('Serial Reference'!$A$8:$W$8,1,FLOOR(($A39-1)/23,1)+1)&amp;INDEX('Serial Reference'!$A$8:$W$8,1,MOD($A39-1,23)+1)&amp;TEXT(BC$2+FLOOR((BC$2-1)/9,1),"000"),"")</f>
        <v>BP059</v>
      </c>
      <c r="BD39" s="23" t="str">
        <f>IF(INDEX('Shot Map'!$B$6:$V$26,CEILING($A39/5,1),CEILING(BD$2/5,1))=1,INDEX('Serial Reference'!$A$8:$W$8,1,FLOOR(($A39-1)/23,1)+1)&amp;INDEX('Serial Reference'!$A$8:$W$8,1,MOD($A39-1,23)+1)&amp;TEXT(BD$2+FLOOR((BD$2-1)/9,1),"000"),"")</f>
        <v>BP061</v>
      </c>
      <c r="BE39" s="21" t="str">
        <f>IF(INDEX('Shot Map'!$B$6:$V$26,CEILING($A39/5,1),CEILING(BE$2/5,1))=1,INDEX('Serial Reference'!$A$8:$W$8,1,FLOOR(($A39-1)/23,1)+1)&amp;INDEX('Serial Reference'!$A$8:$W$8,1,MOD($A39-1,23)+1)&amp;TEXT(BE$2+FLOOR((BE$2-1)/9,1),"000"),"")</f>
        <v>BP062</v>
      </c>
      <c r="BF39" s="22" t="str">
        <f>IF(INDEX('Shot Map'!$B$6:$V$26,CEILING($A39/5,1),CEILING(BF$2/5,1))=1,INDEX('Serial Reference'!$A$8:$W$8,1,FLOOR(($A39-1)/23,1)+1)&amp;INDEX('Serial Reference'!$A$8:$W$8,1,MOD($A39-1,23)+1)&amp;TEXT(BF$2+FLOOR((BF$2-1)/9,1),"000"),"")</f>
        <v>BP063</v>
      </c>
      <c r="BG39" s="22" t="str">
        <f>IF(INDEX('Shot Map'!$B$6:$V$26,CEILING($A39/5,1),CEILING(BG$2/5,1))=1,INDEX('Serial Reference'!$A$8:$W$8,1,FLOOR(($A39-1)/23,1)+1)&amp;INDEX('Serial Reference'!$A$8:$W$8,1,MOD($A39-1,23)+1)&amp;TEXT(BG$2+FLOOR((BG$2-1)/9,1),"000"),"")</f>
        <v>BP064</v>
      </c>
      <c r="BH39" s="22" t="str">
        <f>IF(INDEX('Shot Map'!$B$6:$V$26,CEILING($A39/5,1),CEILING(BH$2/5,1))=1,INDEX('Serial Reference'!$A$8:$W$8,1,FLOOR(($A39-1)/23,1)+1)&amp;INDEX('Serial Reference'!$A$8:$W$8,1,MOD($A39-1,23)+1)&amp;TEXT(BH$2+FLOOR((BH$2-1)/9,1),"000"),"")</f>
        <v>BP065</v>
      </c>
      <c r="BI39" s="23" t="str">
        <f>IF(INDEX('Shot Map'!$B$6:$V$26,CEILING($A39/5,1),CEILING(BI$2/5,1))=1,INDEX('Serial Reference'!$A$8:$W$8,1,FLOOR(($A39-1)/23,1)+1)&amp;INDEX('Serial Reference'!$A$8:$W$8,1,MOD($A39-1,23)+1)&amp;TEXT(BI$2+FLOOR((BI$2-1)/9,1),"000"),"")</f>
        <v>BP066</v>
      </c>
      <c r="BJ39" s="21" t="str">
        <f>IF(INDEX('Shot Map'!$B$6:$V$26,CEILING($A39/5,1),CEILING(BJ$2/5,1))=1,INDEX('Serial Reference'!$A$8:$W$8,1,FLOOR(($A39-1)/23,1)+1)&amp;INDEX('Serial Reference'!$A$8:$W$8,1,MOD($A39-1,23)+1)&amp;TEXT(BJ$2+FLOOR((BJ$2-1)/9,1),"000"),"")</f>
        <v>BP067</v>
      </c>
      <c r="BK39" s="22" t="str">
        <f>IF(INDEX('Shot Map'!$B$6:$V$26,CEILING($A39/5,1),CEILING(BK$2/5,1))=1,INDEX('Serial Reference'!$A$8:$W$8,1,FLOOR(($A39-1)/23,1)+1)&amp;INDEX('Serial Reference'!$A$8:$W$8,1,MOD($A39-1,23)+1)&amp;TEXT(BK$2+FLOOR((BK$2-1)/9,1),"000"),"")</f>
        <v>BP068</v>
      </c>
      <c r="BL39" s="22" t="str">
        <f>IF(INDEX('Shot Map'!$B$6:$V$26,CEILING($A39/5,1),CEILING(BL$2/5,1))=1,INDEX('Serial Reference'!$A$8:$W$8,1,FLOOR(($A39-1)/23,1)+1)&amp;INDEX('Serial Reference'!$A$8:$W$8,1,MOD($A39-1,23)+1)&amp;TEXT(BL$2+FLOOR((BL$2-1)/9,1),"000"),"")</f>
        <v>BP069</v>
      </c>
      <c r="BM39" s="22" t="str">
        <f>IF(INDEX('Shot Map'!$B$6:$V$26,CEILING($A39/5,1),CEILING(BM$2/5,1))=1,INDEX('Serial Reference'!$A$8:$W$8,1,FLOOR(($A39-1)/23,1)+1)&amp;INDEX('Serial Reference'!$A$8:$W$8,1,MOD($A39-1,23)+1)&amp;TEXT(BM$2+FLOOR((BM$2-1)/9,1),"000"),"")</f>
        <v>BP071</v>
      </c>
      <c r="BN39" s="23" t="str">
        <f>IF(INDEX('Shot Map'!$B$6:$V$26,CEILING($A39/5,1),CEILING(BN$2/5,1))=1,INDEX('Serial Reference'!$A$8:$W$8,1,FLOOR(($A39-1)/23,1)+1)&amp;INDEX('Serial Reference'!$A$8:$W$8,1,MOD($A39-1,23)+1)&amp;TEXT(BN$2+FLOOR((BN$2-1)/9,1),"000"),"")</f>
        <v>BP072</v>
      </c>
      <c r="BO39" s="21" t="str">
        <f>IF(INDEX('Shot Map'!$B$6:$V$26,CEILING($A39/5,1),CEILING(BO$2/5,1))=1,INDEX('Serial Reference'!$A$8:$W$8,1,FLOOR(($A39-1)/23,1)+1)&amp;INDEX('Serial Reference'!$A$8:$W$8,1,MOD($A39-1,23)+1)&amp;TEXT(BO$2+FLOOR((BO$2-1)/9,1),"000"),"")</f>
        <v>BP073</v>
      </c>
      <c r="BP39" s="22" t="str">
        <f>IF(INDEX('Shot Map'!$B$6:$V$26,CEILING($A39/5,1),CEILING(BP$2/5,1))=1,INDEX('Serial Reference'!$A$8:$W$8,1,FLOOR(($A39-1)/23,1)+1)&amp;INDEX('Serial Reference'!$A$8:$W$8,1,MOD($A39-1,23)+1)&amp;TEXT(BP$2+FLOOR((BP$2-1)/9,1),"000"),"")</f>
        <v>BP074</v>
      </c>
      <c r="BQ39" s="22" t="str">
        <f>IF(INDEX('Shot Map'!$B$6:$V$26,CEILING($A39/5,1),CEILING(BQ$2/5,1))=1,INDEX('Serial Reference'!$A$8:$W$8,1,FLOOR(($A39-1)/23,1)+1)&amp;INDEX('Serial Reference'!$A$8:$W$8,1,MOD($A39-1,23)+1)&amp;TEXT(BQ$2+FLOOR((BQ$2-1)/9,1),"000"),"")</f>
        <v>BP075</v>
      </c>
      <c r="BR39" s="22" t="str">
        <f>IF(INDEX('Shot Map'!$B$6:$V$26,CEILING($A39/5,1),CEILING(BR$2/5,1))=1,INDEX('Serial Reference'!$A$8:$W$8,1,FLOOR(($A39-1)/23,1)+1)&amp;INDEX('Serial Reference'!$A$8:$W$8,1,MOD($A39-1,23)+1)&amp;TEXT(BR$2+FLOOR((BR$2-1)/9,1),"000"),"")</f>
        <v>BP076</v>
      </c>
      <c r="BS39" s="23" t="str">
        <f>IF(INDEX('Shot Map'!$B$6:$V$26,CEILING($A39/5,1),CEILING(BS$2/5,1))=1,INDEX('Serial Reference'!$A$8:$W$8,1,FLOOR(($A39-1)/23,1)+1)&amp;INDEX('Serial Reference'!$A$8:$W$8,1,MOD($A39-1,23)+1)&amp;TEXT(BS$2+FLOOR((BS$2-1)/9,1),"000"),"")</f>
        <v>BP077</v>
      </c>
      <c r="BT39" s="21" t="str">
        <f>IF(INDEX('Shot Map'!$B$6:$V$26,CEILING($A39/5,1),CEILING(BT$2/5,1))=1,INDEX('Serial Reference'!$A$8:$W$8,1,FLOOR(($A39-1)/23,1)+1)&amp;INDEX('Serial Reference'!$A$8:$W$8,1,MOD($A39-1,23)+1)&amp;TEXT(BT$2+FLOOR((BT$2-1)/9,1),"000"),"")</f>
        <v>BP078</v>
      </c>
      <c r="BU39" s="22" t="str">
        <f>IF(INDEX('Shot Map'!$B$6:$V$26,CEILING($A39/5,1),CEILING(BU$2/5,1))=1,INDEX('Serial Reference'!$A$8:$W$8,1,FLOOR(($A39-1)/23,1)+1)&amp;INDEX('Serial Reference'!$A$8:$W$8,1,MOD($A39-1,23)+1)&amp;TEXT(BU$2+FLOOR((BU$2-1)/9,1),"000"),"")</f>
        <v>BP079</v>
      </c>
      <c r="BV39" s="22" t="str">
        <f>IF(INDEX('Shot Map'!$B$6:$V$26,CEILING($A39/5,1),CEILING(BV$2/5,1))=1,INDEX('Serial Reference'!$A$8:$W$8,1,FLOOR(($A39-1)/23,1)+1)&amp;INDEX('Serial Reference'!$A$8:$W$8,1,MOD($A39-1,23)+1)&amp;TEXT(BV$2+FLOOR((BV$2-1)/9,1),"000"),"")</f>
        <v>BP081</v>
      </c>
      <c r="BW39" s="22" t="str">
        <f>IF(INDEX('Shot Map'!$B$6:$V$26,CEILING($A39/5,1),CEILING(BW$2/5,1))=1,INDEX('Serial Reference'!$A$8:$W$8,1,FLOOR(($A39-1)/23,1)+1)&amp;INDEX('Serial Reference'!$A$8:$W$8,1,MOD($A39-1,23)+1)&amp;TEXT(BW$2+FLOOR((BW$2-1)/9,1),"000"),"")</f>
        <v>BP082</v>
      </c>
      <c r="BX39" s="23" t="str">
        <f>IF(INDEX('Shot Map'!$B$6:$V$26,CEILING($A39/5,1),CEILING(BX$2/5,1))=1,INDEX('Serial Reference'!$A$8:$W$8,1,FLOOR(($A39-1)/23,1)+1)&amp;INDEX('Serial Reference'!$A$8:$W$8,1,MOD($A39-1,23)+1)&amp;TEXT(BX$2+FLOOR((BX$2-1)/9,1),"000"),"")</f>
        <v>BP083</v>
      </c>
      <c r="BY39" s="21" t="str">
        <f>IF(INDEX('Shot Map'!$B$6:$V$26,CEILING($A39/5,1),CEILING(BY$2/5,1))=1,INDEX('Serial Reference'!$A$8:$W$8,1,FLOOR(($A39-1)/23,1)+1)&amp;INDEX('Serial Reference'!$A$8:$W$8,1,MOD($A39-1,23)+1)&amp;TEXT(BY$2+FLOOR((BY$2-1)/9,1),"000"),"")</f>
        <v>BP084</v>
      </c>
      <c r="BZ39" s="22" t="str">
        <f>IF(INDEX('Shot Map'!$B$6:$V$26,CEILING($A39/5,1),CEILING(BZ$2/5,1))=1,INDEX('Serial Reference'!$A$8:$W$8,1,FLOOR(($A39-1)/23,1)+1)&amp;INDEX('Serial Reference'!$A$8:$W$8,1,MOD($A39-1,23)+1)&amp;TEXT(BZ$2+FLOOR((BZ$2-1)/9,1),"000"),"")</f>
        <v>BP085</v>
      </c>
      <c r="CA39" s="22" t="str">
        <f>IF(INDEX('Shot Map'!$B$6:$V$26,CEILING($A39/5,1),CEILING(CA$2/5,1))=1,INDEX('Serial Reference'!$A$8:$W$8,1,FLOOR(($A39-1)/23,1)+1)&amp;INDEX('Serial Reference'!$A$8:$W$8,1,MOD($A39-1,23)+1)&amp;TEXT(CA$2+FLOOR((CA$2-1)/9,1),"000"),"")</f>
        <v>BP086</v>
      </c>
      <c r="CB39" s="22" t="str">
        <f>IF(INDEX('Shot Map'!$B$6:$V$26,CEILING($A39/5,1),CEILING(CB$2/5,1))=1,INDEX('Serial Reference'!$A$8:$W$8,1,FLOOR(($A39-1)/23,1)+1)&amp;INDEX('Serial Reference'!$A$8:$W$8,1,MOD($A39-1,23)+1)&amp;TEXT(CB$2+FLOOR((CB$2-1)/9,1),"000"),"")</f>
        <v>BP087</v>
      </c>
      <c r="CC39" s="23" t="str">
        <f>IF(INDEX('Shot Map'!$B$6:$V$26,CEILING($A39/5,1),CEILING(CC$2/5,1))=1,INDEX('Serial Reference'!$A$8:$W$8,1,FLOOR(($A39-1)/23,1)+1)&amp;INDEX('Serial Reference'!$A$8:$W$8,1,MOD($A39-1,23)+1)&amp;TEXT(CC$2+FLOOR((CC$2-1)/9,1),"000"),"")</f>
        <v>BP088</v>
      </c>
      <c r="CD39" s="21" t="str">
        <f>IF(INDEX('Shot Map'!$B$6:$V$26,CEILING($A39/5,1),CEILING(CD$2/5,1))=1,INDEX('Serial Reference'!$A$8:$W$8,1,FLOOR(($A39-1)/23,1)+1)&amp;INDEX('Serial Reference'!$A$8:$W$8,1,MOD($A39-1,23)+1)&amp;TEXT(CD$2+FLOOR((CD$2-1)/9,1),"000"),"")</f>
        <v>BP089</v>
      </c>
      <c r="CE39" s="22" t="str">
        <f>IF(INDEX('Shot Map'!$B$6:$V$26,CEILING($A39/5,1),CEILING(CE$2/5,1))=1,INDEX('Serial Reference'!$A$8:$W$8,1,FLOOR(($A39-1)/23,1)+1)&amp;INDEX('Serial Reference'!$A$8:$W$8,1,MOD($A39-1,23)+1)&amp;TEXT(CE$2+FLOOR((CE$2-1)/9,1),"000"),"")</f>
        <v>BP091</v>
      </c>
      <c r="CF39" s="22" t="str">
        <f>IF(INDEX('Shot Map'!$B$6:$V$26,CEILING($A39/5,1),CEILING(CF$2/5,1))=1,INDEX('Serial Reference'!$A$8:$W$8,1,FLOOR(($A39-1)/23,1)+1)&amp;INDEX('Serial Reference'!$A$8:$W$8,1,MOD($A39-1,23)+1)&amp;TEXT(CF$2+FLOOR((CF$2-1)/9,1),"000"),"")</f>
        <v>BP092</v>
      </c>
      <c r="CG39" s="22" t="str">
        <f>IF(INDEX('Shot Map'!$B$6:$V$26,CEILING($A39/5,1),CEILING(CG$2/5,1))=1,INDEX('Serial Reference'!$A$8:$W$8,1,FLOOR(($A39-1)/23,1)+1)&amp;INDEX('Serial Reference'!$A$8:$W$8,1,MOD($A39-1,23)+1)&amp;TEXT(CG$2+FLOOR((CG$2-1)/9,1),"000"),"")</f>
        <v>BP093</v>
      </c>
      <c r="CH39" s="23" t="str">
        <f>IF(INDEX('Shot Map'!$B$6:$V$26,CEILING($A39/5,1),CEILING(CH$2/5,1))=1,INDEX('Serial Reference'!$A$8:$W$8,1,FLOOR(($A39-1)/23,1)+1)&amp;INDEX('Serial Reference'!$A$8:$W$8,1,MOD($A39-1,23)+1)&amp;TEXT(CH$2+FLOOR((CH$2-1)/9,1),"000"),"")</f>
        <v>BP094</v>
      </c>
      <c r="CI39" s="21" t="str">
        <f>IF(INDEX('Shot Map'!$B$6:$V$26,CEILING($A39/5,1),CEILING(CI$2/5,1))=1,INDEX('Serial Reference'!$A$8:$W$8,1,FLOOR(($A39-1)/23,1)+1)&amp;INDEX('Serial Reference'!$A$8:$W$8,1,MOD($A39-1,23)+1)&amp;TEXT(CI$2+FLOOR((CI$2-1)/9,1),"000"),"")</f>
        <v>BP095</v>
      </c>
      <c r="CJ39" s="22" t="str">
        <f>IF(INDEX('Shot Map'!$B$6:$V$26,CEILING($A39/5,1),CEILING(CJ$2/5,1))=1,INDEX('Serial Reference'!$A$8:$W$8,1,FLOOR(($A39-1)/23,1)+1)&amp;INDEX('Serial Reference'!$A$8:$W$8,1,MOD($A39-1,23)+1)&amp;TEXT(CJ$2+FLOOR((CJ$2-1)/9,1),"000"),"")</f>
        <v>BP096</v>
      </c>
      <c r="CK39" s="22" t="str">
        <f>IF(INDEX('Shot Map'!$B$6:$V$26,CEILING($A39/5,1),CEILING(CK$2/5,1))=1,INDEX('Serial Reference'!$A$8:$W$8,1,FLOOR(($A39-1)/23,1)+1)&amp;INDEX('Serial Reference'!$A$8:$W$8,1,MOD($A39-1,23)+1)&amp;TEXT(CK$2+FLOOR((CK$2-1)/9,1),"000"),"")</f>
        <v>BP097</v>
      </c>
      <c r="CL39" s="22" t="str">
        <f>IF(INDEX('Shot Map'!$B$6:$V$26,CEILING($A39/5,1),CEILING(CL$2/5,1))=1,INDEX('Serial Reference'!$A$8:$W$8,1,FLOOR(($A39-1)/23,1)+1)&amp;INDEX('Serial Reference'!$A$8:$W$8,1,MOD($A39-1,23)+1)&amp;TEXT(CL$2+FLOOR((CL$2-1)/9,1),"000"),"")</f>
        <v>BP098</v>
      </c>
      <c r="CM39" s="23" t="str">
        <f>IF(INDEX('Shot Map'!$B$6:$V$26,CEILING($A39/5,1),CEILING(CM$2/5,1))=1,INDEX('Serial Reference'!$A$8:$W$8,1,FLOOR(($A39-1)/23,1)+1)&amp;INDEX('Serial Reference'!$A$8:$W$8,1,MOD($A39-1,23)+1)&amp;TEXT(CM$2+FLOOR((CM$2-1)/9,1),"000"),"")</f>
        <v>BP099</v>
      </c>
      <c r="CN39" s="21" t="str">
        <f>IF(INDEX('Shot Map'!$B$6:$V$26,CEILING($A39/5,1),CEILING(CN$2/5,1))=1,INDEX('Serial Reference'!$A$8:$W$8,1,FLOOR(($A39-1)/23,1)+1)&amp;INDEX('Serial Reference'!$A$8:$W$8,1,MOD($A39-1,23)+1)&amp;TEXT(CN$2+FLOOR((CN$2-1)/9,1),"000"),"")</f>
        <v>BP101</v>
      </c>
      <c r="CO39" s="22" t="str">
        <f>IF(INDEX('Shot Map'!$B$6:$V$26,CEILING($A39/5,1),CEILING(CO$2/5,1))=1,INDEX('Serial Reference'!$A$8:$W$8,1,FLOOR(($A39-1)/23,1)+1)&amp;INDEX('Serial Reference'!$A$8:$W$8,1,MOD($A39-1,23)+1)&amp;TEXT(CO$2+FLOOR((CO$2-1)/9,1),"000"),"")</f>
        <v>BP102</v>
      </c>
      <c r="CP39" s="22" t="str">
        <f>IF(INDEX('Shot Map'!$B$6:$V$26,CEILING($A39/5,1),CEILING(CP$2/5,1))=1,INDEX('Serial Reference'!$A$8:$W$8,1,FLOOR(($A39-1)/23,1)+1)&amp;INDEX('Serial Reference'!$A$8:$W$8,1,MOD($A39-1,23)+1)&amp;TEXT(CP$2+FLOOR((CP$2-1)/9,1),"000"),"")</f>
        <v>BP103</v>
      </c>
      <c r="CQ39" s="22" t="str">
        <f>IF(INDEX('Shot Map'!$B$6:$V$26,CEILING($A39/5,1),CEILING(CQ$2/5,1))=1,INDEX('Serial Reference'!$A$8:$W$8,1,FLOOR(($A39-1)/23,1)+1)&amp;INDEX('Serial Reference'!$A$8:$W$8,1,MOD($A39-1,23)+1)&amp;TEXT(CQ$2+FLOOR((CQ$2-1)/9,1),"000"),"")</f>
        <v>BP104</v>
      </c>
      <c r="CR39" s="23" t="str">
        <f>IF(INDEX('Shot Map'!$B$6:$V$26,CEILING($A39/5,1),CEILING(CR$2/5,1))=1,INDEX('Serial Reference'!$A$8:$W$8,1,FLOOR(($A39-1)/23,1)+1)&amp;INDEX('Serial Reference'!$A$8:$W$8,1,MOD($A39-1,23)+1)&amp;TEXT(CR$2+FLOOR((CR$2-1)/9,1),"000"),"")</f>
        <v>BP105</v>
      </c>
      <c r="CS39" s="21" t="str">
        <f>IF(INDEX('Shot Map'!$B$6:$V$26,CEILING($A39/5,1),CEILING(CS$2/5,1))=1,INDEX('Serial Reference'!$A$8:$W$8,1,FLOOR(($A39-1)/23,1)+1)&amp;INDEX('Serial Reference'!$A$8:$W$8,1,MOD($A39-1,23)+1)&amp;TEXT(CS$2+FLOOR((CS$2-1)/9,1),"000"),"")</f>
        <v>BP106</v>
      </c>
      <c r="CT39" s="22" t="str">
        <f>IF(INDEX('Shot Map'!$B$6:$V$26,CEILING($A39/5,1),CEILING(CT$2/5,1))=1,INDEX('Serial Reference'!$A$8:$W$8,1,FLOOR(($A39-1)/23,1)+1)&amp;INDEX('Serial Reference'!$A$8:$W$8,1,MOD($A39-1,23)+1)&amp;TEXT(CT$2+FLOOR((CT$2-1)/9,1),"000"),"")</f>
        <v>BP107</v>
      </c>
      <c r="CU39" s="22" t="str">
        <f>IF(INDEX('Shot Map'!$B$6:$V$26,CEILING($A39/5,1),CEILING(CU$2/5,1))=1,INDEX('Serial Reference'!$A$8:$W$8,1,FLOOR(($A39-1)/23,1)+1)&amp;INDEX('Serial Reference'!$A$8:$W$8,1,MOD($A39-1,23)+1)&amp;TEXT(CU$2+FLOOR((CU$2-1)/9,1),"000"),"")</f>
        <v>BP108</v>
      </c>
      <c r="CV39" s="22" t="str">
        <f>IF(INDEX('Shot Map'!$B$6:$V$26,CEILING($A39/5,1),CEILING(CV$2/5,1))=1,INDEX('Serial Reference'!$A$8:$W$8,1,FLOOR(($A39-1)/23,1)+1)&amp;INDEX('Serial Reference'!$A$8:$W$8,1,MOD($A39-1,23)+1)&amp;TEXT(CV$2+FLOOR((CV$2-1)/9,1),"000"),"")</f>
        <v>BP109</v>
      </c>
      <c r="CW39" s="23" t="str">
        <f>IF(INDEX('Shot Map'!$B$6:$V$26,CEILING($A39/5,1),CEILING(CW$2/5,1))=1,INDEX('Serial Reference'!$A$8:$W$8,1,FLOOR(($A39-1)/23,1)+1)&amp;INDEX('Serial Reference'!$A$8:$W$8,1,MOD($A39-1,23)+1)&amp;TEXT(CW$2+FLOOR((CW$2-1)/9,1),"000"),"")</f>
        <v>BP111</v>
      </c>
      <c r="CX39" s="21" t="str">
        <f>IF(INDEX('Shot Map'!$B$6:$V$26,CEILING($A39/5,1),CEILING(CX$2/5,1))=1,INDEX('Serial Reference'!$A$8:$W$8,1,FLOOR(($A39-1)/23,1)+1)&amp;INDEX('Serial Reference'!$A$8:$W$8,1,MOD($A39-1,23)+1)&amp;TEXT(CX$2+FLOOR((CX$2-1)/9,1),"000"),"")</f>
        <v/>
      </c>
      <c r="CY39" s="22" t="str">
        <f>IF(INDEX('Shot Map'!$B$6:$V$26,CEILING($A39/5,1),CEILING(CY$2/5,1))=1,INDEX('Serial Reference'!$A$8:$W$8,1,FLOOR(($A39-1)/23,1)+1)&amp;INDEX('Serial Reference'!$A$8:$W$8,1,MOD($A39-1,23)+1)&amp;TEXT(CY$2+FLOOR((CY$2-1)/9,1),"000"),"")</f>
        <v/>
      </c>
      <c r="CZ39" s="22" t="str">
        <f>IF(INDEX('Shot Map'!$B$6:$V$26,CEILING($A39/5,1),CEILING(CZ$2/5,1))=1,INDEX('Serial Reference'!$A$8:$W$8,1,FLOOR(($A39-1)/23,1)+1)&amp;INDEX('Serial Reference'!$A$8:$W$8,1,MOD($A39-1,23)+1)&amp;TEXT(CZ$2+FLOOR((CZ$2-1)/9,1),"000"),"")</f>
        <v/>
      </c>
      <c r="DA39" s="22" t="str">
        <f>IF(INDEX('Shot Map'!$B$6:$V$26,CEILING($A39/5,1),CEILING(DA$2/5,1))=1,INDEX('Serial Reference'!$A$8:$W$8,1,FLOOR(($A39-1)/23,1)+1)&amp;INDEX('Serial Reference'!$A$8:$W$8,1,MOD($A39-1,23)+1)&amp;TEXT(DA$2+FLOOR((DA$2-1)/9,1),"000"),"")</f>
        <v/>
      </c>
      <c r="DB39" s="23" t="str">
        <f>IF(INDEX('Shot Map'!$B$6:$V$26,CEILING($A39/5,1),CEILING(DB$2/5,1))=1,INDEX('Serial Reference'!$A$8:$W$8,1,FLOOR(($A39-1)/23,1)+1)&amp;INDEX('Serial Reference'!$A$8:$W$8,1,MOD($A39-1,23)+1)&amp;TEXT(DB$2+FLOOR((DB$2-1)/9,1),"000"),"")</f>
        <v/>
      </c>
    </row>
    <row r="40" spans="1:106" ht="12.75" customHeight="1" x14ac:dyDescent="0.25">
      <c r="A40" s="17">
        <v>38</v>
      </c>
      <c r="B40" s="21" t="str">
        <f>IF(INDEX('Shot Map'!$B$6:$V$26,CEILING($A40/5,1),CEILING(B$2/5,1))=1,INDEX('Serial Reference'!$A$8:$W$8,1,FLOOR(($A40-1)/23,1)+1)&amp;INDEX('Serial Reference'!$A$8:$W$8,1,MOD($A40-1,23)+1)&amp;TEXT(B$2+FLOOR((B$2-1)/9,1),"000"),"")</f>
        <v/>
      </c>
      <c r="C40" s="22" t="str">
        <f>IF(INDEX('Shot Map'!$B$6:$V$26,CEILING($A40/5,1),CEILING(C$2/5,1))=1,INDEX('Serial Reference'!$A$8:$W$8,1,FLOOR(($A40-1)/23,1)+1)&amp;INDEX('Serial Reference'!$A$8:$W$8,1,MOD($A40-1,23)+1)&amp;TEXT(C$2+FLOOR((C$2-1)/9,1),"000"),"")</f>
        <v/>
      </c>
      <c r="D40" s="22" t="str">
        <f>IF(INDEX('Shot Map'!$B$6:$V$26,CEILING($A40/5,1),CEILING(D$2/5,1))=1,INDEX('Serial Reference'!$A$8:$W$8,1,FLOOR(($A40-1)/23,1)+1)&amp;INDEX('Serial Reference'!$A$8:$W$8,1,MOD($A40-1,23)+1)&amp;TEXT(D$2+FLOOR((D$2-1)/9,1),"000"),"")</f>
        <v/>
      </c>
      <c r="E40" s="22" t="str">
        <f>IF(INDEX('Shot Map'!$B$6:$V$26,CEILING($A40/5,1),CEILING(E$2/5,1))=1,INDEX('Serial Reference'!$A$8:$W$8,1,FLOOR(($A40-1)/23,1)+1)&amp;INDEX('Serial Reference'!$A$8:$W$8,1,MOD($A40-1,23)+1)&amp;TEXT(E$2+FLOOR((E$2-1)/9,1),"000"),"")</f>
        <v/>
      </c>
      <c r="F40" s="23" t="str">
        <f>IF(INDEX('Shot Map'!$B$6:$V$26,CEILING($A40/5,1),CEILING(F$2/5,1))=1,INDEX('Serial Reference'!$A$8:$W$8,1,FLOOR(($A40-1)/23,1)+1)&amp;INDEX('Serial Reference'!$A$8:$W$8,1,MOD($A40-1,23)+1)&amp;TEXT(F$2+FLOOR((F$2-1)/9,1),"000"),"")</f>
        <v/>
      </c>
      <c r="G40" s="21" t="str">
        <f>IF(INDEX('Shot Map'!$B$6:$V$26,CEILING($A40/5,1),CEILING(G$2/5,1))=1,INDEX('Serial Reference'!$A$8:$W$8,1,FLOOR(($A40-1)/23,1)+1)&amp;INDEX('Serial Reference'!$A$8:$W$8,1,MOD($A40-1,23)+1)&amp;TEXT(G$2+FLOOR((G$2-1)/9,1),"000"),"")</f>
        <v>BR006</v>
      </c>
      <c r="H40" s="22" t="str">
        <f>IF(INDEX('Shot Map'!$B$6:$V$26,CEILING($A40/5,1),CEILING(H$2/5,1))=1,INDEX('Serial Reference'!$A$8:$W$8,1,FLOOR(($A40-1)/23,1)+1)&amp;INDEX('Serial Reference'!$A$8:$W$8,1,MOD($A40-1,23)+1)&amp;TEXT(H$2+FLOOR((H$2-1)/9,1),"000"),"")</f>
        <v>BR007</v>
      </c>
      <c r="I40" s="22" t="str">
        <f>IF(INDEX('Shot Map'!$B$6:$V$26,CEILING($A40/5,1),CEILING(I$2/5,1))=1,INDEX('Serial Reference'!$A$8:$W$8,1,FLOOR(($A40-1)/23,1)+1)&amp;INDEX('Serial Reference'!$A$8:$W$8,1,MOD($A40-1,23)+1)&amp;TEXT(I$2+FLOOR((I$2-1)/9,1),"000"),"")</f>
        <v>BR008</v>
      </c>
      <c r="J40" s="22" t="str">
        <f>IF(INDEX('Shot Map'!$B$6:$V$26,CEILING($A40/5,1),CEILING(J$2/5,1))=1,INDEX('Serial Reference'!$A$8:$W$8,1,FLOOR(($A40-1)/23,1)+1)&amp;INDEX('Serial Reference'!$A$8:$W$8,1,MOD($A40-1,23)+1)&amp;TEXT(J$2+FLOOR((J$2-1)/9,1),"000"),"")</f>
        <v>BR009</v>
      </c>
      <c r="K40" s="23" t="str">
        <f>IF(INDEX('Shot Map'!$B$6:$V$26,CEILING($A40/5,1),CEILING(K$2/5,1))=1,INDEX('Serial Reference'!$A$8:$W$8,1,FLOOR(($A40-1)/23,1)+1)&amp;INDEX('Serial Reference'!$A$8:$W$8,1,MOD($A40-1,23)+1)&amp;TEXT(K$2+FLOOR((K$2-1)/9,1),"000"),"")</f>
        <v>BR011</v>
      </c>
      <c r="L40" s="21" t="str">
        <f>IF(INDEX('Shot Map'!$B$6:$V$26,CEILING($A40/5,1),CEILING(L$2/5,1))=1,INDEX('Serial Reference'!$A$8:$W$8,1,FLOOR(($A40-1)/23,1)+1)&amp;INDEX('Serial Reference'!$A$8:$W$8,1,MOD($A40-1,23)+1)&amp;TEXT(L$2+FLOOR((L$2-1)/9,1),"000"),"")</f>
        <v>BR012</v>
      </c>
      <c r="M40" s="22" t="str">
        <f>IF(INDEX('Shot Map'!$B$6:$V$26,CEILING($A40/5,1),CEILING(M$2/5,1))=1,INDEX('Serial Reference'!$A$8:$W$8,1,FLOOR(($A40-1)/23,1)+1)&amp;INDEX('Serial Reference'!$A$8:$W$8,1,MOD($A40-1,23)+1)&amp;TEXT(M$2+FLOOR((M$2-1)/9,1),"000"),"")</f>
        <v>BR013</v>
      </c>
      <c r="N40" s="22" t="str">
        <f>IF(INDEX('Shot Map'!$B$6:$V$26,CEILING($A40/5,1),CEILING(N$2/5,1))=1,INDEX('Serial Reference'!$A$8:$W$8,1,FLOOR(($A40-1)/23,1)+1)&amp;INDEX('Serial Reference'!$A$8:$W$8,1,MOD($A40-1,23)+1)&amp;TEXT(N$2+FLOOR((N$2-1)/9,1),"000"),"")</f>
        <v>BR014</v>
      </c>
      <c r="O40" s="22" t="str">
        <f>IF(INDEX('Shot Map'!$B$6:$V$26,CEILING($A40/5,1),CEILING(O$2/5,1))=1,INDEX('Serial Reference'!$A$8:$W$8,1,FLOOR(($A40-1)/23,1)+1)&amp;INDEX('Serial Reference'!$A$8:$W$8,1,MOD($A40-1,23)+1)&amp;TEXT(O$2+FLOOR((O$2-1)/9,1),"000"),"")</f>
        <v>BR015</v>
      </c>
      <c r="P40" s="23" t="str">
        <f>IF(INDEX('Shot Map'!$B$6:$V$26,CEILING($A40/5,1),CEILING(P$2/5,1))=1,INDEX('Serial Reference'!$A$8:$W$8,1,FLOOR(($A40-1)/23,1)+1)&amp;INDEX('Serial Reference'!$A$8:$W$8,1,MOD($A40-1,23)+1)&amp;TEXT(P$2+FLOOR((P$2-1)/9,1),"000"),"")</f>
        <v>BR016</v>
      </c>
      <c r="Q40" s="21" t="str">
        <f>IF(INDEX('Shot Map'!$B$6:$V$26,CEILING($A40/5,1),CEILING(Q$2/5,1))=1,INDEX('Serial Reference'!$A$8:$W$8,1,FLOOR(($A40-1)/23,1)+1)&amp;INDEX('Serial Reference'!$A$8:$W$8,1,MOD($A40-1,23)+1)&amp;TEXT(Q$2+FLOOR((Q$2-1)/9,1),"000"),"")</f>
        <v>BR017</v>
      </c>
      <c r="R40" s="22" t="str">
        <f>IF(INDEX('Shot Map'!$B$6:$V$26,CEILING($A40/5,1),CEILING(R$2/5,1))=1,INDEX('Serial Reference'!$A$8:$W$8,1,FLOOR(($A40-1)/23,1)+1)&amp;INDEX('Serial Reference'!$A$8:$W$8,1,MOD($A40-1,23)+1)&amp;TEXT(R$2+FLOOR((R$2-1)/9,1),"000"),"")</f>
        <v>BR018</v>
      </c>
      <c r="S40" s="22" t="str">
        <f>IF(INDEX('Shot Map'!$B$6:$V$26,CEILING($A40/5,1),CEILING(S$2/5,1))=1,INDEX('Serial Reference'!$A$8:$W$8,1,FLOOR(($A40-1)/23,1)+1)&amp;INDEX('Serial Reference'!$A$8:$W$8,1,MOD($A40-1,23)+1)&amp;TEXT(S$2+FLOOR((S$2-1)/9,1),"000"),"")</f>
        <v>BR019</v>
      </c>
      <c r="T40" s="22" t="str">
        <f>IF(INDEX('Shot Map'!$B$6:$V$26,CEILING($A40/5,1),CEILING(T$2/5,1))=1,INDEX('Serial Reference'!$A$8:$W$8,1,FLOOR(($A40-1)/23,1)+1)&amp;INDEX('Serial Reference'!$A$8:$W$8,1,MOD($A40-1,23)+1)&amp;TEXT(T$2+FLOOR((T$2-1)/9,1),"000"),"")</f>
        <v>BR021</v>
      </c>
      <c r="U40" s="23" t="str">
        <f>IF(INDEX('Shot Map'!$B$6:$V$26,CEILING($A40/5,1),CEILING(U$2/5,1))=1,INDEX('Serial Reference'!$A$8:$W$8,1,FLOOR(($A40-1)/23,1)+1)&amp;INDEX('Serial Reference'!$A$8:$W$8,1,MOD($A40-1,23)+1)&amp;TEXT(U$2+FLOOR((U$2-1)/9,1),"000"),"")</f>
        <v>BR022</v>
      </c>
      <c r="V40" s="21" t="str">
        <f>IF(INDEX('Shot Map'!$B$6:$V$26,CEILING($A40/5,1),CEILING(V$2/5,1))=1,INDEX('Serial Reference'!$A$8:$W$8,1,FLOOR(($A40-1)/23,1)+1)&amp;INDEX('Serial Reference'!$A$8:$W$8,1,MOD($A40-1,23)+1)&amp;TEXT(V$2+FLOOR((V$2-1)/9,1),"000"),"")</f>
        <v>BR023</v>
      </c>
      <c r="W40" s="22" t="str">
        <f>IF(INDEX('Shot Map'!$B$6:$V$26,CEILING($A40/5,1),CEILING(W$2/5,1))=1,INDEX('Serial Reference'!$A$8:$W$8,1,FLOOR(($A40-1)/23,1)+1)&amp;INDEX('Serial Reference'!$A$8:$W$8,1,MOD($A40-1,23)+1)&amp;TEXT(W$2+FLOOR((W$2-1)/9,1),"000"),"")</f>
        <v>BR024</v>
      </c>
      <c r="X40" s="22" t="str">
        <f>IF(INDEX('Shot Map'!$B$6:$V$26,CEILING($A40/5,1),CEILING(X$2/5,1))=1,INDEX('Serial Reference'!$A$8:$W$8,1,FLOOR(($A40-1)/23,1)+1)&amp;INDEX('Serial Reference'!$A$8:$W$8,1,MOD($A40-1,23)+1)&amp;TEXT(X$2+FLOOR((X$2-1)/9,1),"000"),"")</f>
        <v>BR025</v>
      </c>
      <c r="Y40" s="22" t="str">
        <f>IF(INDEX('Shot Map'!$B$6:$V$26,CEILING($A40/5,1),CEILING(Y$2/5,1))=1,INDEX('Serial Reference'!$A$8:$W$8,1,FLOOR(($A40-1)/23,1)+1)&amp;INDEX('Serial Reference'!$A$8:$W$8,1,MOD($A40-1,23)+1)&amp;TEXT(Y$2+FLOOR((Y$2-1)/9,1),"000"),"")</f>
        <v>BR026</v>
      </c>
      <c r="Z40" s="23" t="str">
        <f>IF(INDEX('Shot Map'!$B$6:$V$26,CEILING($A40/5,1),CEILING(Z$2/5,1))=1,INDEX('Serial Reference'!$A$8:$W$8,1,FLOOR(($A40-1)/23,1)+1)&amp;INDEX('Serial Reference'!$A$8:$W$8,1,MOD($A40-1,23)+1)&amp;TEXT(Z$2+FLOOR((Z$2-1)/9,1),"000"),"")</f>
        <v>BR027</v>
      </c>
      <c r="AA40" s="21" t="str">
        <f>IF(INDEX('Shot Map'!$B$6:$V$26,CEILING($A40/5,1),CEILING(AA$2/5,1))=1,INDEX('Serial Reference'!$A$8:$W$8,1,FLOOR(($A40-1)/23,1)+1)&amp;INDEX('Serial Reference'!$A$8:$W$8,1,MOD($A40-1,23)+1)&amp;TEXT(AA$2+FLOOR((AA$2-1)/9,1),"000"),"")</f>
        <v>BR028</v>
      </c>
      <c r="AB40" s="22" t="str">
        <f>IF(INDEX('Shot Map'!$B$6:$V$26,CEILING($A40/5,1),CEILING(AB$2/5,1))=1,INDEX('Serial Reference'!$A$8:$W$8,1,FLOOR(($A40-1)/23,1)+1)&amp;INDEX('Serial Reference'!$A$8:$W$8,1,MOD($A40-1,23)+1)&amp;TEXT(AB$2+FLOOR((AB$2-1)/9,1),"000"),"")</f>
        <v>BR029</v>
      </c>
      <c r="AC40" s="22" t="str">
        <f>IF(INDEX('Shot Map'!$B$6:$V$26,CEILING($A40/5,1),CEILING(AC$2/5,1))=1,INDEX('Serial Reference'!$A$8:$W$8,1,FLOOR(($A40-1)/23,1)+1)&amp;INDEX('Serial Reference'!$A$8:$W$8,1,MOD($A40-1,23)+1)&amp;TEXT(AC$2+FLOOR((AC$2-1)/9,1),"000"),"")</f>
        <v>BR031</v>
      </c>
      <c r="AD40" s="22" t="str">
        <f>IF(INDEX('Shot Map'!$B$6:$V$26,CEILING($A40/5,1),CEILING(AD$2/5,1))=1,INDEX('Serial Reference'!$A$8:$W$8,1,FLOOR(($A40-1)/23,1)+1)&amp;INDEX('Serial Reference'!$A$8:$W$8,1,MOD($A40-1,23)+1)&amp;TEXT(AD$2+FLOOR((AD$2-1)/9,1),"000"),"")</f>
        <v>BR032</v>
      </c>
      <c r="AE40" s="23" t="str">
        <f>IF(INDEX('Shot Map'!$B$6:$V$26,CEILING($A40/5,1),CEILING(AE$2/5,1))=1,INDEX('Serial Reference'!$A$8:$W$8,1,FLOOR(($A40-1)/23,1)+1)&amp;INDEX('Serial Reference'!$A$8:$W$8,1,MOD($A40-1,23)+1)&amp;TEXT(AE$2+FLOOR((AE$2-1)/9,1),"000"),"")</f>
        <v>BR033</v>
      </c>
      <c r="AF40" s="21" t="str">
        <f>IF(INDEX('Shot Map'!$B$6:$V$26,CEILING($A40/5,1),CEILING(AF$2/5,1))=1,INDEX('Serial Reference'!$A$8:$W$8,1,FLOOR(($A40-1)/23,1)+1)&amp;INDEX('Serial Reference'!$A$8:$W$8,1,MOD($A40-1,23)+1)&amp;TEXT(AF$2+FLOOR((AF$2-1)/9,1),"000"),"")</f>
        <v>BR034</v>
      </c>
      <c r="AG40" s="22" t="str">
        <f>IF(INDEX('Shot Map'!$B$6:$V$26,CEILING($A40/5,1),CEILING(AG$2/5,1))=1,INDEX('Serial Reference'!$A$8:$W$8,1,FLOOR(($A40-1)/23,1)+1)&amp;INDEX('Serial Reference'!$A$8:$W$8,1,MOD($A40-1,23)+1)&amp;TEXT(AG$2+FLOOR((AG$2-1)/9,1),"000"),"")</f>
        <v>BR035</v>
      </c>
      <c r="AH40" s="22" t="str">
        <f>IF(INDEX('Shot Map'!$B$6:$V$26,CEILING($A40/5,1),CEILING(AH$2/5,1))=1,INDEX('Serial Reference'!$A$8:$W$8,1,FLOOR(($A40-1)/23,1)+1)&amp;INDEX('Serial Reference'!$A$8:$W$8,1,MOD($A40-1,23)+1)&amp;TEXT(AH$2+FLOOR((AH$2-1)/9,1),"000"),"")</f>
        <v>BR036</v>
      </c>
      <c r="AI40" s="22" t="str">
        <f>IF(INDEX('Shot Map'!$B$6:$V$26,CEILING($A40/5,1),CEILING(AI$2/5,1))=1,INDEX('Serial Reference'!$A$8:$W$8,1,FLOOR(($A40-1)/23,1)+1)&amp;INDEX('Serial Reference'!$A$8:$W$8,1,MOD($A40-1,23)+1)&amp;TEXT(AI$2+FLOOR((AI$2-1)/9,1),"000"),"")</f>
        <v>BR037</v>
      </c>
      <c r="AJ40" s="23" t="str">
        <f>IF(INDEX('Shot Map'!$B$6:$V$26,CEILING($A40/5,1),CEILING(AJ$2/5,1))=1,INDEX('Serial Reference'!$A$8:$W$8,1,FLOOR(($A40-1)/23,1)+1)&amp;INDEX('Serial Reference'!$A$8:$W$8,1,MOD($A40-1,23)+1)&amp;TEXT(AJ$2+FLOOR((AJ$2-1)/9,1),"000"),"")</f>
        <v>BR038</v>
      </c>
      <c r="AK40" s="21" t="str">
        <f>IF(INDEX('Shot Map'!$B$6:$V$26,CEILING($A40/5,1),CEILING(AK$2/5,1))=1,INDEX('Serial Reference'!$A$8:$W$8,1,FLOOR(($A40-1)/23,1)+1)&amp;INDEX('Serial Reference'!$A$8:$W$8,1,MOD($A40-1,23)+1)&amp;TEXT(AK$2+FLOOR((AK$2-1)/9,1),"000"),"")</f>
        <v>BR039</v>
      </c>
      <c r="AL40" s="22" t="str">
        <f>IF(INDEX('Shot Map'!$B$6:$V$26,CEILING($A40/5,1),CEILING(AL$2/5,1))=1,INDEX('Serial Reference'!$A$8:$W$8,1,FLOOR(($A40-1)/23,1)+1)&amp;INDEX('Serial Reference'!$A$8:$W$8,1,MOD($A40-1,23)+1)&amp;TEXT(AL$2+FLOOR((AL$2-1)/9,1),"000"),"")</f>
        <v>BR041</v>
      </c>
      <c r="AM40" s="22" t="str">
        <f>IF(INDEX('Shot Map'!$B$6:$V$26,CEILING($A40/5,1),CEILING(AM$2/5,1))=1,INDEX('Serial Reference'!$A$8:$W$8,1,FLOOR(($A40-1)/23,1)+1)&amp;INDEX('Serial Reference'!$A$8:$W$8,1,MOD($A40-1,23)+1)&amp;TEXT(AM$2+FLOOR((AM$2-1)/9,1),"000"),"")</f>
        <v>BR042</v>
      </c>
      <c r="AN40" s="22" t="str">
        <f>IF(INDEX('Shot Map'!$B$6:$V$26,CEILING($A40/5,1),CEILING(AN$2/5,1))=1,INDEX('Serial Reference'!$A$8:$W$8,1,FLOOR(($A40-1)/23,1)+1)&amp;INDEX('Serial Reference'!$A$8:$W$8,1,MOD($A40-1,23)+1)&amp;TEXT(AN$2+FLOOR((AN$2-1)/9,1),"000"),"")</f>
        <v>BR043</v>
      </c>
      <c r="AO40" s="23" t="str">
        <f>IF(INDEX('Shot Map'!$B$6:$V$26,CEILING($A40/5,1),CEILING(AO$2/5,1))=1,INDEX('Serial Reference'!$A$8:$W$8,1,FLOOR(($A40-1)/23,1)+1)&amp;INDEX('Serial Reference'!$A$8:$W$8,1,MOD($A40-1,23)+1)&amp;TEXT(AO$2+FLOOR((AO$2-1)/9,1),"000"),"")</f>
        <v>BR044</v>
      </c>
      <c r="AP40" s="21" t="str">
        <f>IF(INDEX('Shot Map'!$B$6:$V$26,CEILING($A40/5,1),CEILING(AP$2/5,1))=1,INDEX('Serial Reference'!$A$8:$W$8,1,FLOOR(($A40-1)/23,1)+1)&amp;INDEX('Serial Reference'!$A$8:$W$8,1,MOD($A40-1,23)+1)&amp;TEXT(AP$2+FLOOR((AP$2-1)/9,1),"000"),"")</f>
        <v>BR045</v>
      </c>
      <c r="AQ40" s="22" t="str">
        <f>IF(INDEX('Shot Map'!$B$6:$V$26,CEILING($A40/5,1),CEILING(AQ$2/5,1))=1,INDEX('Serial Reference'!$A$8:$W$8,1,FLOOR(($A40-1)/23,1)+1)&amp;INDEX('Serial Reference'!$A$8:$W$8,1,MOD($A40-1,23)+1)&amp;TEXT(AQ$2+FLOOR((AQ$2-1)/9,1),"000"),"")</f>
        <v>BR046</v>
      </c>
      <c r="AR40" s="22" t="str">
        <f>IF(INDEX('Shot Map'!$B$6:$V$26,CEILING($A40/5,1),CEILING(AR$2/5,1))=1,INDEX('Serial Reference'!$A$8:$W$8,1,FLOOR(($A40-1)/23,1)+1)&amp;INDEX('Serial Reference'!$A$8:$W$8,1,MOD($A40-1,23)+1)&amp;TEXT(AR$2+FLOOR((AR$2-1)/9,1),"000"),"")</f>
        <v>BR047</v>
      </c>
      <c r="AS40" s="22" t="str">
        <f>IF(INDEX('Shot Map'!$B$6:$V$26,CEILING($A40/5,1),CEILING(AS$2/5,1))=1,INDEX('Serial Reference'!$A$8:$W$8,1,FLOOR(($A40-1)/23,1)+1)&amp;INDEX('Serial Reference'!$A$8:$W$8,1,MOD($A40-1,23)+1)&amp;TEXT(AS$2+FLOOR((AS$2-1)/9,1),"000"),"")</f>
        <v>BR048</v>
      </c>
      <c r="AT40" s="23" t="str">
        <f>IF(INDEX('Shot Map'!$B$6:$V$26,CEILING($A40/5,1),CEILING(AT$2/5,1))=1,INDEX('Serial Reference'!$A$8:$W$8,1,FLOOR(($A40-1)/23,1)+1)&amp;INDEX('Serial Reference'!$A$8:$W$8,1,MOD($A40-1,23)+1)&amp;TEXT(AT$2+FLOOR((AT$2-1)/9,1),"000"),"")</f>
        <v>BR049</v>
      </c>
      <c r="AU40" s="21" t="str">
        <f>IF(INDEX('Shot Map'!$B$6:$V$26,CEILING($A40/5,1),CEILING(AU$2/5,1))=1,INDEX('Serial Reference'!$A$8:$W$8,1,FLOOR(($A40-1)/23,1)+1)&amp;INDEX('Serial Reference'!$A$8:$W$8,1,MOD($A40-1,23)+1)&amp;TEXT(AU$2+FLOOR((AU$2-1)/9,1),"000"),"")</f>
        <v>BR051</v>
      </c>
      <c r="AV40" s="22" t="str">
        <f>IF(INDEX('Shot Map'!$B$6:$V$26,CEILING($A40/5,1),CEILING(AV$2/5,1))=1,INDEX('Serial Reference'!$A$8:$W$8,1,FLOOR(($A40-1)/23,1)+1)&amp;INDEX('Serial Reference'!$A$8:$W$8,1,MOD($A40-1,23)+1)&amp;TEXT(AV$2+FLOOR((AV$2-1)/9,1),"000"),"")</f>
        <v>BR052</v>
      </c>
      <c r="AW40" s="22" t="str">
        <f>IF(INDEX('Shot Map'!$B$6:$V$26,CEILING($A40/5,1),CEILING(AW$2/5,1))=1,INDEX('Serial Reference'!$A$8:$W$8,1,FLOOR(($A40-1)/23,1)+1)&amp;INDEX('Serial Reference'!$A$8:$W$8,1,MOD($A40-1,23)+1)&amp;TEXT(AW$2+FLOOR((AW$2-1)/9,1),"000"),"")</f>
        <v>BR053</v>
      </c>
      <c r="AX40" s="22" t="str">
        <f>IF(INDEX('Shot Map'!$B$6:$V$26,CEILING($A40/5,1),CEILING(AX$2/5,1))=1,INDEX('Serial Reference'!$A$8:$W$8,1,FLOOR(($A40-1)/23,1)+1)&amp;INDEX('Serial Reference'!$A$8:$W$8,1,MOD($A40-1,23)+1)&amp;TEXT(AX$2+FLOOR((AX$2-1)/9,1),"000"),"")</f>
        <v>BR054</v>
      </c>
      <c r="AY40" s="23" t="str">
        <f>IF(INDEX('Shot Map'!$B$6:$V$26,CEILING($A40/5,1),CEILING(AY$2/5,1))=1,INDEX('Serial Reference'!$A$8:$W$8,1,FLOOR(($A40-1)/23,1)+1)&amp;INDEX('Serial Reference'!$A$8:$W$8,1,MOD($A40-1,23)+1)&amp;TEXT(AY$2+FLOOR((AY$2-1)/9,1),"000"),"")</f>
        <v>BR055</v>
      </c>
      <c r="AZ40" s="21" t="str">
        <f>IF(INDEX('Shot Map'!$B$6:$V$26,CEILING($A40/5,1),CEILING(AZ$2/5,1))=1,INDEX('Serial Reference'!$A$8:$W$8,1,FLOOR(($A40-1)/23,1)+1)&amp;INDEX('Serial Reference'!$A$8:$W$8,1,MOD($A40-1,23)+1)&amp;TEXT(AZ$2+FLOOR((AZ$2-1)/9,1),"000"),"")</f>
        <v>BR056</v>
      </c>
      <c r="BA40" s="22" t="str">
        <f>IF(INDEX('Shot Map'!$B$6:$V$26,CEILING($A40/5,1),CEILING(BA$2/5,1))=1,INDEX('Serial Reference'!$A$8:$W$8,1,FLOOR(($A40-1)/23,1)+1)&amp;INDEX('Serial Reference'!$A$8:$W$8,1,MOD($A40-1,23)+1)&amp;TEXT(BA$2+FLOOR((BA$2-1)/9,1),"000"),"")</f>
        <v>BR057</v>
      </c>
      <c r="BB40" s="22" t="str">
        <f>IF(INDEX('Shot Map'!$B$6:$V$26,CEILING($A40/5,1),CEILING(BB$2/5,1))=1,INDEX('Serial Reference'!$A$8:$W$8,1,FLOOR(($A40-1)/23,1)+1)&amp;INDEX('Serial Reference'!$A$8:$W$8,1,MOD($A40-1,23)+1)&amp;TEXT(BB$2+FLOOR((BB$2-1)/9,1),"000"),"")</f>
        <v>BR058</v>
      </c>
      <c r="BC40" s="22" t="str">
        <f>IF(INDEX('Shot Map'!$B$6:$V$26,CEILING($A40/5,1),CEILING(BC$2/5,1))=1,INDEX('Serial Reference'!$A$8:$W$8,1,FLOOR(($A40-1)/23,1)+1)&amp;INDEX('Serial Reference'!$A$8:$W$8,1,MOD($A40-1,23)+1)&amp;TEXT(BC$2+FLOOR((BC$2-1)/9,1),"000"),"")</f>
        <v>BR059</v>
      </c>
      <c r="BD40" s="23" t="str">
        <f>IF(INDEX('Shot Map'!$B$6:$V$26,CEILING($A40/5,1),CEILING(BD$2/5,1))=1,INDEX('Serial Reference'!$A$8:$W$8,1,FLOOR(($A40-1)/23,1)+1)&amp;INDEX('Serial Reference'!$A$8:$W$8,1,MOD($A40-1,23)+1)&amp;TEXT(BD$2+FLOOR((BD$2-1)/9,1),"000"),"")</f>
        <v>BR061</v>
      </c>
      <c r="BE40" s="21" t="str">
        <f>IF(INDEX('Shot Map'!$B$6:$V$26,CEILING($A40/5,1),CEILING(BE$2/5,1))=1,INDEX('Serial Reference'!$A$8:$W$8,1,FLOOR(($A40-1)/23,1)+1)&amp;INDEX('Serial Reference'!$A$8:$W$8,1,MOD($A40-1,23)+1)&amp;TEXT(BE$2+FLOOR((BE$2-1)/9,1),"000"),"")</f>
        <v>BR062</v>
      </c>
      <c r="BF40" s="22" t="str">
        <f>IF(INDEX('Shot Map'!$B$6:$V$26,CEILING($A40/5,1),CEILING(BF$2/5,1))=1,INDEX('Serial Reference'!$A$8:$W$8,1,FLOOR(($A40-1)/23,1)+1)&amp;INDEX('Serial Reference'!$A$8:$W$8,1,MOD($A40-1,23)+1)&amp;TEXT(BF$2+FLOOR((BF$2-1)/9,1),"000"),"")</f>
        <v>BR063</v>
      </c>
      <c r="BG40" s="22" t="str">
        <f>IF(INDEX('Shot Map'!$B$6:$V$26,CEILING($A40/5,1),CEILING(BG$2/5,1))=1,INDEX('Serial Reference'!$A$8:$W$8,1,FLOOR(($A40-1)/23,1)+1)&amp;INDEX('Serial Reference'!$A$8:$W$8,1,MOD($A40-1,23)+1)&amp;TEXT(BG$2+FLOOR((BG$2-1)/9,1),"000"),"")</f>
        <v>BR064</v>
      </c>
      <c r="BH40" s="22" t="str">
        <f>IF(INDEX('Shot Map'!$B$6:$V$26,CEILING($A40/5,1),CEILING(BH$2/5,1))=1,INDEX('Serial Reference'!$A$8:$W$8,1,FLOOR(($A40-1)/23,1)+1)&amp;INDEX('Serial Reference'!$A$8:$W$8,1,MOD($A40-1,23)+1)&amp;TEXT(BH$2+FLOOR((BH$2-1)/9,1),"000"),"")</f>
        <v>BR065</v>
      </c>
      <c r="BI40" s="23" t="str">
        <f>IF(INDEX('Shot Map'!$B$6:$V$26,CEILING($A40/5,1),CEILING(BI$2/5,1))=1,INDEX('Serial Reference'!$A$8:$W$8,1,FLOOR(($A40-1)/23,1)+1)&amp;INDEX('Serial Reference'!$A$8:$W$8,1,MOD($A40-1,23)+1)&amp;TEXT(BI$2+FLOOR((BI$2-1)/9,1),"000"),"")</f>
        <v>BR066</v>
      </c>
      <c r="BJ40" s="21" t="str">
        <f>IF(INDEX('Shot Map'!$B$6:$V$26,CEILING($A40/5,1),CEILING(BJ$2/5,1))=1,INDEX('Serial Reference'!$A$8:$W$8,1,FLOOR(($A40-1)/23,1)+1)&amp;INDEX('Serial Reference'!$A$8:$W$8,1,MOD($A40-1,23)+1)&amp;TEXT(BJ$2+FLOOR((BJ$2-1)/9,1),"000"),"")</f>
        <v>BR067</v>
      </c>
      <c r="BK40" s="22" t="str">
        <f>IF(INDEX('Shot Map'!$B$6:$V$26,CEILING($A40/5,1),CEILING(BK$2/5,1))=1,INDEX('Serial Reference'!$A$8:$W$8,1,FLOOR(($A40-1)/23,1)+1)&amp;INDEX('Serial Reference'!$A$8:$W$8,1,MOD($A40-1,23)+1)&amp;TEXT(BK$2+FLOOR((BK$2-1)/9,1),"000"),"")</f>
        <v>BR068</v>
      </c>
      <c r="BL40" s="22" t="str">
        <f>IF(INDEX('Shot Map'!$B$6:$V$26,CEILING($A40/5,1),CEILING(BL$2/5,1))=1,INDEX('Serial Reference'!$A$8:$W$8,1,FLOOR(($A40-1)/23,1)+1)&amp;INDEX('Serial Reference'!$A$8:$W$8,1,MOD($A40-1,23)+1)&amp;TEXT(BL$2+FLOOR((BL$2-1)/9,1),"000"),"")</f>
        <v>BR069</v>
      </c>
      <c r="BM40" s="22" t="str">
        <f>IF(INDEX('Shot Map'!$B$6:$V$26,CEILING($A40/5,1),CEILING(BM$2/5,1))=1,INDEX('Serial Reference'!$A$8:$W$8,1,FLOOR(($A40-1)/23,1)+1)&amp;INDEX('Serial Reference'!$A$8:$W$8,1,MOD($A40-1,23)+1)&amp;TEXT(BM$2+FLOOR((BM$2-1)/9,1),"000"),"")</f>
        <v>BR071</v>
      </c>
      <c r="BN40" s="23" t="str">
        <f>IF(INDEX('Shot Map'!$B$6:$V$26,CEILING($A40/5,1),CEILING(BN$2/5,1))=1,INDEX('Serial Reference'!$A$8:$W$8,1,FLOOR(($A40-1)/23,1)+1)&amp;INDEX('Serial Reference'!$A$8:$W$8,1,MOD($A40-1,23)+1)&amp;TEXT(BN$2+FLOOR((BN$2-1)/9,1),"000"),"")</f>
        <v>BR072</v>
      </c>
      <c r="BO40" s="21" t="str">
        <f>IF(INDEX('Shot Map'!$B$6:$V$26,CEILING($A40/5,1),CEILING(BO$2/5,1))=1,INDEX('Serial Reference'!$A$8:$W$8,1,FLOOR(($A40-1)/23,1)+1)&amp;INDEX('Serial Reference'!$A$8:$W$8,1,MOD($A40-1,23)+1)&amp;TEXT(BO$2+FLOOR((BO$2-1)/9,1),"000"),"")</f>
        <v>BR073</v>
      </c>
      <c r="BP40" s="22" t="str">
        <f>IF(INDEX('Shot Map'!$B$6:$V$26,CEILING($A40/5,1),CEILING(BP$2/5,1))=1,INDEX('Serial Reference'!$A$8:$W$8,1,FLOOR(($A40-1)/23,1)+1)&amp;INDEX('Serial Reference'!$A$8:$W$8,1,MOD($A40-1,23)+1)&amp;TEXT(BP$2+FLOOR((BP$2-1)/9,1),"000"),"")</f>
        <v>BR074</v>
      </c>
      <c r="BQ40" s="22" t="str">
        <f>IF(INDEX('Shot Map'!$B$6:$V$26,CEILING($A40/5,1),CEILING(BQ$2/5,1))=1,INDEX('Serial Reference'!$A$8:$W$8,1,FLOOR(($A40-1)/23,1)+1)&amp;INDEX('Serial Reference'!$A$8:$W$8,1,MOD($A40-1,23)+1)&amp;TEXT(BQ$2+FLOOR((BQ$2-1)/9,1),"000"),"")</f>
        <v>BR075</v>
      </c>
      <c r="BR40" s="22" t="str">
        <f>IF(INDEX('Shot Map'!$B$6:$V$26,CEILING($A40/5,1),CEILING(BR$2/5,1))=1,INDEX('Serial Reference'!$A$8:$W$8,1,FLOOR(($A40-1)/23,1)+1)&amp;INDEX('Serial Reference'!$A$8:$W$8,1,MOD($A40-1,23)+1)&amp;TEXT(BR$2+FLOOR((BR$2-1)/9,1),"000"),"")</f>
        <v>BR076</v>
      </c>
      <c r="BS40" s="23" t="str">
        <f>IF(INDEX('Shot Map'!$B$6:$V$26,CEILING($A40/5,1),CEILING(BS$2/5,1))=1,INDEX('Serial Reference'!$A$8:$W$8,1,FLOOR(($A40-1)/23,1)+1)&amp;INDEX('Serial Reference'!$A$8:$W$8,1,MOD($A40-1,23)+1)&amp;TEXT(BS$2+FLOOR((BS$2-1)/9,1),"000"),"")</f>
        <v>BR077</v>
      </c>
      <c r="BT40" s="21" t="str">
        <f>IF(INDEX('Shot Map'!$B$6:$V$26,CEILING($A40/5,1),CEILING(BT$2/5,1))=1,INDEX('Serial Reference'!$A$8:$W$8,1,FLOOR(($A40-1)/23,1)+1)&amp;INDEX('Serial Reference'!$A$8:$W$8,1,MOD($A40-1,23)+1)&amp;TEXT(BT$2+FLOOR((BT$2-1)/9,1),"000"),"")</f>
        <v>BR078</v>
      </c>
      <c r="BU40" s="22" t="str">
        <f>IF(INDEX('Shot Map'!$B$6:$V$26,CEILING($A40/5,1),CEILING(BU$2/5,1))=1,INDEX('Serial Reference'!$A$8:$W$8,1,FLOOR(($A40-1)/23,1)+1)&amp;INDEX('Serial Reference'!$A$8:$W$8,1,MOD($A40-1,23)+1)&amp;TEXT(BU$2+FLOOR((BU$2-1)/9,1),"000"),"")</f>
        <v>BR079</v>
      </c>
      <c r="BV40" s="22" t="str">
        <f>IF(INDEX('Shot Map'!$B$6:$V$26,CEILING($A40/5,1),CEILING(BV$2/5,1))=1,INDEX('Serial Reference'!$A$8:$W$8,1,FLOOR(($A40-1)/23,1)+1)&amp;INDEX('Serial Reference'!$A$8:$W$8,1,MOD($A40-1,23)+1)&amp;TEXT(BV$2+FLOOR((BV$2-1)/9,1),"000"),"")</f>
        <v>BR081</v>
      </c>
      <c r="BW40" s="22" t="str">
        <f>IF(INDEX('Shot Map'!$B$6:$V$26,CEILING($A40/5,1),CEILING(BW$2/5,1))=1,INDEX('Serial Reference'!$A$8:$W$8,1,FLOOR(($A40-1)/23,1)+1)&amp;INDEX('Serial Reference'!$A$8:$W$8,1,MOD($A40-1,23)+1)&amp;TEXT(BW$2+FLOOR((BW$2-1)/9,1),"000"),"")</f>
        <v>BR082</v>
      </c>
      <c r="BX40" s="23" t="str">
        <f>IF(INDEX('Shot Map'!$B$6:$V$26,CEILING($A40/5,1),CEILING(BX$2/5,1))=1,INDEX('Serial Reference'!$A$8:$W$8,1,FLOOR(($A40-1)/23,1)+1)&amp;INDEX('Serial Reference'!$A$8:$W$8,1,MOD($A40-1,23)+1)&amp;TEXT(BX$2+FLOOR((BX$2-1)/9,1),"000"),"")</f>
        <v>BR083</v>
      </c>
      <c r="BY40" s="21" t="str">
        <f>IF(INDEX('Shot Map'!$B$6:$V$26,CEILING($A40/5,1),CEILING(BY$2/5,1))=1,INDEX('Serial Reference'!$A$8:$W$8,1,FLOOR(($A40-1)/23,1)+1)&amp;INDEX('Serial Reference'!$A$8:$W$8,1,MOD($A40-1,23)+1)&amp;TEXT(BY$2+FLOOR((BY$2-1)/9,1),"000"),"")</f>
        <v>BR084</v>
      </c>
      <c r="BZ40" s="22" t="str">
        <f>IF(INDEX('Shot Map'!$B$6:$V$26,CEILING($A40/5,1),CEILING(BZ$2/5,1))=1,INDEX('Serial Reference'!$A$8:$W$8,1,FLOOR(($A40-1)/23,1)+1)&amp;INDEX('Serial Reference'!$A$8:$W$8,1,MOD($A40-1,23)+1)&amp;TEXT(BZ$2+FLOOR((BZ$2-1)/9,1),"000"),"")</f>
        <v>BR085</v>
      </c>
      <c r="CA40" s="22" t="str">
        <f>IF(INDEX('Shot Map'!$B$6:$V$26,CEILING($A40/5,1),CEILING(CA$2/5,1))=1,INDEX('Serial Reference'!$A$8:$W$8,1,FLOOR(($A40-1)/23,1)+1)&amp;INDEX('Serial Reference'!$A$8:$W$8,1,MOD($A40-1,23)+1)&amp;TEXT(CA$2+FLOOR((CA$2-1)/9,1),"000"),"")</f>
        <v>BR086</v>
      </c>
      <c r="CB40" s="22" t="str">
        <f>IF(INDEX('Shot Map'!$B$6:$V$26,CEILING($A40/5,1),CEILING(CB$2/5,1))=1,INDEX('Serial Reference'!$A$8:$W$8,1,FLOOR(($A40-1)/23,1)+1)&amp;INDEX('Serial Reference'!$A$8:$W$8,1,MOD($A40-1,23)+1)&amp;TEXT(CB$2+FLOOR((CB$2-1)/9,1),"000"),"")</f>
        <v>BR087</v>
      </c>
      <c r="CC40" s="23" t="str">
        <f>IF(INDEX('Shot Map'!$B$6:$V$26,CEILING($A40/5,1),CEILING(CC$2/5,1))=1,INDEX('Serial Reference'!$A$8:$W$8,1,FLOOR(($A40-1)/23,1)+1)&amp;INDEX('Serial Reference'!$A$8:$W$8,1,MOD($A40-1,23)+1)&amp;TEXT(CC$2+FLOOR((CC$2-1)/9,1),"000"),"")</f>
        <v>BR088</v>
      </c>
      <c r="CD40" s="21" t="str">
        <f>IF(INDEX('Shot Map'!$B$6:$V$26,CEILING($A40/5,1),CEILING(CD$2/5,1))=1,INDEX('Serial Reference'!$A$8:$W$8,1,FLOOR(($A40-1)/23,1)+1)&amp;INDEX('Serial Reference'!$A$8:$W$8,1,MOD($A40-1,23)+1)&amp;TEXT(CD$2+FLOOR((CD$2-1)/9,1),"000"),"")</f>
        <v>BR089</v>
      </c>
      <c r="CE40" s="22" t="str">
        <f>IF(INDEX('Shot Map'!$B$6:$V$26,CEILING($A40/5,1),CEILING(CE$2/5,1))=1,INDEX('Serial Reference'!$A$8:$W$8,1,FLOOR(($A40-1)/23,1)+1)&amp;INDEX('Serial Reference'!$A$8:$W$8,1,MOD($A40-1,23)+1)&amp;TEXT(CE$2+FLOOR((CE$2-1)/9,1),"000"),"")</f>
        <v>BR091</v>
      </c>
      <c r="CF40" s="22" t="str">
        <f>IF(INDEX('Shot Map'!$B$6:$V$26,CEILING($A40/5,1),CEILING(CF$2/5,1))=1,INDEX('Serial Reference'!$A$8:$W$8,1,FLOOR(($A40-1)/23,1)+1)&amp;INDEX('Serial Reference'!$A$8:$W$8,1,MOD($A40-1,23)+1)&amp;TEXT(CF$2+FLOOR((CF$2-1)/9,1),"000"),"")</f>
        <v>BR092</v>
      </c>
      <c r="CG40" s="22" t="str">
        <f>IF(INDEX('Shot Map'!$B$6:$V$26,CEILING($A40/5,1),CEILING(CG$2/5,1))=1,INDEX('Serial Reference'!$A$8:$W$8,1,FLOOR(($A40-1)/23,1)+1)&amp;INDEX('Serial Reference'!$A$8:$W$8,1,MOD($A40-1,23)+1)&amp;TEXT(CG$2+FLOOR((CG$2-1)/9,1),"000"),"")</f>
        <v>BR093</v>
      </c>
      <c r="CH40" s="23" t="str">
        <f>IF(INDEX('Shot Map'!$B$6:$V$26,CEILING($A40/5,1),CEILING(CH$2/5,1))=1,INDEX('Serial Reference'!$A$8:$W$8,1,FLOOR(($A40-1)/23,1)+1)&amp;INDEX('Serial Reference'!$A$8:$W$8,1,MOD($A40-1,23)+1)&amp;TEXT(CH$2+FLOOR((CH$2-1)/9,1),"000"),"")</f>
        <v>BR094</v>
      </c>
      <c r="CI40" s="21" t="str">
        <f>IF(INDEX('Shot Map'!$B$6:$V$26,CEILING($A40/5,1),CEILING(CI$2/5,1))=1,INDEX('Serial Reference'!$A$8:$W$8,1,FLOOR(($A40-1)/23,1)+1)&amp;INDEX('Serial Reference'!$A$8:$W$8,1,MOD($A40-1,23)+1)&amp;TEXT(CI$2+FLOOR((CI$2-1)/9,1),"000"),"")</f>
        <v>BR095</v>
      </c>
      <c r="CJ40" s="22" t="str">
        <f>IF(INDEX('Shot Map'!$B$6:$V$26,CEILING($A40/5,1),CEILING(CJ$2/5,1))=1,INDEX('Serial Reference'!$A$8:$W$8,1,FLOOR(($A40-1)/23,1)+1)&amp;INDEX('Serial Reference'!$A$8:$W$8,1,MOD($A40-1,23)+1)&amp;TEXT(CJ$2+FLOOR((CJ$2-1)/9,1),"000"),"")</f>
        <v>BR096</v>
      </c>
      <c r="CK40" s="22" t="str">
        <f>IF(INDEX('Shot Map'!$B$6:$V$26,CEILING($A40/5,1),CEILING(CK$2/5,1))=1,INDEX('Serial Reference'!$A$8:$W$8,1,FLOOR(($A40-1)/23,1)+1)&amp;INDEX('Serial Reference'!$A$8:$W$8,1,MOD($A40-1,23)+1)&amp;TEXT(CK$2+FLOOR((CK$2-1)/9,1),"000"),"")</f>
        <v>BR097</v>
      </c>
      <c r="CL40" s="22" t="str">
        <f>IF(INDEX('Shot Map'!$B$6:$V$26,CEILING($A40/5,1),CEILING(CL$2/5,1))=1,INDEX('Serial Reference'!$A$8:$W$8,1,FLOOR(($A40-1)/23,1)+1)&amp;INDEX('Serial Reference'!$A$8:$W$8,1,MOD($A40-1,23)+1)&amp;TEXT(CL$2+FLOOR((CL$2-1)/9,1),"000"),"")</f>
        <v>BR098</v>
      </c>
      <c r="CM40" s="23" t="str">
        <f>IF(INDEX('Shot Map'!$B$6:$V$26,CEILING($A40/5,1),CEILING(CM$2/5,1))=1,INDEX('Serial Reference'!$A$8:$W$8,1,FLOOR(($A40-1)/23,1)+1)&amp;INDEX('Serial Reference'!$A$8:$W$8,1,MOD($A40-1,23)+1)&amp;TEXT(CM$2+FLOOR((CM$2-1)/9,1),"000"),"")</f>
        <v>BR099</v>
      </c>
      <c r="CN40" s="21" t="str">
        <f>IF(INDEX('Shot Map'!$B$6:$V$26,CEILING($A40/5,1),CEILING(CN$2/5,1))=1,INDEX('Serial Reference'!$A$8:$W$8,1,FLOOR(($A40-1)/23,1)+1)&amp;INDEX('Serial Reference'!$A$8:$W$8,1,MOD($A40-1,23)+1)&amp;TEXT(CN$2+FLOOR((CN$2-1)/9,1),"000"),"")</f>
        <v>BR101</v>
      </c>
      <c r="CO40" s="22" t="str">
        <f>IF(INDEX('Shot Map'!$B$6:$V$26,CEILING($A40/5,1),CEILING(CO$2/5,1))=1,INDEX('Serial Reference'!$A$8:$W$8,1,FLOOR(($A40-1)/23,1)+1)&amp;INDEX('Serial Reference'!$A$8:$W$8,1,MOD($A40-1,23)+1)&amp;TEXT(CO$2+FLOOR((CO$2-1)/9,1),"000"),"")</f>
        <v>BR102</v>
      </c>
      <c r="CP40" s="22" t="str">
        <f>IF(INDEX('Shot Map'!$B$6:$V$26,CEILING($A40/5,1),CEILING(CP$2/5,1))=1,INDEX('Serial Reference'!$A$8:$W$8,1,FLOOR(($A40-1)/23,1)+1)&amp;INDEX('Serial Reference'!$A$8:$W$8,1,MOD($A40-1,23)+1)&amp;TEXT(CP$2+FLOOR((CP$2-1)/9,1),"000"),"")</f>
        <v>BR103</v>
      </c>
      <c r="CQ40" s="22" t="str">
        <f>IF(INDEX('Shot Map'!$B$6:$V$26,CEILING($A40/5,1),CEILING(CQ$2/5,1))=1,INDEX('Serial Reference'!$A$8:$W$8,1,FLOOR(($A40-1)/23,1)+1)&amp;INDEX('Serial Reference'!$A$8:$W$8,1,MOD($A40-1,23)+1)&amp;TEXT(CQ$2+FLOOR((CQ$2-1)/9,1),"000"),"")</f>
        <v>BR104</v>
      </c>
      <c r="CR40" s="23" t="str">
        <f>IF(INDEX('Shot Map'!$B$6:$V$26,CEILING($A40/5,1),CEILING(CR$2/5,1))=1,INDEX('Serial Reference'!$A$8:$W$8,1,FLOOR(($A40-1)/23,1)+1)&amp;INDEX('Serial Reference'!$A$8:$W$8,1,MOD($A40-1,23)+1)&amp;TEXT(CR$2+FLOOR((CR$2-1)/9,1),"000"),"")</f>
        <v>BR105</v>
      </c>
      <c r="CS40" s="21" t="str">
        <f>IF(INDEX('Shot Map'!$B$6:$V$26,CEILING($A40/5,1),CEILING(CS$2/5,1))=1,INDEX('Serial Reference'!$A$8:$W$8,1,FLOOR(($A40-1)/23,1)+1)&amp;INDEX('Serial Reference'!$A$8:$W$8,1,MOD($A40-1,23)+1)&amp;TEXT(CS$2+FLOOR((CS$2-1)/9,1),"000"),"")</f>
        <v>BR106</v>
      </c>
      <c r="CT40" s="22" t="str">
        <f>IF(INDEX('Shot Map'!$B$6:$V$26,CEILING($A40/5,1),CEILING(CT$2/5,1))=1,INDEX('Serial Reference'!$A$8:$W$8,1,FLOOR(($A40-1)/23,1)+1)&amp;INDEX('Serial Reference'!$A$8:$W$8,1,MOD($A40-1,23)+1)&amp;TEXT(CT$2+FLOOR((CT$2-1)/9,1),"000"),"")</f>
        <v>BR107</v>
      </c>
      <c r="CU40" s="22" t="str">
        <f>IF(INDEX('Shot Map'!$B$6:$V$26,CEILING($A40/5,1),CEILING(CU$2/5,1))=1,INDEX('Serial Reference'!$A$8:$W$8,1,FLOOR(($A40-1)/23,1)+1)&amp;INDEX('Serial Reference'!$A$8:$W$8,1,MOD($A40-1,23)+1)&amp;TEXT(CU$2+FLOOR((CU$2-1)/9,1),"000"),"")</f>
        <v>BR108</v>
      </c>
      <c r="CV40" s="22" t="str">
        <f>IF(INDEX('Shot Map'!$B$6:$V$26,CEILING($A40/5,1),CEILING(CV$2/5,1))=1,INDEX('Serial Reference'!$A$8:$W$8,1,FLOOR(($A40-1)/23,1)+1)&amp;INDEX('Serial Reference'!$A$8:$W$8,1,MOD($A40-1,23)+1)&amp;TEXT(CV$2+FLOOR((CV$2-1)/9,1),"000"),"")</f>
        <v>BR109</v>
      </c>
      <c r="CW40" s="23" t="str">
        <f>IF(INDEX('Shot Map'!$B$6:$V$26,CEILING($A40/5,1),CEILING(CW$2/5,1))=1,INDEX('Serial Reference'!$A$8:$W$8,1,FLOOR(($A40-1)/23,1)+1)&amp;INDEX('Serial Reference'!$A$8:$W$8,1,MOD($A40-1,23)+1)&amp;TEXT(CW$2+FLOOR((CW$2-1)/9,1),"000"),"")</f>
        <v>BR111</v>
      </c>
      <c r="CX40" s="21" t="str">
        <f>IF(INDEX('Shot Map'!$B$6:$V$26,CEILING($A40/5,1),CEILING(CX$2/5,1))=1,INDEX('Serial Reference'!$A$8:$W$8,1,FLOOR(($A40-1)/23,1)+1)&amp;INDEX('Serial Reference'!$A$8:$W$8,1,MOD($A40-1,23)+1)&amp;TEXT(CX$2+FLOOR((CX$2-1)/9,1),"000"),"")</f>
        <v/>
      </c>
      <c r="CY40" s="22" t="str">
        <f>IF(INDEX('Shot Map'!$B$6:$V$26,CEILING($A40/5,1),CEILING(CY$2/5,1))=1,INDEX('Serial Reference'!$A$8:$W$8,1,FLOOR(($A40-1)/23,1)+1)&amp;INDEX('Serial Reference'!$A$8:$W$8,1,MOD($A40-1,23)+1)&amp;TEXT(CY$2+FLOOR((CY$2-1)/9,1),"000"),"")</f>
        <v/>
      </c>
      <c r="CZ40" s="22" t="str">
        <f>IF(INDEX('Shot Map'!$B$6:$V$26,CEILING($A40/5,1),CEILING(CZ$2/5,1))=1,INDEX('Serial Reference'!$A$8:$W$8,1,FLOOR(($A40-1)/23,1)+1)&amp;INDEX('Serial Reference'!$A$8:$W$8,1,MOD($A40-1,23)+1)&amp;TEXT(CZ$2+FLOOR((CZ$2-1)/9,1),"000"),"")</f>
        <v/>
      </c>
      <c r="DA40" s="22" t="str">
        <f>IF(INDEX('Shot Map'!$B$6:$V$26,CEILING($A40/5,1),CEILING(DA$2/5,1))=1,INDEX('Serial Reference'!$A$8:$W$8,1,FLOOR(($A40-1)/23,1)+1)&amp;INDEX('Serial Reference'!$A$8:$W$8,1,MOD($A40-1,23)+1)&amp;TEXT(DA$2+FLOOR((DA$2-1)/9,1),"000"),"")</f>
        <v/>
      </c>
      <c r="DB40" s="23" t="str">
        <f>IF(INDEX('Shot Map'!$B$6:$V$26,CEILING($A40/5,1),CEILING(DB$2/5,1))=1,INDEX('Serial Reference'!$A$8:$W$8,1,FLOOR(($A40-1)/23,1)+1)&amp;INDEX('Serial Reference'!$A$8:$W$8,1,MOD($A40-1,23)+1)&amp;TEXT(DB$2+FLOOR((DB$2-1)/9,1),"000"),"")</f>
        <v/>
      </c>
    </row>
    <row r="41" spans="1:106" ht="12.75" customHeight="1" x14ac:dyDescent="0.25">
      <c r="A41" s="17">
        <v>39</v>
      </c>
      <c r="B41" s="21" t="str">
        <f>IF(INDEX('Shot Map'!$B$6:$V$26,CEILING($A41/5,1),CEILING(B$2/5,1))=1,INDEX('Serial Reference'!$A$8:$W$8,1,FLOOR(($A41-1)/23,1)+1)&amp;INDEX('Serial Reference'!$A$8:$W$8,1,MOD($A41-1,23)+1)&amp;TEXT(B$2+FLOOR((B$2-1)/9,1),"000"),"")</f>
        <v/>
      </c>
      <c r="C41" s="22" t="str">
        <f>IF(INDEX('Shot Map'!$B$6:$V$26,CEILING($A41/5,1),CEILING(C$2/5,1))=1,INDEX('Serial Reference'!$A$8:$W$8,1,FLOOR(($A41-1)/23,1)+1)&amp;INDEX('Serial Reference'!$A$8:$W$8,1,MOD($A41-1,23)+1)&amp;TEXT(C$2+FLOOR((C$2-1)/9,1),"000"),"")</f>
        <v/>
      </c>
      <c r="D41" s="22" t="str">
        <f>IF(INDEX('Shot Map'!$B$6:$V$26,CEILING($A41/5,1),CEILING(D$2/5,1))=1,INDEX('Serial Reference'!$A$8:$W$8,1,FLOOR(($A41-1)/23,1)+1)&amp;INDEX('Serial Reference'!$A$8:$W$8,1,MOD($A41-1,23)+1)&amp;TEXT(D$2+FLOOR((D$2-1)/9,1),"000"),"")</f>
        <v/>
      </c>
      <c r="E41" s="22" t="str">
        <f>IF(INDEX('Shot Map'!$B$6:$V$26,CEILING($A41/5,1),CEILING(E$2/5,1))=1,INDEX('Serial Reference'!$A$8:$W$8,1,FLOOR(($A41-1)/23,1)+1)&amp;INDEX('Serial Reference'!$A$8:$W$8,1,MOD($A41-1,23)+1)&amp;TEXT(E$2+FLOOR((E$2-1)/9,1),"000"),"")</f>
        <v/>
      </c>
      <c r="F41" s="23" t="str">
        <f>IF(INDEX('Shot Map'!$B$6:$V$26,CEILING($A41/5,1),CEILING(F$2/5,1))=1,INDEX('Serial Reference'!$A$8:$W$8,1,FLOOR(($A41-1)/23,1)+1)&amp;INDEX('Serial Reference'!$A$8:$W$8,1,MOD($A41-1,23)+1)&amp;TEXT(F$2+FLOOR((F$2-1)/9,1),"000"),"")</f>
        <v/>
      </c>
      <c r="G41" s="21" t="str">
        <f>IF(INDEX('Shot Map'!$B$6:$V$26,CEILING($A41/5,1),CEILING(G$2/5,1))=1,INDEX('Serial Reference'!$A$8:$W$8,1,FLOOR(($A41-1)/23,1)+1)&amp;INDEX('Serial Reference'!$A$8:$W$8,1,MOD($A41-1,23)+1)&amp;TEXT(G$2+FLOOR((G$2-1)/9,1),"000"),"")</f>
        <v>BS006</v>
      </c>
      <c r="H41" s="22" t="str">
        <f>IF(INDEX('Shot Map'!$B$6:$V$26,CEILING($A41/5,1),CEILING(H$2/5,1))=1,INDEX('Serial Reference'!$A$8:$W$8,1,FLOOR(($A41-1)/23,1)+1)&amp;INDEX('Serial Reference'!$A$8:$W$8,1,MOD($A41-1,23)+1)&amp;TEXT(H$2+FLOOR((H$2-1)/9,1),"000"),"")</f>
        <v>BS007</v>
      </c>
      <c r="I41" s="22" t="str">
        <f>IF(INDEX('Shot Map'!$B$6:$V$26,CEILING($A41/5,1),CEILING(I$2/5,1))=1,INDEX('Serial Reference'!$A$8:$W$8,1,FLOOR(($A41-1)/23,1)+1)&amp;INDEX('Serial Reference'!$A$8:$W$8,1,MOD($A41-1,23)+1)&amp;TEXT(I$2+FLOOR((I$2-1)/9,1),"000"),"")</f>
        <v>BS008</v>
      </c>
      <c r="J41" s="22" t="str">
        <f>IF(INDEX('Shot Map'!$B$6:$V$26,CEILING($A41/5,1),CEILING(J$2/5,1))=1,INDEX('Serial Reference'!$A$8:$W$8,1,FLOOR(($A41-1)/23,1)+1)&amp;INDEX('Serial Reference'!$A$8:$W$8,1,MOD($A41-1,23)+1)&amp;TEXT(J$2+FLOOR((J$2-1)/9,1),"000"),"")</f>
        <v>BS009</v>
      </c>
      <c r="K41" s="23" t="str">
        <f>IF(INDEX('Shot Map'!$B$6:$V$26,CEILING($A41/5,1),CEILING(K$2/5,1))=1,INDEX('Serial Reference'!$A$8:$W$8,1,FLOOR(($A41-1)/23,1)+1)&amp;INDEX('Serial Reference'!$A$8:$W$8,1,MOD($A41-1,23)+1)&amp;TEXT(K$2+FLOOR((K$2-1)/9,1),"000"),"")</f>
        <v>BS011</v>
      </c>
      <c r="L41" s="21" t="str">
        <f>IF(INDEX('Shot Map'!$B$6:$V$26,CEILING($A41/5,1),CEILING(L$2/5,1))=1,INDEX('Serial Reference'!$A$8:$W$8,1,FLOOR(($A41-1)/23,1)+1)&amp;INDEX('Serial Reference'!$A$8:$W$8,1,MOD($A41-1,23)+1)&amp;TEXT(L$2+FLOOR((L$2-1)/9,1),"000"),"")</f>
        <v>BS012</v>
      </c>
      <c r="M41" s="22" t="str">
        <f>IF(INDEX('Shot Map'!$B$6:$V$26,CEILING($A41/5,1),CEILING(M$2/5,1))=1,INDEX('Serial Reference'!$A$8:$W$8,1,FLOOR(($A41-1)/23,1)+1)&amp;INDEX('Serial Reference'!$A$8:$W$8,1,MOD($A41-1,23)+1)&amp;TEXT(M$2+FLOOR((M$2-1)/9,1),"000"),"")</f>
        <v>BS013</v>
      </c>
      <c r="N41" s="22" t="str">
        <f>IF(INDEX('Shot Map'!$B$6:$V$26,CEILING($A41/5,1),CEILING(N$2/5,1))=1,INDEX('Serial Reference'!$A$8:$W$8,1,FLOOR(($A41-1)/23,1)+1)&amp;INDEX('Serial Reference'!$A$8:$W$8,1,MOD($A41-1,23)+1)&amp;TEXT(N$2+FLOOR((N$2-1)/9,1),"000"),"")</f>
        <v>BS014</v>
      </c>
      <c r="O41" s="22" t="str">
        <f>IF(INDEX('Shot Map'!$B$6:$V$26,CEILING($A41/5,1),CEILING(O$2/5,1))=1,INDEX('Serial Reference'!$A$8:$W$8,1,FLOOR(($A41-1)/23,1)+1)&amp;INDEX('Serial Reference'!$A$8:$W$8,1,MOD($A41-1,23)+1)&amp;TEXT(O$2+FLOOR((O$2-1)/9,1),"000"),"")</f>
        <v>BS015</v>
      </c>
      <c r="P41" s="23" t="str">
        <f>IF(INDEX('Shot Map'!$B$6:$V$26,CEILING($A41/5,1),CEILING(P$2/5,1))=1,INDEX('Serial Reference'!$A$8:$W$8,1,FLOOR(($A41-1)/23,1)+1)&amp;INDEX('Serial Reference'!$A$8:$W$8,1,MOD($A41-1,23)+1)&amp;TEXT(P$2+FLOOR((P$2-1)/9,1),"000"),"")</f>
        <v>BS016</v>
      </c>
      <c r="Q41" s="21" t="str">
        <f>IF(INDEX('Shot Map'!$B$6:$V$26,CEILING($A41/5,1),CEILING(Q$2/5,1))=1,INDEX('Serial Reference'!$A$8:$W$8,1,FLOOR(($A41-1)/23,1)+1)&amp;INDEX('Serial Reference'!$A$8:$W$8,1,MOD($A41-1,23)+1)&amp;TEXT(Q$2+FLOOR((Q$2-1)/9,1),"000"),"")</f>
        <v>BS017</v>
      </c>
      <c r="R41" s="22" t="str">
        <f>IF(INDEX('Shot Map'!$B$6:$V$26,CEILING($A41/5,1),CEILING(R$2/5,1))=1,INDEX('Serial Reference'!$A$8:$W$8,1,FLOOR(($A41-1)/23,1)+1)&amp;INDEX('Serial Reference'!$A$8:$W$8,1,MOD($A41-1,23)+1)&amp;TEXT(R$2+FLOOR((R$2-1)/9,1),"000"),"")</f>
        <v>BS018</v>
      </c>
      <c r="S41" s="22" t="str">
        <f>IF(INDEX('Shot Map'!$B$6:$V$26,CEILING($A41/5,1),CEILING(S$2/5,1))=1,INDEX('Serial Reference'!$A$8:$W$8,1,FLOOR(($A41-1)/23,1)+1)&amp;INDEX('Serial Reference'!$A$8:$W$8,1,MOD($A41-1,23)+1)&amp;TEXT(S$2+FLOOR((S$2-1)/9,1),"000"),"")</f>
        <v>BS019</v>
      </c>
      <c r="T41" s="22" t="str">
        <f>IF(INDEX('Shot Map'!$B$6:$V$26,CEILING($A41/5,1),CEILING(T$2/5,1))=1,INDEX('Serial Reference'!$A$8:$W$8,1,FLOOR(($A41-1)/23,1)+1)&amp;INDEX('Serial Reference'!$A$8:$W$8,1,MOD($A41-1,23)+1)&amp;TEXT(T$2+FLOOR((T$2-1)/9,1),"000"),"")</f>
        <v>BS021</v>
      </c>
      <c r="U41" s="23" t="str">
        <f>IF(INDEX('Shot Map'!$B$6:$V$26,CEILING($A41/5,1),CEILING(U$2/5,1))=1,INDEX('Serial Reference'!$A$8:$W$8,1,FLOOR(($A41-1)/23,1)+1)&amp;INDEX('Serial Reference'!$A$8:$W$8,1,MOD($A41-1,23)+1)&amp;TEXT(U$2+FLOOR((U$2-1)/9,1),"000"),"")</f>
        <v>BS022</v>
      </c>
      <c r="V41" s="21" t="str">
        <f>IF(INDEX('Shot Map'!$B$6:$V$26,CEILING($A41/5,1),CEILING(V$2/5,1))=1,INDEX('Serial Reference'!$A$8:$W$8,1,FLOOR(($A41-1)/23,1)+1)&amp;INDEX('Serial Reference'!$A$8:$W$8,1,MOD($A41-1,23)+1)&amp;TEXT(V$2+FLOOR((V$2-1)/9,1),"000"),"")</f>
        <v>BS023</v>
      </c>
      <c r="W41" s="22" t="str">
        <f>IF(INDEX('Shot Map'!$B$6:$V$26,CEILING($A41/5,1),CEILING(W$2/5,1))=1,INDEX('Serial Reference'!$A$8:$W$8,1,FLOOR(($A41-1)/23,1)+1)&amp;INDEX('Serial Reference'!$A$8:$W$8,1,MOD($A41-1,23)+1)&amp;TEXT(W$2+FLOOR((W$2-1)/9,1),"000"),"")</f>
        <v>BS024</v>
      </c>
      <c r="X41" s="22" t="str">
        <f>IF(INDEX('Shot Map'!$B$6:$V$26,CEILING($A41/5,1),CEILING(X$2/5,1))=1,INDEX('Serial Reference'!$A$8:$W$8,1,FLOOR(($A41-1)/23,1)+1)&amp;INDEX('Serial Reference'!$A$8:$W$8,1,MOD($A41-1,23)+1)&amp;TEXT(X$2+FLOOR((X$2-1)/9,1),"000"),"")</f>
        <v>BS025</v>
      </c>
      <c r="Y41" s="22" t="str">
        <f>IF(INDEX('Shot Map'!$B$6:$V$26,CEILING($A41/5,1),CEILING(Y$2/5,1))=1,INDEX('Serial Reference'!$A$8:$W$8,1,FLOOR(($A41-1)/23,1)+1)&amp;INDEX('Serial Reference'!$A$8:$W$8,1,MOD($A41-1,23)+1)&amp;TEXT(Y$2+FLOOR((Y$2-1)/9,1),"000"),"")</f>
        <v>BS026</v>
      </c>
      <c r="Z41" s="23" t="str">
        <f>IF(INDEX('Shot Map'!$B$6:$V$26,CEILING($A41/5,1),CEILING(Z$2/5,1))=1,INDEX('Serial Reference'!$A$8:$W$8,1,FLOOR(($A41-1)/23,1)+1)&amp;INDEX('Serial Reference'!$A$8:$W$8,1,MOD($A41-1,23)+1)&amp;TEXT(Z$2+FLOOR((Z$2-1)/9,1),"000"),"")</f>
        <v>BS027</v>
      </c>
      <c r="AA41" s="21" t="str">
        <f>IF(INDEX('Shot Map'!$B$6:$V$26,CEILING($A41/5,1),CEILING(AA$2/5,1))=1,INDEX('Serial Reference'!$A$8:$W$8,1,FLOOR(($A41-1)/23,1)+1)&amp;INDEX('Serial Reference'!$A$8:$W$8,1,MOD($A41-1,23)+1)&amp;TEXT(AA$2+FLOOR((AA$2-1)/9,1),"000"),"")</f>
        <v>BS028</v>
      </c>
      <c r="AB41" s="22" t="str">
        <f>IF(INDEX('Shot Map'!$B$6:$V$26,CEILING($A41/5,1),CEILING(AB$2/5,1))=1,INDEX('Serial Reference'!$A$8:$W$8,1,FLOOR(($A41-1)/23,1)+1)&amp;INDEX('Serial Reference'!$A$8:$W$8,1,MOD($A41-1,23)+1)&amp;TEXT(AB$2+FLOOR((AB$2-1)/9,1),"000"),"")</f>
        <v>BS029</v>
      </c>
      <c r="AC41" s="22" t="str">
        <f>IF(INDEX('Shot Map'!$B$6:$V$26,CEILING($A41/5,1),CEILING(AC$2/5,1))=1,INDEX('Serial Reference'!$A$8:$W$8,1,FLOOR(($A41-1)/23,1)+1)&amp;INDEX('Serial Reference'!$A$8:$W$8,1,MOD($A41-1,23)+1)&amp;TEXT(AC$2+FLOOR((AC$2-1)/9,1),"000"),"")</f>
        <v>BS031</v>
      </c>
      <c r="AD41" s="22" t="str">
        <f>IF(INDEX('Shot Map'!$B$6:$V$26,CEILING($A41/5,1),CEILING(AD$2/5,1))=1,INDEX('Serial Reference'!$A$8:$W$8,1,FLOOR(($A41-1)/23,1)+1)&amp;INDEX('Serial Reference'!$A$8:$W$8,1,MOD($A41-1,23)+1)&amp;TEXT(AD$2+FLOOR((AD$2-1)/9,1),"000"),"")</f>
        <v>BS032</v>
      </c>
      <c r="AE41" s="23" t="str">
        <f>IF(INDEX('Shot Map'!$B$6:$V$26,CEILING($A41/5,1),CEILING(AE$2/5,1))=1,INDEX('Serial Reference'!$A$8:$W$8,1,FLOOR(($A41-1)/23,1)+1)&amp;INDEX('Serial Reference'!$A$8:$W$8,1,MOD($A41-1,23)+1)&amp;TEXT(AE$2+FLOOR((AE$2-1)/9,1),"000"),"")</f>
        <v>BS033</v>
      </c>
      <c r="AF41" s="21" t="str">
        <f>IF(INDEX('Shot Map'!$B$6:$V$26,CEILING($A41/5,1),CEILING(AF$2/5,1))=1,INDEX('Serial Reference'!$A$8:$W$8,1,FLOOR(($A41-1)/23,1)+1)&amp;INDEX('Serial Reference'!$A$8:$W$8,1,MOD($A41-1,23)+1)&amp;TEXT(AF$2+FLOOR((AF$2-1)/9,1),"000"),"")</f>
        <v>BS034</v>
      </c>
      <c r="AG41" s="22" t="str">
        <f>IF(INDEX('Shot Map'!$B$6:$V$26,CEILING($A41/5,1),CEILING(AG$2/5,1))=1,INDEX('Serial Reference'!$A$8:$W$8,1,FLOOR(($A41-1)/23,1)+1)&amp;INDEX('Serial Reference'!$A$8:$W$8,1,MOD($A41-1,23)+1)&amp;TEXT(AG$2+FLOOR((AG$2-1)/9,1),"000"),"")</f>
        <v>BS035</v>
      </c>
      <c r="AH41" s="22" t="str">
        <f>IF(INDEX('Shot Map'!$B$6:$V$26,CEILING($A41/5,1),CEILING(AH$2/5,1))=1,INDEX('Serial Reference'!$A$8:$W$8,1,FLOOR(($A41-1)/23,1)+1)&amp;INDEX('Serial Reference'!$A$8:$W$8,1,MOD($A41-1,23)+1)&amp;TEXT(AH$2+FLOOR((AH$2-1)/9,1),"000"),"")</f>
        <v>BS036</v>
      </c>
      <c r="AI41" s="22" t="str">
        <f>IF(INDEX('Shot Map'!$B$6:$V$26,CEILING($A41/5,1),CEILING(AI$2/5,1))=1,INDEX('Serial Reference'!$A$8:$W$8,1,FLOOR(($A41-1)/23,1)+1)&amp;INDEX('Serial Reference'!$A$8:$W$8,1,MOD($A41-1,23)+1)&amp;TEXT(AI$2+FLOOR((AI$2-1)/9,1),"000"),"")</f>
        <v>BS037</v>
      </c>
      <c r="AJ41" s="23" t="str">
        <f>IF(INDEX('Shot Map'!$B$6:$V$26,CEILING($A41/5,1),CEILING(AJ$2/5,1))=1,INDEX('Serial Reference'!$A$8:$W$8,1,FLOOR(($A41-1)/23,1)+1)&amp;INDEX('Serial Reference'!$A$8:$W$8,1,MOD($A41-1,23)+1)&amp;TEXT(AJ$2+FLOOR((AJ$2-1)/9,1),"000"),"")</f>
        <v>BS038</v>
      </c>
      <c r="AK41" s="21" t="str">
        <f>IF(INDEX('Shot Map'!$B$6:$V$26,CEILING($A41/5,1),CEILING(AK$2/5,1))=1,INDEX('Serial Reference'!$A$8:$W$8,1,FLOOR(($A41-1)/23,1)+1)&amp;INDEX('Serial Reference'!$A$8:$W$8,1,MOD($A41-1,23)+1)&amp;TEXT(AK$2+FLOOR((AK$2-1)/9,1),"000"),"")</f>
        <v>BS039</v>
      </c>
      <c r="AL41" s="22" t="str">
        <f>IF(INDEX('Shot Map'!$B$6:$V$26,CEILING($A41/5,1),CEILING(AL$2/5,1))=1,INDEX('Serial Reference'!$A$8:$W$8,1,FLOOR(($A41-1)/23,1)+1)&amp;INDEX('Serial Reference'!$A$8:$W$8,1,MOD($A41-1,23)+1)&amp;TEXT(AL$2+FLOOR((AL$2-1)/9,1),"000"),"")</f>
        <v>BS041</v>
      </c>
      <c r="AM41" s="22" t="str">
        <f>IF(INDEX('Shot Map'!$B$6:$V$26,CEILING($A41/5,1),CEILING(AM$2/5,1))=1,INDEX('Serial Reference'!$A$8:$W$8,1,FLOOR(($A41-1)/23,1)+1)&amp;INDEX('Serial Reference'!$A$8:$W$8,1,MOD($A41-1,23)+1)&amp;TEXT(AM$2+FLOOR((AM$2-1)/9,1),"000"),"")</f>
        <v>BS042</v>
      </c>
      <c r="AN41" s="22" t="str">
        <f>IF(INDEX('Shot Map'!$B$6:$V$26,CEILING($A41/5,1),CEILING(AN$2/5,1))=1,INDEX('Serial Reference'!$A$8:$W$8,1,FLOOR(($A41-1)/23,1)+1)&amp;INDEX('Serial Reference'!$A$8:$W$8,1,MOD($A41-1,23)+1)&amp;TEXT(AN$2+FLOOR((AN$2-1)/9,1),"000"),"")</f>
        <v>BS043</v>
      </c>
      <c r="AO41" s="23" t="str">
        <f>IF(INDEX('Shot Map'!$B$6:$V$26,CEILING($A41/5,1),CEILING(AO$2/5,1))=1,INDEX('Serial Reference'!$A$8:$W$8,1,FLOOR(($A41-1)/23,1)+1)&amp;INDEX('Serial Reference'!$A$8:$W$8,1,MOD($A41-1,23)+1)&amp;TEXT(AO$2+FLOOR((AO$2-1)/9,1),"000"),"")</f>
        <v>BS044</v>
      </c>
      <c r="AP41" s="21" t="str">
        <f>IF(INDEX('Shot Map'!$B$6:$V$26,CEILING($A41/5,1),CEILING(AP$2/5,1))=1,INDEX('Serial Reference'!$A$8:$W$8,1,FLOOR(($A41-1)/23,1)+1)&amp;INDEX('Serial Reference'!$A$8:$W$8,1,MOD($A41-1,23)+1)&amp;TEXT(AP$2+FLOOR((AP$2-1)/9,1),"000"),"")</f>
        <v>BS045</v>
      </c>
      <c r="AQ41" s="22" t="str">
        <f>IF(INDEX('Shot Map'!$B$6:$V$26,CEILING($A41/5,1),CEILING(AQ$2/5,1))=1,INDEX('Serial Reference'!$A$8:$W$8,1,FLOOR(($A41-1)/23,1)+1)&amp;INDEX('Serial Reference'!$A$8:$W$8,1,MOD($A41-1,23)+1)&amp;TEXT(AQ$2+FLOOR((AQ$2-1)/9,1),"000"),"")</f>
        <v>BS046</v>
      </c>
      <c r="AR41" s="22" t="str">
        <f>IF(INDEX('Shot Map'!$B$6:$V$26,CEILING($A41/5,1),CEILING(AR$2/5,1))=1,INDEX('Serial Reference'!$A$8:$W$8,1,FLOOR(($A41-1)/23,1)+1)&amp;INDEX('Serial Reference'!$A$8:$W$8,1,MOD($A41-1,23)+1)&amp;TEXT(AR$2+FLOOR((AR$2-1)/9,1),"000"),"")</f>
        <v>BS047</v>
      </c>
      <c r="AS41" s="22" t="str">
        <f>IF(INDEX('Shot Map'!$B$6:$V$26,CEILING($A41/5,1),CEILING(AS$2/5,1))=1,INDEX('Serial Reference'!$A$8:$W$8,1,FLOOR(($A41-1)/23,1)+1)&amp;INDEX('Serial Reference'!$A$8:$W$8,1,MOD($A41-1,23)+1)&amp;TEXT(AS$2+FLOOR((AS$2-1)/9,1),"000"),"")</f>
        <v>BS048</v>
      </c>
      <c r="AT41" s="23" t="str">
        <f>IF(INDEX('Shot Map'!$B$6:$V$26,CEILING($A41/5,1),CEILING(AT$2/5,1))=1,INDEX('Serial Reference'!$A$8:$W$8,1,FLOOR(($A41-1)/23,1)+1)&amp;INDEX('Serial Reference'!$A$8:$W$8,1,MOD($A41-1,23)+1)&amp;TEXT(AT$2+FLOOR((AT$2-1)/9,1),"000"),"")</f>
        <v>BS049</v>
      </c>
      <c r="AU41" s="21" t="str">
        <f>IF(INDEX('Shot Map'!$B$6:$V$26,CEILING($A41/5,1),CEILING(AU$2/5,1))=1,INDEX('Serial Reference'!$A$8:$W$8,1,FLOOR(($A41-1)/23,1)+1)&amp;INDEX('Serial Reference'!$A$8:$W$8,1,MOD($A41-1,23)+1)&amp;TEXT(AU$2+FLOOR((AU$2-1)/9,1),"000"),"")</f>
        <v>BS051</v>
      </c>
      <c r="AV41" s="22" t="str">
        <f>IF(INDEX('Shot Map'!$B$6:$V$26,CEILING($A41/5,1),CEILING(AV$2/5,1))=1,INDEX('Serial Reference'!$A$8:$W$8,1,FLOOR(($A41-1)/23,1)+1)&amp;INDEX('Serial Reference'!$A$8:$W$8,1,MOD($A41-1,23)+1)&amp;TEXT(AV$2+FLOOR((AV$2-1)/9,1),"000"),"")</f>
        <v>BS052</v>
      </c>
      <c r="AW41" s="22" t="str">
        <f>IF(INDEX('Shot Map'!$B$6:$V$26,CEILING($A41/5,1),CEILING(AW$2/5,1))=1,INDEX('Serial Reference'!$A$8:$W$8,1,FLOOR(($A41-1)/23,1)+1)&amp;INDEX('Serial Reference'!$A$8:$W$8,1,MOD($A41-1,23)+1)&amp;TEXT(AW$2+FLOOR((AW$2-1)/9,1),"000"),"")</f>
        <v>BS053</v>
      </c>
      <c r="AX41" s="22" t="str">
        <f>IF(INDEX('Shot Map'!$B$6:$V$26,CEILING($A41/5,1),CEILING(AX$2/5,1))=1,INDEX('Serial Reference'!$A$8:$W$8,1,FLOOR(($A41-1)/23,1)+1)&amp;INDEX('Serial Reference'!$A$8:$W$8,1,MOD($A41-1,23)+1)&amp;TEXT(AX$2+FLOOR((AX$2-1)/9,1),"000"),"")</f>
        <v>BS054</v>
      </c>
      <c r="AY41" s="23" t="str">
        <f>IF(INDEX('Shot Map'!$B$6:$V$26,CEILING($A41/5,1),CEILING(AY$2/5,1))=1,INDEX('Serial Reference'!$A$8:$W$8,1,FLOOR(($A41-1)/23,1)+1)&amp;INDEX('Serial Reference'!$A$8:$W$8,1,MOD($A41-1,23)+1)&amp;TEXT(AY$2+FLOOR((AY$2-1)/9,1),"000"),"")</f>
        <v>BS055</v>
      </c>
      <c r="AZ41" s="21" t="str">
        <f>IF(INDEX('Shot Map'!$B$6:$V$26,CEILING($A41/5,1),CEILING(AZ$2/5,1))=1,INDEX('Serial Reference'!$A$8:$W$8,1,FLOOR(($A41-1)/23,1)+1)&amp;INDEX('Serial Reference'!$A$8:$W$8,1,MOD($A41-1,23)+1)&amp;TEXT(AZ$2+FLOOR((AZ$2-1)/9,1),"000"),"")</f>
        <v>BS056</v>
      </c>
      <c r="BA41" s="22" t="str">
        <f>IF(INDEX('Shot Map'!$B$6:$V$26,CEILING($A41/5,1),CEILING(BA$2/5,1))=1,INDEX('Serial Reference'!$A$8:$W$8,1,FLOOR(($A41-1)/23,1)+1)&amp;INDEX('Serial Reference'!$A$8:$W$8,1,MOD($A41-1,23)+1)&amp;TEXT(BA$2+FLOOR((BA$2-1)/9,1),"000"),"")</f>
        <v>BS057</v>
      </c>
      <c r="BB41" s="22" t="str">
        <f>IF(INDEX('Shot Map'!$B$6:$V$26,CEILING($A41/5,1),CEILING(BB$2/5,1))=1,INDEX('Serial Reference'!$A$8:$W$8,1,FLOOR(($A41-1)/23,1)+1)&amp;INDEX('Serial Reference'!$A$8:$W$8,1,MOD($A41-1,23)+1)&amp;TEXT(BB$2+FLOOR((BB$2-1)/9,1),"000"),"")</f>
        <v>BS058</v>
      </c>
      <c r="BC41" s="22" t="str">
        <f>IF(INDEX('Shot Map'!$B$6:$V$26,CEILING($A41/5,1),CEILING(BC$2/5,1))=1,INDEX('Serial Reference'!$A$8:$W$8,1,FLOOR(($A41-1)/23,1)+1)&amp;INDEX('Serial Reference'!$A$8:$W$8,1,MOD($A41-1,23)+1)&amp;TEXT(BC$2+FLOOR((BC$2-1)/9,1),"000"),"")</f>
        <v>BS059</v>
      </c>
      <c r="BD41" s="23" t="str">
        <f>IF(INDEX('Shot Map'!$B$6:$V$26,CEILING($A41/5,1),CEILING(BD$2/5,1))=1,INDEX('Serial Reference'!$A$8:$W$8,1,FLOOR(($A41-1)/23,1)+1)&amp;INDEX('Serial Reference'!$A$8:$W$8,1,MOD($A41-1,23)+1)&amp;TEXT(BD$2+FLOOR((BD$2-1)/9,1),"000"),"")</f>
        <v>BS061</v>
      </c>
      <c r="BE41" s="21" t="str">
        <f>IF(INDEX('Shot Map'!$B$6:$V$26,CEILING($A41/5,1),CEILING(BE$2/5,1))=1,INDEX('Serial Reference'!$A$8:$W$8,1,FLOOR(($A41-1)/23,1)+1)&amp;INDEX('Serial Reference'!$A$8:$W$8,1,MOD($A41-1,23)+1)&amp;TEXT(BE$2+FLOOR((BE$2-1)/9,1),"000"),"")</f>
        <v>BS062</v>
      </c>
      <c r="BF41" s="22" t="str">
        <f>IF(INDEX('Shot Map'!$B$6:$V$26,CEILING($A41/5,1),CEILING(BF$2/5,1))=1,INDEX('Serial Reference'!$A$8:$W$8,1,FLOOR(($A41-1)/23,1)+1)&amp;INDEX('Serial Reference'!$A$8:$W$8,1,MOD($A41-1,23)+1)&amp;TEXT(BF$2+FLOOR((BF$2-1)/9,1),"000"),"")</f>
        <v>BS063</v>
      </c>
      <c r="BG41" s="22" t="str">
        <f>IF(INDEX('Shot Map'!$B$6:$V$26,CEILING($A41/5,1),CEILING(BG$2/5,1))=1,INDEX('Serial Reference'!$A$8:$W$8,1,FLOOR(($A41-1)/23,1)+1)&amp;INDEX('Serial Reference'!$A$8:$W$8,1,MOD($A41-1,23)+1)&amp;TEXT(BG$2+FLOOR((BG$2-1)/9,1),"000"),"")</f>
        <v>BS064</v>
      </c>
      <c r="BH41" s="22" t="str">
        <f>IF(INDEX('Shot Map'!$B$6:$V$26,CEILING($A41/5,1),CEILING(BH$2/5,1))=1,INDEX('Serial Reference'!$A$8:$W$8,1,FLOOR(($A41-1)/23,1)+1)&amp;INDEX('Serial Reference'!$A$8:$W$8,1,MOD($A41-1,23)+1)&amp;TEXT(BH$2+FLOOR((BH$2-1)/9,1),"000"),"")</f>
        <v>BS065</v>
      </c>
      <c r="BI41" s="23" t="str">
        <f>IF(INDEX('Shot Map'!$B$6:$V$26,CEILING($A41/5,1),CEILING(BI$2/5,1))=1,INDEX('Serial Reference'!$A$8:$W$8,1,FLOOR(($A41-1)/23,1)+1)&amp;INDEX('Serial Reference'!$A$8:$W$8,1,MOD($A41-1,23)+1)&amp;TEXT(BI$2+FLOOR((BI$2-1)/9,1),"000"),"")</f>
        <v>BS066</v>
      </c>
      <c r="BJ41" s="21" t="str">
        <f>IF(INDEX('Shot Map'!$B$6:$V$26,CEILING($A41/5,1),CEILING(BJ$2/5,1))=1,INDEX('Serial Reference'!$A$8:$W$8,1,FLOOR(($A41-1)/23,1)+1)&amp;INDEX('Serial Reference'!$A$8:$W$8,1,MOD($A41-1,23)+1)&amp;TEXT(BJ$2+FLOOR((BJ$2-1)/9,1),"000"),"")</f>
        <v>BS067</v>
      </c>
      <c r="BK41" s="22" t="str">
        <f>IF(INDEX('Shot Map'!$B$6:$V$26,CEILING($A41/5,1),CEILING(BK$2/5,1))=1,INDEX('Serial Reference'!$A$8:$W$8,1,FLOOR(($A41-1)/23,1)+1)&amp;INDEX('Serial Reference'!$A$8:$W$8,1,MOD($A41-1,23)+1)&amp;TEXT(BK$2+FLOOR((BK$2-1)/9,1),"000"),"")</f>
        <v>BS068</v>
      </c>
      <c r="BL41" s="22" t="str">
        <f>IF(INDEX('Shot Map'!$B$6:$V$26,CEILING($A41/5,1),CEILING(BL$2/5,1))=1,INDEX('Serial Reference'!$A$8:$W$8,1,FLOOR(($A41-1)/23,1)+1)&amp;INDEX('Serial Reference'!$A$8:$W$8,1,MOD($A41-1,23)+1)&amp;TEXT(BL$2+FLOOR((BL$2-1)/9,1),"000"),"")</f>
        <v>BS069</v>
      </c>
      <c r="BM41" s="22" t="str">
        <f>IF(INDEX('Shot Map'!$B$6:$V$26,CEILING($A41/5,1),CEILING(BM$2/5,1))=1,INDEX('Serial Reference'!$A$8:$W$8,1,FLOOR(($A41-1)/23,1)+1)&amp;INDEX('Serial Reference'!$A$8:$W$8,1,MOD($A41-1,23)+1)&amp;TEXT(BM$2+FLOOR((BM$2-1)/9,1),"000"),"")</f>
        <v>BS071</v>
      </c>
      <c r="BN41" s="23" t="str">
        <f>IF(INDEX('Shot Map'!$B$6:$V$26,CEILING($A41/5,1),CEILING(BN$2/5,1))=1,INDEX('Serial Reference'!$A$8:$W$8,1,FLOOR(($A41-1)/23,1)+1)&amp;INDEX('Serial Reference'!$A$8:$W$8,1,MOD($A41-1,23)+1)&amp;TEXT(BN$2+FLOOR((BN$2-1)/9,1),"000"),"")</f>
        <v>BS072</v>
      </c>
      <c r="BO41" s="21" t="str">
        <f>IF(INDEX('Shot Map'!$B$6:$V$26,CEILING($A41/5,1),CEILING(BO$2/5,1))=1,INDEX('Serial Reference'!$A$8:$W$8,1,FLOOR(($A41-1)/23,1)+1)&amp;INDEX('Serial Reference'!$A$8:$W$8,1,MOD($A41-1,23)+1)&amp;TEXT(BO$2+FLOOR((BO$2-1)/9,1),"000"),"")</f>
        <v>BS073</v>
      </c>
      <c r="BP41" s="22" t="str">
        <f>IF(INDEX('Shot Map'!$B$6:$V$26,CEILING($A41/5,1),CEILING(BP$2/5,1))=1,INDEX('Serial Reference'!$A$8:$W$8,1,FLOOR(($A41-1)/23,1)+1)&amp;INDEX('Serial Reference'!$A$8:$W$8,1,MOD($A41-1,23)+1)&amp;TEXT(BP$2+FLOOR((BP$2-1)/9,1),"000"),"")</f>
        <v>BS074</v>
      </c>
      <c r="BQ41" s="22" t="str">
        <f>IF(INDEX('Shot Map'!$B$6:$V$26,CEILING($A41/5,1),CEILING(BQ$2/5,1))=1,INDEX('Serial Reference'!$A$8:$W$8,1,FLOOR(($A41-1)/23,1)+1)&amp;INDEX('Serial Reference'!$A$8:$W$8,1,MOD($A41-1,23)+1)&amp;TEXT(BQ$2+FLOOR((BQ$2-1)/9,1),"000"),"")</f>
        <v>BS075</v>
      </c>
      <c r="BR41" s="22" t="str">
        <f>IF(INDEX('Shot Map'!$B$6:$V$26,CEILING($A41/5,1),CEILING(BR$2/5,1))=1,INDEX('Serial Reference'!$A$8:$W$8,1,FLOOR(($A41-1)/23,1)+1)&amp;INDEX('Serial Reference'!$A$8:$W$8,1,MOD($A41-1,23)+1)&amp;TEXT(BR$2+FLOOR((BR$2-1)/9,1),"000"),"")</f>
        <v>BS076</v>
      </c>
      <c r="BS41" s="23" t="str">
        <f>IF(INDEX('Shot Map'!$B$6:$V$26,CEILING($A41/5,1),CEILING(BS$2/5,1))=1,INDEX('Serial Reference'!$A$8:$W$8,1,FLOOR(($A41-1)/23,1)+1)&amp;INDEX('Serial Reference'!$A$8:$W$8,1,MOD($A41-1,23)+1)&amp;TEXT(BS$2+FLOOR((BS$2-1)/9,1),"000"),"")</f>
        <v>BS077</v>
      </c>
      <c r="BT41" s="21" t="str">
        <f>IF(INDEX('Shot Map'!$B$6:$V$26,CEILING($A41/5,1),CEILING(BT$2/5,1))=1,INDEX('Serial Reference'!$A$8:$W$8,1,FLOOR(($A41-1)/23,1)+1)&amp;INDEX('Serial Reference'!$A$8:$W$8,1,MOD($A41-1,23)+1)&amp;TEXT(BT$2+FLOOR((BT$2-1)/9,1),"000"),"")</f>
        <v>BS078</v>
      </c>
      <c r="BU41" s="22" t="str">
        <f>IF(INDEX('Shot Map'!$B$6:$V$26,CEILING($A41/5,1),CEILING(BU$2/5,1))=1,INDEX('Serial Reference'!$A$8:$W$8,1,FLOOR(($A41-1)/23,1)+1)&amp;INDEX('Serial Reference'!$A$8:$W$8,1,MOD($A41-1,23)+1)&amp;TEXT(BU$2+FLOOR((BU$2-1)/9,1),"000"),"")</f>
        <v>BS079</v>
      </c>
      <c r="BV41" s="22" t="str">
        <f>IF(INDEX('Shot Map'!$B$6:$V$26,CEILING($A41/5,1),CEILING(BV$2/5,1))=1,INDEX('Serial Reference'!$A$8:$W$8,1,FLOOR(($A41-1)/23,1)+1)&amp;INDEX('Serial Reference'!$A$8:$W$8,1,MOD($A41-1,23)+1)&amp;TEXT(BV$2+FLOOR((BV$2-1)/9,1),"000"),"")</f>
        <v>BS081</v>
      </c>
      <c r="BW41" s="22" t="str">
        <f>IF(INDEX('Shot Map'!$B$6:$V$26,CEILING($A41/5,1),CEILING(BW$2/5,1))=1,INDEX('Serial Reference'!$A$8:$W$8,1,FLOOR(($A41-1)/23,1)+1)&amp;INDEX('Serial Reference'!$A$8:$W$8,1,MOD($A41-1,23)+1)&amp;TEXT(BW$2+FLOOR((BW$2-1)/9,1),"000"),"")</f>
        <v>BS082</v>
      </c>
      <c r="BX41" s="23" t="str">
        <f>IF(INDEX('Shot Map'!$B$6:$V$26,CEILING($A41/5,1),CEILING(BX$2/5,1))=1,INDEX('Serial Reference'!$A$8:$W$8,1,FLOOR(($A41-1)/23,1)+1)&amp;INDEX('Serial Reference'!$A$8:$W$8,1,MOD($A41-1,23)+1)&amp;TEXT(BX$2+FLOOR((BX$2-1)/9,1),"000"),"")</f>
        <v>BS083</v>
      </c>
      <c r="BY41" s="21" t="str">
        <f>IF(INDEX('Shot Map'!$B$6:$V$26,CEILING($A41/5,1),CEILING(BY$2/5,1))=1,INDEX('Serial Reference'!$A$8:$W$8,1,FLOOR(($A41-1)/23,1)+1)&amp;INDEX('Serial Reference'!$A$8:$W$8,1,MOD($A41-1,23)+1)&amp;TEXT(BY$2+FLOOR((BY$2-1)/9,1),"000"),"")</f>
        <v>BS084</v>
      </c>
      <c r="BZ41" s="22" t="str">
        <f>IF(INDEX('Shot Map'!$B$6:$V$26,CEILING($A41/5,1),CEILING(BZ$2/5,1))=1,INDEX('Serial Reference'!$A$8:$W$8,1,FLOOR(($A41-1)/23,1)+1)&amp;INDEX('Serial Reference'!$A$8:$W$8,1,MOD($A41-1,23)+1)&amp;TEXT(BZ$2+FLOOR((BZ$2-1)/9,1),"000"),"")</f>
        <v>BS085</v>
      </c>
      <c r="CA41" s="22" t="str">
        <f>IF(INDEX('Shot Map'!$B$6:$V$26,CEILING($A41/5,1),CEILING(CA$2/5,1))=1,INDEX('Serial Reference'!$A$8:$W$8,1,FLOOR(($A41-1)/23,1)+1)&amp;INDEX('Serial Reference'!$A$8:$W$8,1,MOD($A41-1,23)+1)&amp;TEXT(CA$2+FLOOR((CA$2-1)/9,1),"000"),"")</f>
        <v>BS086</v>
      </c>
      <c r="CB41" s="22" t="str">
        <f>IF(INDEX('Shot Map'!$B$6:$V$26,CEILING($A41/5,1),CEILING(CB$2/5,1))=1,INDEX('Serial Reference'!$A$8:$W$8,1,FLOOR(($A41-1)/23,1)+1)&amp;INDEX('Serial Reference'!$A$8:$W$8,1,MOD($A41-1,23)+1)&amp;TEXT(CB$2+FLOOR((CB$2-1)/9,1),"000"),"")</f>
        <v>BS087</v>
      </c>
      <c r="CC41" s="23" t="str">
        <f>IF(INDEX('Shot Map'!$B$6:$V$26,CEILING($A41/5,1),CEILING(CC$2/5,1))=1,INDEX('Serial Reference'!$A$8:$W$8,1,FLOOR(($A41-1)/23,1)+1)&amp;INDEX('Serial Reference'!$A$8:$W$8,1,MOD($A41-1,23)+1)&amp;TEXT(CC$2+FLOOR((CC$2-1)/9,1),"000"),"")</f>
        <v>BS088</v>
      </c>
      <c r="CD41" s="21" t="str">
        <f>IF(INDEX('Shot Map'!$B$6:$V$26,CEILING($A41/5,1),CEILING(CD$2/5,1))=1,INDEX('Serial Reference'!$A$8:$W$8,1,FLOOR(($A41-1)/23,1)+1)&amp;INDEX('Serial Reference'!$A$8:$W$8,1,MOD($A41-1,23)+1)&amp;TEXT(CD$2+FLOOR((CD$2-1)/9,1),"000"),"")</f>
        <v>BS089</v>
      </c>
      <c r="CE41" s="22" t="str">
        <f>IF(INDEX('Shot Map'!$B$6:$V$26,CEILING($A41/5,1),CEILING(CE$2/5,1))=1,INDEX('Serial Reference'!$A$8:$W$8,1,FLOOR(($A41-1)/23,1)+1)&amp;INDEX('Serial Reference'!$A$8:$W$8,1,MOD($A41-1,23)+1)&amp;TEXT(CE$2+FLOOR((CE$2-1)/9,1),"000"),"")</f>
        <v>BS091</v>
      </c>
      <c r="CF41" s="22" t="str">
        <f>IF(INDEX('Shot Map'!$B$6:$V$26,CEILING($A41/5,1),CEILING(CF$2/5,1))=1,INDEX('Serial Reference'!$A$8:$W$8,1,FLOOR(($A41-1)/23,1)+1)&amp;INDEX('Serial Reference'!$A$8:$W$8,1,MOD($A41-1,23)+1)&amp;TEXT(CF$2+FLOOR((CF$2-1)/9,1),"000"),"")</f>
        <v>BS092</v>
      </c>
      <c r="CG41" s="22" t="str">
        <f>IF(INDEX('Shot Map'!$B$6:$V$26,CEILING($A41/5,1),CEILING(CG$2/5,1))=1,INDEX('Serial Reference'!$A$8:$W$8,1,FLOOR(($A41-1)/23,1)+1)&amp;INDEX('Serial Reference'!$A$8:$W$8,1,MOD($A41-1,23)+1)&amp;TEXT(CG$2+FLOOR((CG$2-1)/9,1),"000"),"")</f>
        <v>BS093</v>
      </c>
      <c r="CH41" s="23" t="str">
        <f>IF(INDEX('Shot Map'!$B$6:$V$26,CEILING($A41/5,1),CEILING(CH$2/5,1))=1,INDEX('Serial Reference'!$A$8:$W$8,1,FLOOR(($A41-1)/23,1)+1)&amp;INDEX('Serial Reference'!$A$8:$W$8,1,MOD($A41-1,23)+1)&amp;TEXT(CH$2+FLOOR((CH$2-1)/9,1),"000"),"")</f>
        <v>BS094</v>
      </c>
      <c r="CI41" s="21" t="str">
        <f>IF(INDEX('Shot Map'!$B$6:$V$26,CEILING($A41/5,1),CEILING(CI$2/5,1))=1,INDEX('Serial Reference'!$A$8:$W$8,1,FLOOR(($A41-1)/23,1)+1)&amp;INDEX('Serial Reference'!$A$8:$W$8,1,MOD($A41-1,23)+1)&amp;TEXT(CI$2+FLOOR((CI$2-1)/9,1),"000"),"")</f>
        <v>BS095</v>
      </c>
      <c r="CJ41" s="22" t="str">
        <f>IF(INDEX('Shot Map'!$B$6:$V$26,CEILING($A41/5,1),CEILING(CJ$2/5,1))=1,INDEX('Serial Reference'!$A$8:$W$8,1,FLOOR(($A41-1)/23,1)+1)&amp;INDEX('Serial Reference'!$A$8:$W$8,1,MOD($A41-1,23)+1)&amp;TEXT(CJ$2+FLOOR((CJ$2-1)/9,1),"000"),"")</f>
        <v>BS096</v>
      </c>
      <c r="CK41" s="22" t="str">
        <f>IF(INDEX('Shot Map'!$B$6:$V$26,CEILING($A41/5,1),CEILING(CK$2/5,1))=1,INDEX('Serial Reference'!$A$8:$W$8,1,FLOOR(($A41-1)/23,1)+1)&amp;INDEX('Serial Reference'!$A$8:$W$8,1,MOD($A41-1,23)+1)&amp;TEXT(CK$2+FLOOR((CK$2-1)/9,1),"000"),"")</f>
        <v>BS097</v>
      </c>
      <c r="CL41" s="22" t="str">
        <f>IF(INDEX('Shot Map'!$B$6:$V$26,CEILING($A41/5,1),CEILING(CL$2/5,1))=1,INDEX('Serial Reference'!$A$8:$W$8,1,FLOOR(($A41-1)/23,1)+1)&amp;INDEX('Serial Reference'!$A$8:$W$8,1,MOD($A41-1,23)+1)&amp;TEXT(CL$2+FLOOR((CL$2-1)/9,1),"000"),"")</f>
        <v>BS098</v>
      </c>
      <c r="CM41" s="23" t="str">
        <f>IF(INDEX('Shot Map'!$B$6:$V$26,CEILING($A41/5,1),CEILING(CM$2/5,1))=1,INDEX('Serial Reference'!$A$8:$W$8,1,FLOOR(($A41-1)/23,1)+1)&amp;INDEX('Serial Reference'!$A$8:$W$8,1,MOD($A41-1,23)+1)&amp;TEXT(CM$2+FLOOR((CM$2-1)/9,1),"000"),"")</f>
        <v>BS099</v>
      </c>
      <c r="CN41" s="21" t="str">
        <f>IF(INDEX('Shot Map'!$B$6:$V$26,CEILING($A41/5,1),CEILING(CN$2/5,1))=1,INDEX('Serial Reference'!$A$8:$W$8,1,FLOOR(($A41-1)/23,1)+1)&amp;INDEX('Serial Reference'!$A$8:$W$8,1,MOD($A41-1,23)+1)&amp;TEXT(CN$2+FLOOR((CN$2-1)/9,1),"000"),"")</f>
        <v>BS101</v>
      </c>
      <c r="CO41" s="22" t="str">
        <f>IF(INDEX('Shot Map'!$B$6:$V$26,CEILING($A41/5,1),CEILING(CO$2/5,1))=1,INDEX('Serial Reference'!$A$8:$W$8,1,FLOOR(($A41-1)/23,1)+1)&amp;INDEX('Serial Reference'!$A$8:$W$8,1,MOD($A41-1,23)+1)&amp;TEXT(CO$2+FLOOR((CO$2-1)/9,1),"000"),"")</f>
        <v>BS102</v>
      </c>
      <c r="CP41" s="22" t="str">
        <f>IF(INDEX('Shot Map'!$B$6:$V$26,CEILING($A41/5,1),CEILING(CP$2/5,1))=1,INDEX('Serial Reference'!$A$8:$W$8,1,FLOOR(($A41-1)/23,1)+1)&amp;INDEX('Serial Reference'!$A$8:$W$8,1,MOD($A41-1,23)+1)&amp;TEXT(CP$2+FLOOR((CP$2-1)/9,1),"000"),"")</f>
        <v>BS103</v>
      </c>
      <c r="CQ41" s="22" t="str">
        <f>IF(INDEX('Shot Map'!$B$6:$V$26,CEILING($A41/5,1),CEILING(CQ$2/5,1))=1,INDEX('Serial Reference'!$A$8:$W$8,1,FLOOR(($A41-1)/23,1)+1)&amp;INDEX('Serial Reference'!$A$8:$W$8,1,MOD($A41-1,23)+1)&amp;TEXT(CQ$2+FLOOR((CQ$2-1)/9,1),"000"),"")</f>
        <v>BS104</v>
      </c>
      <c r="CR41" s="23" t="str">
        <f>IF(INDEX('Shot Map'!$B$6:$V$26,CEILING($A41/5,1),CEILING(CR$2/5,1))=1,INDEX('Serial Reference'!$A$8:$W$8,1,FLOOR(($A41-1)/23,1)+1)&amp;INDEX('Serial Reference'!$A$8:$W$8,1,MOD($A41-1,23)+1)&amp;TEXT(CR$2+FLOOR((CR$2-1)/9,1),"000"),"")</f>
        <v>BS105</v>
      </c>
      <c r="CS41" s="21" t="str">
        <f>IF(INDEX('Shot Map'!$B$6:$V$26,CEILING($A41/5,1),CEILING(CS$2/5,1))=1,INDEX('Serial Reference'!$A$8:$W$8,1,FLOOR(($A41-1)/23,1)+1)&amp;INDEX('Serial Reference'!$A$8:$W$8,1,MOD($A41-1,23)+1)&amp;TEXT(CS$2+FLOOR((CS$2-1)/9,1),"000"),"")</f>
        <v>BS106</v>
      </c>
      <c r="CT41" s="22" t="str">
        <f>IF(INDEX('Shot Map'!$B$6:$V$26,CEILING($A41/5,1),CEILING(CT$2/5,1))=1,INDEX('Serial Reference'!$A$8:$W$8,1,FLOOR(($A41-1)/23,1)+1)&amp;INDEX('Serial Reference'!$A$8:$W$8,1,MOD($A41-1,23)+1)&amp;TEXT(CT$2+FLOOR((CT$2-1)/9,1),"000"),"")</f>
        <v>BS107</v>
      </c>
      <c r="CU41" s="22" t="str">
        <f>IF(INDEX('Shot Map'!$B$6:$V$26,CEILING($A41/5,1),CEILING(CU$2/5,1))=1,INDEX('Serial Reference'!$A$8:$W$8,1,FLOOR(($A41-1)/23,1)+1)&amp;INDEX('Serial Reference'!$A$8:$W$8,1,MOD($A41-1,23)+1)&amp;TEXT(CU$2+FLOOR((CU$2-1)/9,1),"000"),"")</f>
        <v>BS108</v>
      </c>
      <c r="CV41" s="22" t="str">
        <f>IF(INDEX('Shot Map'!$B$6:$V$26,CEILING($A41/5,1),CEILING(CV$2/5,1))=1,INDEX('Serial Reference'!$A$8:$W$8,1,FLOOR(($A41-1)/23,1)+1)&amp;INDEX('Serial Reference'!$A$8:$W$8,1,MOD($A41-1,23)+1)&amp;TEXT(CV$2+FLOOR((CV$2-1)/9,1),"000"),"")</f>
        <v>BS109</v>
      </c>
      <c r="CW41" s="23" t="str">
        <f>IF(INDEX('Shot Map'!$B$6:$V$26,CEILING($A41/5,1),CEILING(CW$2/5,1))=1,INDEX('Serial Reference'!$A$8:$W$8,1,FLOOR(($A41-1)/23,1)+1)&amp;INDEX('Serial Reference'!$A$8:$W$8,1,MOD($A41-1,23)+1)&amp;TEXT(CW$2+FLOOR((CW$2-1)/9,1),"000"),"")</f>
        <v>BS111</v>
      </c>
      <c r="CX41" s="21" t="str">
        <f>IF(INDEX('Shot Map'!$B$6:$V$26,CEILING($A41/5,1),CEILING(CX$2/5,1))=1,INDEX('Serial Reference'!$A$8:$W$8,1,FLOOR(($A41-1)/23,1)+1)&amp;INDEX('Serial Reference'!$A$8:$W$8,1,MOD($A41-1,23)+1)&amp;TEXT(CX$2+FLOOR((CX$2-1)/9,1),"000"),"")</f>
        <v/>
      </c>
      <c r="CY41" s="22" t="str">
        <f>IF(INDEX('Shot Map'!$B$6:$V$26,CEILING($A41/5,1),CEILING(CY$2/5,1))=1,INDEX('Serial Reference'!$A$8:$W$8,1,FLOOR(($A41-1)/23,1)+1)&amp;INDEX('Serial Reference'!$A$8:$W$8,1,MOD($A41-1,23)+1)&amp;TEXT(CY$2+FLOOR((CY$2-1)/9,1),"000"),"")</f>
        <v/>
      </c>
      <c r="CZ41" s="22" t="str">
        <f>IF(INDEX('Shot Map'!$B$6:$V$26,CEILING($A41/5,1),CEILING(CZ$2/5,1))=1,INDEX('Serial Reference'!$A$8:$W$8,1,FLOOR(($A41-1)/23,1)+1)&amp;INDEX('Serial Reference'!$A$8:$W$8,1,MOD($A41-1,23)+1)&amp;TEXT(CZ$2+FLOOR((CZ$2-1)/9,1),"000"),"")</f>
        <v/>
      </c>
      <c r="DA41" s="22" t="str">
        <f>IF(INDEX('Shot Map'!$B$6:$V$26,CEILING($A41/5,1),CEILING(DA$2/5,1))=1,INDEX('Serial Reference'!$A$8:$W$8,1,FLOOR(($A41-1)/23,1)+1)&amp;INDEX('Serial Reference'!$A$8:$W$8,1,MOD($A41-1,23)+1)&amp;TEXT(DA$2+FLOOR((DA$2-1)/9,1),"000"),"")</f>
        <v/>
      </c>
      <c r="DB41" s="23" t="str">
        <f>IF(INDEX('Shot Map'!$B$6:$V$26,CEILING($A41/5,1),CEILING(DB$2/5,1))=1,INDEX('Serial Reference'!$A$8:$W$8,1,FLOOR(($A41-1)/23,1)+1)&amp;INDEX('Serial Reference'!$A$8:$W$8,1,MOD($A41-1,23)+1)&amp;TEXT(DB$2+FLOOR((DB$2-1)/9,1),"000"),"")</f>
        <v/>
      </c>
    </row>
    <row r="42" spans="1:106" ht="12.75" customHeight="1" x14ac:dyDescent="0.25">
      <c r="A42" s="17">
        <v>40</v>
      </c>
      <c r="B42" s="24" t="str">
        <f>IF(INDEX('Shot Map'!$B$6:$V$26,CEILING($A42/5,1),CEILING(B$2/5,1))=1,INDEX('Serial Reference'!$A$8:$W$8,1,FLOOR(($A42-1)/23,1)+1)&amp;INDEX('Serial Reference'!$A$8:$W$8,1,MOD($A42-1,23)+1)&amp;TEXT(B$2+FLOOR((B$2-1)/9,1),"000"),"")</f>
        <v/>
      </c>
      <c r="C42" s="25" t="str">
        <f>IF(INDEX('Shot Map'!$B$6:$V$26,CEILING($A42/5,1),CEILING(C$2/5,1))=1,INDEX('Serial Reference'!$A$8:$W$8,1,FLOOR(($A42-1)/23,1)+1)&amp;INDEX('Serial Reference'!$A$8:$W$8,1,MOD($A42-1,23)+1)&amp;TEXT(C$2+FLOOR((C$2-1)/9,1),"000"),"")</f>
        <v/>
      </c>
      <c r="D42" s="25" t="str">
        <f>IF(INDEX('Shot Map'!$B$6:$V$26,CEILING($A42/5,1),CEILING(D$2/5,1))=1,INDEX('Serial Reference'!$A$8:$W$8,1,FLOOR(($A42-1)/23,1)+1)&amp;INDEX('Serial Reference'!$A$8:$W$8,1,MOD($A42-1,23)+1)&amp;TEXT(D$2+FLOOR((D$2-1)/9,1),"000"),"")</f>
        <v/>
      </c>
      <c r="E42" s="25" t="str">
        <f>IF(INDEX('Shot Map'!$B$6:$V$26,CEILING($A42/5,1),CEILING(E$2/5,1))=1,INDEX('Serial Reference'!$A$8:$W$8,1,FLOOR(($A42-1)/23,1)+1)&amp;INDEX('Serial Reference'!$A$8:$W$8,1,MOD($A42-1,23)+1)&amp;TEXT(E$2+FLOOR((E$2-1)/9,1),"000"),"")</f>
        <v/>
      </c>
      <c r="F42" s="26" t="str">
        <f>IF(INDEX('Shot Map'!$B$6:$V$26,CEILING($A42/5,1),CEILING(F$2/5,1))=1,INDEX('Serial Reference'!$A$8:$W$8,1,FLOOR(($A42-1)/23,1)+1)&amp;INDEX('Serial Reference'!$A$8:$W$8,1,MOD($A42-1,23)+1)&amp;TEXT(F$2+FLOOR((F$2-1)/9,1),"000"),"")</f>
        <v/>
      </c>
      <c r="G42" s="24" t="str">
        <f>IF(INDEX('Shot Map'!$B$6:$V$26,CEILING($A42/5,1),CEILING(G$2/5,1))=1,INDEX('Serial Reference'!$A$8:$W$8,1,FLOOR(($A42-1)/23,1)+1)&amp;INDEX('Serial Reference'!$A$8:$W$8,1,MOD($A42-1,23)+1)&amp;TEXT(G$2+FLOOR((G$2-1)/9,1),"000"),"")</f>
        <v>BT006</v>
      </c>
      <c r="H42" s="25" t="str">
        <f>IF(INDEX('Shot Map'!$B$6:$V$26,CEILING($A42/5,1),CEILING(H$2/5,1))=1,INDEX('Serial Reference'!$A$8:$W$8,1,FLOOR(($A42-1)/23,1)+1)&amp;INDEX('Serial Reference'!$A$8:$W$8,1,MOD($A42-1,23)+1)&amp;TEXT(H$2+FLOOR((H$2-1)/9,1),"000"),"")</f>
        <v>BT007</v>
      </c>
      <c r="I42" s="25" t="str">
        <f>IF(INDEX('Shot Map'!$B$6:$V$26,CEILING($A42/5,1),CEILING(I$2/5,1))=1,INDEX('Serial Reference'!$A$8:$W$8,1,FLOOR(($A42-1)/23,1)+1)&amp;INDEX('Serial Reference'!$A$8:$W$8,1,MOD($A42-1,23)+1)&amp;TEXT(I$2+FLOOR((I$2-1)/9,1),"000"),"")</f>
        <v>BT008</v>
      </c>
      <c r="J42" s="25" t="str">
        <f>IF(INDEX('Shot Map'!$B$6:$V$26,CEILING($A42/5,1),CEILING(J$2/5,1))=1,INDEX('Serial Reference'!$A$8:$W$8,1,FLOOR(($A42-1)/23,1)+1)&amp;INDEX('Serial Reference'!$A$8:$W$8,1,MOD($A42-1,23)+1)&amp;TEXT(J$2+FLOOR((J$2-1)/9,1),"000"),"")</f>
        <v>BT009</v>
      </c>
      <c r="K42" s="26" t="str">
        <f>IF(INDEX('Shot Map'!$B$6:$V$26,CEILING($A42/5,1),CEILING(K$2/5,1))=1,INDEX('Serial Reference'!$A$8:$W$8,1,FLOOR(($A42-1)/23,1)+1)&amp;INDEX('Serial Reference'!$A$8:$W$8,1,MOD($A42-1,23)+1)&amp;TEXT(K$2+FLOOR((K$2-1)/9,1),"000"),"")</f>
        <v>BT011</v>
      </c>
      <c r="L42" s="24" t="str">
        <f>IF(INDEX('Shot Map'!$B$6:$V$26,CEILING($A42/5,1),CEILING(L$2/5,1))=1,INDEX('Serial Reference'!$A$8:$W$8,1,FLOOR(($A42-1)/23,1)+1)&amp;INDEX('Serial Reference'!$A$8:$W$8,1,MOD($A42-1,23)+1)&amp;TEXT(L$2+FLOOR((L$2-1)/9,1),"000"),"")</f>
        <v>BT012</v>
      </c>
      <c r="M42" s="25" t="str">
        <f>IF(INDEX('Shot Map'!$B$6:$V$26,CEILING($A42/5,1),CEILING(M$2/5,1))=1,INDEX('Serial Reference'!$A$8:$W$8,1,FLOOR(($A42-1)/23,1)+1)&amp;INDEX('Serial Reference'!$A$8:$W$8,1,MOD($A42-1,23)+1)&amp;TEXT(M$2+FLOOR((M$2-1)/9,1),"000"),"")</f>
        <v>BT013</v>
      </c>
      <c r="N42" s="25" t="str">
        <f>IF(INDEX('Shot Map'!$B$6:$V$26,CEILING($A42/5,1),CEILING(N$2/5,1))=1,INDEX('Serial Reference'!$A$8:$W$8,1,FLOOR(($A42-1)/23,1)+1)&amp;INDEX('Serial Reference'!$A$8:$W$8,1,MOD($A42-1,23)+1)&amp;TEXT(N$2+FLOOR((N$2-1)/9,1),"000"),"")</f>
        <v>BT014</v>
      </c>
      <c r="O42" s="25" t="str">
        <f>IF(INDEX('Shot Map'!$B$6:$V$26,CEILING($A42/5,1),CEILING(O$2/5,1))=1,INDEX('Serial Reference'!$A$8:$W$8,1,FLOOR(($A42-1)/23,1)+1)&amp;INDEX('Serial Reference'!$A$8:$W$8,1,MOD($A42-1,23)+1)&amp;TEXT(O$2+FLOOR((O$2-1)/9,1),"000"),"")</f>
        <v>BT015</v>
      </c>
      <c r="P42" s="26" t="str">
        <f>IF(INDEX('Shot Map'!$B$6:$V$26,CEILING($A42/5,1),CEILING(P$2/5,1))=1,INDEX('Serial Reference'!$A$8:$W$8,1,FLOOR(($A42-1)/23,1)+1)&amp;INDEX('Serial Reference'!$A$8:$W$8,1,MOD($A42-1,23)+1)&amp;TEXT(P$2+FLOOR((P$2-1)/9,1),"000"),"")</f>
        <v>BT016</v>
      </c>
      <c r="Q42" s="24" t="str">
        <f>IF(INDEX('Shot Map'!$B$6:$V$26,CEILING($A42/5,1),CEILING(Q$2/5,1))=1,INDEX('Serial Reference'!$A$8:$W$8,1,FLOOR(($A42-1)/23,1)+1)&amp;INDEX('Serial Reference'!$A$8:$W$8,1,MOD($A42-1,23)+1)&amp;TEXT(Q$2+FLOOR((Q$2-1)/9,1),"000"),"")</f>
        <v>BT017</v>
      </c>
      <c r="R42" s="25" t="str">
        <f>IF(INDEX('Shot Map'!$B$6:$V$26,CEILING($A42/5,1),CEILING(R$2/5,1))=1,INDEX('Serial Reference'!$A$8:$W$8,1,FLOOR(($A42-1)/23,1)+1)&amp;INDEX('Serial Reference'!$A$8:$W$8,1,MOD($A42-1,23)+1)&amp;TEXT(R$2+FLOOR((R$2-1)/9,1),"000"),"")</f>
        <v>BT018</v>
      </c>
      <c r="S42" s="25" t="str">
        <f>IF(INDEX('Shot Map'!$B$6:$V$26,CEILING($A42/5,1),CEILING(S$2/5,1))=1,INDEX('Serial Reference'!$A$8:$W$8,1,FLOOR(($A42-1)/23,1)+1)&amp;INDEX('Serial Reference'!$A$8:$W$8,1,MOD($A42-1,23)+1)&amp;TEXT(S$2+FLOOR((S$2-1)/9,1),"000"),"")</f>
        <v>BT019</v>
      </c>
      <c r="T42" s="25" t="str">
        <f>IF(INDEX('Shot Map'!$B$6:$V$26,CEILING($A42/5,1),CEILING(T$2/5,1))=1,INDEX('Serial Reference'!$A$8:$W$8,1,FLOOR(($A42-1)/23,1)+1)&amp;INDEX('Serial Reference'!$A$8:$W$8,1,MOD($A42-1,23)+1)&amp;TEXT(T$2+FLOOR((T$2-1)/9,1),"000"),"")</f>
        <v>BT021</v>
      </c>
      <c r="U42" s="26" t="str">
        <f>IF(INDEX('Shot Map'!$B$6:$V$26,CEILING($A42/5,1),CEILING(U$2/5,1))=1,INDEX('Serial Reference'!$A$8:$W$8,1,FLOOR(($A42-1)/23,1)+1)&amp;INDEX('Serial Reference'!$A$8:$W$8,1,MOD($A42-1,23)+1)&amp;TEXT(U$2+FLOOR((U$2-1)/9,1),"000"),"")</f>
        <v>BT022</v>
      </c>
      <c r="V42" s="24" t="str">
        <f>IF(INDEX('Shot Map'!$B$6:$V$26,CEILING($A42/5,1),CEILING(V$2/5,1))=1,INDEX('Serial Reference'!$A$8:$W$8,1,FLOOR(($A42-1)/23,1)+1)&amp;INDEX('Serial Reference'!$A$8:$W$8,1,MOD($A42-1,23)+1)&amp;TEXT(V$2+FLOOR((V$2-1)/9,1),"000"),"")</f>
        <v>BT023</v>
      </c>
      <c r="W42" s="25" t="str">
        <f>IF(INDEX('Shot Map'!$B$6:$V$26,CEILING($A42/5,1),CEILING(W$2/5,1))=1,INDEX('Serial Reference'!$A$8:$W$8,1,FLOOR(($A42-1)/23,1)+1)&amp;INDEX('Serial Reference'!$A$8:$W$8,1,MOD($A42-1,23)+1)&amp;TEXT(W$2+FLOOR((W$2-1)/9,1),"000"),"")</f>
        <v>BT024</v>
      </c>
      <c r="X42" s="25" t="str">
        <f>IF(INDEX('Shot Map'!$B$6:$V$26,CEILING($A42/5,1),CEILING(X$2/5,1))=1,INDEX('Serial Reference'!$A$8:$W$8,1,FLOOR(($A42-1)/23,1)+1)&amp;INDEX('Serial Reference'!$A$8:$W$8,1,MOD($A42-1,23)+1)&amp;TEXT(X$2+FLOOR((X$2-1)/9,1),"000"),"")</f>
        <v>BT025</v>
      </c>
      <c r="Y42" s="25" t="str">
        <f>IF(INDEX('Shot Map'!$B$6:$V$26,CEILING($A42/5,1),CEILING(Y$2/5,1))=1,INDEX('Serial Reference'!$A$8:$W$8,1,FLOOR(($A42-1)/23,1)+1)&amp;INDEX('Serial Reference'!$A$8:$W$8,1,MOD($A42-1,23)+1)&amp;TEXT(Y$2+FLOOR((Y$2-1)/9,1),"000"),"")</f>
        <v>BT026</v>
      </c>
      <c r="Z42" s="26" t="str">
        <f>IF(INDEX('Shot Map'!$B$6:$V$26,CEILING($A42/5,1),CEILING(Z$2/5,1))=1,INDEX('Serial Reference'!$A$8:$W$8,1,FLOOR(($A42-1)/23,1)+1)&amp;INDEX('Serial Reference'!$A$8:$W$8,1,MOD($A42-1,23)+1)&amp;TEXT(Z$2+FLOOR((Z$2-1)/9,1),"000"),"")</f>
        <v>BT027</v>
      </c>
      <c r="AA42" s="24" t="str">
        <f>IF(INDEX('Shot Map'!$B$6:$V$26,CEILING($A42/5,1),CEILING(AA$2/5,1))=1,INDEX('Serial Reference'!$A$8:$W$8,1,FLOOR(($A42-1)/23,1)+1)&amp;INDEX('Serial Reference'!$A$8:$W$8,1,MOD($A42-1,23)+1)&amp;TEXT(AA$2+FLOOR((AA$2-1)/9,1),"000"),"")</f>
        <v>BT028</v>
      </c>
      <c r="AB42" s="25" t="str">
        <f>IF(INDEX('Shot Map'!$B$6:$V$26,CEILING($A42/5,1),CEILING(AB$2/5,1))=1,INDEX('Serial Reference'!$A$8:$W$8,1,FLOOR(($A42-1)/23,1)+1)&amp;INDEX('Serial Reference'!$A$8:$W$8,1,MOD($A42-1,23)+1)&amp;TEXT(AB$2+FLOOR((AB$2-1)/9,1),"000"),"")</f>
        <v>BT029</v>
      </c>
      <c r="AC42" s="25" t="str">
        <f>IF(INDEX('Shot Map'!$B$6:$V$26,CEILING($A42/5,1),CEILING(AC$2/5,1))=1,INDEX('Serial Reference'!$A$8:$W$8,1,FLOOR(($A42-1)/23,1)+1)&amp;INDEX('Serial Reference'!$A$8:$W$8,1,MOD($A42-1,23)+1)&amp;TEXT(AC$2+FLOOR((AC$2-1)/9,1),"000"),"")</f>
        <v>BT031</v>
      </c>
      <c r="AD42" s="25" t="str">
        <f>IF(INDEX('Shot Map'!$B$6:$V$26,CEILING($A42/5,1),CEILING(AD$2/5,1))=1,INDEX('Serial Reference'!$A$8:$W$8,1,FLOOR(($A42-1)/23,1)+1)&amp;INDEX('Serial Reference'!$A$8:$W$8,1,MOD($A42-1,23)+1)&amp;TEXT(AD$2+FLOOR((AD$2-1)/9,1),"000"),"")</f>
        <v>BT032</v>
      </c>
      <c r="AE42" s="26" t="str">
        <f>IF(INDEX('Shot Map'!$B$6:$V$26,CEILING($A42/5,1),CEILING(AE$2/5,1))=1,INDEX('Serial Reference'!$A$8:$W$8,1,FLOOR(($A42-1)/23,1)+1)&amp;INDEX('Serial Reference'!$A$8:$W$8,1,MOD($A42-1,23)+1)&amp;TEXT(AE$2+FLOOR((AE$2-1)/9,1),"000"),"")</f>
        <v>BT033</v>
      </c>
      <c r="AF42" s="24" t="str">
        <f>IF(INDEX('Shot Map'!$B$6:$V$26,CEILING($A42/5,1),CEILING(AF$2/5,1))=1,INDEX('Serial Reference'!$A$8:$W$8,1,FLOOR(($A42-1)/23,1)+1)&amp;INDEX('Serial Reference'!$A$8:$W$8,1,MOD($A42-1,23)+1)&amp;TEXT(AF$2+FLOOR((AF$2-1)/9,1),"000"),"")</f>
        <v>BT034</v>
      </c>
      <c r="AG42" s="25" t="str">
        <f>IF(INDEX('Shot Map'!$B$6:$V$26,CEILING($A42/5,1),CEILING(AG$2/5,1))=1,INDEX('Serial Reference'!$A$8:$W$8,1,FLOOR(($A42-1)/23,1)+1)&amp;INDEX('Serial Reference'!$A$8:$W$8,1,MOD($A42-1,23)+1)&amp;TEXT(AG$2+FLOOR((AG$2-1)/9,1),"000"),"")</f>
        <v>BT035</v>
      </c>
      <c r="AH42" s="25" t="str">
        <f>IF(INDEX('Shot Map'!$B$6:$V$26,CEILING($A42/5,1),CEILING(AH$2/5,1))=1,INDEX('Serial Reference'!$A$8:$W$8,1,FLOOR(($A42-1)/23,1)+1)&amp;INDEX('Serial Reference'!$A$8:$W$8,1,MOD($A42-1,23)+1)&amp;TEXT(AH$2+FLOOR((AH$2-1)/9,1),"000"),"")</f>
        <v>BT036</v>
      </c>
      <c r="AI42" s="25" t="str">
        <f>IF(INDEX('Shot Map'!$B$6:$V$26,CEILING($A42/5,1),CEILING(AI$2/5,1))=1,INDEX('Serial Reference'!$A$8:$W$8,1,FLOOR(($A42-1)/23,1)+1)&amp;INDEX('Serial Reference'!$A$8:$W$8,1,MOD($A42-1,23)+1)&amp;TEXT(AI$2+FLOOR((AI$2-1)/9,1),"000"),"")</f>
        <v>BT037</v>
      </c>
      <c r="AJ42" s="26" t="str">
        <f>IF(INDEX('Shot Map'!$B$6:$V$26,CEILING($A42/5,1),CEILING(AJ$2/5,1))=1,INDEX('Serial Reference'!$A$8:$W$8,1,FLOOR(($A42-1)/23,1)+1)&amp;INDEX('Serial Reference'!$A$8:$W$8,1,MOD($A42-1,23)+1)&amp;TEXT(AJ$2+FLOOR((AJ$2-1)/9,1),"000"),"")</f>
        <v>BT038</v>
      </c>
      <c r="AK42" s="24" t="str">
        <f>IF(INDEX('Shot Map'!$B$6:$V$26,CEILING($A42/5,1),CEILING(AK$2/5,1))=1,INDEX('Serial Reference'!$A$8:$W$8,1,FLOOR(($A42-1)/23,1)+1)&amp;INDEX('Serial Reference'!$A$8:$W$8,1,MOD($A42-1,23)+1)&amp;TEXT(AK$2+FLOOR((AK$2-1)/9,1),"000"),"")</f>
        <v>BT039</v>
      </c>
      <c r="AL42" s="25" t="str">
        <f>IF(INDEX('Shot Map'!$B$6:$V$26,CEILING($A42/5,1),CEILING(AL$2/5,1))=1,INDEX('Serial Reference'!$A$8:$W$8,1,FLOOR(($A42-1)/23,1)+1)&amp;INDEX('Serial Reference'!$A$8:$W$8,1,MOD($A42-1,23)+1)&amp;TEXT(AL$2+FLOOR((AL$2-1)/9,1),"000"),"")</f>
        <v>BT041</v>
      </c>
      <c r="AM42" s="25" t="str">
        <f>IF(INDEX('Shot Map'!$B$6:$V$26,CEILING($A42/5,1),CEILING(AM$2/5,1))=1,INDEX('Serial Reference'!$A$8:$W$8,1,FLOOR(($A42-1)/23,1)+1)&amp;INDEX('Serial Reference'!$A$8:$W$8,1,MOD($A42-1,23)+1)&amp;TEXT(AM$2+FLOOR((AM$2-1)/9,1),"000"),"")</f>
        <v>BT042</v>
      </c>
      <c r="AN42" s="25" t="str">
        <f>IF(INDEX('Shot Map'!$B$6:$V$26,CEILING($A42/5,1),CEILING(AN$2/5,1))=1,INDEX('Serial Reference'!$A$8:$W$8,1,FLOOR(($A42-1)/23,1)+1)&amp;INDEX('Serial Reference'!$A$8:$W$8,1,MOD($A42-1,23)+1)&amp;TEXT(AN$2+FLOOR((AN$2-1)/9,1),"000"),"")</f>
        <v>BT043</v>
      </c>
      <c r="AO42" s="26" t="str">
        <f>IF(INDEX('Shot Map'!$B$6:$V$26,CEILING($A42/5,1),CEILING(AO$2/5,1))=1,INDEX('Serial Reference'!$A$8:$W$8,1,FLOOR(($A42-1)/23,1)+1)&amp;INDEX('Serial Reference'!$A$8:$W$8,1,MOD($A42-1,23)+1)&amp;TEXT(AO$2+FLOOR((AO$2-1)/9,1),"000"),"")</f>
        <v>BT044</v>
      </c>
      <c r="AP42" s="24" t="str">
        <f>IF(INDEX('Shot Map'!$B$6:$V$26,CEILING($A42/5,1),CEILING(AP$2/5,1))=1,INDEX('Serial Reference'!$A$8:$W$8,1,FLOOR(($A42-1)/23,1)+1)&amp;INDEX('Serial Reference'!$A$8:$W$8,1,MOD($A42-1,23)+1)&amp;TEXT(AP$2+FLOOR((AP$2-1)/9,1),"000"),"")</f>
        <v>BT045</v>
      </c>
      <c r="AQ42" s="25" t="str">
        <f>IF(INDEX('Shot Map'!$B$6:$V$26,CEILING($A42/5,1),CEILING(AQ$2/5,1))=1,INDEX('Serial Reference'!$A$8:$W$8,1,FLOOR(($A42-1)/23,1)+1)&amp;INDEX('Serial Reference'!$A$8:$W$8,1,MOD($A42-1,23)+1)&amp;TEXT(AQ$2+FLOOR((AQ$2-1)/9,1),"000"),"")</f>
        <v>BT046</v>
      </c>
      <c r="AR42" s="25" t="str">
        <f>IF(INDEX('Shot Map'!$B$6:$V$26,CEILING($A42/5,1),CEILING(AR$2/5,1))=1,INDEX('Serial Reference'!$A$8:$W$8,1,FLOOR(($A42-1)/23,1)+1)&amp;INDEX('Serial Reference'!$A$8:$W$8,1,MOD($A42-1,23)+1)&amp;TEXT(AR$2+FLOOR((AR$2-1)/9,1),"000"),"")</f>
        <v>BT047</v>
      </c>
      <c r="AS42" s="25" t="str">
        <f>IF(INDEX('Shot Map'!$B$6:$V$26,CEILING($A42/5,1),CEILING(AS$2/5,1))=1,INDEX('Serial Reference'!$A$8:$W$8,1,FLOOR(($A42-1)/23,1)+1)&amp;INDEX('Serial Reference'!$A$8:$W$8,1,MOD($A42-1,23)+1)&amp;TEXT(AS$2+FLOOR((AS$2-1)/9,1),"000"),"")</f>
        <v>BT048</v>
      </c>
      <c r="AT42" s="26" t="str">
        <f>IF(INDEX('Shot Map'!$B$6:$V$26,CEILING($A42/5,1),CEILING(AT$2/5,1))=1,INDEX('Serial Reference'!$A$8:$W$8,1,FLOOR(($A42-1)/23,1)+1)&amp;INDEX('Serial Reference'!$A$8:$W$8,1,MOD($A42-1,23)+1)&amp;TEXT(AT$2+FLOOR((AT$2-1)/9,1),"000"),"")</f>
        <v>BT049</v>
      </c>
      <c r="AU42" s="24" t="str">
        <f>IF(INDEX('Shot Map'!$B$6:$V$26,CEILING($A42/5,1),CEILING(AU$2/5,1))=1,INDEX('Serial Reference'!$A$8:$W$8,1,FLOOR(($A42-1)/23,1)+1)&amp;INDEX('Serial Reference'!$A$8:$W$8,1,MOD($A42-1,23)+1)&amp;TEXT(AU$2+FLOOR((AU$2-1)/9,1),"000"),"")</f>
        <v>BT051</v>
      </c>
      <c r="AV42" s="25" t="str">
        <f>IF(INDEX('Shot Map'!$B$6:$V$26,CEILING($A42/5,1),CEILING(AV$2/5,1))=1,INDEX('Serial Reference'!$A$8:$W$8,1,FLOOR(($A42-1)/23,1)+1)&amp;INDEX('Serial Reference'!$A$8:$W$8,1,MOD($A42-1,23)+1)&amp;TEXT(AV$2+FLOOR((AV$2-1)/9,1),"000"),"")</f>
        <v>BT052</v>
      </c>
      <c r="AW42" s="25" t="str">
        <f>IF(INDEX('Shot Map'!$B$6:$V$26,CEILING($A42/5,1),CEILING(AW$2/5,1))=1,INDEX('Serial Reference'!$A$8:$W$8,1,FLOOR(($A42-1)/23,1)+1)&amp;INDEX('Serial Reference'!$A$8:$W$8,1,MOD($A42-1,23)+1)&amp;TEXT(AW$2+FLOOR((AW$2-1)/9,1),"000"),"")</f>
        <v>BT053</v>
      </c>
      <c r="AX42" s="25" t="str">
        <f>IF(INDEX('Shot Map'!$B$6:$V$26,CEILING($A42/5,1),CEILING(AX$2/5,1))=1,INDEX('Serial Reference'!$A$8:$W$8,1,FLOOR(($A42-1)/23,1)+1)&amp;INDEX('Serial Reference'!$A$8:$W$8,1,MOD($A42-1,23)+1)&amp;TEXT(AX$2+FLOOR((AX$2-1)/9,1),"000"),"")</f>
        <v>BT054</v>
      </c>
      <c r="AY42" s="26" t="str">
        <f>IF(INDEX('Shot Map'!$B$6:$V$26,CEILING($A42/5,1),CEILING(AY$2/5,1))=1,INDEX('Serial Reference'!$A$8:$W$8,1,FLOOR(($A42-1)/23,1)+1)&amp;INDEX('Serial Reference'!$A$8:$W$8,1,MOD($A42-1,23)+1)&amp;TEXT(AY$2+FLOOR((AY$2-1)/9,1),"000"),"")</f>
        <v>BT055</v>
      </c>
      <c r="AZ42" s="24" t="str">
        <f>IF(INDEX('Shot Map'!$B$6:$V$26,CEILING($A42/5,1),CEILING(AZ$2/5,1))=1,INDEX('Serial Reference'!$A$8:$W$8,1,FLOOR(($A42-1)/23,1)+1)&amp;INDEX('Serial Reference'!$A$8:$W$8,1,MOD($A42-1,23)+1)&amp;TEXT(AZ$2+FLOOR((AZ$2-1)/9,1),"000"),"")</f>
        <v>BT056</v>
      </c>
      <c r="BA42" s="25" t="str">
        <f>IF(INDEX('Shot Map'!$B$6:$V$26,CEILING($A42/5,1),CEILING(BA$2/5,1))=1,INDEX('Serial Reference'!$A$8:$W$8,1,FLOOR(($A42-1)/23,1)+1)&amp;INDEX('Serial Reference'!$A$8:$W$8,1,MOD($A42-1,23)+1)&amp;TEXT(BA$2+FLOOR((BA$2-1)/9,1),"000"),"")</f>
        <v>BT057</v>
      </c>
      <c r="BB42" s="25" t="str">
        <f>IF(INDEX('Shot Map'!$B$6:$V$26,CEILING($A42/5,1),CEILING(BB$2/5,1))=1,INDEX('Serial Reference'!$A$8:$W$8,1,FLOOR(($A42-1)/23,1)+1)&amp;INDEX('Serial Reference'!$A$8:$W$8,1,MOD($A42-1,23)+1)&amp;TEXT(BB$2+FLOOR((BB$2-1)/9,1),"000"),"")</f>
        <v>BT058</v>
      </c>
      <c r="BC42" s="25" t="str">
        <f>IF(INDEX('Shot Map'!$B$6:$V$26,CEILING($A42/5,1),CEILING(BC$2/5,1))=1,INDEX('Serial Reference'!$A$8:$W$8,1,FLOOR(($A42-1)/23,1)+1)&amp;INDEX('Serial Reference'!$A$8:$W$8,1,MOD($A42-1,23)+1)&amp;TEXT(BC$2+FLOOR((BC$2-1)/9,1),"000"),"")</f>
        <v>BT059</v>
      </c>
      <c r="BD42" s="26" t="str">
        <f>IF(INDEX('Shot Map'!$B$6:$V$26,CEILING($A42/5,1),CEILING(BD$2/5,1))=1,INDEX('Serial Reference'!$A$8:$W$8,1,FLOOR(($A42-1)/23,1)+1)&amp;INDEX('Serial Reference'!$A$8:$W$8,1,MOD($A42-1,23)+1)&amp;TEXT(BD$2+FLOOR((BD$2-1)/9,1),"000"),"")</f>
        <v>BT061</v>
      </c>
      <c r="BE42" s="24" t="str">
        <f>IF(INDEX('Shot Map'!$B$6:$V$26,CEILING($A42/5,1),CEILING(BE$2/5,1))=1,INDEX('Serial Reference'!$A$8:$W$8,1,FLOOR(($A42-1)/23,1)+1)&amp;INDEX('Serial Reference'!$A$8:$W$8,1,MOD($A42-1,23)+1)&amp;TEXT(BE$2+FLOOR((BE$2-1)/9,1),"000"),"")</f>
        <v>BT062</v>
      </c>
      <c r="BF42" s="25" t="str">
        <f>IF(INDEX('Shot Map'!$B$6:$V$26,CEILING($A42/5,1),CEILING(BF$2/5,1))=1,INDEX('Serial Reference'!$A$8:$W$8,1,FLOOR(($A42-1)/23,1)+1)&amp;INDEX('Serial Reference'!$A$8:$W$8,1,MOD($A42-1,23)+1)&amp;TEXT(BF$2+FLOOR((BF$2-1)/9,1),"000"),"")</f>
        <v>BT063</v>
      </c>
      <c r="BG42" s="25" t="str">
        <f>IF(INDEX('Shot Map'!$B$6:$V$26,CEILING($A42/5,1),CEILING(BG$2/5,1))=1,INDEX('Serial Reference'!$A$8:$W$8,1,FLOOR(($A42-1)/23,1)+1)&amp;INDEX('Serial Reference'!$A$8:$W$8,1,MOD($A42-1,23)+1)&amp;TEXT(BG$2+FLOOR((BG$2-1)/9,1),"000"),"")</f>
        <v>BT064</v>
      </c>
      <c r="BH42" s="25" t="str">
        <f>IF(INDEX('Shot Map'!$B$6:$V$26,CEILING($A42/5,1),CEILING(BH$2/5,1))=1,INDEX('Serial Reference'!$A$8:$W$8,1,FLOOR(($A42-1)/23,1)+1)&amp;INDEX('Serial Reference'!$A$8:$W$8,1,MOD($A42-1,23)+1)&amp;TEXT(BH$2+FLOOR((BH$2-1)/9,1),"000"),"")</f>
        <v>BT065</v>
      </c>
      <c r="BI42" s="26" t="str">
        <f>IF(INDEX('Shot Map'!$B$6:$V$26,CEILING($A42/5,1),CEILING(BI$2/5,1))=1,INDEX('Serial Reference'!$A$8:$W$8,1,FLOOR(($A42-1)/23,1)+1)&amp;INDEX('Serial Reference'!$A$8:$W$8,1,MOD($A42-1,23)+1)&amp;TEXT(BI$2+FLOOR((BI$2-1)/9,1),"000"),"")</f>
        <v>BT066</v>
      </c>
      <c r="BJ42" s="24" t="str">
        <f>IF(INDEX('Shot Map'!$B$6:$V$26,CEILING($A42/5,1),CEILING(BJ$2/5,1))=1,INDEX('Serial Reference'!$A$8:$W$8,1,FLOOR(($A42-1)/23,1)+1)&amp;INDEX('Serial Reference'!$A$8:$W$8,1,MOD($A42-1,23)+1)&amp;TEXT(BJ$2+FLOOR((BJ$2-1)/9,1),"000"),"")</f>
        <v>BT067</v>
      </c>
      <c r="BK42" s="25" t="str">
        <f>IF(INDEX('Shot Map'!$B$6:$V$26,CEILING($A42/5,1),CEILING(BK$2/5,1))=1,INDEX('Serial Reference'!$A$8:$W$8,1,FLOOR(($A42-1)/23,1)+1)&amp;INDEX('Serial Reference'!$A$8:$W$8,1,MOD($A42-1,23)+1)&amp;TEXT(BK$2+FLOOR((BK$2-1)/9,1),"000"),"")</f>
        <v>BT068</v>
      </c>
      <c r="BL42" s="25" t="str">
        <f>IF(INDEX('Shot Map'!$B$6:$V$26,CEILING($A42/5,1),CEILING(BL$2/5,1))=1,INDEX('Serial Reference'!$A$8:$W$8,1,FLOOR(($A42-1)/23,1)+1)&amp;INDEX('Serial Reference'!$A$8:$W$8,1,MOD($A42-1,23)+1)&amp;TEXT(BL$2+FLOOR((BL$2-1)/9,1),"000"),"")</f>
        <v>BT069</v>
      </c>
      <c r="BM42" s="25" t="str">
        <f>IF(INDEX('Shot Map'!$B$6:$V$26,CEILING($A42/5,1),CEILING(BM$2/5,1))=1,INDEX('Serial Reference'!$A$8:$W$8,1,FLOOR(($A42-1)/23,1)+1)&amp;INDEX('Serial Reference'!$A$8:$W$8,1,MOD($A42-1,23)+1)&amp;TEXT(BM$2+FLOOR((BM$2-1)/9,1),"000"),"")</f>
        <v>BT071</v>
      </c>
      <c r="BN42" s="26" t="str">
        <f>IF(INDEX('Shot Map'!$B$6:$V$26,CEILING($A42/5,1),CEILING(BN$2/5,1))=1,INDEX('Serial Reference'!$A$8:$W$8,1,FLOOR(($A42-1)/23,1)+1)&amp;INDEX('Serial Reference'!$A$8:$W$8,1,MOD($A42-1,23)+1)&amp;TEXT(BN$2+FLOOR((BN$2-1)/9,1),"000"),"")</f>
        <v>BT072</v>
      </c>
      <c r="BO42" s="24" t="str">
        <f>IF(INDEX('Shot Map'!$B$6:$V$26,CEILING($A42/5,1),CEILING(BO$2/5,1))=1,INDEX('Serial Reference'!$A$8:$W$8,1,FLOOR(($A42-1)/23,1)+1)&amp;INDEX('Serial Reference'!$A$8:$W$8,1,MOD($A42-1,23)+1)&amp;TEXT(BO$2+FLOOR((BO$2-1)/9,1),"000"),"")</f>
        <v>BT073</v>
      </c>
      <c r="BP42" s="25" t="str">
        <f>IF(INDEX('Shot Map'!$B$6:$V$26,CEILING($A42/5,1),CEILING(BP$2/5,1))=1,INDEX('Serial Reference'!$A$8:$W$8,1,FLOOR(($A42-1)/23,1)+1)&amp;INDEX('Serial Reference'!$A$8:$W$8,1,MOD($A42-1,23)+1)&amp;TEXT(BP$2+FLOOR((BP$2-1)/9,1),"000"),"")</f>
        <v>BT074</v>
      </c>
      <c r="BQ42" s="25" t="str">
        <f>IF(INDEX('Shot Map'!$B$6:$V$26,CEILING($A42/5,1),CEILING(BQ$2/5,1))=1,INDEX('Serial Reference'!$A$8:$W$8,1,FLOOR(($A42-1)/23,1)+1)&amp;INDEX('Serial Reference'!$A$8:$W$8,1,MOD($A42-1,23)+1)&amp;TEXT(BQ$2+FLOOR((BQ$2-1)/9,1),"000"),"")</f>
        <v>BT075</v>
      </c>
      <c r="BR42" s="25" t="str">
        <f>IF(INDEX('Shot Map'!$B$6:$V$26,CEILING($A42/5,1),CEILING(BR$2/5,1))=1,INDEX('Serial Reference'!$A$8:$W$8,1,FLOOR(($A42-1)/23,1)+1)&amp;INDEX('Serial Reference'!$A$8:$W$8,1,MOD($A42-1,23)+1)&amp;TEXT(BR$2+FLOOR((BR$2-1)/9,1),"000"),"")</f>
        <v>BT076</v>
      </c>
      <c r="BS42" s="26" t="str">
        <f>IF(INDEX('Shot Map'!$B$6:$V$26,CEILING($A42/5,1),CEILING(BS$2/5,1))=1,INDEX('Serial Reference'!$A$8:$W$8,1,FLOOR(($A42-1)/23,1)+1)&amp;INDEX('Serial Reference'!$A$8:$W$8,1,MOD($A42-1,23)+1)&amp;TEXT(BS$2+FLOOR((BS$2-1)/9,1),"000"),"")</f>
        <v>BT077</v>
      </c>
      <c r="BT42" s="24" t="str">
        <f>IF(INDEX('Shot Map'!$B$6:$V$26,CEILING($A42/5,1),CEILING(BT$2/5,1))=1,INDEX('Serial Reference'!$A$8:$W$8,1,FLOOR(($A42-1)/23,1)+1)&amp;INDEX('Serial Reference'!$A$8:$W$8,1,MOD($A42-1,23)+1)&amp;TEXT(BT$2+FLOOR((BT$2-1)/9,1),"000"),"")</f>
        <v>BT078</v>
      </c>
      <c r="BU42" s="25" t="str">
        <f>IF(INDEX('Shot Map'!$B$6:$V$26,CEILING($A42/5,1),CEILING(BU$2/5,1))=1,INDEX('Serial Reference'!$A$8:$W$8,1,FLOOR(($A42-1)/23,1)+1)&amp;INDEX('Serial Reference'!$A$8:$W$8,1,MOD($A42-1,23)+1)&amp;TEXT(BU$2+FLOOR((BU$2-1)/9,1),"000"),"")</f>
        <v>BT079</v>
      </c>
      <c r="BV42" s="25" t="str">
        <f>IF(INDEX('Shot Map'!$B$6:$V$26,CEILING($A42/5,1),CEILING(BV$2/5,1))=1,INDEX('Serial Reference'!$A$8:$W$8,1,FLOOR(($A42-1)/23,1)+1)&amp;INDEX('Serial Reference'!$A$8:$W$8,1,MOD($A42-1,23)+1)&amp;TEXT(BV$2+FLOOR((BV$2-1)/9,1),"000"),"")</f>
        <v>BT081</v>
      </c>
      <c r="BW42" s="25" t="str">
        <f>IF(INDEX('Shot Map'!$B$6:$V$26,CEILING($A42/5,1),CEILING(BW$2/5,1))=1,INDEX('Serial Reference'!$A$8:$W$8,1,FLOOR(($A42-1)/23,1)+1)&amp;INDEX('Serial Reference'!$A$8:$W$8,1,MOD($A42-1,23)+1)&amp;TEXT(BW$2+FLOOR((BW$2-1)/9,1),"000"),"")</f>
        <v>BT082</v>
      </c>
      <c r="BX42" s="26" t="str">
        <f>IF(INDEX('Shot Map'!$B$6:$V$26,CEILING($A42/5,1),CEILING(BX$2/5,1))=1,INDEX('Serial Reference'!$A$8:$W$8,1,FLOOR(($A42-1)/23,1)+1)&amp;INDEX('Serial Reference'!$A$8:$W$8,1,MOD($A42-1,23)+1)&amp;TEXT(BX$2+FLOOR((BX$2-1)/9,1),"000"),"")</f>
        <v>BT083</v>
      </c>
      <c r="BY42" s="24" t="str">
        <f>IF(INDEX('Shot Map'!$B$6:$V$26,CEILING($A42/5,1),CEILING(BY$2/5,1))=1,INDEX('Serial Reference'!$A$8:$W$8,1,FLOOR(($A42-1)/23,1)+1)&amp;INDEX('Serial Reference'!$A$8:$W$8,1,MOD($A42-1,23)+1)&amp;TEXT(BY$2+FLOOR((BY$2-1)/9,1),"000"),"")</f>
        <v>BT084</v>
      </c>
      <c r="BZ42" s="25" t="str">
        <f>IF(INDEX('Shot Map'!$B$6:$V$26,CEILING($A42/5,1),CEILING(BZ$2/5,1))=1,INDEX('Serial Reference'!$A$8:$W$8,1,FLOOR(($A42-1)/23,1)+1)&amp;INDEX('Serial Reference'!$A$8:$W$8,1,MOD($A42-1,23)+1)&amp;TEXT(BZ$2+FLOOR((BZ$2-1)/9,1),"000"),"")</f>
        <v>BT085</v>
      </c>
      <c r="CA42" s="25" t="str">
        <f>IF(INDEX('Shot Map'!$B$6:$V$26,CEILING($A42/5,1),CEILING(CA$2/5,1))=1,INDEX('Serial Reference'!$A$8:$W$8,1,FLOOR(($A42-1)/23,1)+1)&amp;INDEX('Serial Reference'!$A$8:$W$8,1,MOD($A42-1,23)+1)&amp;TEXT(CA$2+FLOOR((CA$2-1)/9,1),"000"),"")</f>
        <v>BT086</v>
      </c>
      <c r="CB42" s="25" t="str">
        <f>IF(INDEX('Shot Map'!$B$6:$V$26,CEILING($A42/5,1),CEILING(CB$2/5,1))=1,INDEX('Serial Reference'!$A$8:$W$8,1,FLOOR(($A42-1)/23,1)+1)&amp;INDEX('Serial Reference'!$A$8:$W$8,1,MOD($A42-1,23)+1)&amp;TEXT(CB$2+FLOOR((CB$2-1)/9,1),"000"),"")</f>
        <v>BT087</v>
      </c>
      <c r="CC42" s="26" t="str">
        <f>IF(INDEX('Shot Map'!$B$6:$V$26,CEILING($A42/5,1),CEILING(CC$2/5,1))=1,INDEX('Serial Reference'!$A$8:$W$8,1,FLOOR(($A42-1)/23,1)+1)&amp;INDEX('Serial Reference'!$A$8:$W$8,1,MOD($A42-1,23)+1)&amp;TEXT(CC$2+FLOOR((CC$2-1)/9,1),"000"),"")</f>
        <v>BT088</v>
      </c>
      <c r="CD42" s="24" t="str">
        <f>IF(INDEX('Shot Map'!$B$6:$V$26,CEILING($A42/5,1),CEILING(CD$2/5,1))=1,INDEX('Serial Reference'!$A$8:$W$8,1,FLOOR(($A42-1)/23,1)+1)&amp;INDEX('Serial Reference'!$A$8:$W$8,1,MOD($A42-1,23)+1)&amp;TEXT(CD$2+FLOOR((CD$2-1)/9,1),"000"),"")</f>
        <v>BT089</v>
      </c>
      <c r="CE42" s="25" t="str">
        <f>IF(INDEX('Shot Map'!$B$6:$V$26,CEILING($A42/5,1),CEILING(CE$2/5,1))=1,INDEX('Serial Reference'!$A$8:$W$8,1,FLOOR(($A42-1)/23,1)+1)&amp;INDEX('Serial Reference'!$A$8:$W$8,1,MOD($A42-1,23)+1)&amp;TEXT(CE$2+FLOOR((CE$2-1)/9,1),"000"),"")</f>
        <v>BT091</v>
      </c>
      <c r="CF42" s="25" t="str">
        <f>IF(INDEX('Shot Map'!$B$6:$V$26,CEILING($A42/5,1),CEILING(CF$2/5,1))=1,INDEX('Serial Reference'!$A$8:$W$8,1,FLOOR(($A42-1)/23,1)+1)&amp;INDEX('Serial Reference'!$A$8:$W$8,1,MOD($A42-1,23)+1)&amp;TEXT(CF$2+FLOOR((CF$2-1)/9,1),"000"),"")</f>
        <v>BT092</v>
      </c>
      <c r="CG42" s="25" t="str">
        <f>IF(INDEX('Shot Map'!$B$6:$V$26,CEILING($A42/5,1),CEILING(CG$2/5,1))=1,INDEX('Serial Reference'!$A$8:$W$8,1,FLOOR(($A42-1)/23,1)+1)&amp;INDEX('Serial Reference'!$A$8:$W$8,1,MOD($A42-1,23)+1)&amp;TEXT(CG$2+FLOOR((CG$2-1)/9,1),"000"),"")</f>
        <v>BT093</v>
      </c>
      <c r="CH42" s="26" t="str">
        <f>IF(INDEX('Shot Map'!$B$6:$V$26,CEILING($A42/5,1),CEILING(CH$2/5,1))=1,INDEX('Serial Reference'!$A$8:$W$8,1,FLOOR(($A42-1)/23,1)+1)&amp;INDEX('Serial Reference'!$A$8:$W$8,1,MOD($A42-1,23)+1)&amp;TEXT(CH$2+FLOOR((CH$2-1)/9,1),"000"),"")</f>
        <v>BT094</v>
      </c>
      <c r="CI42" s="24" t="str">
        <f>IF(INDEX('Shot Map'!$B$6:$V$26,CEILING($A42/5,1),CEILING(CI$2/5,1))=1,INDEX('Serial Reference'!$A$8:$W$8,1,FLOOR(($A42-1)/23,1)+1)&amp;INDEX('Serial Reference'!$A$8:$W$8,1,MOD($A42-1,23)+1)&amp;TEXT(CI$2+FLOOR((CI$2-1)/9,1),"000"),"")</f>
        <v>BT095</v>
      </c>
      <c r="CJ42" s="25" t="str">
        <f>IF(INDEX('Shot Map'!$B$6:$V$26,CEILING($A42/5,1),CEILING(CJ$2/5,1))=1,INDEX('Serial Reference'!$A$8:$W$8,1,FLOOR(($A42-1)/23,1)+1)&amp;INDEX('Serial Reference'!$A$8:$W$8,1,MOD($A42-1,23)+1)&amp;TEXT(CJ$2+FLOOR((CJ$2-1)/9,1),"000"),"")</f>
        <v>BT096</v>
      </c>
      <c r="CK42" s="25" t="str">
        <f>IF(INDEX('Shot Map'!$B$6:$V$26,CEILING($A42/5,1),CEILING(CK$2/5,1))=1,INDEX('Serial Reference'!$A$8:$W$8,1,FLOOR(($A42-1)/23,1)+1)&amp;INDEX('Serial Reference'!$A$8:$W$8,1,MOD($A42-1,23)+1)&amp;TEXT(CK$2+FLOOR((CK$2-1)/9,1),"000"),"")</f>
        <v>BT097</v>
      </c>
      <c r="CL42" s="25" t="str">
        <f>IF(INDEX('Shot Map'!$B$6:$V$26,CEILING($A42/5,1),CEILING(CL$2/5,1))=1,INDEX('Serial Reference'!$A$8:$W$8,1,FLOOR(($A42-1)/23,1)+1)&amp;INDEX('Serial Reference'!$A$8:$W$8,1,MOD($A42-1,23)+1)&amp;TEXT(CL$2+FLOOR((CL$2-1)/9,1),"000"),"")</f>
        <v>BT098</v>
      </c>
      <c r="CM42" s="26" t="str">
        <f>IF(INDEX('Shot Map'!$B$6:$V$26,CEILING($A42/5,1),CEILING(CM$2/5,1))=1,INDEX('Serial Reference'!$A$8:$W$8,1,FLOOR(($A42-1)/23,1)+1)&amp;INDEX('Serial Reference'!$A$8:$W$8,1,MOD($A42-1,23)+1)&amp;TEXT(CM$2+FLOOR((CM$2-1)/9,1),"000"),"")</f>
        <v>BT099</v>
      </c>
      <c r="CN42" s="24" t="str">
        <f>IF(INDEX('Shot Map'!$B$6:$V$26,CEILING($A42/5,1),CEILING(CN$2/5,1))=1,INDEX('Serial Reference'!$A$8:$W$8,1,FLOOR(($A42-1)/23,1)+1)&amp;INDEX('Serial Reference'!$A$8:$W$8,1,MOD($A42-1,23)+1)&amp;TEXT(CN$2+FLOOR((CN$2-1)/9,1),"000"),"")</f>
        <v>BT101</v>
      </c>
      <c r="CO42" s="25" t="str">
        <f>IF(INDEX('Shot Map'!$B$6:$V$26,CEILING($A42/5,1),CEILING(CO$2/5,1))=1,INDEX('Serial Reference'!$A$8:$W$8,1,FLOOR(($A42-1)/23,1)+1)&amp;INDEX('Serial Reference'!$A$8:$W$8,1,MOD($A42-1,23)+1)&amp;TEXT(CO$2+FLOOR((CO$2-1)/9,1),"000"),"")</f>
        <v>BT102</v>
      </c>
      <c r="CP42" s="25" t="str">
        <f>IF(INDEX('Shot Map'!$B$6:$V$26,CEILING($A42/5,1),CEILING(CP$2/5,1))=1,INDEX('Serial Reference'!$A$8:$W$8,1,FLOOR(($A42-1)/23,1)+1)&amp;INDEX('Serial Reference'!$A$8:$W$8,1,MOD($A42-1,23)+1)&amp;TEXT(CP$2+FLOOR((CP$2-1)/9,1),"000"),"")</f>
        <v>BT103</v>
      </c>
      <c r="CQ42" s="25" t="str">
        <f>IF(INDEX('Shot Map'!$B$6:$V$26,CEILING($A42/5,1),CEILING(CQ$2/5,1))=1,INDEX('Serial Reference'!$A$8:$W$8,1,FLOOR(($A42-1)/23,1)+1)&amp;INDEX('Serial Reference'!$A$8:$W$8,1,MOD($A42-1,23)+1)&amp;TEXT(CQ$2+FLOOR((CQ$2-1)/9,1),"000"),"")</f>
        <v>BT104</v>
      </c>
      <c r="CR42" s="26" t="str">
        <f>IF(INDEX('Shot Map'!$B$6:$V$26,CEILING($A42/5,1),CEILING(CR$2/5,1))=1,INDEX('Serial Reference'!$A$8:$W$8,1,FLOOR(($A42-1)/23,1)+1)&amp;INDEX('Serial Reference'!$A$8:$W$8,1,MOD($A42-1,23)+1)&amp;TEXT(CR$2+FLOOR((CR$2-1)/9,1),"000"),"")</f>
        <v>BT105</v>
      </c>
      <c r="CS42" s="24" t="str">
        <f>IF(INDEX('Shot Map'!$B$6:$V$26,CEILING($A42/5,1),CEILING(CS$2/5,1))=1,INDEX('Serial Reference'!$A$8:$W$8,1,FLOOR(($A42-1)/23,1)+1)&amp;INDEX('Serial Reference'!$A$8:$W$8,1,MOD($A42-1,23)+1)&amp;TEXT(CS$2+FLOOR((CS$2-1)/9,1),"000"),"")</f>
        <v>BT106</v>
      </c>
      <c r="CT42" s="25" t="str">
        <f>IF(INDEX('Shot Map'!$B$6:$V$26,CEILING($A42/5,1),CEILING(CT$2/5,1))=1,INDEX('Serial Reference'!$A$8:$W$8,1,FLOOR(($A42-1)/23,1)+1)&amp;INDEX('Serial Reference'!$A$8:$W$8,1,MOD($A42-1,23)+1)&amp;TEXT(CT$2+FLOOR((CT$2-1)/9,1),"000"),"")</f>
        <v>BT107</v>
      </c>
      <c r="CU42" s="25" t="str">
        <f>IF(INDEX('Shot Map'!$B$6:$V$26,CEILING($A42/5,1),CEILING(CU$2/5,1))=1,INDEX('Serial Reference'!$A$8:$W$8,1,FLOOR(($A42-1)/23,1)+1)&amp;INDEX('Serial Reference'!$A$8:$W$8,1,MOD($A42-1,23)+1)&amp;TEXT(CU$2+FLOOR((CU$2-1)/9,1),"000"),"")</f>
        <v>BT108</v>
      </c>
      <c r="CV42" s="25" t="str">
        <f>IF(INDEX('Shot Map'!$B$6:$V$26,CEILING($A42/5,1),CEILING(CV$2/5,1))=1,INDEX('Serial Reference'!$A$8:$W$8,1,FLOOR(($A42-1)/23,1)+1)&amp;INDEX('Serial Reference'!$A$8:$W$8,1,MOD($A42-1,23)+1)&amp;TEXT(CV$2+FLOOR((CV$2-1)/9,1),"000"),"")</f>
        <v>BT109</v>
      </c>
      <c r="CW42" s="26" t="str">
        <f>IF(INDEX('Shot Map'!$B$6:$V$26,CEILING($A42/5,1),CEILING(CW$2/5,1))=1,INDEX('Serial Reference'!$A$8:$W$8,1,FLOOR(($A42-1)/23,1)+1)&amp;INDEX('Serial Reference'!$A$8:$W$8,1,MOD($A42-1,23)+1)&amp;TEXT(CW$2+FLOOR((CW$2-1)/9,1),"000"),"")</f>
        <v>BT111</v>
      </c>
      <c r="CX42" s="24" t="str">
        <f>IF(INDEX('Shot Map'!$B$6:$V$26,CEILING($A42/5,1),CEILING(CX$2/5,1))=1,INDEX('Serial Reference'!$A$8:$W$8,1,FLOOR(($A42-1)/23,1)+1)&amp;INDEX('Serial Reference'!$A$8:$W$8,1,MOD($A42-1,23)+1)&amp;TEXT(CX$2+FLOOR((CX$2-1)/9,1),"000"),"")</f>
        <v/>
      </c>
      <c r="CY42" s="25" t="str">
        <f>IF(INDEX('Shot Map'!$B$6:$V$26,CEILING($A42/5,1),CEILING(CY$2/5,1))=1,INDEX('Serial Reference'!$A$8:$W$8,1,FLOOR(($A42-1)/23,1)+1)&amp;INDEX('Serial Reference'!$A$8:$W$8,1,MOD($A42-1,23)+1)&amp;TEXT(CY$2+FLOOR((CY$2-1)/9,1),"000"),"")</f>
        <v/>
      </c>
      <c r="CZ42" s="25" t="str">
        <f>IF(INDEX('Shot Map'!$B$6:$V$26,CEILING($A42/5,1),CEILING(CZ$2/5,1))=1,INDEX('Serial Reference'!$A$8:$W$8,1,FLOOR(($A42-1)/23,1)+1)&amp;INDEX('Serial Reference'!$A$8:$W$8,1,MOD($A42-1,23)+1)&amp;TEXT(CZ$2+FLOOR((CZ$2-1)/9,1),"000"),"")</f>
        <v/>
      </c>
      <c r="DA42" s="25" t="str">
        <f>IF(INDEX('Shot Map'!$B$6:$V$26,CEILING($A42/5,1),CEILING(DA$2/5,1))=1,INDEX('Serial Reference'!$A$8:$W$8,1,FLOOR(($A42-1)/23,1)+1)&amp;INDEX('Serial Reference'!$A$8:$W$8,1,MOD($A42-1,23)+1)&amp;TEXT(DA$2+FLOOR((DA$2-1)/9,1),"000"),"")</f>
        <v/>
      </c>
      <c r="DB42" s="26" t="str">
        <f>IF(INDEX('Shot Map'!$B$6:$V$26,CEILING($A42/5,1),CEILING(DB$2/5,1))=1,INDEX('Serial Reference'!$A$8:$W$8,1,FLOOR(($A42-1)/23,1)+1)&amp;INDEX('Serial Reference'!$A$8:$W$8,1,MOD($A42-1,23)+1)&amp;TEXT(DB$2+FLOOR((DB$2-1)/9,1),"000"),"")</f>
        <v/>
      </c>
    </row>
    <row r="43" spans="1:106" ht="12.75" customHeight="1" x14ac:dyDescent="0.25">
      <c r="A43" s="17">
        <v>41</v>
      </c>
      <c r="B43" s="18" t="str">
        <f>IF(INDEX('Shot Map'!$B$6:$V$26,CEILING($A43/5,1),CEILING(B$2/5,1))=1,INDEX('Serial Reference'!$A$8:$W$8,1,FLOOR(($A43-1)/23,1)+1)&amp;INDEX('Serial Reference'!$A$8:$W$8,1,MOD($A43-1,23)+1)&amp;TEXT(B$2+FLOOR((B$2-1)/9,1),"000"),"")</f>
        <v/>
      </c>
      <c r="C43" s="19" t="str">
        <f>IF(INDEX('Shot Map'!$B$6:$V$26,CEILING($A43/5,1),CEILING(C$2/5,1))=1,INDEX('Serial Reference'!$A$8:$W$8,1,FLOOR(($A43-1)/23,1)+1)&amp;INDEX('Serial Reference'!$A$8:$W$8,1,MOD($A43-1,23)+1)&amp;TEXT(C$2+FLOOR((C$2-1)/9,1),"000"),"")</f>
        <v/>
      </c>
      <c r="D43" s="19" t="str">
        <f>IF(INDEX('Shot Map'!$B$6:$V$26,CEILING($A43/5,1),CEILING(D$2/5,1))=1,INDEX('Serial Reference'!$A$8:$W$8,1,FLOOR(($A43-1)/23,1)+1)&amp;INDEX('Serial Reference'!$A$8:$W$8,1,MOD($A43-1,23)+1)&amp;TEXT(D$2+FLOOR((D$2-1)/9,1),"000"),"")</f>
        <v/>
      </c>
      <c r="E43" s="19" t="str">
        <f>IF(INDEX('Shot Map'!$B$6:$V$26,CEILING($A43/5,1),CEILING(E$2/5,1))=1,INDEX('Serial Reference'!$A$8:$W$8,1,FLOOR(($A43-1)/23,1)+1)&amp;INDEX('Serial Reference'!$A$8:$W$8,1,MOD($A43-1,23)+1)&amp;TEXT(E$2+FLOOR((E$2-1)/9,1),"000"),"")</f>
        <v/>
      </c>
      <c r="F43" s="20" t="str">
        <f>IF(INDEX('Shot Map'!$B$6:$V$26,CEILING($A43/5,1),CEILING(F$2/5,1))=1,INDEX('Serial Reference'!$A$8:$W$8,1,FLOOR(($A43-1)/23,1)+1)&amp;INDEX('Serial Reference'!$A$8:$W$8,1,MOD($A43-1,23)+1)&amp;TEXT(F$2+FLOOR((F$2-1)/9,1),"000"),"")</f>
        <v/>
      </c>
      <c r="G43" s="18" t="str">
        <f>IF(INDEX('Shot Map'!$B$6:$V$26,CEILING($A43/5,1),CEILING(G$2/5,1))=1,INDEX('Serial Reference'!$A$8:$W$8,1,FLOOR(($A43-1)/23,1)+1)&amp;INDEX('Serial Reference'!$A$8:$W$8,1,MOD($A43-1,23)+1)&amp;TEXT(G$2+FLOOR((G$2-1)/9,1),"000"),"")</f>
        <v>BU006</v>
      </c>
      <c r="H43" s="19" t="str">
        <f>IF(INDEX('Shot Map'!$B$6:$V$26,CEILING($A43/5,1),CEILING(H$2/5,1))=1,INDEX('Serial Reference'!$A$8:$W$8,1,FLOOR(($A43-1)/23,1)+1)&amp;INDEX('Serial Reference'!$A$8:$W$8,1,MOD($A43-1,23)+1)&amp;TEXT(H$2+FLOOR((H$2-1)/9,1),"000"),"")</f>
        <v>BU007</v>
      </c>
      <c r="I43" s="19" t="str">
        <f>IF(INDEX('Shot Map'!$B$6:$V$26,CEILING($A43/5,1),CEILING(I$2/5,1))=1,INDEX('Serial Reference'!$A$8:$W$8,1,FLOOR(($A43-1)/23,1)+1)&amp;INDEX('Serial Reference'!$A$8:$W$8,1,MOD($A43-1,23)+1)&amp;TEXT(I$2+FLOOR((I$2-1)/9,1),"000"),"")</f>
        <v>BU008</v>
      </c>
      <c r="J43" s="19" t="str">
        <f>IF(INDEX('Shot Map'!$B$6:$V$26,CEILING($A43/5,1),CEILING(J$2/5,1))=1,INDEX('Serial Reference'!$A$8:$W$8,1,FLOOR(($A43-1)/23,1)+1)&amp;INDEX('Serial Reference'!$A$8:$W$8,1,MOD($A43-1,23)+1)&amp;TEXT(J$2+FLOOR((J$2-1)/9,1),"000"),"")</f>
        <v>BU009</v>
      </c>
      <c r="K43" s="20" t="str">
        <f>IF(INDEX('Shot Map'!$B$6:$V$26,CEILING($A43/5,1),CEILING(K$2/5,1))=1,INDEX('Serial Reference'!$A$8:$W$8,1,FLOOR(($A43-1)/23,1)+1)&amp;INDEX('Serial Reference'!$A$8:$W$8,1,MOD($A43-1,23)+1)&amp;TEXT(K$2+FLOOR((K$2-1)/9,1),"000"),"")</f>
        <v>BU011</v>
      </c>
      <c r="L43" s="18" t="str">
        <f>IF(INDEX('Shot Map'!$B$6:$V$26,CEILING($A43/5,1),CEILING(L$2/5,1))=1,INDEX('Serial Reference'!$A$8:$W$8,1,FLOOR(($A43-1)/23,1)+1)&amp;INDEX('Serial Reference'!$A$8:$W$8,1,MOD($A43-1,23)+1)&amp;TEXT(L$2+FLOOR((L$2-1)/9,1),"000"),"")</f>
        <v>BU012</v>
      </c>
      <c r="M43" s="19" t="str">
        <f>IF(INDEX('Shot Map'!$B$6:$V$26,CEILING($A43/5,1),CEILING(M$2/5,1))=1,INDEX('Serial Reference'!$A$8:$W$8,1,FLOOR(($A43-1)/23,1)+1)&amp;INDEX('Serial Reference'!$A$8:$W$8,1,MOD($A43-1,23)+1)&amp;TEXT(M$2+FLOOR((M$2-1)/9,1),"000"),"")</f>
        <v>BU013</v>
      </c>
      <c r="N43" s="19" t="str">
        <f>IF(INDEX('Shot Map'!$B$6:$V$26,CEILING($A43/5,1),CEILING(N$2/5,1))=1,INDEX('Serial Reference'!$A$8:$W$8,1,FLOOR(($A43-1)/23,1)+1)&amp;INDEX('Serial Reference'!$A$8:$W$8,1,MOD($A43-1,23)+1)&amp;TEXT(N$2+FLOOR((N$2-1)/9,1),"000"),"")</f>
        <v>BU014</v>
      </c>
      <c r="O43" s="19" t="str">
        <f>IF(INDEX('Shot Map'!$B$6:$V$26,CEILING($A43/5,1),CEILING(O$2/5,1))=1,INDEX('Serial Reference'!$A$8:$W$8,1,FLOOR(($A43-1)/23,1)+1)&amp;INDEX('Serial Reference'!$A$8:$W$8,1,MOD($A43-1,23)+1)&amp;TEXT(O$2+FLOOR((O$2-1)/9,1),"000"),"")</f>
        <v>BU015</v>
      </c>
      <c r="P43" s="20" t="str">
        <f>IF(INDEX('Shot Map'!$B$6:$V$26,CEILING($A43/5,1),CEILING(P$2/5,1))=1,INDEX('Serial Reference'!$A$8:$W$8,1,FLOOR(($A43-1)/23,1)+1)&amp;INDEX('Serial Reference'!$A$8:$W$8,1,MOD($A43-1,23)+1)&amp;TEXT(P$2+FLOOR((P$2-1)/9,1),"000"),"")</f>
        <v>BU016</v>
      </c>
      <c r="Q43" s="18" t="str">
        <f>IF(INDEX('Shot Map'!$B$6:$V$26,CEILING($A43/5,1),CEILING(Q$2/5,1))=1,INDEX('Serial Reference'!$A$8:$W$8,1,FLOOR(($A43-1)/23,1)+1)&amp;INDEX('Serial Reference'!$A$8:$W$8,1,MOD($A43-1,23)+1)&amp;TEXT(Q$2+FLOOR((Q$2-1)/9,1),"000"),"")</f>
        <v>BU017</v>
      </c>
      <c r="R43" s="19" t="str">
        <f>IF(INDEX('Shot Map'!$B$6:$V$26,CEILING($A43/5,1),CEILING(R$2/5,1))=1,INDEX('Serial Reference'!$A$8:$W$8,1,FLOOR(($A43-1)/23,1)+1)&amp;INDEX('Serial Reference'!$A$8:$W$8,1,MOD($A43-1,23)+1)&amp;TEXT(R$2+FLOOR((R$2-1)/9,1),"000"),"")</f>
        <v>BU018</v>
      </c>
      <c r="S43" s="19" t="str">
        <f>IF(INDEX('Shot Map'!$B$6:$V$26,CEILING($A43/5,1),CEILING(S$2/5,1))=1,INDEX('Serial Reference'!$A$8:$W$8,1,FLOOR(($A43-1)/23,1)+1)&amp;INDEX('Serial Reference'!$A$8:$W$8,1,MOD($A43-1,23)+1)&amp;TEXT(S$2+FLOOR((S$2-1)/9,1),"000"),"")</f>
        <v>BU019</v>
      </c>
      <c r="T43" s="19" t="str">
        <f>IF(INDEX('Shot Map'!$B$6:$V$26,CEILING($A43/5,1),CEILING(T$2/5,1))=1,INDEX('Serial Reference'!$A$8:$W$8,1,FLOOR(($A43-1)/23,1)+1)&amp;INDEX('Serial Reference'!$A$8:$W$8,1,MOD($A43-1,23)+1)&amp;TEXT(T$2+FLOOR((T$2-1)/9,1),"000"),"")</f>
        <v>BU021</v>
      </c>
      <c r="U43" s="20" t="str">
        <f>IF(INDEX('Shot Map'!$B$6:$V$26,CEILING($A43/5,1),CEILING(U$2/5,1))=1,INDEX('Serial Reference'!$A$8:$W$8,1,FLOOR(($A43-1)/23,1)+1)&amp;INDEX('Serial Reference'!$A$8:$W$8,1,MOD($A43-1,23)+1)&amp;TEXT(U$2+FLOOR((U$2-1)/9,1),"000"),"")</f>
        <v>BU022</v>
      </c>
      <c r="V43" s="18" t="str">
        <f>IF(INDEX('Shot Map'!$B$6:$V$26,CEILING($A43/5,1),CEILING(V$2/5,1))=1,INDEX('Serial Reference'!$A$8:$W$8,1,FLOOR(($A43-1)/23,1)+1)&amp;INDEX('Serial Reference'!$A$8:$W$8,1,MOD($A43-1,23)+1)&amp;TEXT(V$2+FLOOR((V$2-1)/9,1),"000"),"")</f>
        <v>BU023</v>
      </c>
      <c r="W43" s="19" t="str">
        <f>IF(INDEX('Shot Map'!$B$6:$V$26,CEILING($A43/5,1),CEILING(W$2/5,1))=1,INDEX('Serial Reference'!$A$8:$W$8,1,FLOOR(($A43-1)/23,1)+1)&amp;INDEX('Serial Reference'!$A$8:$W$8,1,MOD($A43-1,23)+1)&amp;TEXT(W$2+FLOOR((W$2-1)/9,1),"000"),"")</f>
        <v>BU024</v>
      </c>
      <c r="X43" s="19" t="str">
        <f>IF(INDEX('Shot Map'!$B$6:$V$26,CEILING($A43/5,1),CEILING(X$2/5,1))=1,INDEX('Serial Reference'!$A$8:$W$8,1,FLOOR(($A43-1)/23,1)+1)&amp;INDEX('Serial Reference'!$A$8:$W$8,1,MOD($A43-1,23)+1)&amp;TEXT(X$2+FLOOR((X$2-1)/9,1),"000"),"")</f>
        <v>BU025</v>
      </c>
      <c r="Y43" s="19" t="str">
        <f>IF(INDEX('Shot Map'!$B$6:$V$26,CEILING($A43/5,1),CEILING(Y$2/5,1))=1,INDEX('Serial Reference'!$A$8:$W$8,1,FLOOR(($A43-1)/23,1)+1)&amp;INDEX('Serial Reference'!$A$8:$W$8,1,MOD($A43-1,23)+1)&amp;TEXT(Y$2+FLOOR((Y$2-1)/9,1),"000"),"")</f>
        <v>BU026</v>
      </c>
      <c r="Z43" s="20" t="str">
        <f>IF(INDEX('Shot Map'!$B$6:$V$26,CEILING($A43/5,1),CEILING(Z$2/5,1))=1,INDEX('Serial Reference'!$A$8:$W$8,1,FLOOR(($A43-1)/23,1)+1)&amp;INDEX('Serial Reference'!$A$8:$W$8,1,MOD($A43-1,23)+1)&amp;TEXT(Z$2+FLOOR((Z$2-1)/9,1),"000"),"")</f>
        <v>BU027</v>
      </c>
      <c r="AA43" s="18" t="str">
        <f>IF(INDEX('Shot Map'!$B$6:$V$26,CEILING($A43/5,1),CEILING(AA$2/5,1))=1,INDEX('Serial Reference'!$A$8:$W$8,1,FLOOR(($A43-1)/23,1)+1)&amp;INDEX('Serial Reference'!$A$8:$W$8,1,MOD($A43-1,23)+1)&amp;TEXT(AA$2+FLOOR((AA$2-1)/9,1),"000"),"")</f>
        <v>BU028</v>
      </c>
      <c r="AB43" s="19" t="str">
        <f>IF(INDEX('Shot Map'!$B$6:$V$26,CEILING($A43/5,1),CEILING(AB$2/5,1))=1,INDEX('Serial Reference'!$A$8:$W$8,1,FLOOR(($A43-1)/23,1)+1)&amp;INDEX('Serial Reference'!$A$8:$W$8,1,MOD($A43-1,23)+1)&amp;TEXT(AB$2+FLOOR((AB$2-1)/9,1),"000"),"")</f>
        <v>BU029</v>
      </c>
      <c r="AC43" s="19" t="str">
        <f>IF(INDEX('Shot Map'!$B$6:$V$26,CEILING($A43/5,1),CEILING(AC$2/5,1))=1,INDEX('Serial Reference'!$A$8:$W$8,1,FLOOR(($A43-1)/23,1)+1)&amp;INDEX('Serial Reference'!$A$8:$W$8,1,MOD($A43-1,23)+1)&amp;TEXT(AC$2+FLOOR((AC$2-1)/9,1),"000"),"")</f>
        <v>BU031</v>
      </c>
      <c r="AD43" s="19" t="str">
        <f>IF(INDEX('Shot Map'!$B$6:$V$26,CEILING($A43/5,1),CEILING(AD$2/5,1))=1,INDEX('Serial Reference'!$A$8:$W$8,1,FLOOR(($A43-1)/23,1)+1)&amp;INDEX('Serial Reference'!$A$8:$W$8,1,MOD($A43-1,23)+1)&amp;TEXT(AD$2+FLOOR((AD$2-1)/9,1),"000"),"")</f>
        <v>BU032</v>
      </c>
      <c r="AE43" s="20" t="str">
        <f>IF(INDEX('Shot Map'!$B$6:$V$26,CEILING($A43/5,1),CEILING(AE$2/5,1))=1,INDEX('Serial Reference'!$A$8:$W$8,1,FLOOR(($A43-1)/23,1)+1)&amp;INDEX('Serial Reference'!$A$8:$W$8,1,MOD($A43-1,23)+1)&amp;TEXT(AE$2+FLOOR((AE$2-1)/9,1),"000"),"")</f>
        <v>BU033</v>
      </c>
      <c r="AF43" s="18" t="str">
        <f>IF(INDEX('Shot Map'!$B$6:$V$26,CEILING($A43/5,1),CEILING(AF$2/5,1))=1,INDEX('Serial Reference'!$A$8:$W$8,1,FLOOR(($A43-1)/23,1)+1)&amp;INDEX('Serial Reference'!$A$8:$W$8,1,MOD($A43-1,23)+1)&amp;TEXT(AF$2+FLOOR((AF$2-1)/9,1),"000"),"")</f>
        <v>BU034</v>
      </c>
      <c r="AG43" s="19" t="str">
        <f>IF(INDEX('Shot Map'!$B$6:$V$26,CEILING($A43/5,1),CEILING(AG$2/5,1))=1,INDEX('Serial Reference'!$A$8:$W$8,1,FLOOR(($A43-1)/23,1)+1)&amp;INDEX('Serial Reference'!$A$8:$W$8,1,MOD($A43-1,23)+1)&amp;TEXT(AG$2+FLOOR((AG$2-1)/9,1),"000"),"")</f>
        <v>BU035</v>
      </c>
      <c r="AH43" s="19" t="str">
        <f>IF(INDEX('Shot Map'!$B$6:$V$26,CEILING($A43/5,1),CEILING(AH$2/5,1))=1,INDEX('Serial Reference'!$A$8:$W$8,1,FLOOR(($A43-1)/23,1)+1)&amp;INDEX('Serial Reference'!$A$8:$W$8,1,MOD($A43-1,23)+1)&amp;TEXT(AH$2+FLOOR((AH$2-1)/9,1),"000"),"")</f>
        <v>BU036</v>
      </c>
      <c r="AI43" s="19" t="str">
        <f>IF(INDEX('Shot Map'!$B$6:$V$26,CEILING($A43/5,1),CEILING(AI$2/5,1))=1,INDEX('Serial Reference'!$A$8:$W$8,1,FLOOR(($A43-1)/23,1)+1)&amp;INDEX('Serial Reference'!$A$8:$W$8,1,MOD($A43-1,23)+1)&amp;TEXT(AI$2+FLOOR((AI$2-1)/9,1),"000"),"")</f>
        <v>BU037</v>
      </c>
      <c r="AJ43" s="20" t="str">
        <f>IF(INDEX('Shot Map'!$B$6:$V$26,CEILING($A43/5,1),CEILING(AJ$2/5,1))=1,INDEX('Serial Reference'!$A$8:$W$8,1,FLOOR(($A43-1)/23,1)+1)&amp;INDEX('Serial Reference'!$A$8:$W$8,1,MOD($A43-1,23)+1)&amp;TEXT(AJ$2+FLOOR((AJ$2-1)/9,1),"000"),"")</f>
        <v>BU038</v>
      </c>
      <c r="AK43" s="18" t="str">
        <f>IF(INDEX('Shot Map'!$B$6:$V$26,CEILING($A43/5,1),CEILING(AK$2/5,1))=1,INDEX('Serial Reference'!$A$8:$W$8,1,FLOOR(($A43-1)/23,1)+1)&amp;INDEX('Serial Reference'!$A$8:$W$8,1,MOD($A43-1,23)+1)&amp;TEXT(AK$2+FLOOR((AK$2-1)/9,1),"000"),"")</f>
        <v>BU039</v>
      </c>
      <c r="AL43" s="19" t="str">
        <f>IF(INDEX('Shot Map'!$B$6:$V$26,CEILING($A43/5,1),CEILING(AL$2/5,1))=1,INDEX('Serial Reference'!$A$8:$W$8,1,FLOOR(($A43-1)/23,1)+1)&amp;INDEX('Serial Reference'!$A$8:$W$8,1,MOD($A43-1,23)+1)&amp;TEXT(AL$2+FLOOR((AL$2-1)/9,1),"000"),"")</f>
        <v>BU041</v>
      </c>
      <c r="AM43" s="19" t="str">
        <f>IF(INDEX('Shot Map'!$B$6:$V$26,CEILING($A43/5,1),CEILING(AM$2/5,1))=1,INDEX('Serial Reference'!$A$8:$W$8,1,FLOOR(($A43-1)/23,1)+1)&amp;INDEX('Serial Reference'!$A$8:$W$8,1,MOD($A43-1,23)+1)&amp;TEXT(AM$2+FLOOR((AM$2-1)/9,1),"000"),"")</f>
        <v>BU042</v>
      </c>
      <c r="AN43" s="19" t="str">
        <f>IF(INDEX('Shot Map'!$B$6:$V$26,CEILING($A43/5,1),CEILING(AN$2/5,1))=1,INDEX('Serial Reference'!$A$8:$W$8,1,FLOOR(($A43-1)/23,1)+1)&amp;INDEX('Serial Reference'!$A$8:$W$8,1,MOD($A43-1,23)+1)&amp;TEXT(AN$2+FLOOR((AN$2-1)/9,1),"000"),"")</f>
        <v>BU043</v>
      </c>
      <c r="AO43" s="20" t="str">
        <f>IF(INDEX('Shot Map'!$B$6:$V$26,CEILING($A43/5,1),CEILING(AO$2/5,1))=1,INDEX('Serial Reference'!$A$8:$W$8,1,FLOOR(($A43-1)/23,1)+1)&amp;INDEX('Serial Reference'!$A$8:$W$8,1,MOD($A43-1,23)+1)&amp;TEXT(AO$2+FLOOR((AO$2-1)/9,1),"000"),"")</f>
        <v>BU044</v>
      </c>
      <c r="AP43" s="18" t="str">
        <f>IF(INDEX('Shot Map'!$B$6:$V$26,CEILING($A43/5,1),CEILING(AP$2/5,1))=1,INDEX('Serial Reference'!$A$8:$W$8,1,FLOOR(($A43-1)/23,1)+1)&amp;INDEX('Serial Reference'!$A$8:$W$8,1,MOD($A43-1,23)+1)&amp;TEXT(AP$2+FLOOR((AP$2-1)/9,1),"000"),"")</f>
        <v>BU045</v>
      </c>
      <c r="AQ43" s="19" t="str">
        <f>IF(INDEX('Shot Map'!$B$6:$V$26,CEILING($A43/5,1),CEILING(AQ$2/5,1))=1,INDEX('Serial Reference'!$A$8:$W$8,1,FLOOR(($A43-1)/23,1)+1)&amp;INDEX('Serial Reference'!$A$8:$W$8,1,MOD($A43-1,23)+1)&amp;TEXT(AQ$2+FLOOR((AQ$2-1)/9,1),"000"),"")</f>
        <v>BU046</v>
      </c>
      <c r="AR43" s="19" t="str">
        <f>IF(INDEX('Shot Map'!$B$6:$V$26,CEILING($A43/5,1),CEILING(AR$2/5,1))=1,INDEX('Serial Reference'!$A$8:$W$8,1,FLOOR(($A43-1)/23,1)+1)&amp;INDEX('Serial Reference'!$A$8:$W$8,1,MOD($A43-1,23)+1)&amp;TEXT(AR$2+FLOOR((AR$2-1)/9,1),"000"),"")</f>
        <v>BU047</v>
      </c>
      <c r="AS43" s="19" t="str">
        <f>IF(INDEX('Shot Map'!$B$6:$V$26,CEILING($A43/5,1),CEILING(AS$2/5,1))=1,INDEX('Serial Reference'!$A$8:$W$8,1,FLOOR(($A43-1)/23,1)+1)&amp;INDEX('Serial Reference'!$A$8:$W$8,1,MOD($A43-1,23)+1)&amp;TEXT(AS$2+FLOOR((AS$2-1)/9,1),"000"),"")</f>
        <v>BU048</v>
      </c>
      <c r="AT43" s="20" t="str">
        <f>IF(INDEX('Shot Map'!$B$6:$V$26,CEILING($A43/5,1),CEILING(AT$2/5,1))=1,INDEX('Serial Reference'!$A$8:$W$8,1,FLOOR(($A43-1)/23,1)+1)&amp;INDEX('Serial Reference'!$A$8:$W$8,1,MOD($A43-1,23)+1)&amp;TEXT(AT$2+FLOOR((AT$2-1)/9,1),"000"),"")</f>
        <v>BU049</v>
      </c>
      <c r="AU43" s="18" t="str">
        <f>IF(INDEX('Shot Map'!$B$6:$V$26,CEILING($A43/5,1),CEILING(AU$2/5,1))=1,INDEX('Serial Reference'!$A$8:$W$8,1,FLOOR(($A43-1)/23,1)+1)&amp;INDEX('Serial Reference'!$A$8:$W$8,1,MOD($A43-1,23)+1)&amp;TEXT(AU$2+FLOOR((AU$2-1)/9,1),"000"),"")</f>
        <v>BU051</v>
      </c>
      <c r="AV43" s="19" t="str">
        <f>IF(INDEX('Shot Map'!$B$6:$V$26,CEILING($A43/5,1),CEILING(AV$2/5,1))=1,INDEX('Serial Reference'!$A$8:$W$8,1,FLOOR(($A43-1)/23,1)+1)&amp;INDEX('Serial Reference'!$A$8:$W$8,1,MOD($A43-1,23)+1)&amp;TEXT(AV$2+FLOOR((AV$2-1)/9,1),"000"),"")</f>
        <v>BU052</v>
      </c>
      <c r="AW43" s="19" t="str">
        <f>IF(INDEX('Shot Map'!$B$6:$V$26,CEILING($A43/5,1),CEILING(AW$2/5,1))=1,INDEX('Serial Reference'!$A$8:$W$8,1,FLOOR(($A43-1)/23,1)+1)&amp;INDEX('Serial Reference'!$A$8:$W$8,1,MOD($A43-1,23)+1)&amp;TEXT(AW$2+FLOOR((AW$2-1)/9,1),"000"),"")</f>
        <v>BU053</v>
      </c>
      <c r="AX43" s="19" t="str">
        <f>IF(INDEX('Shot Map'!$B$6:$V$26,CEILING($A43/5,1),CEILING(AX$2/5,1))=1,INDEX('Serial Reference'!$A$8:$W$8,1,FLOOR(($A43-1)/23,1)+1)&amp;INDEX('Serial Reference'!$A$8:$W$8,1,MOD($A43-1,23)+1)&amp;TEXT(AX$2+FLOOR((AX$2-1)/9,1),"000"),"")</f>
        <v>BU054</v>
      </c>
      <c r="AY43" s="20" t="str">
        <f>IF(INDEX('Shot Map'!$B$6:$V$26,CEILING($A43/5,1),CEILING(AY$2/5,1))=1,INDEX('Serial Reference'!$A$8:$W$8,1,FLOOR(($A43-1)/23,1)+1)&amp;INDEX('Serial Reference'!$A$8:$W$8,1,MOD($A43-1,23)+1)&amp;TEXT(AY$2+FLOOR((AY$2-1)/9,1),"000"),"")</f>
        <v>BU055</v>
      </c>
      <c r="AZ43" s="18" t="str">
        <f>IF(INDEX('Shot Map'!$B$6:$V$26,CEILING($A43/5,1),CEILING(AZ$2/5,1))=1,INDEX('Serial Reference'!$A$8:$W$8,1,FLOOR(($A43-1)/23,1)+1)&amp;INDEX('Serial Reference'!$A$8:$W$8,1,MOD($A43-1,23)+1)&amp;TEXT(AZ$2+FLOOR((AZ$2-1)/9,1),"000"),"")</f>
        <v>BU056</v>
      </c>
      <c r="BA43" s="19" t="str">
        <f>IF(INDEX('Shot Map'!$B$6:$V$26,CEILING($A43/5,1),CEILING(BA$2/5,1))=1,INDEX('Serial Reference'!$A$8:$W$8,1,FLOOR(($A43-1)/23,1)+1)&amp;INDEX('Serial Reference'!$A$8:$W$8,1,MOD($A43-1,23)+1)&amp;TEXT(BA$2+FLOOR((BA$2-1)/9,1),"000"),"")</f>
        <v>BU057</v>
      </c>
      <c r="BB43" s="19" t="str">
        <f>IF(INDEX('Shot Map'!$B$6:$V$26,CEILING($A43/5,1),CEILING(BB$2/5,1))=1,INDEX('Serial Reference'!$A$8:$W$8,1,FLOOR(($A43-1)/23,1)+1)&amp;INDEX('Serial Reference'!$A$8:$W$8,1,MOD($A43-1,23)+1)&amp;TEXT(BB$2+FLOOR((BB$2-1)/9,1),"000"),"")</f>
        <v>BU058</v>
      </c>
      <c r="BC43" s="19" t="str">
        <f>IF(INDEX('Shot Map'!$B$6:$V$26,CEILING($A43/5,1),CEILING(BC$2/5,1))=1,INDEX('Serial Reference'!$A$8:$W$8,1,FLOOR(($A43-1)/23,1)+1)&amp;INDEX('Serial Reference'!$A$8:$W$8,1,MOD($A43-1,23)+1)&amp;TEXT(BC$2+FLOOR((BC$2-1)/9,1),"000"),"")</f>
        <v>BU059</v>
      </c>
      <c r="BD43" s="20" t="str">
        <f>IF(INDEX('Shot Map'!$B$6:$V$26,CEILING($A43/5,1),CEILING(BD$2/5,1))=1,INDEX('Serial Reference'!$A$8:$W$8,1,FLOOR(($A43-1)/23,1)+1)&amp;INDEX('Serial Reference'!$A$8:$W$8,1,MOD($A43-1,23)+1)&amp;TEXT(BD$2+FLOOR((BD$2-1)/9,1),"000"),"")</f>
        <v>BU061</v>
      </c>
      <c r="BE43" s="18" t="str">
        <f>IF(INDEX('Shot Map'!$B$6:$V$26,CEILING($A43/5,1),CEILING(BE$2/5,1))=1,INDEX('Serial Reference'!$A$8:$W$8,1,FLOOR(($A43-1)/23,1)+1)&amp;INDEX('Serial Reference'!$A$8:$W$8,1,MOD($A43-1,23)+1)&amp;TEXT(BE$2+FLOOR((BE$2-1)/9,1),"000"),"")</f>
        <v>BU062</v>
      </c>
      <c r="BF43" s="19" t="str">
        <f>IF(INDEX('Shot Map'!$B$6:$V$26,CEILING($A43/5,1),CEILING(BF$2/5,1))=1,INDEX('Serial Reference'!$A$8:$W$8,1,FLOOR(($A43-1)/23,1)+1)&amp;INDEX('Serial Reference'!$A$8:$W$8,1,MOD($A43-1,23)+1)&amp;TEXT(BF$2+FLOOR((BF$2-1)/9,1),"000"),"")</f>
        <v>BU063</v>
      </c>
      <c r="BG43" s="19" t="str">
        <f>IF(INDEX('Shot Map'!$B$6:$V$26,CEILING($A43/5,1),CEILING(BG$2/5,1))=1,INDEX('Serial Reference'!$A$8:$W$8,1,FLOOR(($A43-1)/23,1)+1)&amp;INDEX('Serial Reference'!$A$8:$W$8,1,MOD($A43-1,23)+1)&amp;TEXT(BG$2+FLOOR((BG$2-1)/9,1),"000"),"")</f>
        <v>BU064</v>
      </c>
      <c r="BH43" s="19" t="str">
        <f>IF(INDEX('Shot Map'!$B$6:$V$26,CEILING($A43/5,1),CEILING(BH$2/5,1))=1,INDEX('Serial Reference'!$A$8:$W$8,1,FLOOR(($A43-1)/23,1)+1)&amp;INDEX('Serial Reference'!$A$8:$W$8,1,MOD($A43-1,23)+1)&amp;TEXT(BH$2+FLOOR((BH$2-1)/9,1),"000"),"")</f>
        <v>BU065</v>
      </c>
      <c r="BI43" s="20" t="str">
        <f>IF(INDEX('Shot Map'!$B$6:$V$26,CEILING($A43/5,1),CEILING(BI$2/5,1))=1,INDEX('Serial Reference'!$A$8:$W$8,1,FLOOR(($A43-1)/23,1)+1)&amp;INDEX('Serial Reference'!$A$8:$W$8,1,MOD($A43-1,23)+1)&amp;TEXT(BI$2+FLOOR((BI$2-1)/9,1),"000"),"")</f>
        <v>BU066</v>
      </c>
      <c r="BJ43" s="18" t="str">
        <f>IF(INDEX('Shot Map'!$B$6:$V$26,CEILING($A43/5,1),CEILING(BJ$2/5,1))=1,INDEX('Serial Reference'!$A$8:$W$8,1,FLOOR(($A43-1)/23,1)+1)&amp;INDEX('Serial Reference'!$A$8:$W$8,1,MOD($A43-1,23)+1)&amp;TEXT(BJ$2+FLOOR((BJ$2-1)/9,1),"000"),"")</f>
        <v>BU067</v>
      </c>
      <c r="BK43" s="19" t="str">
        <f>IF(INDEX('Shot Map'!$B$6:$V$26,CEILING($A43/5,1),CEILING(BK$2/5,1))=1,INDEX('Serial Reference'!$A$8:$W$8,1,FLOOR(($A43-1)/23,1)+1)&amp;INDEX('Serial Reference'!$A$8:$W$8,1,MOD($A43-1,23)+1)&amp;TEXT(BK$2+FLOOR((BK$2-1)/9,1),"000"),"")</f>
        <v>BU068</v>
      </c>
      <c r="BL43" s="19" t="str">
        <f>IF(INDEX('Shot Map'!$B$6:$V$26,CEILING($A43/5,1),CEILING(BL$2/5,1))=1,INDEX('Serial Reference'!$A$8:$W$8,1,FLOOR(($A43-1)/23,1)+1)&amp;INDEX('Serial Reference'!$A$8:$W$8,1,MOD($A43-1,23)+1)&amp;TEXT(BL$2+FLOOR((BL$2-1)/9,1),"000"),"")</f>
        <v>BU069</v>
      </c>
      <c r="BM43" s="19" t="str">
        <f>IF(INDEX('Shot Map'!$B$6:$V$26,CEILING($A43/5,1),CEILING(BM$2/5,1))=1,INDEX('Serial Reference'!$A$8:$W$8,1,FLOOR(($A43-1)/23,1)+1)&amp;INDEX('Serial Reference'!$A$8:$W$8,1,MOD($A43-1,23)+1)&amp;TEXT(BM$2+FLOOR((BM$2-1)/9,1),"000"),"")</f>
        <v>BU071</v>
      </c>
      <c r="BN43" s="20" t="str">
        <f>IF(INDEX('Shot Map'!$B$6:$V$26,CEILING($A43/5,1),CEILING(BN$2/5,1))=1,INDEX('Serial Reference'!$A$8:$W$8,1,FLOOR(($A43-1)/23,1)+1)&amp;INDEX('Serial Reference'!$A$8:$W$8,1,MOD($A43-1,23)+1)&amp;TEXT(BN$2+FLOOR((BN$2-1)/9,1),"000"),"")</f>
        <v>BU072</v>
      </c>
      <c r="BO43" s="18" t="str">
        <f>IF(INDEX('Shot Map'!$B$6:$V$26,CEILING($A43/5,1),CEILING(BO$2/5,1))=1,INDEX('Serial Reference'!$A$8:$W$8,1,FLOOR(($A43-1)/23,1)+1)&amp;INDEX('Serial Reference'!$A$8:$W$8,1,MOD($A43-1,23)+1)&amp;TEXT(BO$2+FLOOR((BO$2-1)/9,1),"000"),"")</f>
        <v>BU073</v>
      </c>
      <c r="BP43" s="19" t="str">
        <f>IF(INDEX('Shot Map'!$B$6:$V$26,CEILING($A43/5,1),CEILING(BP$2/5,1))=1,INDEX('Serial Reference'!$A$8:$W$8,1,FLOOR(($A43-1)/23,1)+1)&amp;INDEX('Serial Reference'!$A$8:$W$8,1,MOD($A43-1,23)+1)&amp;TEXT(BP$2+FLOOR((BP$2-1)/9,1),"000"),"")</f>
        <v>BU074</v>
      </c>
      <c r="BQ43" s="19" t="str">
        <f>IF(INDEX('Shot Map'!$B$6:$V$26,CEILING($A43/5,1),CEILING(BQ$2/5,1))=1,INDEX('Serial Reference'!$A$8:$W$8,1,FLOOR(($A43-1)/23,1)+1)&amp;INDEX('Serial Reference'!$A$8:$W$8,1,MOD($A43-1,23)+1)&amp;TEXT(BQ$2+FLOOR((BQ$2-1)/9,1),"000"),"")</f>
        <v>BU075</v>
      </c>
      <c r="BR43" s="19" t="str">
        <f>IF(INDEX('Shot Map'!$B$6:$V$26,CEILING($A43/5,1),CEILING(BR$2/5,1))=1,INDEX('Serial Reference'!$A$8:$W$8,1,FLOOR(($A43-1)/23,1)+1)&amp;INDEX('Serial Reference'!$A$8:$W$8,1,MOD($A43-1,23)+1)&amp;TEXT(BR$2+FLOOR((BR$2-1)/9,1),"000"),"")</f>
        <v>BU076</v>
      </c>
      <c r="BS43" s="20" t="str">
        <f>IF(INDEX('Shot Map'!$B$6:$V$26,CEILING($A43/5,1),CEILING(BS$2/5,1))=1,INDEX('Serial Reference'!$A$8:$W$8,1,FLOOR(($A43-1)/23,1)+1)&amp;INDEX('Serial Reference'!$A$8:$W$8,1,MOD($A43-1,23)+1)&amp;TEXT(BS$2+FLOOR((BS$2-1)/9,1),"000"),"")</f>
        <v>BU077</v>
      </c>
      <c r="BT43" s="18" t="str">
        <f>IF(INDEX('Shot Map'!$B$6:$V$26,CEILING($A43/5,1),CEILING(BT$2/5,1))=1,INDEX('Serial Reference'!$A$8:$W$8,1,FLOOR(($A43-1)/23,1)+1)&amp;INDEX('Serial Reference'!$A$8:$W$8,1,MOD($A43-1,23)+1)&amp;TEXT(BT$2+FLOOR((BT$2-1)/9,1),"000"),"")</f>
        <v>BU078</v>
      </c>
      <c r="BU43" s="19" t="str">
        <f>IF(INDEX('Shot Map'!$B$6:$V$26,CEILING($A43/5,1),CEILING(BU$2/5,1))=1,INDEX('Serial Reference'!$A$8:$W$8,1,FLOOR(($A43-1)/23,1)+1)&amp;INDEX('Serial Reference'!$A$8:$W$8,1,MOD($A43-1,23)+1)&amp;TEXT(BU$2+FLOOR((BU$2-1)/9,1),"000"),"")</f>
        <v>BU079</v>
      </c>
      <c r="BV43" s="19" t="str">
        <f>IF(INDEX('Shot Map'!$B$6:$V$26,CEILING($A43/5,1),CEILING(BV$2/5,1))=1,INDEX('Serial Reference'!$A$8:$W$8,1,FLOOR(($A43-1)/23,1)+1)&amp;INDEX('Serial Reference'!$A$8:$W$8,1,MOD($A43-1,23)+1)&amp;TEXT(BV$2+FLOOR((BV$2-1)/9,1),"000"),"")</f>
        <v>BU081</v>
      </c>
      <c r="BW43" s="19" t="str">
        <f>IF(INDEX('Shot Map'!$B$6:$V$26,CEILING($A43/5,1),CEILING(BW$2/5,1))=1,INDEX('Serial Reference'!$A$8:$W$8,1,FLOOR(($A43-1)/23,1)+1)&amp;INDEX('Serial Reference'!$A$8:$W$8,1,MOD($A43-1,23)+1)&amp;TEXT(BW$2+FLOOR((BW$2-1)/9,1),"000"),"")</f>
        <v>BU082</v>
      </c>
      <c r="BX43" s="20" t="str">
        <f>IF(INDEX('Shot Map'!$B$6:$V$26,CEILING($A43/5,1),CEILING(BX$2/5,1))=1,INDEX('Serial Reference'!$A$8:$W$8,1,FLOOR(($A43-1)/23,1)+1)&amp;INDEX('Serial Reference'!$A$8:$W$8,1,MOD($A43-1,23)+1)&amp;TEXT(BX$2+FLOOR((BX$2-1)/9,1),"000"),"")</f>
        <v>BU083</v>
      </c>
      <c r="BY43" s="18" t="str">
        <f>IF(INDEX('Shot Map'!$B$6:$V$26,CEILING($A43/5,1),CEILING(BY$2/5,1))=1,INDEX('Serial Reference'!$A$8:$W$8,1,FLOOR(($A43-1)/23,1)+1)&amp;INDEX('Serial Reference'!$A$8:$W$8,1,MOD($A43-1,23)+1)&amp;TEXT(BY$2+FLOOR((BY$2-1)/9,1),"000"),"")</f>
        <v>BU084</v>
      </c>
      <c r="BZ43" s="19" t="str">
        <f>IF(INDEX('Shot Map'!$B$6:$V$26,CEILING($A43/5,1),CEILING(BZ$2/5,1))=1,INDEX('Serial Reference'!$A$8:$W$8,1,FLOOR(($A43-1)/23,1)+1)&amp;INDEX('Serial Reference'!$A$8:$W$8,1,MOD($A43-1,23)+1)&amp;TEXT(BZ$2+FLOOR((BZ$2-1)/9,1),"000"),"")</f>
        <v>BU085</v>
      </c>
      <c r="CA43" s="19" t="str">
        <f>IF(INDEX('Shot Map'!$B$6:$V$26,CEILING($A43/5,1),CEILING(CA$2/5,1))=1,INDEX('Serial Reference'!$A$8:$W$8,1,FLOOR(($A43-1)/23,1)+1)&amp;INDEX('Serial Reference'!$A$8:$W$8,1,MOD($A43-1,23)+1)&amp;TEXT(CA$2+FLOOR((CA$2-1)/9,1),"000"),"")</f>
        <v>BU086</v>
      </c>
      <c r="CB43" s="19" t="str">
        <f>IF(INDEX('Shot Map'!$B$6:$V$26,CEILING($A43/5,1),CEILING(CB$2/5,1))=1,INDEX('Serial Reference'!$A$8:$W$8,1,FLOOR(($A43-1)/23,1)+1)&amp;INDEX('Serial Reference'!$A$8:$W$8,1,MOD($A43-1,23)+1)&amp;TEXT(CB$2+FLOOR((CB$2-1)/9,1),"000"),"")</f>
        <v>BU087</v>
      </c>
      <c r="CC43" s="20" t="str">
        <f>IF(INDEX('Shot Map'!$B$6:$V$26,CEILING($A43/5,1),CEILING(CC$2/5,1))=1,INDEX('Serial Reference'!$A$8:$W$8,1,FLOOR(($A43-1)/23,1)+1)&amp;INDEX('Serial Reference'!$A$8:$W$8,1,MOD($A43-1,23)+1)&amp;TEXT(CC$2+FLOOR((CC$2-1)/9,1),"000"),"")</f>
        <v>BU088</v>
      </c>
      <c r="CD43" s="18" t="str">
        <f>IF(INDEX('Shot Map'!$B$6:$V$26,CEILING($A43/5,1),CEILING(CD$2/5,1))=1,INDEX('Serial Reference'!$A$8:$W$8,1,FLOOR(($A43-1)/23,1)+1)&amp;INDEX('Serial Reference'!$A$8:$W$8,1,MOD($A43-1,23)+1)&amp;TEXT(CD$2+FLOOR((CD$2-1)/9,1),"000"),"")</f>
        <v>BU089</v>
      </c>
      <c r="CE43" s="19" t="str">
        <f>IF(INDEX('Shot Map'!$B$6:$V$26,CEILING($A43/5,1),CEILING(CE$2/5,1))=1,INDEX('Serial Reference'!$A$8:$W$8,1,FLOOR(($A43-1)/23,1)+1)&amp;INDEX('Serial Reference'!$A$8:$W$8,1,MOD($A43-1,23)+1)&amp;TEXT(CE$2+FLOOR((CE$2-1)/9,1),"000"),"")</f>
        <v>BU091</v>
      </c>
      <c r="CF43" s="19" t="str">
        <f>IF(INDEX('Shot Map'!$B$6:$V$26,CEILING($A43/5,1),CEILING(CF$2/5,1))=1,INDEX('Serial Reference'!$A$8:$W$8,1,FLOOR(($A43-1)/23,1)+1)&amp;INDEX('Serial Reference'!$A$8:$W$8,1,MOD($A43-1,23)+1)&amp;TEXT(CF$2+FLOOR((CF$2-1)/9,1),"000"),"")</f>
        <v>BU092</v>
      </c>
      <c r="CG43" s="19" t="str">
        <f>IF(INDEX('Shot Map'!$B$6:$V$26,CEILING($A43/5,1),CEILING(CG$2/5,1))=1,INDEX('Serial Reference'!$A$8:$W$8,1,FLOOR(($A43-1)/23,1)+1)&amp;INDEX('Serial Reference'!$A$8:$W$8,1,MOD($A43-1,23)+1)&amp;TEXT(CG$2+FLOOR((CG$2-1)/9,1),"000"),"")</f>
        <v>BU093</v>
      </c>
      <c r="CH43" s="20" t="str">
        <f>IF(INDEX('Shot Map'!$B$6:$V$26,CEILING($A43/5,1),CEILING(CH$2/5,1))=1,INDEX('Serial Reference'!$A$8:$W$8,1,FLOOR(($A43-1)/23,1)+1)&amp;INDEX('Serial Reference'!$A$8:$W$8,1,MOD($A43-1,23)+1)&amp;TEXT(CH$2+FLOOR((CH$2-1)/9,1),"000"),"")</f>
        <v>BU094</v>
      </c>
      <c r="CI43" s="18" t="str">
        <f>IF(INDEX('Shot Map'!$B$6:$V$26,CEILING($A43/5,1),CEILING(CI$2/5,1))=1,INDEX('Serial Reference'!$A$8:$W$8,1,FLOOR(($A43-1)/23,1)+1)&amp;INDEX('Serial Reference'!$A$8:$W$8,1,MOD($A43-1,23)+1)&amp;TEXT(CI$2+FLOOR((CI$2-1)/9,1),"000"),"")</f>
        <v>BU095</v>
      </c>
      <c r="CJ43" s="19" t="str">
        <f>IF(INDEX('Shot Map'!$B$6:$V$26,CEILING($A43/5,1),CEILING(CJ$2/5,1))=1,INDEX('Serial Reference'!$A$8:$W$8,1,FLOOR(($A43-1)/23,1)+1)&amp;INDEX('Serial Reference'!$A$8:$W$8,1,MOD($A43-1,23)+1)&amp;TEXT(CJ$2+FLOOR((CJ$2-1)/9,1),"000"),"")</f>
        <v>BU096</v>
      </c>
      <c r="CK43" s="19" t="str">
        <f>IF(INDEX('Shot Map'!$B$6:$V$26,CEILING($A43/5,1),CEILING(CK$2/5,1))=1,INDEX('Serial Reference'!$A$8:$W$8,1,FLOOR(($A43-1)/23,1)+1)&amp;INDEX('Serial Reference'!$A$8:$W$8,1,MOD($A43-1,23)+1)&amp;TEXT(CK$2+FLOOR((CK$2-1)/9,1),"000"),"")</f>
        <v>BU097</v>
      </c>
      <c r="CL43" s="19" t="str">
        <f>IF(INDEX('Shot Map'!$B$6:$V$26,CEILING($A43/5,1),CEILING(CL$2/5,1))=1,INDEX('Serial Reference'!$A$8:$W$8,1,FLOOR(($A43-1)/23,1)+1)&amp;INDEX('Serial Reference'!$A$8:$W$8,1,MOD($A43-1,23)+1)&amp;TEXT(CL$2+FLOOR((CL$2-1)/9,1),"000"),"")</f>
        <v>BU098</v>
      </c>
      <c r="CM43" s="20" t="str">
        <f>IF(INDEX('Shot Map'!$B$6:$V$26,CEILING($A43/5,1),CEILING(CM$2/5,1))=1,INDEX('Serial Reference'!$A$8:$W$8,1,FLOOR(($A43-1)/23,1)+1)&amp;INDEX('Serial Reference'!$A$8:$W$8,1,MOD($A43-1,23)+1)&amp;TEXT(CM$2+FLOOR((CM$2-1)/9,1),"000"),"")</f>
        <v>BU099</v>
      </c>
      <c r="CN43" s="18" t="str">
        <f>IF(INDEX('Shot Map'!$B$6:$V$26,CEILING($A43/5,1),CEILING(CN$2/5,1))=1,INDEX('Serial Reference'!$A$8:$W$8,1,FLOOR(($A43-1)/23,1)+1)&amp;INDEX('Serial Reference'!$A$8:$W$8,1,MOD($A43-1,23)+1)&amp;TEXT(CN$2+FLOOR((CN$2-1)/9,1),"000"),"")</f>
        <v>BU101</v>
      </c>
      <c r="CO43" s="19" t="str">
        <f>IF(INDEX('Shot Map'!$B$6:$V$26,CEILING($A43/5,1),CEILING(CO$2/5,1))=1,INDEX('Serial Reference'!$A$8:$W$8,1,FLOOR(($A43-1)/23,1)+1)&amp;INDEX('Serial Reference'!$A$8:$W$8,1,MOD($A43-1,23)+1)&amp;TEXT(CO$2+FLOOR((CO$2-1)/9,1),"000"),"")</f>
        <v>BU102</v>
      </c>
      <c r="CP43" s="19" t="str">
        <f>IF(INDEX('Shot Map'!$B$6:$V$26,CEILING($A43/5,1),CEILING(CP$2/5,1))=1,INDEX('Serial Reference'!$A$8:$W$8,1,FLOOR(($A43-1)/23,1)+1)&amp;INDEX('Serial Reference'!$A$8:$W$8,1,MOD($A43-1,23)+1)&amp;TEXT(CP$2+FLOOR((CP$2-1)/9,1),"000"),"")</f>
        <v>BU103</v>
      </c>
      <c r="CQ43" s="19" t="str">
        <f>IF(INDEX('Shot Map'!$B$6:$V$26,CEILING($A43/5,1),CEILING(CQ$2/5,1))=1,INDEX('Serial Reference'!$A$8:$W$8,1,FLOOR(($A43-1)/23,1)+1)&amp;INDEX('Serial Reference'!$A$8:$W$8,1,MOD($A43-1,23)+1)&amp;TEXT(CQ$2+FLOOR((CQ$2-1)/9,1),"000"),"")</f>
        <v>BU104</v>
      </c>
      <c r="CR43" s="20" t="str">
        <f>IF(INDEX('Shot Map'!$B$6:$V$26,CEILING($A43/5,1),CEILING(CR$2/5,1))=1,INDEX('Serial Reference'!$A$8:$W$8,1,FLOOR(($A43-1)/23,1)+1)&amp;INDEX('Serial Reference'!$A$8:$W$8,1,MOD($A43-1,23)+1)&amp;TEXT(CR$2+FLOOR((CR$2-1)/9,1),"000"),"")</f>
        <v>BU105</v>
      </c>
      <c r="CS43" s="18" t="str">
        <f>IF(INDEX('Shot Map'!$B$6:$V$26,CEILING($A43/5,1),CEILING(CS$2/5,1))=1,INDEX('Serial Reference'!$A$8:$W$8,1,FLOOR(($A43-1)/23,1)+1)&amp;INDEX('Serial Reference'!$A$8:$W$8,1,MOD($A43-1,23)+1)&amp;TEXT(CS$2+FLOOR((CS$2-1)/9,1),"000"),"")</f>
        <v>BU106</v>
      </c>
      <c r="CT43" s="19" t="str">
        <f>IF(INDEX('Shot Map'!$B$6:$V$26,CEILING($A43/5,1),CEILING(CT$2/5,1))=1,INDEX('Serial Reference'!$A$8:$W$8,1,FLOOR(($A43-1)/23,1)+1)&amp;INDEX('Serial Reference'!$A$8:$W$8,1,MOD($A43-1,23)+1)&amp;TEXT(CT$2+FLOOR((CT$2-1)/9,1),"000"),"")</f>
        <v>BU107</v>
      </c>
      <c r="CU43" s="19" t="str">
        <f>IF(INDEX('Shot Map'!$B$6:$V$26,CEILING($A43/5,1),CEILING(CU$2/5,1))=1,INDEX('Serial Reference'!$A$8:$W$8,1,FLOOR(($A43-1)/23,1)+1)&amp;INDEX('Serial Reference'!$A$8:$W$8,1,MOD($A43-1,23)+1)&amp;TEXT(CU$2+FLOOR((CU$2-1)/9,1),"000"),"")</f>
        <v>BU108</v>
      </c>
      <c r="CV43" s="19" t="str">
        <f>IF(INDEX('Shot Map'!$B$6:$V$26,CEILING($A43/5,1),CEILING(CV$2/5,1))=1,INDEX('Serial Reference'!$A$8:$W$8,1,FLOOR(($A43-1)/23,1)+1)&amp;INDEX('Serial Reference'!$A$8:$W$8,1,MOD($A43-1,23)+1)&amp;TEXT(CV$2+FLOOR((CV$2-1)/9,1),"000"),"")</f>
        <v>BU109</v>
      </c>
      <c r="CW43" s="20" t="str">
        <f>IF(INDEX('Shot Map'!$B$6:$V$26,CEILING($A43/5,1),CEILING(CW$2/5,1))=1,INDEX('Serial Reference'!$A$8:$W$8,1,FLOOR(($A43-1)/23,1)+1)&amp;INDEX('Serial Reference'!$A$8:$W$8,1,MOD($A43-1,23)+1)&amp;TEXT(CW$2+FLOOR((CW$2-1)/9,1),"000"),"")</f>
        <v>BU111</v>
      </c>
      <c r="CX43" s="18" t="str">
        <f>IF(INDEX('Shot Map'!$B$6:$V$26,CEILING($A43/5,1),CEILING(CX$2/5,1))=1,INDEX('Serial Reference'!$A$8:$W$8,1,FLOOR(($A43-1)/23,1)+1)&amp;INDEX('Serial Reference'!$A$8:$W$8,1,MOD($A43-1,23)+1)&amp;TEXT(CX$2+FLOOR((CX$2-1)/9,1),"000"),"")</f>
        <v/>
      </c>
      <c r="CY43" s="19" t="str">
        <f>IF(INDEX('Shot Map'!$B$6:$V$26,CEILING($A43/5,1),CEILING(CY$2/5,1))=1,INDEX('Serial Reference'!$A$8:$W$8,1,FLOOR(($A43-1)/23,1)+1)&amp;INDEX('Serial Reference'!$A$8:$W$8,1,MOD($A43-1,23)+1)&amp;TEXT(CY$2+FLOOR((CY$2-1)/9,1),"000"),"")</f>
        <v/>
      </c>
      <c r="CZ43" s="19" t="str">
        <f>IF(INDEX('Shot Map'!$B$6:$V$26,CEILING($A43/5,1),CEILING(CZ$2/5,1))=1,INDEX('Serial Reference'!$A$8:$W$8,1,FLOOR(($A43-1)/23,1)+1)&amp;INDEX('Serial Reference'!$A$8:$W$8,1,MOD($A43-1,23)+1)&amp;TEXT(CZ$2+FLOOR((CZ$2-1)/9,1),"000"),"")</f>
        <v/>
      </c>
      <c r="DA43" s="19" t="str">
        <f>IF(INDEX('Shot Map'!$B$6:$V$26,CEILING($A43/5,1),CEILING(DA$2/5,1))=1,INDEX('Serial Reference'!$A$8:$W$8,1,FLOOR(($A43-1)/23,1)+1)&amp;INDEX('Serial Reference'!$A$8:$W$8,1,MOD($A43-1,23)+1)&amp;TEXT(DA$2+FLOOR((DA$2-1)/9,1),"000"),"")</f>
        <v/>
      </c>
      <c r="DB43" s="20" t="str">
        <f>IF(INDEX('Shot Map'!$B$6:$V$26,CEILING($A43/5,1),CEILING(DB$2/5,1))=1,INDEX('Serial Reference'!$A$8:$W$8,1,FLOOR(($A43-1)/23,1)+1)&amp;INDEX('Serial Reference'!$A$8:$W$8,1,MOD($A43-1,23)+1)&amp;TEXT(DB$2+FLOOR((DB$2-1)/9,1),"000"),"")</f>
        <v/>
      </c>
    </row>
    <row r="44" spans="1:106" ht="12.75" customHeight="1" x14ac:dyDescent="0.25">
      <c r="A44" s="17">
        <v>42</v>
      </c>
      <c r="B44" s="21" t="str">
        <f>IF(INDEX('Shot Map'!$B$6:$V$26,CEILING($A44/5,1),CEILING(B$2/5,1))=1,INDEX('Serial Reference'!$A$8:$W$8,1,FLOOR(($A44-1)/23,1)+1)&amp;INDEX('Serial Reference'!$A$8:$W$8,1,MOD($A44-1,23)+1)&amp;TEXT(B$2+FLOOR((B$2-1)/9,1),"000"),"")</f>
        <v/>
      </c>
      <c r="C44" s="22" t="str">
        <f>IF(INDEX('Shot Map'!$B$6:$V$26,CEILING($A44/5,1),CEILING(C$2/5,1))=1,INDEX('Serial Reference'!$A$8:$W$8,1,FLOOR(($A44-1)/23,1)+1)&amp;INDEX('Serial Reference'!$A$8:$W$8,1,MOD($A44-1,23)+1)&amp;TEXT(C$2+FLOOR((C$2-1)/9,1),"000"),"")</f>
        <v/>
      </c>
      <c r="D44" s="22" t="str">
        <f>IF(INDEX('Shot Map'!$B$6:$V$26,CEILING($A44/5,1),CEILING(D$2/5,1))=1,INDEX('Serial Reference'!$A$8:$W$8,1,FLOOR(($A44-1)/23,1)+1)&amp;INDEX('Serial Reference'!$A$8:$W$8,1,MOD($A44-1,23)+1)&amp;TEXT(D$2+FLOOR((D$2-1)/9,1),"000"),"")</f>
        <v/>
      </c>
      <c r="E44" s="22" t="str">
        <f>IF(INDEX('Shot Map'!$B$6:$V$26,CEILING($A44/5,1),CEILING(E$2/5,1))=1,INDEX('Serial Reference'!$A$8:$W$8,1,FLOOR(($A44-1)/23,1)+1)&amp;INDEX('Serial Reference'!$A$8:$W$8,1,MOD($A44-1,23)+1)&amp;TEXT(E$2+FLOOR((E$2-1)/9,1),"000"),"")</f>
        <v/>
      </c>
      <c r="F44" s="23" t="str">
        <f>IF(INDEX('Shot Map'!$B$6:$V$26,CEILING($A44/5,1),CEILING(F$2/5,1))=1,INDEX('Serial Reference'!$A$8:$W$8,1,FLOOR(($A44-1)/23,1)+1)&amp;INDEX('Serial Reference'!$A$8:$W$8,1,MOD($A44-1,23)+1)&amp;TEXT(F$2+FLOOR((F$2-1)/9,1),"000"),"")</f>
        <v/>
      </c>
      <c r="G44" s="21" t="str">
        <f>IF(INDEX('Shot Map'!$B$6:$V$26,CEILING($A44/5,1),CEILING(G$2/5,1))=1,INDEX('Serial Reference'!$A$8:$W$8,1,FLOOR(($A44-1)/23,1)+1)&amp;INDEX('Serial Reference'!$A$8:$W$8,1,MOD($A44-1,23)+1)&amp;TEXT(G$2+FLOOR((G$2-1)/9,1),"000"),"")</f>
        <v>BV006</v>
      </c>
      <c r="H44" s="22" t="str">
        <f>IF(INDEX('Shot Map'!$B$6:$V$26,CEILING($A44/5,1),CEILING(H$2/5,1))=1,INDEX('Serial Reference'!$A$8:$W$8,1,FLOOR(($A44-1)/23,1)+1)&amp;INDEX('Serial Reference'!$A$8:$W$8,1,MOD($A44-1,23)+1)&amp;TEXT(H$2+FLOOR((H$2-1)/9,1),"000"),"")</f>
        <v>BV007</v>
      </c>
      <c r="I44" s="22" t="str">
        <f>IF(INDEX('Shot Map'!$B$6:$V$26,CEILING($A44/5,1),CEILING(I$2/5,1))=1,INDEX('Serial Reference'!$A$8:$W$8,1,FLOOR(($A44-1)/23,1)+1)&amp;INDEX('Serial Reference'!$A$8:$W$8,1,MOD($A44-1,23)+1)&amp;TEXT(I$2+FLOOR((I$2-1)/9,1),"000"),"")</f>
        <v>BV008</v>
      </c>
      <c r="J44" s="22" t="str">
        <f>IF(INDEX('Shot Map'!$B$6:$V$26,CEILING($A44/5,1),CEILING(J$2/5,1))=1,INDEX('Serial Reference'!$A$8:$W$8,1,FLOOR(($A44-1)/23,1)+1)&amp;INDEX('Serial Reference'!$A$8:$W$8,1,MOD($A44-1,23)+1)&amp;TEXT(J$2+FLOOR((J$2-1)/9,1),"000"),"")</f>
        <v>BV009</v>
      </c>
      <c r="K44" s="23" t="str">
        <f>IF(INDEX('Shot Map'!$B$6:$V$26,CEILING($A44/5,1),CEILING(K$2/5,1))=1,INDEX('Serial Reference'!$A$8:$W$8,1,FLOOR(($A44-1)/23,1)+1)&amp;INDEX('Serial Reference'!$A$8:$W$8,1,MOD($A44-1,23)+1)&amp;TEXT(K$2+FLOOR((K$2-1)/9,1),"000"),"")</f>
        <v>BV011</v>
      </c>
      <c r="L44" s="21" t="str">
        <f>IF(INDEX('Shot Map'!$B$6:$V$26,CEILING($A44/5,1),CEILING(L$2/5,1))=1,INDEX('Serial Reference'!$A$8:$W$8,1,FLOOR(($A44-1)/23,1)+1)&amp;INDEX('Serial Reference'!$A$8:$W$8,1,MOD($A44-1,23)+1)&amp;TEXT(L$2+FLOOR((L$2-1)/9,1),"000"),"")</f>
        <v>BV012</v>
      </c>
      <c r="M44" s="22" t="str">
        <f>IF(INDEX('Shot Map'!$B$6:$V$26,CEILING($A44/5,1),CEILING(M$2/5,1))=1,INDEX('Serial Reference'!$A$8:$W$8,1,FLOOR(($A44-1)/23,1)+1)&amp;INDEX('Serial Reference'!$A$8:$W$8,1,MOD($A44-1,23)+1)&amp;TEXT(M$2+FLOOR((M$2-1)/9,1),"000"),"")</f>
        <v>BV013</v>
      </c>
      <c r="N44" s="22" t="str">
        <f>IF(INDEX('Shot Map'!$B$6:$V$26,CEILING($A44/5,1),CEILING(N$2/5,1))=1,INDEX('Serial Reference'!$A$8:$W$8,1,FLOOR(($A44-1)/23,1)+1)&amp;INDEX('Serial Reference'!$A$8:$W$8,1,MOD($A44-1,23)+1)&amp;TEXT(N$2+FLOOR((N$2-1)/9,1),"000"),"")</f>
        <v>BV014</v>
      </c>
      <c r="O44" s="22" t="str">
        <f>IF(INDEX('Shot Map'!$B$6:$V$26,CEILING($A44/5,1),CEILING(O$2/5,1))=1,INDEX('Serial Reference'!$A$8:$W$8,1,FLOOR(($A44-1)/23,1)+1)&amp;INDEX('Serial Reference'!$A$8:$W$8,1,MOD($A44-1,23)+1)&amp;TEXT(O$2+FLOOR((O$2-1)/9,1),"000"),"")</f>
        <v>BV015</v>
      </c>
      <c r="P44" s="23" t="str">
        <f>IF(INDEX('Shot Map'!$B$6:$V$26,CEILING($A44/5,1),CEILING(P$2/5,1))=1,INDEX('Serial Reference'!$A$8:$W$8,1,FLOOR(($A44-1)/23,1)+1)&amp;INDEX('Serial Reference'!$A$8:$W$8,1,MOD($A44-1,23)+1)&amp;TEXT(P$2+FLOOR((P$2-1)/9,1),"000"),"")</f>
        <v>BV016</v>
      </c>
      <c r="Q44" s="21" t="str">
        <f>IF(INDEX('Shot Map'!$B$6:$V$26,CEILING($A44/5,1),CEILING(Q$2/5,1))=1,INDEX('Serial Reference'!$A$8:$W$8,1,FLOOR(($A44-1)/23,1)+1)&amp;INDEX('Serial Reference'!$A$8:$W$8,1,MOD($A44-1,23)+1)&amp;TEXT(Q$2+FLOOR((Q$2-1)/9,1),"000"),"")</f>
        <v>BV017</v>
      </c>
      <c r="R44" s="22" t="str">
        <f>IF(INDEX('Shot Map'!$B$6:$V$26,CEILING($A44/5,1),CEILING(R$2/5,1))=1,INDEX('Serial Reference'!$A$8:$W$8,1,FLOOR(($A44-1)/23,1)+1)&amp;INDEX('Serial Reference'!$A$8:$W$8,1,MOD($A44-1,23)+1)&amp;TEXT(R$2+FLOOR((R$2-1)/9,1),"000"),"")</f>
        <v>BV018</v>
      </c>
      <c r="S44" s="22" t="str">
        <f>IF(INDEX('Shot Map'!$B$6:$V$26,CEILING($A44/5,1),CEILING(S$2/5,1))=1,INDEX('Serial Reference'!$A$8:$W$8,1,FLOOR(($A44-1)/23,1)+1)&amp;INDEX('Serial Reference'!$A$8:$W$8,1,MOD($A44-1,23)+1)&amp;TEXT(S$2+FLOOR((S$2-1)/9,1),"000"),"")</f>
        <v>BV019</v>
      </c>
      <c r="T44" s="22" t="str">
        <f>IF(INDEX('Shot Map'!$B$6:$V$26,CEILING($A44/5,1),CEILING(T$2/5,1))=1,INDEX('Serial Reference'!$A$8:$W$8,1,FLOOR(($A44-1)/23,1)+1)&amp;INDEX('Serial Reference'!$A$8:$W$8,1,MOD($A44-1,23)+1)&amp;TEXT(T$2+FLOOR((T$2-1)/9,1),"000"),"")</f>
        <v>BV021</v>
      </c>
      <c r="U44" s="23" t="str">
        <f>IF(INDEX('Shot Map'!$B$6:$V$26,CEILING($A44/5,1),CEILING(U$2/5,1))=1,INDEX('Serial Reference'!$A$8:$W$8,1,FLOOR(($A44-1)/23,1)+1)&amp;INDEX('Serial Reference'!$A$8:$W$8,1,MOD($A44-1,23)+1)&amp;TEXT(U$2+FLOOR((U$2-1)/9,1),"000"),"")</f>
        <v>BV022</v>
      </c>
      <c r="V44" s="21" t="str">
        <f>IF(INDEX('Shot Map'!$B$6:$V$26,CEILING($A44/5,1),CEILING(V$2/5,1))=1,INDEX('Serial Reference'!$A$8:$W$8,1,FLOOR(($A44-1)/23,1)+1)&amp;INDEX('Serial Reference'!$A$8:$W$8,1,MOD($A44-1,23)+1)&amp;TEXT(V$2+FLOOR((V$2-1)/9,1),"000"),"")</f>
        <v>BV023</v>
      </c>
      <c r="W44" s="22" t="str">
        <f>IF(INDEX('Shot Map'!$B$6:$V$26,CEILING($A44/5,1),CEILING(W$2/5,1))=1,INDEX('Serial Reference'!$A$8:$W$8,1,FLOOR(($A44-1)/23,1)+1)&amp;INDEX('Serial Reference'!$A$8:$W$8,1,MOD($A44-1,23)+1)&amp;TEXT(W$2+FLOOR((W$2-1)/9,1),"000"),"")</f>
        <v>BV024</v>
      </c>
      <c r="X44" s="22" t="str">
        <f>IF(INDEX('Shot Map'!$B$6:$V$26,CEILING($A44/5,1),CEILING(X$2/5,1))=1,INDEX('Serial Reference'!$A$8:$W$8,1,FLOOR(($A44-1)/23,1)+1)&amp;INDEX('Serial Reference'!$A$8:$W$8,1,MOD($A44-1,23)+1)&amp;TEXT(X$2+FLOOR((X$2-1)/9,1),"000"),"")</f>
        <v>BV025</v>
      </c>
      <c r="Y44" s="22" t="str">
        <f>IF(INDEX('Shot Map'!$B$6:$V$26,CEILING($A44/5,1),CEILING(Y$2/5,1))=1,INDEX('Serial Reference'!$A$8:$W$8,1,FLOOR(($A44-1)/23,1)+1)&amp;INDEX('Serial Reference'!$A$8:$W$8,1,MOD($A44-1,23)+1)&amp;TEXT(Y$2+FLOOR((Y$2-1)/9,1),"000"),"")</f>
        <v>BV026</v>
      </c>
      <c r="Z44" s="23" t="str">
        <f>IF(INDEX('Shot Map'!$B$6:$V$26,CEILING($A44/5,1),CEILING(Z$2/5,1))=1,INDEX('Serial Reference'!$A$8:$W$8,1,FLOOR(($A44-1)/23,1)+1)&amp;INDEX('Serial Reference'!$A$8:$W$8,1,MOD($A44-1,23)+1)&amp;TEXT(Z$2+FLOOR((Z$2-1)/9,1),"000"),"")</f>
        <v>BV027</v>
      </c>
      <c r="AA44" s="21" t="str">
        <f>IF(INDEX('Shot Map'!$B$6:$V$26,CEILING($A44/5,1),CEILING(AA$2/5,1))=1,INDEX('Serial Reference'!$A$8:$W$8,1,FLOOR(($A44-1)/23,1)+1)&amp;INDEX('Serial Reference'!$A$8:$W$8,1,MOD($A44-1,23)+1)&amp;TEXT(AA$2+FLOOR((AA$2-1)/9,1),"000"),"")</f>
        <v>BV028</v>
      </c>
      <c r="AB44" s="22" t="str">
        <f>IF(INDEX('Shot Map'!$B$6:$V$26,CEILING($A44/5,1),CEILING(AB$2/5,1))=1,INDEX('Serial Reference'!$A$8:$W$8,1,FLOOR(($A44-1)/23,1)+1)&amp;INDEX('Serial Reference'!$A$8:$W$8,1,MOD($A44-1,23)+1)&amp;TEXT(AB$2+FLOOR((AB$2-1)/9,1),"000"),"")</f>
        <v>BV029</v>
      </c>
      <c r="AC44" s="22" t="str">
        <f>IF(INDEX('Shot Map'!$B$6:$V$26,CEILING($A44/5,1),CEILING(AC$2/5,1))=1,INDEX('Serial Reference'!$A$8:$W$8,1,FLOOR(($A44-1)/23,1)+1)&amp;INDEX('Serial Reference'!$A$8:$W$8,1,MOD($A44-1,23)+1)&amp;TEXT(AC$2+FLOOR((AC$2-1)/9,1),"000"),"")</f>
        <v>BV031</v>
      </c>
      <c r="AD44" s="22" t="str">
        <f>IF(INDEX('Shot Map'!$B$6:$V$26,CEILING($A44/5,1),CEILING(AD$2/5,1))=1,INDEX('Serial Reference'!$A$8:$W$8,1,FLOOR(($A44-1)/23,1)+1)&amp;INDEX('Serial Reference'!$A$8:$W$8,1,MOD($A44-1,23)+1)&amp;TEXT(AD$2+FLOOR((AD$2-1)/9,1),"000"),"")</f>
        <v>BV032</v>
      </c>
      <c r="AE44" s="23" t="str">
        <f>IF(INDEX('Shot Map'!$B$6:$V$26,CEILING($A44/5,1),CEILING(AE$2/5,1))=1,INDEX('Serial Reference'!$A$8:$W$8,1,FLOOR(($A44-1)/23,1)+1)&amp;INDEX('Serial Reference'!$A$8:$W$8,1,MOD($A44-1,23)+1)&amp;TEXT(AE$2+FLOOR((AE$2-1)/9,1),"000"),"")</f>
        <v>BV033</v>
      </c>
      <c r="AF44" s="21" t="str">
        <f>IF(INDEX('Shot Map'!$B$6:$V$26,CEILING($A44/5,1),CEILING(AF$2/5,1))=1,INDEX('Serial Reference'!$A$8:$W$8,1,FLOOR(($A44-1)/23,1)+1)&amp;INDEX('Serial Reference'!$A$8:$W$8,1,MOD($A44-1,23)+1)&amp;TEXT(AF$2+FLOOR((AF$2-1)/9,1),"000"),"")</f>
        <v>BV034</v>
      </c>
      <c r="AG44" s="22" t="str">
        <f>IF(INDEX('Shot Map'!$B$6:$V$26,CEILING($A44/5,1),CEILING(AG$2/5,1))=1,INDEX('Serial Reference'!$A$8:$W$8,1,FLOOR(($A44-1)/23,1)+1)&amp;INDEX('Serial Reference'!$A$8:$W$8,1,MOD($A44-1,23)+1)&amp;TEXT(AG$2+FLOOR((AG$2-1)/9,1),"000"),"")</f>
        <v>BV035</v>
      </c>
      <c r="AH44" s="22" t="str">
        <f>IF(INDEX('Shot Map'!$B$6:$V$26,CEILING($A44/5,1),CEILING(AH$2/5,1))=1,INDEX('Serial Reference'!$A$8:$W$8,1,FLOOR(($A44-1)/23,1)+1)&amp;INDEX('Serial Reference'!$A$8:$W$8,1,MOD($A44-1,23)+1)&amp;TEXT(AH$2+FLOOR((AH$2-1)/9,1),"000"),"")</f>
        <v>BV036</v>
      </c>
      <c r="AI44" s="22" t="str">
        <f>IF(INDEX('Shot Map'!$B$6:$V$26,CEILING($A44/5,1),CEILING(AI$2/5,1))=1,INDEX('Serial Reference'!$A$8:$W$8,1,FLOOR(($A44-1)/23,1)+1)&amp;INDEX('Serial Reference'!$A$8:$W$8,1,MOD($A44-1,23)+1)&amp;TEXT(AI$2+FLOOR((AI$2-1)/9,1),"000"),"")</f>
        <v>BV037</v>
      </c>
      <c r="AJ44" s="23" t="str">
        <f>IF(INDEX('Shot Map'!$B$6:$V$26,CEILING($A44/5,1),CEILING(AJ$2/5,1))=1,INDEX('Serial Reference'!$A$8:$W$8,1,FLOOR(($A44-1)/23,1)+1)&amp;INDEX('Serial Reference'!$A$8:$W$8,1,MOD($A44-1,23)+1)&amp;TEXT(AJ$2+FLOOR((AJ$2-1)/9,1),"000"),"")</f>
        <v>BV038</v>
      </c>
      <c r="AK44" s="21" t="str">
        <f>IF(INDEX('Shot Map'!$B$6:$V$26,CEILING($A44/5,1),CEILING(AK$2/5,1))=1,INDEX('Serial Reference'!$A$8:$W$8,1,FLOOR(($A44-1)/23,1)+1)&amp;INDEX('Serial Reference'!$A$8:$W$8,1,MOD($A44-1,23)+1)&amp;TEXT(AK$2+FLOOR((AK$2-1)/9,1),"000"),"")</f>
        <v>BV039</v>
      </c>
      <c r="AL44" s="22" t="str">
        <f>IF(INDEX('Shot Map'!$B$6:$V$26,CEILING($A44/5,1),CEILING(AL$2/5,1))=1,INDEX('Serial Reference'!$A$8:$W$8,1,FLOOR(($A44-1)/23,1)+1)&amp;INDEX('Serial Reference'!$A$8:$W$8,1,MOD($A44-1,23)+1)&amp;TEXT(AL$2+FLOOR((AL$2-1)/9,1),"000"),"")</f>
        <v>BV041</v>
      </c>
      <c r="AM44" s="22" t="str">
        <f>IF(INDEX('Shot Map'!$B$6:$V$26,CEILING($A44/5,1),CEILING(AM$2/5,1))=1,INDEX('Serial Reference'!$A$8:$W$8,1,FLOOR(($A44-1)/23,1)+1)&amp;INDEX('Serial Reference'!$A$8:$W$8,1,MOD($A44-1,23)+1)&amp;TEXT(AM$2+FLOOR((AM$2-1)/9,1),"000"),"")</f>
        <v>BV042</v>
      </c>
      <c r="AN44" s="22" t="str">
        <f>IF(INDEX('Shot Map'!$B$6:$V$26,CEILING($A44/5,1),CEILING(AN$2/5,1))=1,INDEX('Serial Reference'!$A$8:$W$8,1,FLOOR(($A44-1)/23,1)+1)&amp;INDEX('Serial Reference'!$A$8:$W$8,1,MOD($A44-1,23)+1)&amp;TEXT(AN$2+FLOOR((AN$2-1)/9,1),"000"),"")</f>
        <v>BV043</v>
      </c>
      <c r="AO44" s="23" t="str">
        <f>IF(INDEX('Shot Map'!$B$6:$V$26,CEILING($A44/5,1),CEILING(AO$2/5,1))=1,INDEX('Serial Reference'!$A$8:$W$8,1,FLOOR(($A44-1)/23,1)+1)&amp;INDEX('Serial Reference'!$A$8:$W$8,1,MOD($A44-1,23)+1)&amp;TEXT(AO$2+FLOOR((AO$2-1)/9,1),"000"),"")</f>
        <v>BV044</v>
      </c>
      <c r="AP44" s="21" t="str">
        <f>IF(INDEX('Shot Map'!$B$6:$V$26,CEILING($A44/5,1),CEILING(AP$2/5,1))=1,INDEX('Serial Reference'!$A$8:$W$8,1,FLOOR(($A44-1)/23,1)+1)&amp;INDEX('Serial Reference'!$A$8:$W$8,1,MOD($A44-1,23)+1)&amp;TEXT(AP$2+FLOOR((AP$2-1)/9,1),"000"),"")</f>
        <v>BV045</v>
      </c>
      <c r="AQ44" s="22" t="str">
        <f>IF(INDEX('Shot Map'!$B$6:$V$26,CEILING($A44/5,1),CEILING(AQ$2/5,1))=1,INDEX('Serial Reference'!$A$8:$W$8,1,FLOOR(($A44-1)/23,1)+1)&amp;INDEX('Serial Reference'!$A$8:$W$8,1,MOD($A44-1,23)+1)&amp;TEXT(AQ$2+FLOOR((AQ$2-1)/9,1),"000"),"")</f>
        <v>BV046</v>
      </c>
      <c r="AR44" s="22" t="str">
        <f>IF(INDEX('Shot Map'!$B$6:$V$26,CEILING($A44/5,1),CEILING(AR$2/5,1))=1,INDEX('Serial Reference'!$A$8:$W$8,1,FLOOR(($A44-1)/23,1)+1)&amp;INDEX('Serial Reference'!$A$8:$W$8,1,MOD($A44-1,23)+1)&amp;TEXT(AR$2+FLOOR((AR$2-1)/9,1),"000"),"")</f>
        <v>BV047</v>
      </c>
      <c r="AS44" s="22" t="str">
        <f>IF(INDEX('Shot Map'!$B$6:$V$26,CEILING($A44/5,1),CEILING(AS$2/5,1))=1,INDEX('Serial Reference'!$A$8:$W$8,1,FLOOR(($A44-1)/23,1)+1)&amp;INDEX('Serial Reference'!$A$8:$W$8,1,MOD($A44-1,23)+1)&amp;TEXT(AS$2+FLOOR((AS$2-1)/9,1),"000"),"")</f>
        <v>BV048</v>
      </c>
      <c r="AT44" s="23" t="str">
        <f>IF(INDEX('Shot Map'!$B$6:$V$26,CEILING($A44/5,1),CEILING(AT$2/5,1))=1,INDEX('Serial Reference'!$A$8:$W$8,1,FLOOR(($A44-1)/23,1)+1)&amp;INDEX('Serial Reference'!$A$8:$W$8,1,MOD($A44-1,23)+1)&amp;TEXT(AT$2+FLOOR((AT$2-1)/9,1),"000"),"")</f>
        <v>BV049</v>
      </c>
      <c r="AU44" s="21" t="str">
        <f>IF(INDEX('Shot Map'!$B$6:$V$26,CEILING($A44/5,1),CEILING(AU$2/5,1))=1,INDEX('Serial Reference'!$A$8:$W$8,1,FLOOR(($A44-1)/23,1)+1)&amp;INDEX('Serial Reference'!$A$8:$W$8,1,MOD($A44-1,23)+1)&amp;TEXT(AU$2+FLOOR((AU$2-1)/9,1),"000"),"")</f>
        <v>BV051</v>
      </c>
      <c r="AV44" s="22" t="str">
        <f>IF(INDEX('Shot Map'!$B$6:$V$26,CEILING($A44/5,1),CEILING(AV$2/5,1))=1,INDEX('Serial Reference'!$A$8:$W$8,1,FLOOR(($A44-1)/23,1)+1)&amp;INDEX('Serial Reference'!$A$8:$W$8,1,MOD($A44-1,23)+1)&amp;TEXT(AV$2+FLOOR((AV$2-1)/9,1),"000"),"")</f>
        <v>BV052</v>
      </c>
      <c r="AW44" s="22" t="str">
        <f>IF(INDEX('Shot Map'!$B$6:$V$26,CEILING($A44/5,1),CEILING(AW$2/5,1))=1,INDEX('Serial Reference'!$A$8:$W$8,1,FLOOR(($A44-1)/23,1)+1)&amp;INDEX('Serial Reference'!$A$8:$W$8,1,MOD($A44-1,23)+1)&amp;TEXT(AW$2+FLOOR((AW$2-1)/9,1),"000"),"")</f>
        <v>BV053</v>
      </c>
      <c r="AX44" s="22" t="str">
        <f>IF(INDEX('Shot Map'!$B$6:$V$26,CEILING($A44/5,1),CEILING(AX$2/5,1))=1,INDEX('Serial Reference'!$A$8:$W$8,1,FLOOR(($A44-1)/23,1)+1)&amp;INDEX('Serial Reference'!$A$8:$W$8,1,MOD($A44-1,23)+1)&amp;TEXT(AX$2+FLOOR((AX$2-1)/9,1),"000"),"")</f>
        <v>BV054</v>
      </c>
      <c r="AY44" s="23" t="str">
        <f>IF(INDEX('Shot Map'!$B$6:$V$26,CEILING($A44/5,1),CEILING(AY$2/5,1))=1,INDEX('Serial Reference'!$A$8:$W$8,1,FLOOR(($A44-1)/23,1)+1)&amp;INDEX('Serial Reference'!$A$8:$W$8,1,MOD($A44-1,23)+1)&amp;TEXT(AY$2+FLOOR((AY$2-1)/9,1),"000"),"")</f>
        <v>BV055</v>
      </c>
      <c r="AZ44" s="21" t="str">
        <f>IF(INDEX('Shot Map'!$B$6:$V$26,CEILING($A44/5,1),CEILING(AZ$2/5,1))=1,INDEX('Serial Reference'!$A$8:$W$8,1,FLOOR(($A44-1)/23,1)+1)&amp;INDEX('Serial Reference'!$A$8:$W$8,1,MOD($A44-1,23)+1)&amp;TEXT(AZ$2+FLOOR((AZ$2-1)/9,1),"000"),"")</f>
        <v>BV056</v>
      </c>
      <c r="BA44" s="22" t="str">
        <f>IF(INDEX('Shot Map'!$B$6:$V$26,CEILING($A44/5,1),CEILING(BA$2/5,1))=1,INDEX('Serial Reference'!$A$8:$W$8,1,FLOOR(($A44-1)/23,1)+1)&amp;INDEX('Serial Reference'!$A$8:$W$8,1,MOD($A44-1,23)+1)&amp;TEXT(BA$2+FLOOR((BA$2-1)/9,1),"000"),"")</f>
        <v>BV057</v>
      </c>
      <c r="BB44" s="22" t="str">
        <f>IF(INDEX('Shot Map'!$B$6:$V$26,CEILING($A44/5,1),CEILING(BB$2/5,1))=1,INDEX('Serial Reference'!$A$8:$W$8,1,FLOOR(($A44-1)/23,1)+1)&amp;INDEX('Serial Reference'!$A$8:$W$8,1,MOD($A44-1,23)+1)&amp;TEXT(BB$2+FLOOR((BB$2-1)/9,1),"000"),"")</f>
        <v>BV058</v>
      </c>
      <c r="BC44" s="22" t="str">
        <f>IF(INDEX('Shot Map'!$B$6:$V$26,CEILING($A44/5,1),CEILING(BC$2/5,1))=1,INDEX('Serial Reference'!$A$8:$W$8,1,FLOOR(($A44-1)/23,1)+1)&amp;INDEX('Serial Reference'!$A$8:$W$8,1,MOD($A44-1,23)+1)&amp;TEXT(BC$2+FLOOR((BC$2-1)/9,1),"000"),"")</f>
        <v>BV059</v>
      </c>
      <c r="BD44" s="23" t="str">
        <f>IF(INDEX('Shot Map'!$B$6:$V$26,CEILING($A44/5,1),CEILING(BD$2/5,1))=1,INDEX('Serial Reference'!$A$8:$W$8,1,FLOOR(($A44-1)/23,1)+1)&amp;INDEX('Serial Reference'!$A$8:$W$8,1,MOD($A44-1,23)+1)&amp;TEXT(BD$2+FLOOR((BD$2-1)/9,1),"000"),"")</f>
        <v>BV061</v>
      </c>
      <c r="BE44" s="21" t="str">
        <f>IF(INDEX('Shot Map'!$B$6:$V$26,CEILING($A44/5,1),CEILING(BE$2/5,1))=1,INDEX('Serial Reference'!$A$8:$W$8,1,FLOOR(($A44-1)/23,1)+1)&amp;INDEX('Serial Reference'!$A$8:$W$8,1,MOD($A44-1,23)+1)&amp;TEXT(BE$2+FLOOR((BE$2-1)/9,1),"000"),"")</f>
        <v>BV062</v>
      </c>
      <c r="BF44" s="22" t="str">
        <f>IF(INDEX('Shot Map'!$B$6:$V$26,CEILING($A44/5,1),CEILING(BF$2/5,1))=1,INDEX('Serial Reference'!$A$8:$W$8,1,FLOOR(($A44-1)/23,1)+1)&amp;INDEX('Serial Reference'!$A$8:$W$8,1,MOD($A44-1,23)+1)&amp;TEXT(BF$2+FLOOR((BF$2-1)/9,1),"000"),"")</f>
        <v>BV063</v>
      </c>
      <c r="BG44" s="22" t="str">
        <f>IF(INDEX('Shot Map'!$B$6:$V$26,CEILING($A44/5,1),CEILING(BG$2/5,1))=1,INDEX('Serial Reference'!$A$8:$W$8,1,FLOOR(($A44-1)/23,1)+1)&amp;INDEX('Serial Reference'!$A$8:$W$8,1,MOD($A44-1,23)+1)&amp;TEXT(BG$2+FLOOR((BG$2-1)/9,1),"000"),"")</f>
        <v>BV064</v>
      </c>
      <c r="BH44" s="22" t="str">
        <f>IF(INDEX('Shot Map'!$B$6:$V$26,CEILING($A44/5,1),CEILING(BH$2/5,1))=1,INDEX('Serial Reference'!$A$8:$W$8,1,FLOOR(($A44-1)/23,1)+1)&amp;INDEX('Serial Reference'!$A$8:$W$8,1,MOD($A44-1,23)+1)&amp;TEXT(BH$2+FLOOR((BH$2-1)/9,1),"000"),"")</f>
        <v>BV065</v>
      </c>
      <c r="BI44" s="23" t="str">
        <f>IF(INDEX('Shot Map'!$B$6:$V$26,CEILING($A44/5,1),CEILING(BI$2/5,1))=1,INDEX('Serial Reference'!$A$8:$W$8,1,FLOOR(($A44-1)/23,1)+1)&amp;INDEX('Serial Reference'!$A$8:$W$8,1,MOD($A44-1,23)+1)&amp;TEXT(BI$2+FLOOR((BI$2-1)/9,1),"000"),"")</f>
        <v>BV066</v>
      </c>
      <c r="BJ44" s="21" t="str">
        <f>IF(INDEX('Shot Map'!$B$6:$V$26,CEILING($A44/5,1),CEILING(BJ$2/5,1))=1,INDEX('Serial Reference'!$A$8:$W$8,1,FLOOR(($A44-1)/23,1)+1)&amp;INDEX('Serial Reference'!$A$8:$W$8,1,MOD($A44-1,23)+1)&amp;TEXT(BJ$2+FLOOR((BJ$2-1)/9,1),"000"),"")</f>
        <v>BV067</v>
      </c>
      <c r="BK44" s="22" t="str">
        <f>IF(INDEX('Shot Map'!$B$6:$V$26,CEILING($A44/5,1),CEILING(BK$2/5,1))=1,INDEX('Serial Reference'!$A$8:$W$8,1,FLOOR(($A44-1)/23,1)+1)&amp;INDEX('Serial Reference'!$A$8:$W$8,1,MOD($A44-1,23)+1)&amp;TEXT(BK$2+FLOOR((BK$2-1)/9,1),"000"),"")</f>
        <v>BV068</v>
      </c>
      <c r="BL44" s="22" t="str">
        <f>IF(INDEX('Shot Map'!$B$6:$V$26,CEILING($A44/5,1),CEILING(BL$2/5,1))=1,INDEX('Serial Reference'!$A$8:$W$8,1,FLOOR(($A44-1)/23,1)+1)&amp;INDEX('Serial Reference'!$A$8:$W$8,1,MOD($A44-1,23)+1)&amp;TEXT(BL$2+FLOOR((BL$2-1)/9,1),"000"),"")</f>
        <v>BV069</v>
      </c>
      <c r="BM44" s="22" t="str">
        <f>IF(INDEX('Shot Map'!$B$6:$V$26,CEILING($A44/5,1),CEILING(BM$2/5,1))=1,INDEX('Serial Reference'!$A$8:$W$8,1,FLOOR(($A44-1)/23,1)+1)&amp;INDEX('Serial Reference'!$A$8:$W$8,1,MOD($A44-1,23)+1)&amp;TEXT(BM$2+FLOOR((BM$2-1)/9,1),"000"),"")</f>
        <v>BV071</v>
      </c>
      <c r="BN44" s="23" t="str">
        <f>IF(INDEX('Shot Map'!$B$6:$V$26,CEILING($A44/5,1),CEILING(BN$2/5,1))=1,INDEX('Serial Reference'!$A$8:$W$8,1,FLOOR(($A44-1)/23,1)+1)&amp;INDEX('Serial Reference'!$A$8:$W$8,1,MOD($A44-1,23)+1)&amp;TEXT(BN$2+FLOOR((BN$2-1)/9,1),"000"),"")</f>
        <v>BV072</v>
      </c>
      <c r="BO44" s="21" t="str">
        <f>IF(INDEX('Shot Map'!$B$6:$V$26,CEILING($A44/5,1),CEILING(BO$2/5,1))=1,INDEX('Serial Reference'!$A$8:$W$8,1,FLOOR(($A44-1)/23,1)+1)&amp;INDEX('Serial Reference'!$A$8:$W$8,1,MOD($A44-1,23)+1)&amp;TEXT(BO$2+FLOOR((BO$2-1)/9,1),"000"),"")</f>
        <v>BV073</v>
      </c>
      <c r="BP44" s="22" t="str">
        <f>IF(INDEX('Shot Map'!$B$6:$V$26,CEILING($A44/5,1),CEILING(BP$2/5,1))=1,INDEX('Serial Reference'!$A$8:$W$8,1,FLOOR(($A44-1)/23,1)+1)&amp;INDEX('Serial Reference'!$A$8:$W$8,1,MOD($A44-1,23)+1)&amp;TEXT(BP$2+FLOOR((BP$2-1)/9,1),"000"),"")</f>
        <v>BV074</v>
      </c>
      <c r="BQ44" s="22" t="str">
        <f>IF(INDEX('Shot Map'!$B$6:$V$26,CEILING($A44/5,1),CEILING(BQ$2/5,1))=1,INDEX('Serial Reference'!$A$8:$W$8,1,FLOOR(($A44-1)/23,1)+1)&amp;INDEX('Serial Reference'!$A$8:$W$8,1,MOD($A44-1,23)+1)&amp;TEXT(BQ$2+FLOOR((BQ$2-1)/9,1),"000"),"")</f>
        <v>BV075</v>
      </c>
      <c r="BR44" s="22" t="str">
        <f>IF(INDEX('Shot Map'!$B$6:$V$26,CEILING($A44/5,1),CEILING(BR$2/5,1))=1,INDEX('Serial Reference'!$A$8:$W$8,1,FLOOR(($A44-1)/23,1)+1)&amp;INDEX('Serial Reference'!$A$8:$W$8,1,MOD($A44-1,23)+1)&amp;TEXT(BR$2+FLOOR((BR$2-1)/9,1),"000"),"")</f>
        <v>BV076</v>
      </c>
      <c r="BS44" s="23" t="str">
        <f>IF(INDEX('Shot Map'!$B$6:$V$26,CEILING($A44/5,1),CEILING(BS$2/5,1))=1,INDEX('Serial Reference'!$A$8:$W$8,1,FLOOR(($A44-1)/23,1)+1)&amp;INDEX('Serial Reference'!$A$8:$W$8,1,MOD($A44-1,23)+1)&amp;TEXT(BS$2+FLOOR((BS$2-1)/9,1),"000"),"")</f>
        <v>BV077</v>
      </c>
      <c r="BT44" s="21" t="str">
        <f>IF(INDEX('Shot Map'!$B$6:$V$26,CEILING($A44/5,1),CEILING(BT$2/5,1))=1,INDEX('Serial Reference'!$A$8:$W$8,1,FLOOR(($A44-1)/23,1)+1)&amp;INDEX('Serial Reference'!$A$8:$W$8,1,MOD($A44-1,23)+1)&amp;TEXT(BT$2+FLOOR((BT$2-1)/9,1),"000"),"")</f>
        <v>BV078</v>
      </c>
      <c r="BU44" s="22" t="str">
        <f>IF(INDEX('Shot Map'!$B$6:$V$26,CEILING($A44/5,1),CEILING(BU$2/5,1))=1,INDEX('Serial Reference'!$A$8:$W$8,1,FLOOR(($A44-1)/23,1)+1)&amp;INDEX('Serial Reference'!$A$8:$W$8,1,MOD($A44-1,23)+1)&amp;TEXT(BU$2+FLOOR((BU$2-1)/9,1),"000"),"")</f>
        <v>BV079</v>
      </c>
      <c r="BV44" s="22" t="str">
        <f>IF(INDEX('Shot Map'!$B$6:$V$26,CEILING($A44/5,1),CEILING(BV$2/5,1))=1,INDEX('Serial Reference'!$A$8:$W$8,1,FLOOR(($A44-1)/23,1)+1)&amp;INDEX('Serial Reference'!$A$8:$W$8,1,MOD($A44-1,23)+1)&amp;TEXT(BV$2+FLOOR((BV$2-1)/9,1),"000"),"")</f>
        <v>BV081</v>
      </c>
      <c r="BW44" s="22" t="str">
        <f>IF(INDEX('Shot Map'!$B$6:$V$26,CEILING($A44/5,1),CEILING(BW$2/5,1))=1,INDEX('Serial Reference'!$A$8:$W$8,1,FLOOR(($A44-1)/23,1)+1)&amp;INDEX('Serial Reference'!$A$8:$W$8,1,MOD($A44-1,23)+1)&amp;TEXT(BW$2+FLOOR((BW$2-1)/9,1),"000"),"")</f>
        <v>BV082</v>
      </c>
      <c r="BX44" s="23" t="str">
        <f>IF(INDEX('Shot Map'!$B$6:$V$26,CEILING($A44/5,1),CEILING(BX$2/5,1))=1,INDEX('Serial Reference'!$A$8:$W$8,1,FLOOR(($A44-1)/23,1)+1)&amp;INDEX('Serial Reference'!$A$8:$W$8,1,MOD($A44-1,23)+1)&amp;TEXT(BX$2+FLOOR((BX$2-1)/9,1),"000"),"")</f>
        <v>BV083</v>
      </c>
      <c r="BY44" s="21" t="str">
        <f>IF(INDEX('Shot Map'!$B$6:$V$26,CEILING($A44/5,1),CEILING(BY$2/5,1))=1,INDEX('Serial Reference'!$A$8:$W$8,1,FLOOR(($A44-1)/23,1)+1)&amp;INDEX('Serial Reference'!$A$8:$W$8,1,MOD($A44-1,23)+1)&amp;TEXT(BY$2+FLOOR((BY$2-1)/9,1),"000"),"")</f>
        <v>BV084</v>
      </c>
      <c r="BZ44" s="22" t="str">
        <f>IF(INDEX('Shot Map'!$B$6:$V$26,CEILING($A44/5,1),CEILING(BZ$2/5,1))=1,INDEX('Serial Reference'!$A$8:$W$8,1,FLOOR(($A44-1)/23,1)+1)&amp;INDEX('Serial Reference'!$A$8:$W$8,1,MOD($A44-1,23)+1)&amp;TEXT(BZ$2+FLOOR((BZ$2-1)/9,1),"000"),"")</f>
        <v>BV085</v>
      </c>
      <c r="CA44" s="22" t="str">
        <f>IF(INDEX('Shot Map'!$B$6:$V$26,CEILING($A44/5,1),CEILING(CA$2/5,1))=1,INDEX('Serial Reference'!$A$8:$W$8,1,FLOOR(($A44-1)/23,1)+1)&amp;INDEX('Serial Reference'!$A$8:$W$8,1,MOD($A44-1,23)+1)&amp;TEXT(CA$2+FLOOR((CA$2-1)/9,1),"000"),"")</f>
        <v>BV086</v>
      </c>
      <c r="CB44" s="22" t="str">
        <f>IF(INDEX('Shot Map'!$B$6:$V$26,CEILING($A44/5,1),CEILING(CB$2/5,1))=1,INDEX('Serial Reference'!$A$8:$W$8,1,FLOOR(($A44-1)/23,1)+1)&amp;INDEX('Serial Reference'!$A$8:$W$8,1,MOD($A44-1,23)+1)&amp;TEXT(CB$2+FLOOR((CB$2-1)/9,1),"000"),"")</f>
        <v>BV087</v>
      </c>
      <c r="CC44" s="23" t="str">
        <f>IF(INDEX('Shot Map'!$B$6:$V$26,CEILING($A44/5,1),CEILING(CC$2/5,1))=1,INDEX('Serial Reference'!$A$8:$W$8,1,FLOOR(($A44-1)/23,1)+1)&amp;INDEX('Serial Reference'!$A$8:$W$8,1,MOD($A44-1,23)+1)&amp;TEXT(CC$2+FLOOR((CC$2-1)/9,1),"000"),"")</f>
        <v>BV088</v>
      </c>
      <c r="CD44" s="21" t="str">
        <f>IF(INDEX('Shot Map'!$B$6:$V$26,CEILING($A44/5,1),CEILING(CD$2/5,1))=1,INDEX('Serial Reference'!$A$8:$W$8,1,FLOOR(($A44-1)/23,1)+1)&amp;INDEX('Serial Reference'!$A$8:$W$8,1,MOD($A44-1,23)+1)&amp;TEXT(CD$2+FLOOR((CD$2-1)/9,1),"000"),"")</f>
        <v>BV089</v>
      </c>
      <c r="CE44" s="22" t="str">
        <f>IF(INDEX('Shot Map'!$B$6:$V$26,CEILING($A44/5,1),CEILING(CE$2/5,1))=1,INDEX('Serial Reference'!$A$8:$W$8,1,FLOOR(($A44-1)/23,1)+1)&amp;INDEX('Serial Reference'!$A$8:$W$8,1,MOD($A44-1,23)+1)&amp;TEXT(CE$2+FLOOR((CE$2-1)/9,1),"000"),"")</f>
        <v>BV091</v>
      </c>
      <c r="CF44" s="22" t="str">
        <f>IF(INDEX('Shot Map'!$B$6:$V$26,CEILING($A44/5,1),CEILING(CF$2/5,1))=1,INDEX('Serial Reference'!$A$8:$W$8,1,FLOOR(($A44-1)/23,1)+1)&amp;INDEX('Serial Reference'!$A$8:$W$8,1,MOD($A44-1,23)+1)&amp;TEXT(CF$2+FLOOR((CF$2-1)/9,1),"000"),"")</f>
        <v>BV092</v>
      </c>
      <c r="CG44" s="22" t="str">
        <f>IF(INDEX('Shot Map'!$B$6:$V$26,CEILING($A44/5,1),CEILING(CG$2/5,1))=1,INDEX('Serial Reference'!$A$8:$W$8,1,FLOOR(($A44-1)/23,1)+1)&amp;INDEX('Serial Reference'!$A$8:$W$8,1,MOD($A44-1,23)+1)&amp;TEXT(CG$2+FLOOR((CG$2-1)/9,1),"000"),"")</f>
        <v>BV093</v>
      </c>
      <c r="CH44" s="23" t="str">
        <f>IF(INDEX('Shot Map'!$B$6:$V$26,CEILING($A44/5,1),CEILING(CH$2/5,1))=1,INDEX('Serial Reference'!$A$8:$W$8,1,FLOOR(($A44-1)/23,1)+1)&amp;INDEX('Serial Reference'!$A$8:$W$8,1,MOD($A44-1,23)+1)&amp;TEXT(CH$2+FLOOR((CH$2-1)/9,1),"000"),"")</f>
        <v>BV094</v>
      </c>
      <c r="CI44" s="21" t="str">
        <f>IF(INDEX('Shot Map'!$B$6:$V$26,CEILING($A44/5,1),CEILING(CI$2/5,1))=1,INDEX('Serial Reference'!$A$8:$W$8,1,FLOOR(($A44-1)/23,1)+1)&amp;INDEX('Serial Reference'!$A$8:$W$8,1,MOD($A44-1,23)+1)&amp;TEXT(CI$2+FLOOR((CI$2-1)/9,1),"000"),"")</f>
        <v>BV095</v>
      </c>
      <c r="CJ44" s="22" t="str">
        <f>IF(INDEX('Shot Map'!$B$6:$V$26,CEILING($A44/5,1),CEILING(CJ$2/5,1))=1,INDEX('Serial Reference'!$A$8:$W$8,1,FLOOR(($A44-1)/23,1)+1)&amp;INDEX('Serial Reference'!$A$8:$W$8,1,MOD($A44-1,23)+1)&amp;TEXT(CJ$2+FLOOR((CJ$2-1)/9,1),"000"),"")</f>
        <v>BV096</v>
      </c>
      <c r="CK44" s="22" t="str">
        <f>IF(INDEX('Shot Map'!$B$6:$V$26,CEILING($A44/5,1),CEILING(CK$2/5,1))=1,INDEX('Serial Reference'!$A$8:$W$8,1,FLOOR(($A44-1)/23,1)+1)&amp;INDEX('Serial Reference'!$A$8:$W$8,1,MOD($A44-1,23)+1)&amp;TEXT(CK$2+FLOOR((CK$2-1)/9,1),"000"),"")</f>
        <v>BV097</v>
      </c>
      <c r="CL44" s="22" t="str">
        <f>IF(INDEX('Shot Map'!$B$6:$V$26,CEILING($A44/5,1),CEILING(CL$2/5,1))=1,INDEX('Serial Reference'!$A$8:$W$8,1,FLOOR(($A44-1)/23,1)+1)&amp;INDEX('Serial Reference'!$A$8:$W$8,1,MOD($A44-1,23)+1)&amp;TEXT(CL$2+FLOOR((CL$2-1)/9,1),"000"),"")</f>
        <v>BV098</v>
      </c>
      <c r="CM44" s="23" t="str">
        <f>IF(INDEX('Shot Map'!$B$6:$V$26,CEILING($A44/5,1),CEILING(CM$2/5,1))=1,INDEX('Serial Reference'!$A$8:$W$8,1,FLOOR(($A44-1)/23,1)+1)&amp;INDEX('Serial Reference'!$A$8:$W$8,1,MOD($A44-1,23)+1)&amp;TEXT(CM$2+FLOOR((CM$2-1)/9,1),"000"),"")</f>
        <v>BV099</v>
      </c>
      <c r="CN44" s="21" t="str">
        <f>IF(INDEX('Shot Map'!$B$6:$V$26,CEILING($A44/5,1),CEILING(CN$2/5,1))=1,INDEX('Serial Reference'!$A$8:$W$8,1,FLOOR(($A44-1)/23,1)+1)&amp;INDEX('Serial Reference'!$A$8:$W$8,1,MOD($A44-1,23)+1)&amp;TEXT(CN$2+FLOOR((CN$2-1)/9,1),"000"),"")</f>
        <v>BV101</v>
      </c>
      <c r="CO44" s="22" t="str">
        <f>IF(INDEX('Shot Map'!$B$6:$V$26,CEILING($A44/5,1),CEILING(CO$2/5,1))=1,INDEX('Serial Reference'!$A$8:$W$8,1,FLOOR(($A44-1)/23,1)+1)&amp;INDEX('Serial Reference'!$A$8:$W$8,1,MOD($A44-1,23)+1)&amp;TEXT(CO$2+FLOOR((CO$2-1)/9,1),"000"),"")</f>
        <v>BV102</v>
      </c>
      <c r="CP44" s="22" t="str">
        <f>IF(INDEX('Shot Map'!$B$6:$V$26,CEILING($A44/5,1),CEILING(CP$2/5,1))=1,INDEX('Serial Reference'!$A$8:$W$8,1,FLOOR(($A44-1)/23,1)+1)&amp;INDEX('Serial Reference'!$A$8:$W$8,1,MOD($A44-1,23)+1)&amp;TEXT(CP$2+FLOOR((CP$2-1)/9,1),"000"),"")</f>
        <v>BV103</v>
      </c>
      <c r="CQ44" s="22" t="str">
        <f>IF(INDEX('Shot Map'!$B$6:$V$26,CEILING($A44/5,1),CEILING(CQ$2/5,1))=1,INDEX('Serial Reference'!$A$8:$W$8,1,FLOOR(($A44-1)/23,1)+1)&amp;INDEX('Serial Reference'!$A$8:$W$8,1,MOD($A44-1,23)+1)&amp;TEXT(CQ$2+FLOOR((CQ$2-1)/9,1),"000"),"")</f>
        <v>BV104</v>
      </c>
      <c r="CR44" s="23" t="str">
        <f>IF(INDEX('Shot Map'!$B$6:$V$26,CEILING($A44/5,1),CEILING(CR$2/5,1))=1,INDEX('Serial Reference'!$A$8:$W$8,1,FLOOR(($A44-1)/23,1)+1)&amp;INDEX('Serial Reference'!$A$8:$W$8,1,MOD($A44-1,23)+1)&amp;TEXT(CR$2+FLOOR((CR$2-1)/9,1),"000"),"")</f>
        <v>BV105</v>
      </c>
      <c r="CS44" s="21" t="str">
        <f>IF(INDEX('Shot Map'!$B$6:$V$26,CEILING($A44/5,1),CEILING(CS$2/5,1))=1,INDEX('Serial Reference'!$A$8:$W$8,1,FLOOR(($A44-1)/23,1)+1)&amp;INDEX('Serial Reference'!$A$8:$W$8,1,MOD($A44-1,23)+1)&amp;TEXT(CS$2+FLOOR((CS$2-1)/9,1),"000"),"")</f>
        <v>BV106</v>
      </c>
      <c r="CT44" s="22" t="str">
        <f>IF(INDEX('Shot Map'!$B$6:$V$26,CEILING($A44/5,1),CEILING(CT$2/5,1))=1,INDEX('Serial Reference'!$A$8:$W$8,1,FLOOR(($A44-1)/23,1)+1)&amp;INDEX('Serial Reference'!$A$8:$W$8,1,MOD($A44-1,23)+1)&amp;TEXT(CT$2+FLOOR((CT$2-1)/9,1),"000"),"")</f>
        <v>BV107</v>
      </c>
      <c r="CU44" s="22" t="str">
        <f>IF(INDEX('Shot Map'!$B$6:$V$26,CEILING($A44/5,1),CEILING(CU$2/5,1))=1,INDEX('Serial Reference'!$A$8:$W$8,1,FLOOR(($A44-1)/23,1)+1)&amp;INDEX('Serial Reference'!$A$8:$W$8,1,MOD($A44-1,23)+1)&amp;TEXT(CU$2+FLOOR((CU$2-1)/9,1),"000"),"")</f>
        <v>BV108</v>
      </c>
      <c r="CV44" s="22" t="str">
        <f>IF(INDEX('Shot Map'!$B$6:$V$26,CEILING($A44/5,1),CEILING(CV$2/5,1))=1,INDEX('Serial Reference'!$A$8:$W$8,1,FLOOR(($A44-1)/23,1)+1)&amp;INDEX('Serial Reference'!$A$8:$W$8,1,MOD($A44-1,23)+1)&amp;TEXT(CV$2+FLOOR((CV$2-1)/9,1),"000"),"")</f>
        <v>BV109</v>
      </c>
      <c r="CW44" s="23" t="str">
        <f>IF(INDEX('Shot Map'!$B$6:$V$26,CEILING($A44/5,1),CEILING(CW$2/5,1))=1,INDEX('Serial Reference'!$A$8:$W$8,1,FLOOR(($A44-1)/23,1)+1)&amp;INDEX('Serial Reference'!$A$8:$W$8,1,MOD($A44-1,23)+1)&amp;TEXT(CW$2+FLOOR((CW$2-1)/9,1),"000"),"")</f>
        <v>BV111</v>
      </c>
      <c r="CX44" s="21" t="str">
        <f>IF(INDEX('Shot Map'!$B$6:$V$26,CEILING($A44/5,1),CEILING(CX$2/5,1))=1,INDEX('Serial Reference'!$A$8:$W$8,1,FLOOR(($A44-1)/23,1)+1)&amp;INDEX('Serial Reference'!$A$8:$W$8,1,MOD($A44-1,23)+1)&amp;TEXT(CX$2+FLOOR((CX$2-1)/9,1),"000"),"")</f>
        <v/>
      </c>
      <c r="CY44" s="22" t="str">
        <f>IF(INDEX('Shot Map'!$B$6:$V$26,CEILING($A44/5,1),CEILING(CY$2/5,1))=1,INDEX('Serial Reference'!$A$8:$W$8,1,FLOOR(($A44-1)/23,1)+1)&amp;INDEX('Serial Reference'!$A$8:$W$8,1,MOD($A44-1,23)+1)&amp;TEXT(CY$2+FLOOR((CY$2-1)/9,1),"000"),"")</f>
        <v/>
      </c>
      <c r="CZ44" s="22" t="str">
        <f>IF(INDEX('Shot Map'!$B$6:$V$26,CEILING($A44/5,1),CEILING(CZ$2/5,1))=1,INDEX('Serial Reference'!$A$8:$W$8,1,FLOOR(($A44-1)/23,1)+1)&amp;INDEX('Serial Reference'!$A$8:$W$8,1,MOD($A44-1,23)+1)&amp;TEXT(CZ$2+FLOOR((CZ$2-1)/9,1),"000"),"")</f>
        <v/>
      </c>
      <c r="DA44" s="22" t="str">
        <f>IF(INDEX('Shot Map'!$B$6:$V$26,CEILING($A44/5,1),CEILING(DA$2/5,1))=1,INDEX('Serial Reference'!$A$8:$W$8,1,FLOOR(($A44-1)/23,1)+1)&amp;INDEX('Serial Reference'!$A$8:$W$8,1,MOD($A44-1,23)+1)&amp;TEXT(DA$2+FLOOR((DA$2-1)/9,1),"000"),"")</f>
        <v/>
      </c>
      <c r="DB44" s="23" t="str">
        <f>IF(INDEX('Shot Map'!$B$6:$V$26,CEILING($A44/5,1),CEILING(DB$2/5,1))=1,INDEX('Serial Reference'!$A$8:$W$8,1,FLOOR(($A44-1)/23,1)+1)&amp;INDEX('Serial Reference'!$A$8:$W$8,1,MOD($A44-1,23)+1)&amp;TEXT(DB$2+FLOOR((DB$2-1)/9,1),"000"),"")</f>
        <v/>
      </c>
    </row>
    <row r="45" spans="1:106" ht="12.75" customHeight="1" x14ac:dyDescent="0.25">
      <c r="A45" s="17">
        <v>43</v>
      </c>
      <c r="B45" s="21" t="str">
        <f>IF(INDEX('Shot Map'!$B$6:$V$26,CEILING($A45/5,1),CEILING(B$2/5,1))=1,INDEX('Serial Reference'!$A$8:$W$8,1,FLOOR(($A45-1)/23,1)+1)&amp;INDEX('Serial Reference'!$A$8:$W$8,1,MOD($A45-1,23)+1)&amp;TEXT(B$2+FLOOR((B$2-1)/9,1),"000"),"")</f>
        <v/>
      </c>
      <c r="C45" s="22" t="str">
        <f>IF(INDEX('Shot Map'!$B$6:$V$26,CEILING($A45/5,1),CEILING(C$2/5,1))=1,INDEX('Serial Reference'!$A$8:$W$8,1,FLOOR(($A45-1)/23,1)+1)&amp;INDEX('Serial Reference'!$A$8:$W$8,1,MOD($A45-1,23)+1)&amp;TEXT(C$2+FLOOR((C$2-1)/9,1),"000"),"")</f>
        <v/>
      </c>
      <c r="D45" s="22" t="str">
        <f>IF(INDEX('Shot Map'!$B$6:$V$26,CEILING($A45/5,1),CEILING(D$2/5,1))=1,INDEX('Serial Reference'!$A$8:$W$8,1,FLOOR(($A45-1)/23,1)+1)&amp;INDEX('Serial Reference'!$A$8:$W$8,1,MOD($A45-1,23)+1)&amp;TEXT(D$2+FLOOR((D$2-1)/9,1),"000"),"")</f>
        <v/>
      </c>
      <c r="E45" s="22" t="str">
        <f>IF(INDEX('Shot Map'!$B$6:$V$26,CEILING($A45/5,1),CEILING(E$2/5,1))=1,INDEX('Serial Reference'!$A$8:$W$8,1,FLOOR(($A45-1)/23,1)+1)&amp;INDEX('Serial Reference'!$A$8:$W$8,1,MOD($A45-1,23)+1)&amp;TEXT(E$2+FLOOR((E$2-1)/9,1),"000"),"")</f>
        <v/>
      </c>
      <c r="F45" s="23" t="str">
        <f>IF(INDEX('Shot Map'!$B$6:$V$26,CEILING($A45/5,1),CEILING(F$2/5,1))=1,INDEX('Serial Reference'!$A$8:$W$8,1,FLOOR(($A45-1)/23,1)+1)&amp;INDEX('Serial Reference'!$A$8:$W$8,1,MOD($A45-1,23)+1)&amp;TEXT(F$2+FLOOR((F$2-1)/9,1),"000"),"")</f>
        <v/>
      </c>
      <c r="G45" s="21" t="str">
        <f>IF(INDEX('Shot Map'!$B$6:$V$26,CEILING($A45/5,1),CEILING(G$2/5,1))=1,INDEX('Serial Reference'!$A$8:$W$8,1,FLOOR(($A45-1)/23,1)+1)&amp;INDEX('Serial Reference'!$A$8:$W$8,1,MOD($A45-1,23)+1)&amp;TEXT(G$2+FLOOR((G$2-1)/9,1),"000"),"")</f>
        <v>BW006</v>
      </c>
      <c r="H45" s="22" t="str">
        <f>IF(INDEX('Shot Map'!$B$6:$V$26,CEILING($A45/5,1),CEILING(H$2/5,1))=1,INDEX('Serial Reference'!$A$8:$W$8,1,FLOOR(($A45-1)/23,1)+1)&amp;INDEX('Serial Reference'!$A$8:$W$8,1,MOD($A45-1,23)+1)&amp;TEXT(H$2+FLOOR((H$2-1)/9,1),"000"),"")</f>
        <v>BW007</v>
      </c>
      <c r="I45" s="22" t="str">
        <f>IF(INDEX('Shot Map'!$B$6:$V$26,CEILING($A45/5,1),CEILING(I$2/5,1))=1,INDEX('Serial Reference'!$A$8:$W$8,1,FLOOR(($A45-1)/23,1)+1)&amp;INDEX('Serial Reference'!$A$8:$W$8,1,MOD($A45-1,23)+1)&amp;TEXT(I$2+FLOOR((I$2-1)/9,1),"000"),"")</f>
        <v>BW008</v>
      </c>
      <c r="J45" s="22" t="str">
        <f>IF(INDEX('Shot Map'!$B$6:$V$26,CEILING($A45/5,1),CEILING(J$2/5,1))=1,INDEX('Serial Reference'!$A$8:$W$8,1,FLOOR(($A45-1)/23,1)+1)&amp;INDEX('Serial Reference'!$A$8:$W$8,1,MOD($A45-1,23)+1)&amp;TEXT(J$2+FLOOR((J$2-1)/9,1),"000"),"")</f>
        <v>BW009</v>
      </c>
      <c r="K45" s="23" t="str">
        <f>IF(INDEX('Shot Map'!$B$6:$V$26,CEILING($A45/5,1),CEILING(K$2/5,1))=1,INDEX('Serial Reference'!$A$8:$W$8,1,FLOOR(($A45-1)/23,1)+1)&amp;INDEX('Serial Reference'!$A$8:$W$8,1,MOD($A45-1,23)+1)&amp;TEXT(K$2+FLOOR((K$2-1)/9,1),"000"),"")</f>
        <v>BW011</v>
      </c>
      <c r="L45" s="21" t="str">
        <f>IF(INDEX('Shot Map'!$B$6:$V$26,CEILING($A45/5,1),CEILING(L$2/5,1))=1,INDEX('Serial Reference'!$A$8:$W$8,1,FLOOR(($A45-1)/23,1)+1)&amp;INDEX('Serial Reference'!$A$8:$W$8,1,MOD($A45-1,23)+1)&amp;TEXT(L$2+FLOOR((L$2-1)/9,1),"000"),"")</f>
        <v>BW012</v>
      </c>
      <c r="M45" s="22" t="str">
        <f>IF(INDEX('Shot Map'!$B$6:$V$26,CEILING($A45/5,1),CEILING(M$2/5,1))=1,INDEX('Serial Reference'!$A$8:$W$8,1,FLOOR(($A45-1)/23,1)+1)&amp;INDEX('Serial Reference'!$A$8:$W$8,1,MOD($A45-1,23)+1)&amp;TEXT(M$2+FLOOR((M$2-1)/9,1),"000"),"")</f>
        <v>BW013</v>
      </c>
      <c r="N45" s="22" t="str">
        <f>IF(INDEX('Shot Map'!$B$6:$V$26,CEILING($A45/5,1),CEILING(N$2/5,1))=1,INDEX('Serial Reference'!$A$8:$W$8,1,FLOOR(($A45-1)/23,1)+1)&amp;INDEX('Serial Reference'!$A$8:$W$8,1,MOD($A45-1,23)+1)&amp;TEXT(N$2+FLOOR((N$2-1)/9,1),"000"),"")</f>
        <v>BW014</v>
      </c>
      <c r="O45" s="22" t="str">
        <f>IF(INDEX('Shot Map'!$B$6:$V$26,CEILING($A45/5,1),CEILING(O$2/5,1))=1,INDEX('Serial Reference'!$A$8:$W$8,1,FLOOR(($A45-1)/23,1)+1)&amp;INDEX('Serial Reference'!$A$8:$W$8,1,MOD($A45-1,23)+1)&amp;TEXT(O$2+FLOOR((O$2-1)/9,1),"000"),"")</f>
        <v>BW015</v>
      </c>
      <c r="P45" s="23" t="str">
        <f>IF(INDEX('Shot Map'!$B$6:$V$26,CEILING($A45/5,1),CEILING(P$2/5,1))=1,INDEX('Serial Reference'!$A$8:$W$8,1,FLOOR(($A45-1)/23,1)+1)&amp;INDEX('Serial Reference'!$A$8:$W$8,1,MOD($A45-1,23)+1)&amp;TEXT(P$2+FLOOR((P$2-1)/9,1),"000"),"")</f>
        <v>BW016</v>
      </c>
      <c r="Q45" s="21" t="str">
        <f>IF(INDEX('Shot Map'!$B$6:$V$26,CEILING($A45/5,1),CEILING(Q$2/5,1))=1,INDEX('Serial Reference'!$A$8:$W$8,1,FLOOR(($A45-1)/23,1)+1)&amp;INDEX('Serial Reference'!$A$8:$W$8,1,MOD($A45-1,23)+1)&amp;TEXT(Q$2+FLOOR((Q$2-1)/9,1),"000"),"")</f>
        <v>BW017</v>
      </c>
      <c r="R45" s="22" t="str">
        <f>IF(INDEX('Shot Map'!$B$6:$V$26,CEILING($A45/5,1),CEILING(R$2/5,1))=1,INDEX('Serial Reference'!$A$8:$W$8,1,FLOOR(($A45-1)/23,1)+1)&amp;INDEX('Serial Reference'!$A$8:$W$8,1,MOD($A45-1,23)+1)&amp;TEXT(R$2+FLOOR((R$2-1)/9,1),"000"),"")</f>
        <v>BW018</v>
      </c>
      <c r="S45" s="22" t="str">
        <f>IF(INDEX('Shot Map'!$B$6:$V$26,CEILING($A45/5,1),CEILING(S$2/5,1))=1,INDEX('Serial Reference'!$A$8:$W$8,1,FLOOR(($A45-1)/23,1)+1)&amp;INDEX('Serial Reference'!$A$8:$W$8,1,MOD($A45-1,23)+1)&amp;TEXT(S$2+FLOOR((S$2-1)/9,1),"000"),"")</f>
        <v>BW019</v>
      </c>
      <c r="T45" s="22" t="str">
        <f>IF(INDEX('Shot Map'!$B$6:$V$26,CEILING($A45/5,1),CEILING(T$2/5,1))=1,INDEX('Serial Reference'!$A$8:$W$8,1,FLOOR(($A45-1)/23,1)+1)&amp;INDEX('Serial Reference'!$A$8:$W$8,1,MOD($A45-1,23)+1)&amp;TEXT(T$2+FLOOR((T$2-1)/9,1),"000"),"")</f>
        <v>BW021</v>
      </c>
      <c r="U45" s="23" t="str">
        <f>IF(INDEX('Shot Map'!$B$6:$V$26,CEILING($A45/5,1),CEILING(U$2/5,1))=1,INDEX('Serial Reference'!$A$8:$W$8,1,FLOOR(($A45-1)/23,1)+1)&amp;INDEX('Serial Reference'!$A$8:$W$8,1,MOD($A45-1,23)+1)&amp;TEXT(U$2+FLOOR((U$2-1)/9,1),"000"),"")</f>
        <v>BW022</v>
      </c>
      <c r="V45" s="21" t="str">
        <f>IF(INDEX('Shot Map'!$B$6:$V$26,CEILING($A45/5,1),CEILING(V$2/5,1))=1,INDEX('Serial Reference'!$A$8:$W$8,1,FLOOR(($A45-1)/23,1)+1)&amp;INDEX('Serial Reference'!$A$8:$W$8,1,MOD($A45-1,23)+1)&amp;TEXT(V$2+FLOOR((V$2-1)/9,1),"000"),"")</f>
        <v>BW023</v>
      </c>
      <c r="W45" s="22" t="str">
        <f>IF(INDEX('Shot Map'!$B$6:$V$26,CEILING($A45/5,1),CEILING(W$2/5,1))=1,INDEX('Serial Reference'!$A$8:$W$8,1,FLOOR(($A45-1)/23,1)+1)&amp;INDEX('Serial Reference'!$A$8:$W$8,1,MOD($A45-1,23)+1)&amp;TEXT(W$2+FLOOR((W$2-1)/9,1),"000"),"")</f>
        <v>BW024</v>
      </c>
      <c r="X45" s="22" t="str">
        <f>IF(INDEX('Shot Map'!$B$6:$V$26,CEILING($A45/5,1),CEILING(X$2/5,1))=1,INDEX('Serial Reference'!$A$8:$W$8,1,FLOOR(($A45-1)/23,1)+1)&amp;INDEX('Serial Reference'!$A$8:$W$8,1,MOD($A45-1,23)+1)&amp;TEXT(X$2+FLOOR((X$2-1)/9,1),"000"),"")</f>
        <v>BW025</v>
      </c>
      <c r="Y45" s="22" t="str">
        <f>IF(INDEX('Shot Map'!$B$6:$V$26,CEILING($A45/5,1),CEILING(Y$2/5,1))=1,INDEX('Serial Reference'!$A$8:$W$8,1,FLOOR(($A45-1)/23,1)+1)&amp;INDEX('Serial Reference'!$A$8:$W$8,1,MOD($A45-1,23)+1)&amp;TEXT(Y$2+FLOOR((Y$2-1)/9,1),"000"),"")</f>
        <v>BW026</v>
      </c>
      <c r="Z45" s="23" t="str">
        <f>IF(INDEX('Shot Map'!$B$6:$V$26,CEILING($A45/5,1),CEILING(Z$2/5,1))=1,INDEX('Serial Reference'!$A$8:$W$8,1,FLOOR(($A45-1)/23,1)+1)&amp;INDEX('Serial Reference'!$A$8:$W$8,1,MOD($A45-1,23)+1)&amp;TEXT(Z$2+FLOOR((Z$2-1)/9,1),"000"),"")</f>
        <v>BW027</v>
      </c>
      <c r="AA45" s="21" t="str">
        <f>IF(INDEX('Shot Map'!$B$6:$V$26,CEILING($A45/5,1),CEILING(AA$2/5,1))=1,INDEX('Serial Reference'!$A$8:$W$8,1,FLOOR(($A45-1)/23,1)+1)&amp;INDEX('Serial Reference'!$A$8:$W$8,1,MOD($A45-1,23)+1)&amp;TEXT(AA$2+FLOOR((AA$2-1)/9,1),"000"),"")</f>
        <v>BW028</v>
      </c>
      <c r="AB45" s="22" t="str">
        <f>IF(INDEX('Shot Map'!$B$6:$V$26,CEILING($A45/5,1),CEILING(AB$2/5,1))=1,INDEX('Serial Reference'!$A$8:$W$8,1,FLOOR(($A45-1)/23,1)+1)&amp;INDEX('Serial Reference'!$A$8:$W$8,1,MOD($A45-1,23)+1)&amp;TEXT(AB$2+FLOOR((AB$2-1)/9,1),"000"),"")</f>
        <v>BW029</v>
      </c>
      <c r="AC45" s="22" t="str">
        <f>IF(INDEX('Shot Map'!$B$6:$V$26,CEILING($A45/5,1),CEILING(AC$2/5,1))=1,INDEX('Serial Reference'!$A$8:$W$8,1,FLOOR(($A45-1)/23,1)+1)&amp;INDEX('Serial Reference'!$A$8:$W$8,1,MOD($A45-1,23)+1)&amp;TEXT(AC$2+FLOOR((AC$2-1)/9,1),"000"),"")</f>
        <v>BW031</v>
      </c>
      <c r="AD45" s="22" t="str">
        <f>IF(INDEX('Shot Map'!$B$6:$V$26,CEILING($A45/5,1),CEILING(AD$2/5,1))=1,INDEX('Serial Reference'!$A$8:$W$8,1,FLOOR(($A45-1)/23,1)+1)&amp;INDEX('Serial Reference'!$A$8:$W$8,1,MOD($A45-1,23)+1)&amp;TEXT(AD$2+FLOOR((AD$2-1)/9,1),"000"),"")</f>
        <v>BW032</v>
      </c>
      <c r="AE45" s="23" t="str">
        <f>IF(INDEX('Shot Map'!$B$6:$V$26,CEILING($A45/5,1),CEILING(AE$2/5,1))=1,INDEX('Serial Reference'!$A$8:$W$8,1,FLOOR(($A45-1)/23,1)+1)&amp;INDEX('Serial Reference'!$A$8:$W$8,1,MOD($A45-1,23)+1)&amp;TEXT(AE$2+FLOOR((AE$2-1)/9,1),"000"),"")</f>
        <v>BW033</v>
      </c>
      <c r="AF45" s="21" t="str">
        <f>IF(INDEX('Shot Map'!$B$6:$V$26,CEILING($A45/5,1),CEILING(AF$2/5,1))=1,INDEX('Serial Reference'!$A$8:$W$8,1,FLOOR(($A45-1)/23,1)+1)&amp;INDEX('Serial Reference'!$A$8:$W$8,1,MOD($A45-1,23)+1)&amp;TEXT(AF$2+FLOOR((AF$2-1)/9,1),"000"),"")</f>
        <v>BW034</v>
      </c>
      <c r="AG45" s="22" t="str">
        <f>IF(INDEX('Shot Map'!$B$6:$V$26,CEILING($A45/5,1),CEILING(AG$2/5,1))=1,INDEX('Serial Reference'!$A$8:$W$8,1,FLOOR(($A45-1)/23,1)+1)&amp;INDEX('Serial Reference'!$A$8:$W$8,1,MOD($A45-1,23)+1)&amp;TEXT(AG$2+FLOOR((AG$2-1)/9,1),"000"),"")</f>
        <v>BW035</v>
      </c>
      <c r="AH45" s="22" t="str">
        <f>IF(INDEX('Shot Map'!$B$6:$V$26,CEILING($A45/5,1),CEILING(AH$2/5,1))=1,INDEX('Serial Reference'!$A$8:$W$8,1,FLOOR(($A45-1)/23,1)+1)&amp;INDEX('Serial Reference'!$A$8:$W$8,1,MOD($A45-1,23)+1)&amp;TEXT(AH$2+FLOOR((AH$2-1)/9,1),"000"),"")</f>
        <v>BW036</v>
      </c>
      <c r="AI45" s="22" t="str">
        <f>IF(INDEX('Shot Map'!$B$6:$V$26,CEILING($A45/5,1),CEILING(AI$2/5,1))=1,INDEX('Serial Reference'!$A$8:$W$8,1,FLOOR(($A45-1)/23,1)+1)&amp;INDEX('Serial Reference'!$A$8:$W$8,1,MOD($A45-1,23)+1)&amp;TEXT(AI$2+FLOOR((AI$2-1)/9,1),"000"),"")</f>
        <v>BW037</v>
      </c>
      <c r="AJ45" s="23" t="str">
        <f>IF(INDEX('Shot Map'!$B$6:$V$26,CEILING($A45/5,1),CEILING(AJ$2/5,1))=1,INDEX('Serial Reference'!$A$8:$W$8,1,FLOOR(($A45-1)/23,1)+1)&amp;INDEX('Serial Reference'!$A$8:$W$8,1,MOD($A45-1,23)+1)&amp;TEXT(AJ$2+FLOOR((AJ$2-1)/9,1),"000"),"")</f>
        <v>BW038</v>
      </c>
      <c r="AK45" s="21" t="str">
        <f>IF(INDEX('Shot Map'!$B$6:$V$26,CEILING($A45/5,1),CEILING(AK$2/5,1))=1,INDEX('Serial Reference'!$A$8:$W$8,1,FLOOR(($A45-1)/23,1)+1)&amp;INDEX('Serial Reference'!$A$8:$W$8,1,MOD($A45-1,23)+1)&amp;TEXT(AK$2+FLOOR((AK$2-1)/9,1),"000"),"")</f>
        <v>BW039</v>
      </c>
      <c r="AL45" s="22" t="str">
        <f>IF(INDEX('Shot Map'!$B$6:$V$26,CEILING($A45/5,1),CEILING(AL$2/5,1))=1,INDEX('Serial Reference'!$A$8:$W$8,1,FLOOR(($A45-1)/23,1)+1)&amp;INDEX('Serial Reference'!$A$8:$W$8,1,MOD($A45-1,23)+1)&amp;TEXT(AL$2+FLOOR((AL$2-1)/9,1),"000"),"")</f>
        <v>BW041</v>
      </c>
      <c r="AM45" s="22" t="str">
        <f>IF(INDEX('Shot Map'!$B$6:$V$26,CEILING($A45/5,1),CEILING(AM$2/5,1))=1,INDEX('Serial Reference'!$A$8:$W$8,1,FLOOR(($A45-1)/23,1)+1)&amp;INDEX('Serial Reference'!$A$8:$W$8,1,MOD($A45-1,23)+1)&amp;TEXT(AM$2+FLOOR((AM$2-1)/9,1),"000"),"")</f>
        <v>BW042</v>
      </c>
      <c r="AN45" s="22" t="str">
        <f>IF(INDEX('Shot Map'!$B$6:$V$26,CEILING($A45/5,1),CEILING(AN$2/5,1))=1,INDEX('Serial Reference'!$A$8:$W$8,1,FLOOR(($A45-1)/23,1)+1)&amp;INDEX('Serial Reference'!$A$8:$W$8,1,MOD($A45-1,23)+1)&amp;TEXT(AN$2+FLOOR((AN$2-1)/9,1),"000"),"")</f>
        <v>BW043</v>
      </c>
      <c r="AO45" s="23" t="str">
        <f>IF(INDEX('Shot Map'!$B$6:$V$26,CEILING($A45/5,1),CEILING(AO$2/5,1))=1,INDEX('Serial Reference'!$A$8:$W$8,1,FLOOR(($A45-1)/23,1)+1)&amp;INDEX('Serial Reference'!$A$8:$W$8,1,MOD($A45-1,23)+1)&amp;TEXT(AO$2+FLOOR((AO$2-1)/9,1),"000"),"")</f>
        <v>BW044</v>
      </c>
      <c r="AP45" s="21" t="str">
        <f>IF(INDEX('Shot Map'!$B$6:$V$26,CEILING($A45/5,1),CEILING(AP$2/5,1))=1,INDEX('Serial Reference'!$A$8:$W$8,1,FLOOR(($A45-1)/23,1)+1)&amp;INDEX('Serial Reference'!$A$8:$W$8,1,MOD($A45-1,23)+1)&amp;TEXT(AP$2+FLOOR((AP$2-1)/9,1),"000"),"")</f>
        <v>BW045</v>
      </c>
      <c r="AQ45" s="22" t="str">
        <f>IF(INDEX('Shot Map'!$B$6:$V$26,CEILING($A45/5,1),CEILING(AQ$2/5,1))=1,INDEX('Serial Reference'!$A$8:$W$8,1,FLOOR(($A45-1)/23,1)+1)&amp;INDEX('Serial Reference'!$A$8:$W$8,1,MOD($A45-1,23)+1)&amp;TEXT(AQ$2+FLOOR((AQ$2-1)/9,1),"000"),"")</f>
        <v>BW046</v>
      </c>
      <c r="AR45" s="22" t="str">
        <f>IF(INDEX('Shot Map'!$B$6:$V$26,CEILING($A45/5,1),CEILING(AR$2/5,1))=1,INDEX('Serial Reference'!$A$8:$W$8,1,FLOOR(($A45-1)/23,1)+1)&amp;INDEX('Serial Reference'!$A$8:$W$8,1,MOD($A45-1,23)+1)&amp;TEXT(AR$2+FLOOR((AR$2-1)/9,1),"000"),"")</f>
        <v>BW047</v>
      </c>
      <c r="AS45" s="22" t="str">
        <f>IF(INDEX('Shot Map'!$B$6:$V$26,CEILING($A45/5,1),CEILING(AS$2/5,1))=1,INDEX('Serial Reference'!$A$8:$W$8,1,FLOOR(($A45-1)/23,1)+1)&amp;INDEX('Serial Reference'!$A$8:$W$8,1,MOD($A45-1,23)+1)&amp;TEXT(AS$2+FLOOR((AS$2-1)/9,1),"000"),"")</f>
        <v>BW048</v>
      </c>
      <c r="AT45" s="23" t="str">
        <f>IF(INDEX('Shot Map'!$B$6:$V$26,CEILING($A45/5,1),CEILING(AT$2/5,1))=1,INDEX('Serial Reference'!$A$8:$W$8,1,FLOOR(($A45-1)/23,1)+1)&amp;INDEX('Serial Reference'!$A$8:$W$8,1,MOD($A45-1,23)+1)&amp;TEXT(AT$2+FLOOR((AT$2-1)/9,1),"000"),"")</f>
        <v>BW049</v>
      </c>
      <c r="AU45" s="21" t="str">
        <f>IF(INDEX('Shot Map'!$B$6:$V$26,CEILING($A45/5,1),CEILING(AU$2/5,1))=1,INDEX('Serial Reference'!$A$8:$W$8,1,FLOOR(($A45-1)/23,1)+1)&amp;INDEX('Serial Reference'!$A$8:$W$8,1,MOD($A45-1,23)+1)&amp;TEXT(AU$2+FLOOR((AU$2-1)/9,1),"000"),"")</f>
        <v>BW051</v>
      </c>
      <c r="AV45" s="22" t="str">
        <f>IF(INDEX('Shot Map'!$B$6:$V$26,CEILING($A45/5,1),CEILING(AV$2/5,1))=1,INDEX('Serial Reference'!$A$8:$W$8,1,FLOOR(($A45-1)/23,1)+1)&amp;INDEX('Serial Reference'!$A$8:$W$8,1,MOD($A45-1,23)+1)&amp;TEXT(AV$2+FLOOR((AV$2-1)/9,1),"000"),"")</f>
        <v>BW052</v>
      </c>
      <c r="AW45" s="22" t="str">
        <f>IF(INDEX('Shot Map'!$B$6:$V$26,CEILING($A45/5,1),CEILING(AW$2/5,1))=1,INDEX('Serial Reference'!$A$8:$W$8,1,FLOOR(($A45-1)/23,1)+1)&amp;INDEX('Serial Reference'!$A$8:$W$8,1,MOD($A45-1,23)+1)&amp;TEXT(AW$2+FLOOR((AW$2-1)/9,1),"000"),"")</f>
        <v>BW053</v>
      </c>
      <c r="AX45" s="22" t="str">
        <f>IF(INDEX('Shot Map'!$B$6:$V$26,CEILING($A45/5,1),CEILING(AX$2/5,1))=1,INDEX('Serial Reference'!$A$8:$W$8,1,FLOOR(($A45-1)/23,1)+1)&amp;INDEX('Serial Reference'!$A$8:$W$8,1,MOD($A45-1,23)+1)&amp;TEXT(AX$2+FLOOR((AX$2-1)/9,1),"000"),"")</f>
        <v>BW054</v>
      </c>
      <c r="AY45" s="23" t="str">
        <f>IF(INDEX('Shot Map'!$B$6:$V$26,CEILING($A45/5,1),CEILING(AY$2/5,1))=1,INDEX('Serial Reference'!$A$8:$W$8,1,FLOOR(($A45-1)/23,1)+1)&amp;INDEX('Serial Reference'!$A$8:$W$8,1,MOD($A45-1,23)+1)&amp;TEXT(AY$2+FLOOR((AY$2-1)/9,1),"000"),"")</f>
        <v>BW055</v>
      </c>
      <c r="AZ45" s="21" t="str">
        <f>IF(INDEX('Shot Map'!$B$6:$V$26,CEILING($A45/5,1),CEILING(AZ$2/5,1))=1,INDEX('Serial Reference'!$A$8:$W$8,1,FLOOR(($A45-1)/23,1)+1)&amp;INDEX('Serial Reference'!$A$8:$W$8,1,MOD($A45-1,23)+1)&amp;TEXT(AZ$2+FLOOR((AZ$2-1)/9,1),"000"),"")</f>
        <v>BW056</v>
      </c>
      <c r="BA45" s="22" t="str">
        <f>IF(INDEX('Shot Map'!$B$6:$V$26,CEILING($A45/5,1),CEILING(BA$2/5,1))=1,INDEX('Serial Reference'!$A$8:$W$8,1,FLOOR(($A45-1)/23,1)+1)&amp;INDEX('Serial Reference'!$A$8:$W$8,1,MOD($A45-1,23)+1)&amp;TEXT(BA$2+FLOOR((BA$2-1)/9,1),"000"),"")</f>
        <v>BW057</v>
      </c>
      <c r="BB45" s="22" t="str">
        <f>IF(INDEX('Shot Map'!$B$6:$V$26,CEILING($A45/5,1),CEILING(BB$2/5,1))=1,INDEX('Serial Reference'!$A$8:$W$8,1,FLOOR(($A45-1)/23,1)+1)&amp;INDEX('Serial Reference'!$A$8:$W$8,1,MOD($A45-1,23)+1)&amp;TEXT(BB$2+FLOOR((BB$2-1)/9,1),"000"),"")</f>
        <v>BW058</v>
      </c>
      <c r="BC45" s="22" t="str">
        <f>IF(INDEX('Shot Map'!$B$6:$V$26,CEILING($A45/5,1),CEILING(BC$2/5,1))=1,INDEX('Serial Reference'!$A$8:$W$8,1,FLOOR(($A45-1)/23,1)+1)&amp;INDEX('Serial Reference'!$A$8:$W$8,1,MOD($A45-1,23)+1)&amp;TEXT(BC$2+FLOOR((BC$2-1)/9,1),"000"),"")</f>
        <v>BW059</v>
      </c>
      <c r="BD45" s="23" t="str">
        <f>IF(INDEX('Shot Map'!$B$6:$V$26,CEILING($A45/5,1),CEILING(BD$2/5,1))=1,INDEX('Serial Reference'!$A$8:$W$8,1,FLOOR(($A45-1)/23,1)+1)&amp;INDEX('Serial Reference'!$A$8:$W$8,1,MOD($A45-1,23)+1)&amp;TEXT(BD$2+FLOOR((BD$2-1)/9,1),"000"),"")</f>
        <v>BW061</v>
      </c>
      <c r="BE45" s="21" t="str">
        <f>IF(INDEX('Shot Map'!$B$6:$V$26,CEILING($A45/5,1),CEILING(BE$2/5,1))=1,INDEX('Serial Reference'!$A$8:$W$8,1,FLOOR(($A45-1)/23,1)+1)&amp;INDEX('Serial Reference'!$A$8:$W$8,1,MOD($A45-1,23)+1)&amp;TEXT(BE$2+FLOOR((BE$2-1)/9,1),"000"),"")</f>
        <v>BW062</v>
      </c>
      <c r="BF45" s="22" t="str">
        <f>IF(INDEX('Shot Map'!$B$6:$V$26,CEILING($A45/5,1),CEILING(BF$2/5,1))=1,INDEX('Serial Reference'!$A$8:$W$8,1,FLOOR(($A45-1)/23,1)+1)&amp;INDEX('Serial Reference'!$A$8:$W$8,1,MOD($A45-1,23)+1)&amp;TEXT(BF$2+FLOOR((BF$2-1)/9,1),"000"),"")</f>
        <v>BW063</v>
      </c>
      <c r="BG45" s="22" t="str">
        <f>IF(INDEX('Shot Map'!$B$6:$V$26,CEILING($A45/5,1),CEILING(BG$2/5,1))=1,INDEX('Serial Reference'!$A$8:$W$8,1,FLOOR(($A45-1)/23,1)+1)&amp;INDEX('Serial Reference'!$A$8:$W$8,1,MOD($A45-1,23)+1)&amp;TEXT(BG$2+FLOOR((BG$2-1)/9,1),"000"),"")</f>
        <v>BW064</v>
      </c>
      <c r="BH45" s="22" t="str">
        <f>IF(INDEX('Shot Map'!$B$6:$V$26,CEILING($A45/5,1),CEILING(BH$2/5,1))=1,INDEX('Serial Reference'!$A$8:$W$8,1,FLOOR(($A45-1)/23,1)+1)&amp;INDEX('Serial Reference'!$A$8:$W$8,1,MOD($A45-1,23)+1)&amp;TEXT(BH$2+FLOOR((BH$2-1)/9,1),"000"),"")</f>
        <v>BW065</v>
      </c>
      <c r="BI45" s="23" t="str">
        <f>IF(INDEX('Shot Map'!$B$6:$V$26,CEILING($A45/5,1),CEILING(BI$2/5,1))=1,INDEX('Serial Reference'!$A$8:$W$8,1,FLOOR(($A45-1)/23,1)+1)&amp;INDEX('Serial Reference'!$A$8:$W$8,1,MOD($A45-1,23)+1)&amp;TEXT(BI$2+FLOOR((BI$2-1)/9,1),"000"),"")</f>
        <v>BW066</v>
      </c>
      <c r="BJ45" s="21" t="str">
        <f>IF(INDEX('Shot Map'!$B$6:$V$26,CEILING($A45/5,1),CEILING(BJ$2/5,1))=1,INDEX('Serial Reference'!$A$8:$W$8,1,FLOOR(($A45-1)/23,1)+1)&amp;INDEX('Serial Reference'!$A$8:$W$8,1,MOD($A45-1,23)+1)&amp;TEXT(BJ$2+FLOOR((BJ$2-1)/9,1),"000"),"")</f>
        <v>BW067</v>
      </c>
      <c r="BK45" s="22" t="str">
        <f>IF(INDEX('Shot Map'!$B$6:$V$26,CEILING($A45/5,1),CEILING(BK$2/5,1))=1,INDEX('Serial Reference'!$A$8:$W$8,1,FLOOR(($A45-1)/23,1)+1)&amp;INDEX('Serial Reference'!$A$8:$W$8,1,MOD($A45-1,23)+1)&amp;TEXT(BK$2+FLOOR((BK$2-1)/9,1),"000"),"")</f>
        <v>BW068</v>
      </c>
      <c r="BL45" s="22" t="str">
        <f>IF(INDEX('Shot Map'!$B$6:$V$26,CEILING($A45/5,1),CEILING(BL$2/5,1))=1,INDEX('Serial Reference'!$A$8:$W$8,1,FLOOR(($A45-1)/23,1)+1)&amp;INDEX('Serial Reference'!$A$8:$W$8,1,MOD($A45-1,23)+1)&amp;TEXT(BL$2+FLOOR((BL$2-1)/9,1),"000"),"")</f>
        <v>BW069</v>
      </c>
      <c r="BM45" s="22" t="str">
        <f>IF(INDEX('Shot Map'!$B$6:$V$26,CEILING($A45/5,1),CEILING(BM$2/5,1))=1,INDEX('Serial Reference'!$A$8:$W$8,1,FLOOR(($A45-1)/23,1)+1)&amp;INDEX('Serial Reference'!$A$8:$W$8,1,MOD($A45-1,23)+1)&amp;TEXT(BM$2+FLOOR((BM$2-1)/9,1),"000"),"")</f>
        <v>BW071</v>
      </c>
      <c r="BN45" s="23" t="str">
        <f>IF(INDEX('Shot Map'!$B$6:$V$26,CEILING($A45/5,1),CEILING(BN$2/5,1))=1,INDEX('Serial Reference'!$A$8:$W$8,1,FLOOR(($A45-1)/23,1)+1)&amp;INDEX('Serial Reference'!$A$8:$W$8,1,MOD($A45-1,23)+1)&amp;TEXT(BN$2+FLOOR((BN$2-1)/9,1),"000"),"")</f>
        <v>BW072</v>
      </c>
      <c r="BO45" s="21" t="str">
        <f>IF(INDEX('Shot Map'!$B$6:$V$26,CEILING($A45/5,1),CEILING(BO$2/5,1))=1,INDEX('Serial Reference'!$A$8:$W$8,1,FLOOR(($A45-1)/23,1)+1)&amp;INDEX('Serial Reference'!$A$8:$W$8,1,MOD($A45-1,23)+1)&amp;TEXT(BO$2+FLOOR((BO$2-1)/9,1),"000"),"")</f>
        <v>BW073</v>
      </c>
      <c r="BP45" s="22" t="str">
        <f>IF(INDEX('Shot Map'!$B$6:$V$26,CEILING($A45/5,1),CEILING(BP$2/5,1))=1,INDEX('Serial Reference'!$A$8:$W$8,1,FLOOR(($A45-1)/23,1)+1)&amp;INDEX('Serial Reference'!$A$8:$W$8,1,MOD($A45-1,23)+1)&amp;TEXT(BP$2+FLOOR((BP$2-1)/9,1),"000"),"")</f>
        <v>BW074</v>
      </c>
      <c r="BQ45" s="22" t="str">
        <f>IF(INDEX('Shot Map'!$B$6:$V$26,CEILING($A45/5,1),CEILING(BQ$2/5,1))=1,INDEX('Serial Reference'!$A$8:$W$8,1,FLOOR(($A45-1)/23,1)+1)&amp;INDEX('Serial Reference'!$A$8:$W$8,1,MOD($A45-1,23)+1)&amp;TEXT(BQ$2+FLOOR((BQ$2-1)/9,1),"000"),"")</f>
        <v>BW075</v>
      </c>
      <c r="BR45" s="22" t="str">
        <f>IF(INDEX('Shot Map'!$B$6:$V$26,CEILING($A45/5,1),CEILING(BR$2/5,1))=1,INDEX('Serial Reference'!$A$8:$W$8,1,FLOOR(($A45-1)/23,1)+1)&amp;INDEX('Serial Reference'!$A$8:$W$8,1,MOD($A45-1,23)+1)&amp;TEXT(BR$2+FLOOR((BR$2-1)/9,1),"000"),"")</f>
        <v>BW076</v>
      </c>
      <c r="BS45" s="23" t="str">
        <f>IF(INDEX('Shot Map'!$B$6:$V$26,CEILING($A45/5,1),CEILING(BS$2/5,1))=1,INDEX('Serial Reference'!$A$8:$W$8,1,FLOOR(($A45-1)/23,1)+1)&amp;INDEX('Serial Reference'!$A$8:$W$8,1,MOD($A45-1,23)+1)&amp;TEXT(BS$2+FLOOR((BS$2-1)/9,1),"000"),"")</f>
        <v>BW077</v>
      </c>
      <c r="BT45" s="21" t="str">
        <f>IF(INDEX('Shot Map'!$B$6:$V$26,CEILING($A45/5,1),CEILING(BT$2/5,1))=1,INDEX('Serial Reference'!$A$8:$W$8,1,FLOOR(($A45-1)/23,1)+1)&amp;INDEX('Serial Reference'!$A$8:$W$8,1,MOD($A45-1,23)+1)&amp;TEXT(BT$2+FLOOR((BT$2-1)/9,1),"000"),"")</f>
        <v>BW078</v>
      </c>
      <c r="BU45" s="22" t="str">
        <f>IF(INDEX('Shot Map'!$B$6:$V$26,CEILING($A45/5,1),CEILING(BU$2/5,1))=1,INDEX('Serial Reference'!$A$8:$W$8,1,FLOOR(($A45-1)/23,1)+1)&amp;INDEX('Serial Reference'!$A$8:$W$8,1,MOD($A45-1,23)+1)&amp;TEXT(BU$2+FLOOR((BU$2-1)/9,1),"000"),"")</f>
        <v>BW079</v>
      </c>
      <c r="BV45" s="22" t="str">
        <f>IF(INDEX('Shot Map'!$B$6:$V$26,CEILING($A45/5,1),CEILING(BV$2/5,1))=1,INDEX('Serial Reference'!$A$8:$W$8,1,FLOOR(($A45-1)/23,1)+1)&amp;INDEX('Serial Reference'!$A$8:$W$8,1,MOD($A45-1,23)+1)&amp;TEXT(BV$2+FLOOR((BV$2-1)/9,1),"000"),"")</f>
        <v>BW081</v>
      </c>
      <c r="BW45" s="22" t="str">
        <f>IF(INDEX('Shot Map'!$B$6:$V$26,CEILING($A45/5,1),CEILING(BW$2/5,1))=1,INDEX('Serial Reference'!$A$8:$W$8,1,FLOOR(($A45-1)/23,1)+1)&amp;INDEX('Serial Reference'!$A$8:$W$8,1,MOD($A45-1,23)+1)&amp;TEXT(BW$2+FLOOR((BW$2-1)/9,1),"000"),"")</f>
        <v>BW082</v>
      </c>
      <c r="BX45" s="23" t="str">
        <f>IF(INDEX('Shot Map'!$B$6:$V$26,CEILING($A45/5,1),CEILING(BX$2/5,1))=1,INDEX('Serial Reference'!$A$8:$W$8,1,FLOOR(($A45-1)/23,1)+1)&amp;INDEX('Serial Reference'!$A$8:$W$8,1,MOD($A45-1,23)+1)&amp;TEXT(BX$2+FLOOR((BX$2-1)/9,1),"000"),"")</f>
        <v>BW083</v>
      </c>
      <c r="BY45" s="21" t="str">
        <f>IF(INDEX('Shot Map'!$B$6:$V$26,CEILING($A45/5,1),CEILING(BY$2/5,1))=1,INDEX('Serial Reference'!$A$8:$W$8,1,FLOOR(($A45-1)/23,1)+1)&amp;INDEX('Serial Reference'!$A$8:$W$8,1,MOD($A45-1,23)+1)&amp;TEXT(BY$2+FLOOR((BY$2-1)/9,1),"000"),"")</f>
        <v>BW084</v>
      </c>
      <c r="BZ45" s="22" t="str">
        <f>IF(INDEX('Shot Map'!$B$6:$V$26,CEILING($A45/5,1),CEILING(BZ$2/5,1))=1,INDEX('Serial Reference'!$A$8:$W$8,1,FLOOR(($A45-1)/23,1)+1)&amp;INDEX('Serial Reference'!$A$8:$W$8,1,MOD($A45-1,23)+1)&amp;TEXT(BZ$2+FLOOR((BZ$2-1)/9,1),"000"),"")</f>
        <v>BW085</v>
      </c>
      <c r="CA45" s="22" t="str">
        <f>IF(INDEX('Shot Map'!$B$6:$V$26,CEILING($A45/5,1),CEILING(CA$2/5,1))=1,INDEX('Serial Reference'!$A$8:$W$8,1,FLOOR(($A45-1)/23,1)+1)&amp;INDEX('Serial Reference'!$A$8:$W$8,1,MOD($A45-1,23)+1)&amp;TEXT(CA$2+FLOOR((CA$2-1)/9,1),"000"),"")</f>
        <v>BW086</v>
      </c>
      <c r="CB45" s="22" t="str">
        <f>IF(INDEX('Shot Map'!$B$6:$V$26,CEILING($A45/5,1),CEILING(CB$2/5,1))=1,INDEX('Serial Reference'!$A$8:$W$8,1,FLOOR(($A45-1)/23,1)+1)&amp;INDEX('Serial Reference'!$A$8:$W$8,1,MOD($A45-1,23)+1)&amp;TEXT(CB$2+FLOOR((CB$2-1)/9,1),"000"),"")</f>
        <v>BW087</v>
      </c>
      <c r="CC45" s="23" t="str">
        <f>IF(INDEX('Shot Map'!$B$6:$V$26,CEILING($A45/5,1),CEILING(CC$2/5,1))=1,INDEX('Serial Reference'!$A$8:$W$8,1,FLOOR(($A45-1)/23,1)+1)&amp;INDEX('Serial Reference'!$A$8:$W$8,1,MOD($A45-1,23)+1)&amp;TEXT(CC$2+FLOOR((CC$2-1)/9,1),"000"),"")</f>
        <v>BW088</v>
      </c>
      <c r="CD45" s="21" t="str">
        <f>IF(INDEX('Shot Map'!$B$6:$V$26,CEILING($A45/5,1),CEILING(CD$2/5,1))=1,INDEX('Serial Reference'!$A$8:$W$8,1,FLOOR(($A45-1)/23,1)+1)&amp;INDEX('Serial Reference'!$A$8:$W$8,1,MOD($A45-1,23)+1)&amp;TEXT(CD$2+FLOOR((CD$2-1)/9,1),"000"),"")</f>
        <v>BW089</v>
      </c>
      <c r="CE45" s="22" t="str">
        <f>IF(INDEX('Shot Map'!$B$6:$V$26,CEILING($A45/5,1),CEILING(CE$2/5,1))=1,INDEX('Serial Reference'!$A$8:$W$8,1,FLOOR(($A45-1)/23,1)+1)&amp;INDEX('Serial Reference'!$A$8:$W$8,1,MOD($A45-1,23)+1)&amp;TEXT(CE$2+FLOOR((CE$2-1)/9,1),"000"),"")</f>
        <v>BW091</v>
      </c>
      <c r="CF45" s="22" t="str">
        <f>IF(INDEX('Shot Map'!$B$6:$V$26,CEILING($A45/5,1),CEILING(CF$2/5,1))=1,INDEX('Serial Reference'!$A$8:$W$8,1,FLOOR(($A45-1)/23,1)+1)&amp;INDEX('Serial Reference'!$A$8:$W$8,1,MOD($A45-1,23)+1)&amp;TEXT(CF$2+FLOOR((CF$2-1)/9,1),"000"),"")</f>
        <v>BW092</v>
      </c>
      <c r="CG45" s="22" t="str">
        <f>IF(INDEX('Shot Map'!$B$6:$V$26,CEILING($A45/5,1),CEILING(CG$2/5,1))=1,INDEX('Serial Reference'!$A$8:$W$8,1,FLOOR(($A45-1)/23,1)+1)&amp;INDEX('Serial Reference'!$A$8:$W$8,1,MOD($A45-1,23)+1)&amp;TEXT(CG$2+FLOOR((CG$2-1)/9,1),"000"),"")</f>
        <v>BW093</v>
      </c>
      <c r="CH45" s="23" t="str">
        <f>IF(INDEX('Shot Map'!$B$6:$V$26,CEILING($A45/5,1),CEILING(CH$2/5,1))=1,INDEX('Serial Reference'!$A$8:$W$8,1,FLOOR(($A45-1)/23,1)+1)&amp;INDEX('Serial Reference'!$A$8:$W$8,1,MOD($A45-1,23)+1)&amp;TEXT(CH$2+FLOOR((CH$2-1)/9,1),"000"),"")</f>
        <v>BW094</v>
      </c>
      <c r="CI45" s="21" t="str">
        <f>IF(INDEX('Shot Map'!$B$6:$V$26,CEILING($A45/5,1),CEILING(CI$2/5,1))=1,INDEX('Serial Reference'!$A$8:$W$8,1,FLOOR(($A45-1)/23,1)+1)&amp;INDEX('Serial Reference'!$A$8:$W$8,1,MOD($A45-1,23)+1)&amp;TEXT(CI$2+FLOOR((CI$2-1)/9,1),"000"),"")</f>
        <v>BW095</v>
      </c>
      <c r="CJ45" s="22" t="str">
        <f>IF(INDEX('Shot Map'!$B$6:$V$26,CEILING($A45/5,1),CEILING(CJ$2/5,1))=1,INDEX('Serial Reference'!$A$8:$W$8,1,FLOOR(($A45-1)/23,1)+1)&amp;INDEX('Serial Reference'!$A$8:$W$8,1,MOD($A45-1,23)+1)&amp;TEXT(CJ$2+FLOOR((CJ$2-1)/9,1),"000"),"")</f>
        <v>BW096</v>
      </c>
      <c r="CK45" s="22" t="str">
        <f>IF(INDEX('Shot Map'!$B$6:$V$26,CEILING($A45/5,1),CEILING(CK$2/5,1))=1,INDEX('Serial Reference'!$A$8:$W$8,1,FLOOR(($A45-1)/23,1)+1)&amp;INDEX('Serial Reference'!$A$8:$W$8,1,MOD($A45-1,23)+1)&amp;TEXT(CK$2+FLOOR((CK$2-1)/9,1),"000"),"")</f>
        <v>BW097</v>
      </c>
      <c r="CL45" s="22" t="str">
        <f>IF(INDEX('Shot Map'!$B$6:$V$26,CEILING($A45/5,1),CEILING(CL$2/5,1))=1,INDEX('Serial Reference'!$A$8:$W$8,1,FLOOR(($A45-1)/23,1)+1)&amp;INDEX('Serial Reference'!$A$8:$W$8,1,MOD($A45-1,23)+1)&amp;TEXT(CL$2+FLOOR((CL$2-1)/9,1),"000"),"")</f>
        <v>BW098</v>
      </c>
      <c r="CM45" s="23" t="str">
        <f>IF(INDEX('Shot Map'!$B$6:$V$26,CEILING($A45/5,1),CEILING(CM$2/5,1))=1,INDEX('Serial Reference'!$A$8:$W$8,1,FLOOR(($A45-1)/23,1)+1)&amp;INDEX('Serial Reference'!$A$8:$W$8,1,MOD($A45-1,23)+1)&amp;TEXT(CM$2+FLOOR((CM$2-1)/9,1),"000"),"")</f>
        <v>BW099</v>
      </c>
      <c r="CN45" s="21" t="str">
        <f>IF(INDEX('Shot Map'!$B$6:$V$26,CEILING($A45/5,1),CEILING(CN$2/5,1))=1,INDEX('Serial Reference'!$A$8:$W$8,1,FLOOR(($A45-1)/23,1)+1)&amp;INDEX('Serial Reference'!$A$8:$W$8,1,MOD($A45-1,23)+1)&amp;TEXT(CN$2+FLOOR((CN$2-1)/9,1),"000"),"")</f>
        <v>BW101</v>
      </c>
      <c r="CO45" s="22" t="str">
        <f>IF(INDEX('Shot Map'!$B$6:$V$26,CEILING($A45/5,1),CEILING(CO$2/5,1))=1,INDEX('Serial Reference'!$A$8:$W$8,1,FLOOR(($A45-1)/23,1)+1)&amp;INDEX('Serial Reference'!$A$8:$W$8,1,MOD($A45-1,23)+1)&amp;TEXT(CO$2+FLOOR((CO$2-1)/9,1),"000"),"")</f>
        <v>BW102</v>
      </c>
      <c r="CP45" s="22" t="str">
        <f>IF(INDEX('Shot Map'!$B$6:$V$26,CEILING($A45/5,1),CEILING(CP$2/5,1))=1,INDEX('Serial Reference'!$A$8:$W$8,1,FLOOR(($A45-1)/23,1)+1)&amp;INDEX('Serial Reference'!$A$8:$W$8,1,MOD($A45-1,23)+1)&amp;TEXT(CP$2+FLOOR((CP$2-1)/9,1),"000"),"")</f>
        <v>BW103</v>
      </c>
      <c r="CQ45" s="22" t="str">
        <f>IF(INDEX('Shot Map'!$B$6:$V$26,CEILING($A45/5,1),CEILING(CQ$2/5,1))=1,INDEX('Serial Reference'!$A$8:$W$8,1,FLOOR(($A45-1)/23,1)+1)&amp;INDEX('Serial Reference'!$A$8:$W$8,1,MOD($A45-1,23)+1)&amp;TEXT(CQ$2+FLOOR((CQ$2-1)/9,1),"000"),"")</f>
        <v>BW104</v>
      </c>
      <c r="CR45" s="23" t="str">
        <f>IF(INDEX('Shot Map'!$B$6:$V$26,CEILING($A45/5,1),CEILING(CR$2/5,1))=1,INDEX('Serial Reference'!$A$8:$W$8,1,FLOOR(($A45-1)/23,1)+1)&amp;INDEX('Serial Reference'!$A$8:$W$8,1,MOD($A45-1,23)+1)&amp;TEXT(CR$2+FLOOR((CR$2-1)/9,1),"000"),"")</f>
        <v>BW105</v>
      </c>
      <c r="CS45" s="21" t="str">
        <f>IF(INDEX('Shot Map'!$B$6:$V$26,CEILING($A45/5,1),CEILING(CS$2/5,1))=1,INDEX('Serial Reference'!$A$8:$W$8,1,FLOOR(($A45-1)/23,1)+1)&amp;INDEX('Serial Reference'!$A$8:$W$8,1,MOD($A45-1,23)+1)&amp;TEXT(CS$2+FLOOR((CS$2-1)/9,1),"000"),"")</f>
        <v>BW106</v>
      </c>
      <c r="CT45" s="22" t="str">
        <f>IF(INDEX('Shot Map'!$B$6:$V$26,CEILING($A45/5,1),CEILING(CT$2/5,1))=1,INDEX('Serial Reference'!$A$8:$W$8,1,FLOOR(($A45-1)/23,1)+1)&amp;INDEX('Serial Reference'!$A$8:$W$8,1,MOD($A45-1,23)+1)&amp;TEXT(CT$2+FLOOR((CT$2-1)/9,1),"000"),"")</f>
        <v>BW107</v>
      </c>
      <c r="CU45" s="22" t="str">
        <f>IF(INDEX('Shot Map'!$B$6:$V$26,CEILING($A45/5,1),CEILING(CU$2/5,1))=1,INDEX('Serial Reference'!$A$8:$W$8,1,FLOOR(($A45-1)/23,1)+1)&amp;INDEX('Serial Reference'!$A$8:$W$8,1,MOD($A45-1,23)+1)&amp;TEXT(CU$2+FLOOR((CU$2-1)/9,1),"000"),"")</f>
        <v>BW108</v>
      </c>
      <c r="CV45" s="22" t="str">
        <f>IF(INDEX('Shot Map'!$B$6:$V$26,CEILING($A45/5,1),CEILING(CV$2/5,1))=1,INDEX('Serial Reference'!$A$8:$W$8,1,FLOOR(($A45-1)/23,1)+1)&amp;INDEX('Serial Reference'!$A$8:$W$8,1,MOD($A45-1,23)+1)&amp;TEXT(CV$2+FLOOR((CV$2-1)/9,1),"000"),"")</f>
        <v>BW109</v>
      </c>
      <c r="CW45" s="23" t="str">
        <f>IF(INDEX('Shot Map'!$B$6:$V$26,CEILING($A45/5,1),CEILING(CW$2/5,1))=1,INDEX('Serial Reference'!$A$8:$W$8,1,FLOOR(($A45-1)/23,1)+1)&amp;INDEX('Serial Reference'!$A$8:$W$8,1,MOD($A45-1,23)+1)&amp;TEXT(CW$2+FLOOR((CW$2-1)/9,1),"000"),"")</f>
        <v>BW111</v>
      </c>
      <c r="CX45" s="21" t="str">
        <f>IF(INDEX('Shot Map'!$B$6:$V$26,CEILING($A45/5,1),CEILING(CX$2/5,1))=1,INDEX('Serial Reference'!$A$8:$W$8,1,FLOOR(($A45-1)/23,1)+1)&amp;INDEX('Serial Reference'!$A$8:$W$8,1,MOD($A45-1,23)+1)&amp;TEXT(CX$2+FLOOR((CX$2-1)/9,1),"000"),"")</f>
        <v/>
      </c>
      <c r="CY45" s="22" t="str">
        <f>IF(INDEX('Shot Map'!$B$6:$V$26,CEILING($A45/5,1),CEILING(CY$2/5,1))=1,INDEX('Serial Reference'!$A$8:$W$8,1,FLOOR(($A45-1)/23,1)+1)&amp;INDEX('Serial Reference'!$A$8:$W$8,1,MOD($A45-1,23)+1)&amp;TEXT(CY$2+FLOOR((CY$2-1)/9,1),"000"),"")</f>
        <v/>
      </c>
      <c r="CZ45" s="22" t="str">
        <f>IF(INDEX('Shot Map'!$B$6:$V$26,CEILING($A45/5,1),CEILING(CZ$2/5,1))=1,INDEX('Serial Reference'!$A$8:$W$8,1,FLOOR(($A45-1)/23,1)+1)&amp;INDEX('Serial Reference'!$A$8:$W$8,1,MOD($A45-1,23)+1)&amp;TEXT(CZ$2+FLOOR((CZ$2-1)/9,1),"000"),"")</f>
        <v/>
      </c>
      <c r="DA45" s="22" t="str">
        <f>IF(INDEX('Shot Map'!$B$6:$V$26,CEILING($A45/5,1),CEILING(DA$2/5,1))=1,INDEX('Serial Reference'!$A$8:$W$8,1,FLOOR(($A45-1)/23,1)+1)&amp;INDEX('Serial Reference'!$A$8:$W$8,1,MOD($A45-1,23)+1)&amp;TEXT(DA$2+FLOOR((DA$2-1)/9,1),"000"),"")</f>
        <v/>
      </c>
      <c r="DB45" s="23" t="str">
        <f>IF(INDEX('Shot Map'!$B$6:$V$26,CEILING($A45/5,1),CEILING(DB$2/5,1))=1,INDEX('Serial Reference'!$A$8:$W$8,1,FLOOR(($A45-1)/23,1)+1)&amp;INDEX('Serial Reference'!$A$8:$W$8,1,MOD($A45-1,23)+1)&amp;TEXT(DB$2+FLOOR((DB$2-1)/9,1),"000"),"")</f>
        <v/>
      </c>
    </row>
    <row r="46" spans="1:106" ht="12.75" customHeight="1" x14ac:dyDescent="0.25">
      <c r="A46" s="17">
        <v>44</v>
      </c>
      <c r="B46" s="21" t="str">
        <f>IF(INDEX('Shot Map'!$B$6:$V$26,CEILING($A46/5,1),CEILING(B$2/5,1))=1,INDEX('Serial Reference'!$A$8:$W$8,1,FLOOR(($A46-1)/23,1)+1)&amp;INDEX('Serial Reference'!$A$8:$W$8,1,MOD($A46-1,23)+1)&amp;TEXT(B$2+FLOOR((B$2-1)/9,1),"000"),"")</f>
        <v/>
      </c>
      <c r="C46" s="22" t="str">
        <f>IF(INDEX('Shot Map'!$B$6:$V$26,CEILING($A46/5,1),CEILING(C$2/5,1))=1,INDEX('Serial Reference'!$A$8:$W$8,1,FLOOR(($A46-1)/23,1)+1)&amp;INDEX('Serial Reference'!$A$8:$W$8,1,MOD($A46-1,23)+1)&amp;TEXT(C$2+FLOOR((C$2-1)/9,1),"000"),"")</f>
        <v/>
      </c>
      <c r="D46" s="22" t="str">
        <f>IF(INDEX('Shot Map'!$B$6:$V$26,CEILING($A46/5,1),CEILING(D$2/5,1))=1,INDEX('Serial Reference'!$A$8:$W$8,1,FLOOR(($A46-1)/23,1)+1)&amp;INDEX('Serial Reference'!$A$8:$W$8,1,MOD($A46-1,23)+1)&amp;TEXT(D$2+FLOOR((D$2-1)/9,1),"000"),"")</f>
        <v/>
      </c>
      <c r="E46" s="22" t="str">
        <f>IF(INDEX('Shot Map'!$B$6:$V$26,CEILING($A46/5,1),CEILING(E$2/5,1))=1,INDEX('Serial Reference'!$A$8:$W$8,1,FLOOR(($A46-1)/23,1)+1)&amp;INDEX('Serial Reference'!$A$8:$W$8,1,MOD($A46-1,23)+1)&amp;TEXT(E$2+FLOOR((E$2-1)/9,1),"000"),"")</f>
        <v/>
      </c>
      <c r="F46" s="23" t="str">
        <f>IF(INDEX('Shot Map'!$B$6:$V$26,CEILING($A46/5,1),CEILING(F$2/5,1))=1,INDEX('Serial Reference'!$A$8:$W$8,1,FLOOR(($A46-1)/23,1)+1)&amp;INDEX('Serial Reference'!$A$8:$W$8,1,MOD($A46-1,23)+1)&amp;TEXT(F$2+FLOOR((F$2-1)/9,1),"000"),"")</f>
        <v/>
      </c>
      <c r="G46" s="21" t="str">
        <f>IF(INDEX('Shot Map'!$B$6:$V$26,CEILING($A46/5,1),CEILING(G$2/5,1))=1,INDEX('Serial Reference'!$A$8:$W$8,1,FLOOR(($A46-1)/23,1)+1)&amp;INDEX('Serial Reference'!$A$8:$W$8,1,MOD($A46-1,23)+1)&amp;TEXT(G$2+FLOOR((G$2-1)/9,1),"000"),"")</f>
        <v>BX006</v>
      </c>
      <c r="H46" s="22" t="str">
        <f>IF(INDEX('Shot Map'!$B$6:$V$26,CEILING($A46/5,1),CEILING(H$2/5,1))=1,INDEX('Serial Reference'!$A$8:$W$8,1,FLOOR(($A46-1)/23,1)+1)&amp;INDEX('Serial Reference'!$A$8:$W$8,1,MOD($A46-1,23)+1)&amp;TEXT(H$2+FLOOR((H$2-1)/9,1),"000"),"")</f>
        <v>BX007</v>
      </c>
      <c r="I46" s="22" t="str">
        <f>IF(INDEX('Shot Map'!$B$6:$V$26,CEILING($A46/5,1),CEILING(I$2/5,1))=1,INDEX('Serial Reference'!$A$8:$W$8,1,FLOOR(($A46-1)/23,1)+1)&amp;INDEX('Serial Reference'!$A$8:$W$8,1,MOD($A46-1,23)+1)&amp;TEXT(I$2+FLOOR((I$2-1)/9,1),"000"),"")</f>
        <v>BX008</v>
      </c>
      <c r="J46" s="22" t="str">
        <f>IF(INDEX('Shot Map'!$B$6:$V$26,CEILING($A46/5,1),CEILING(J$2/5,1))=1,INDEX('Serial Reference'!$A$8:$W$8,1,FLOOR(($A46-1)/23,1)+1)&amp;INDEX('Serial Reference'!$A$8:$W$8,1,MOD($A46-1,23)+1)&amp;TEXT(J$2+FLOOR((J$2-1)/9,1),"000"),"")</f>
        <v>BX009</v>
      </c>
      <c r="K46" s="23" t="str">
        <f>IF(INDEX('Shot Map'!$B$6:$V$26,CEILING($A46/5,1),CEILING(K$2/5,1))=1,INDEX('Serial Reference'!$A$8:$W$8,1,FLOOR(($A46-1)/23,1)+1)&amp;INDEX('Serial Reference'!$A$8:$W$8,1,MOD($A46-1,23)+1)&amp;TEXT(K$2+FLOOR((K$2-1)/9,1),"000"),"")</f>
        <v>BX011</v>
      </c>
      <c r="L46" s="21" t="str">
        <f>IF(INDEX('Shot Map'!$B$6:$V$26,CEILING($A46/5,1),CEILING(L$2/5,1))=1,INDEX('Serial Reference'!$A$8:$W$8,1,FLOOR(($A46-1)/23,1)+1)&amp;INDEX('Serial Reference'!$A$8:$W$8,1,MOD($A46-1,23)+1)&amp;TEXT(L$2+FLOOR((L$2-1)/9,1),"000"),"")</f>
        <v>BX012</v>
      </c>
      <c r="M46" s="22" t="str">
        <f>IF(INDEX('Shot Map'!$B$6:$V$26,CEILING($A46/5,1),CEILING(M$2/5,1))=1,INDEX('Serial Reference'!$A$8:$W$8,1,FLOOR(($A46-1)/23,1)+1)&amp;INDEX('Serial Reference'!$A$8:$W$8,1,MOD($A46-1,23)+1)&amp;TEXT(M$2+FLOOR((M$2-1)/9,1),"000"),"")</f>
        <v>BX013</v>
      </c>
      <c r="N46" s="22" t="str">
        <f>IF(INDEX('Shot Map'!$B$6:$V$26,CEILING($A46/5,1),CEILING(N$2/5,1))=1,INDEX('Serial Reference'!$A$8:$W$8,1,FLOOR(($A46-1)/23,1)+1)&amp;INDEX('Serial Reference'!$A$8:$W$8,1,MOD($A46-1,23)+1)&amp;TEXT(N$2+FLOOR((N$2-1)/9,1),"000"),"")</f>
        <v>BX014</v>
      </c>
      <c r="O46" s="22" t="str">
        <f>IF(INDEX('Shot Map'!$B$6:$V$26,CEILING($A46/5,1),CEILING(O$2/5,1))=1,INDEX('Serial Reference'!$A$8:$W$8,1,FLOOR(($A46-1)/23,1)+1)&amp;INDEX('Serial Reference'!$A$8:$W$8,1,MOD($A46-1,23)+1)&amp;TEXT(O$2+FLOOR((O$2-1)/9,1),"000"),"")</f>
        <v>BX015</v>
      </c>
      <c r="P46" s="23" t="str">
        <f>IF(INDEX('Shot Map'!$B$6:$V$26,CEILING($A46/5,1),CEILING(P$2/5,1))=1,INDEX('Serial Reference'!$A$8:$W$8,1,FLOOR(($A46-1)/23,1)+1)&amp;INDEX('Serial Reference'!$A$8:$W$8,1,MOD($A46-1,23)+1)&amp;TEXT(P$2+FLOOR((P$2-1)/9,1),"000"),"")</f>
        <v>BX016</v>
      </c>
      <c r="Q46" s="21" t="str">
        <f>IF(INDEX('Shot Map'!$B$6:$V$26,CEILING($A46/5,1),CEILING(Q$2/5,1))=1,INDEX('Serial Reference'!$A$8:$W$8,1,FLOOR(($A46-1)/23,1)+1)&amp;INDEX('Serial Reference'!$A$8:$W$8,1,MOD($A46-1,23)+1)&amp;TEXT(Q$2+FLOOR((Q$2-1)/9,1),"000"),"")</f>
        <v>BX017</v>
      </c>
      <c r="R46" s="22" t="str">
        <f>IF(INDEX('Shot Map'!$B$6:$V$26,CEILING($A46/5,1),CEILING(R$2/5,1))=1,INDEX('Serial Reference'!$A$8:$W$8,1,FLOOR(($A46-1)/23,1)+1)&amp;INDEX('Serial Reference'!$A$8:$W$8,1,MOD($A46-1,23)+1)&amp;TEXT(R$2+FLOOR((R$2-1)/9,1),"000"),"")</f>
        <v>BX018</v>
      </c>
      <c r="S46" s="22" t="str">
        <f>IF(INDEX('Shot Map'!$B$6:$V$26,CEILING($A46/5,1),CEILING(S$2/5,1))=1,INDEX('Serial Reference'!$A$8:$W$8,1,FLOOR(($A46-1)/23,1)+1)&amp;INDEX('Serial Reference'!$A$8:$W$8,1,MOD($A46-1,23)+1)&amp;TEXT(S$2+FLOOR((S$2-1)/9,1),"000"),"")</f>
        <v>BX019</v>
      </c>
      <c r="T46" s="22" t="str">
        <f>IF(INDEX('Shot Map'!$B$6:$V$26,CEILING($A46/5,1),CEILING(T$2/5,1))=1,INDEX('Serial Reference'!$A$8:$W$8,1,FLOOR(($A46-1)/23,1)+1)&amp;INDEX('Serial Reference'!$A$8:$W$8,1,MOD($A46-1,23)+1)&amp;TEXT(T$2+FLOOR((T$2-1)/9,1),"000"),"")</f>
        <v>BX021</v>
      </c>
      <c r="U46" s="23" t="str">
        <f>IF(INDEX('Shot Map'!$B$6:$V$26,CEILING($A46/5,1),CEILING(U$2/5,1))=1,INDEX('Serial Reference'!$A$8:$W$8,1,FLOOR(($A46-1)/23,1)+1)&amp;INDEX('Serial Reference'!$A$8:$W$8,1,MOD($A46-1,23)+1)&amp;TEXT(U$2+FLOOR((U$2-1)/9,1),"000"),"")</f>
        <v>BX022</v>
      </c>
      <c r="V46" s="21" t="str">
        <f>IF(INDEX('Shot Map'!$B$6:$V$26,CEILING($A46/5,1),CEILING(V$2/5,1))=1,INDEX('Serial Reference'!$A$8:$W$8,1,FLOOR(($A46-1)/23,1)+1)&amp;INDEX('Serial Reference'!$A$8:$W$8,1,MOD($A46-1,23)+1)&amp;TEXT(V$2+FLOOR((V$2-1)/9,1),"000"),"")</f>
        <v>BX023</v>
      </c>
      <c r="W46" s="22" t="str">
        <f>IF(INDEX('Shot Map'!$B$6:$V$26,CEILING($A46/5,1),CEILING(W$2/5,1))=1,INDEX('Serial Reference'!$A$8:$W$8,1,FLOOR(($A46-1)/23,1)+1)&amp;INDEX('Serial Reference'!$A$8:$W$8,1,MOD($A46-1,23)+1)&amp;TEXT(W$2+FLOOR((W$2-1)/9,1),"000"),"")</f>
        <v>BX024</v>
      </c>
      <c r="X46" s="22" t="str">
        <f>IF(INDEX('Shot Map'!$B$6:$V$26,CEILING($A46/5,1),CEILING(X$2/5,1))=1,INDEX('Serial Reference'!$A$8:$W$8,1,FLOOR(($A46-1)/23,1)+1)&amp;INDEX('Serial Reference'!$A$8:$W$8,1,MOD($A46-1,23)+1)&amp;TEXT(X$2+FLOOR((X$2-1)/9,1),"000"),"")</f>
        <v>BX025</v>
      </c>
      <c r="Y46" s="22" t="str">
        <f>IF(INDEX('Shot Map'!$B$6:$V$26,CEILING($A46/5,1),CEILING(Y$2/5,1))=1,INDEX('Serial Reference'!$A$8:$W$8,1,FLOOR(($A46-1)/23,1)+1)&amp;INDEX('Serial Reference'!$A$8:$W$8,1,MOD($A46-1,23)+1)&amp;TEXT(Y$2+FLOOR((Y$2-1)/9,1),"000"),"")</f>
        <v>BX026</v>
      </c>
      <c r="Z46" s="23" t="str">
        <f>IF(INDEX('Shot Map'!$B$6:$V$26,CEILING($A46/5,1),CEILING(Z$2/5,1))=1,INDEX('Serial Reference'!$A$8:$W$8,1,FLOOR(($A46-1)/23,1)+1)&amp;INDEX('Serial Reference'!$A$8:$W$8,1,MOD($A46-1,23)+1)&amp;TEXT(Z$2+FLOOR((Z$2-1)/9,1),"000"),"")</f>
        <v>BX027</v>
      </c>
      <c r="AA46" s="21" t="str">
        <f>IF(INDEX('Shot Map'!$B$6:$V$26,CEILING($A46/5,1),CEILING(AA$2/5,1))=1,INDEX('Serial Reference'!$A$8:$W$8,1,FLOOR(($A46-1)/23,1)+1)&amp;INDEX('Serial Reference'!$A$8:$W$8,1,MOD($A46-1,23)+1)&amp;TEXT(AA$2+FLOOR((AA$2-1)/9,1),"000"),"")</f>
        <v>BX028</v>
      </c>
      <c r="AB46" s="22" t="str">
        <f>IF(INDEX('Shot Map'!$B$6:$V$26,CEILING($A46/5,1),CEILING(AB$2/5,1))=1,INDEX('Serial Reference'!$A$8:$W$8,1,FLOOR(($A46-1)/23,1)+1)&amp;INDEX('Serial Reference'!$A$8:$W$8,1,MOD($A46-1,23)+1)&amp;TEXT(AB$2+FLOOR((AB$2-1)/9,1),"000"),"")</f>
        <v>BX029</v>
      </c>
      <c r="AC46" s="22" t="str">
        <f>IF(INDEX('Shot Map'!$B$6:$V$26,CEILING($A46/5,1),CEILING(AC$2/5,1))=1,INDEX('Serial Reference'!$A$8:$W$8,1,FLOOR(($A46-1)/23,1)+1)&amp;INDEX('Serial Reference'!$A$8:$W$8,1,MOD($A46-1,23)+1)&amp;TEXT(AC$2+FLOOR((AC$2-1)/9,1),"000"),"")</f>
        <v>BX031</v>
      </c>
      <c r="AD46" s="22" t="str">
        <f>IF(INDEX('Shot Map'!$B$6:$V$26,CEILING($A46/5,1),CEILING(AD$2/5,1))=1,INDEX('Serial Reference'!$A$8:$W$8,1,FLOOR(($A46-1)/23,1)+1)&amp;INDEX('Serial Reference'!$A$8:$W$8,1,MOD($A46-1,23)+1)&amp;TEXT(AD$2+FLOOR((AD$2-1)/9,1),"000"),"")</f>
        <v>BX032</v>
      </c>
      <c r="AE46" s="23" t="str">
        <f>IF(INDEX('Shot Map'!$B$6:$V$26,CEILING($A46/5,1),CEILING(AE$2/5,1))=1,INDEX('Serial Reference'!$A$8:$W$8,1,FLOOR(($A46-1)/23,1)+1)&amp;INDEX('Serial Reference'!$A$8:$W$8,1,MOD($A46-1,23)+1)&amp;TEXT(AE$2+FLOOR((AE$2-1)/9,1),"000"),"")</f>
        <v>BX033</v>
      </c>
      <c r="AF46" s="21" t="str">
        <f>IF(INDEX('Shot Map'!$B$6:$V$26,CEILING($A46/5,1),CEILING(AF$2/5,1))=1,INDEX('Serial Reference'!$A$8:$W$8,1,FLOOR(($A46-1)/23,1)+1)&amp;INDEX('Serial Reference'!$A$8:$W$8,1,MOD($A46-1,23)+1)&amp;TEXT(AF$2+FLOOR((AF$2-1)/9,1),"000"),"")</f>
        <v>BX034</v>
      </c>
      <c r="AG46" s="22" t="str">
        <f>IF(INDEX('Shot Map'!$B$6:$V$26,CEILING($A46/5,1),CEILING(AG$2/5,1))=1,INDEX('Serial Reference'!$A$8:$W$8,1,FLOOR(($A46-1)/23,1)+1)&amp;INDEX('Serial Reference'!$A$8:$W$8,1,MOD($A46-1,23)+1)&amp;TEXT(AG$2+FLOOR((AG$2-1)/9,1),"000"),"")</f>
        <v>BX035</v>
      </c>
      <c r="AH46" s="22" t="str">
        <f>IF(INDEX('Shot Map'!$B$6:$V$26,CEILING($A46/5,1),CEILING(AH$2/5,1))=1,INDEX('Serial Reference'!$A$8:$W$8,1,FLOOR(($A46-1)/23,1)+1)&amp;INDEX('Serial Reference'!$A$8:$W$8,1,MOD($A46-1,23)+1)&amp;TEXT(AH$2+FLOOR((AH$2-1)/9,1),"000"),"")</f>
        <v>BX036</v>
      </c>
      <c r="AI46" s="22" t="str">
        <f>IF(INDEX('Shot Map'!$B$6:$V$26,CEILING($A46/5,1),CEILING(AI$2/5,1))=1,INDEX('Serial Reference'!$A$8:$W$8,1,FLOOR(($A46-1)/23,1)+1)&amp;INDEX('Serial Reference'!$A$8:$W$8,1,MOD($A46-1,23)+1)&amp;TEXT(AI$2+FLOOR((AI$2-1)/9,1),"000"),"")</f>
        <v>BX037</v>
      </c>
      <c r="AJ46" s="23" t="str">
        <f>IF(INDEX('Shot Map'!$B$6:$V$26,CEILING($A46/5,1),CEILING(AJ$2/5,1))=1,INDEX('Serial Reference'!$A$8:$W$8,1,FLOOR(($A46-1)/23,1)+1)&amp;INDEX('Serial Reference'!$A$8:$W$8,1,MOD($A46-1,23)+1)&amp;TEXT(AJ$2+FLOOR((AJ$2-1)/9,1),"000"),"")</f>
        <v>BX038</v>
      </c>
      <c r="AK46" s="21" t="str">
        <f>IF(INDEX('Shot Map'!$B$6:$V$26,CEILING($A46/5,1),CEILING(AK$2/5,1))=1,INDEX('Serial Reference'!$A$8:$W$8,1,FLOOR(($A46-1)/23,1)+1)&amp;INDEX('Serial Reference'!$A$8:$W$8,1,MOD($A46-1,23)+1)&amp;TEXT(AK$2+FLOOR((AK$2-1)/9,1),"000"),"")</f>
        <v>BX039</v>
      </c>
      <c r="AL46" s="22" t="str">
        <f>IF(INDEX('Shot Map'!$B$6:$V$26,CEILING($A46/5,1),CEILING(AL$2/5,1))=1,INDEX('Serial Reference'!$A$8:$W$8,1,FLOOR(($A46-1)/23,1)+1)&amp;INDEX('Serial Reference'!$A$8:$W$8,1,MOD($A46-1,23)+1)&amp;TEXT(AL$2+FLOOR((AL$2-1)/9,1),"000"),"")</f>
        <v>BX041</v>
      </c>
      <c r="AM46" s="22" t="str">
        <f>IF(INDEX('Shot Map'!$B$6:$V$26,CEILING($A46/5,1),CEILING(AM$2/5,1))=1,INDEX('Serial Reference'!$A$8:$W$8,1,FLOOR(($A46-1)/23,1)+1)&amp;INDEX('Serial Reference'!$A$8:$W$8,1,MOD($A46-1,23)+1)&amp;TEXT(AM$2+FLOOR((AM$2-1)/9,1),"000"),"")</f>
        <v>BX042</v>
      </c>
      <c r="AN46" s="22" t="str">
        <f>IF(INDEX('Shot Map'!$B$6:$V$26,CEILING($A46/5,1),CEILING(AN$2/5,1))=1,INDEX('Serial Reference'!$A$8:$W$8,1,FLOOR(($A46-1)/23,1)+1)&amp;INDEX('Serial Reference'!$A$8:$W$8,1,MOD($A46-1,23)+1)&amp;TEXT(AN$2+FLOOR((AN$2-1)/9,1),"000"),"")</f>
        <v>BX043</v>
      </c>
      <c r="AO46" s="23" t="str">
        <f>IF(INDEX('Shot Map'!$B$6:$V$26,CEILING($A46/5,1),CEILING(AO$2/5,1))=1,INDEX('Serial Reference'!$A$8:$W$8,1,FLOOR(($A46-1)/23,1)+1)&amp;INDEX('Serial Reference'!$A$8:$W$8,1,MOD($A46-1,23)+1)&amp;TEXT(AO$2+FLOOR((AO$2-1)/9,1),"000"),"")</f>
        <v>BX044</v>
      </c>
      <c r="AP46" s="21" t="str">
        <f>IF(INDEX('Shot Map'!$B$6:$V$26,CEILING($A46/5,1),CEILING(AP$2/5,1))=1,INDEX('Serial Reference'!$A$8:$W$8,1,FLOOR(($A46-1)/23,1)+1)&amp;INDEX('Serial Reference'!$A$8:$W$8,1,MOD($A46-1,23)+1)&amp;TEXT(AP$2+FLOOR((AP$2-1)/9,1),"000"),"")</f>
        <v>BX045</v>
      </c>
      <c r="AQ46" s="22" t="str">
        <f>IF(INDEX('Shot Map'!$B$6:$V$26,CEILING($A46/5,1),CEILING(AQ$2/5,1))=1,INDEX('Serial Reference'!$A$8:$W$8,1,FLOOR(($A46-1)/23,1)+1)&amp;INDEX('Serial Reference'!$A$8:$W$8,1,MOD($A46-1,23)+1)&amp;TEXT(AQ$2+FLOOR((AQ$2-1)/9,1),"000"),"")</f>
        <v>BX046</v>
      </c>
      <c r="AR46" s="22" t="str">
        <f>IF(INDEX('Shot Map'!$B$6:$V$26,CEILING($A46/5,1),CEILING(AR$2/5,1))=1,INDEX('Serial Reference'!$A$8:$W$8,1,FLOOR(($A46-1)/23,1)+1)&amp;INDEX('Serial Reference'!$A$8:$W$8,1,MOD($A46-1,23)+1)&amp;TEXT(AR$2+FLOOR((AR$2-1)/9,1),"000"),"")</f>
        <v>BX047</v>
      </c>
      <c r="AS46" s="22" t="str">
        <f>IF(INDEX('Shot Map'!$B$6:$V$26,CEILING($A46/5,1),CEILING(AS$2/5,1))=1,INDEX('Serial Reference'!$A$8:$W$8,1,FLOOR(($A46-1)/23,1)+1)&amp;INDEX('Serial Reference'!$A$8:$W$8,1,MOD($A46-1,23)+1)&amp;TEXT(AS$2+FLOOR((AS$2-1)/9,1),"000"),"")</f>
        <v>BX048</v>
      </c>
      <c r="AT46" s="23" t="str">
        <f>IF(INDEX('Shot Map'!$B$6:$V$26,CEILING($A46/5,1),CEILING(AT$2/5,1))=1,INDEX('Serial Reference'!$A$8:$W$8,1,FLOOR(($A46-1)/23,1)+1)&amp;INDEX('Serial Reference'!$A$8:$W$8,1,MOD($A46-1,23)+1)&amp;TEXT(AT$2+FLOOR((AT$2-1)/9,1),"000"),"")</f>
        <v>BX049</v>
      </c>
      <c r="AU46" s="21" t="str">
        <f>IF(INDEX('Shot Map'!$B$6:$V$26,CEILING($A46/5,1),CEILING(AU$2/5,1))=1,INDEX('Serial Reference'!$A$8:$W$8,1,FLOOR(($A46-1)/23,1)+1)&amp;INDEX('Serial Reference'!$A$8:$W$8,1,MOD($A46-1,23)+1)&amp;TEXT(AU$2+FLOOR((AU$2-1)/9,1),"000"),"")</f>
        <v>BX051</v>
      </c>
      <c r="AV46" s="22" t="str">
        <f>IF(INDEX('Shot Map'!$B$6:$V$26,CEILING($A46/5,1),CEILING(AV$2/5,1))=1,INDEX('Serial Reference'!$A$8:$W$8,1,FLOOR(($A46-1)/23,1)+1)&amp;INDEX('Serial Reference'!$A$8:$W$8,1,MOD($A46-1,23)+1)&amp;TEXT(AV$2+FLOOR((AV$2-1)/9,1),"000"),"")</f>
        <v>BX052</v>
      </c>
      <c r="AW46" s="22" t="str">
        <f>IF(INDEX('Shot Map'!$B$6:$V$26,CEILING($A46/5,1),CEILING(AW$2/5,1))=1,INDEX('Serial Reference'!$A$8:$W$8,1,FLOOR(($A46-1)/23,1)+1)&amp;INDEX('Serial Reference'!$A$8:$W$8,1,MOD($A46-1,23)+1)&amp;TEXT(AW$2+FLOOR((AW$2-1)/9,1),"000"),"")</f>
        <v>BX053</v>
      </c>
      <c r="AX46" s="22" t="str">
        <f>IF(INDEX('Shot Map'!$B$6:$V$26,CEILING($A46/5,1),CEILING(AX$2/5,1))=1,INDEX('Serial Reference'!$A$8:$W$8,1,FLOOR(($A46-1)/23,1)+1)&amp;INDEX('Serial Reference'!$A$8:$W$8,1,MOD($A46-1,23)+1)&amp;TEXT(AX$2+FLOOR((AX$2-1)/9,1),"000"),"")</f>
        <v>BX054</v>
      </c>
      <c r="AY46" s="23" t="str">
        <f>IF(INDEX('Shot Map'!$B$6:$V$26,CEILING($A46/5,1),CEILING(AY$2/5,1))=1,INDEX('Serial Reference'!$A$8:$W$8,1,FLOOR(($A46-1)/23,1)+1)&amp;INDEX('Serial Reference'!$A$8:$W$8,1,MOD($A46-1,23)+1)&amp;TEXT(AY$2+FLOOR((AY$2-1)/9,1),"000"),"")</f>
        <v>BX055</v>
      </c>
      <c r="AZ46" s="21" t="str">
        <f>IF(INDEX('Shot Map'!$B$6:$V$26,CEILING($A46/5,1),CEILING(AZ$2/5,1))=1,INDEX('Serial Reference'!$A$8:$W$8,1,FLOOR(($A46-1)/23,1)+1)&amp;INDEX('Serial Reference'!$A$8:$W$8,1,MOD($A46-1,23)+1)&amp;TEXT(AZ$2+FLOOR((AZ$2-1)/9,1),"000"),"")</f>
        <v>BX056</v>
      </c>
      <c r="BA46" s="22" t="str">
        <f>IF(INDEX('Shot Map'!$B$6:$V$26,CEILING($A46/5,1),CEILING(BA$2/5,1))=1,INDEX('Serial Reference'!$A$8:$W$8,1,FLOOR(($A46-1)/23,1)+1)&amp;INDEX('Serial Reference'!$A$8:$W$8,1,MOD($A46-1,23)+1)&amp;TEXT(BA$2+FLOOR((BA$2-1)/9,1),"000"),"")</f>
        <v>BX057</v>
      </c>
      <c r="BB46" s="22" t="str">
        <f>IF(INDEX('Shot Map'!$B$6:$V$26,CEILING($A46/5,1),CEILING(BB$2/5,1))=1,INDEX('Serial Reference'!$A$8:$W$8,1,FLOOR(($A46-1)/23,1)+1)&amp;INDEX('Serial Reference'!$A$8:$W$8,1,MOD($A46-1,23)+1)&amp;TEXT(BB$2+FLOOR((BB$2-1)/9,1),"000"),"")</f>
        <v>BX058</v>
      </c>
      <c r="BC46" s="22" t="str">
        <f>IF(INDEX('Shot Map'!$B$6:$V$26,CEILING($A46/5,1),CEILING(BC$2/5,1))=1,INDEX('Serial Reference'!$A$8:$W$8,1,FLOOR(($A46-1)/23,1)+1)&amp;INDEX('Serial Reference'!$A$8:$W$8,1,MOD($A46-1,23)+1)&amp;TEXT(BC$2+FLOOR((BC$2-1)/9,1),"000"),"")</f>
        <v>BX059</v>
      </c>
      <c r="BD46" s="23" t="str">
        <f>IF(INDEX('Shot Map'!$B$6:$V$26,CEILING($A46/5,1),CEILING(BD$2/5,1))=1,INDEX('Serial Reference'!$A$8:$W$8,1,FLOOR(($A46-1)/23,1)+1)&amp;INDEX('Serial Reference'!$A$8:$W$8,1,MOD($A46-1,23)+1)&amp;TEXT(BD$2+FLOOR((BD$2-1)/9,1),"000"),"")</f>
        <v>BX061</v>
      </c>
      <c r="BE46" s="21" t="str">
        <f>IF(INDEX('Shot Map'!$B$6:$V$26,CEILING($A46/5,1),CEILING(BE$2/5,1))=1,INDEX('Serial Reference'!$A$8:$W$8,1,FLOOR(($A46-1)/23,1)+1)&amp;INDEX('Serial Reference'!$A$8:$W$8,1,MOD($A46-1,23)+1)&amp;TEXT(BE$2+FLOOR((BE$2-1)/9,1),"000"),"")</f>
        <v>BX062</v>
      </c>
      <c r="BF46" s="22" t="str">
        <f>IF(INDEX('Shot Map'!$B$6:$V$26,CEILING($A46/5,1),CEILING(BF$2/5,1))=1,INDEX('Serial Reference'!$A$8:$W$8,1,FLOOR(($A46-1)/23,1)+1)&amp;INDEX('Serial Reference'!$A$8:$W$8,1,MOD($A46-1,23)+1)&amp;TEXT(BF$2+FLOOR((BF$2-1)/9,1),"000"),"")</f>
        <v>BX063</v>
      </c>
      <c r="BG46" s="22" t="str">
        <f>IF(INDEX('Shot Map'!$B$6:$V$26,CEILING($A46/5,1),CEILING(BG$2/5,1))=1,INDEX('Serial Reference'!$A$8:$W$8,1,FLOOR(($A46-1)/23,1)+1)&amp;INDEX('Serial Reference'!$A$8:$W$8,1,MOD($A46-1,23)+1)&amp;TEXT(BG$2+FLOOR((BG$2-1)/9,1),"000"),"")</f>
        <v>BX064</v>
      </c>
      <c r="BH46" s="22" t="str">
        <f>IF(INDEX('Shot Map'!$B$6:$V$26,CEILING($A46/5,1),CEILING(BH$2/5,1))=1,INDEX('Serial Reference'!$A$8:$W$8,1,FLOOR(($A46-1)/23,1)+1)&amp;INDEX('Serial Reference'!$A$8:$W$8,1,MOD($A46-1,23)+1)&amp;TEXT(BH$2+FLOOR((BH$2-1)/9,1),"000"),"")</f>
        <v>BX065</v>
      </c>
      <c r="BI46" s="23" t="str">
        <f>IF(INDEX('Shot Map'!$B$6:$V$26,CEILING($A46/5,1),CEILING(BI$2/5,1))=1,INDEX('Serial Reference'!$A$8:$W$8,1,FLOOR(($A46-1)/23,1)+1)&amp;INDEX('Serial Reference'!$A$8:$W$8,1,MOD($A46-1,23)+1)&amp;TEXT(BI$2+FLOOR((BI$2-1)/9,1),"000"),"")</f>
        <v>BX066</v>
      </c>
      <c r="BJ46" s="21" t="str">
        <f>IF(INDEX('Shot Map'!$B$6:$V$26,CEILING($A46/5,1),CEILING(BJ$2/5,1))=1,INDEX('Serial Reference'!$A$8:$W$8,1,FLOOR(($A46-1)/23,1)+1)&amp;INDEX('Serial Reference'!$A$8:$W$8,1,MOD($A46-1,23)+1)&amp;TEXT(BJ$2+FLOOR((BJ$2-1)/9,1),"000"),"")</f>
        <v>BX067</v>
      </c>
      <c r="BK46" s="22" t="str">
        <f>IF(INDEX('Shot Map'!$B$6:$V$26,CEILING($A46/5,1),CEILING(BK$2/5,1))=1,INDEX('Serial Reference'!$A$8:$W$8,1,FLOOR(($A46-1)/23,1)+1)&amp;INDEX('Serial Reference'!$A$8:$W$8,1,MOD($A46-1,23)+1)&amp;TEXT(BK$2+FLOOR((BK$2-1)/9,1),"000"),"")</f>
        <v>BX068</v>
      </c>
      <c r="BL46" s="22" t="str">
        <f>IF(INDEX('Shot Map'!$B$6:$V$26,CEILING($A46/5,1),CEILING(BL$2/5,1))=1,INDEX('Serial Reference'!$A$8:$W$8,1,FLOOR(($A46-1)/23,1)+1)&amp;INDEX('Serial Reference'!$A$8:$W$8,1,MOD($A46-1,23)+1)&amp;TEXT(BL$2+FLOOR((BL$2-1)/9,1),"000"),"")</f>
        <v>BX069</v>
      </c>
      <c r="BM46" s="22" t="str">
        <f>IF(INDEX('Shot Map'!$B$6:$V$26,CEILING($A46/5,1),CEILING(BM$2/5,1))=1,INDEX('Serial Reference'!$A$8:$W$8,1,FLOOR(($A46-1)/23,1)+1)&amp;INDEX('Serial Reference'!$A$8:$W$8,1,MOD($A46-1,23)+1)&amp;TEXT(BM$2+FLOOR((BM$2-1)/9,1),"000"),"")</f>
        <v>BX071</v>
      </c>
      <c r="BN46" s="23" t="str">
        <f>IF(INDEX('Shot Map'!$B$6:$V$26,CEILING($A46/5,1),CEILING(BN$2/5,1))=1,INDEX('Serial Reference'!$A$8:$W$8,1,FLOOR(($A46-1)/23,1)+1)&amp;INDEX('Serial Reference'!$A$8:$W$8,1,MOD($A46-1,23)+1)&amp;TEXT(BN$2+FLOOR((BN$2-1)/9,1),"000"),"")</f>
        <v>BX072</v>
      </c>
      <c r="BO46" s="21" t="str">
        <f>IF(INDEX('Shot Map'!$B$6:$V$26,CEILING($A46/5,1),CEILING(BO$2/5,1))=1,INDEX('Serial Reference'!$A$8:$W$8,1,FLOOR(($A46-1)/23,1)+1)&amp;INDEX('Serial Reference'!$A$8:$W$8,1,MOD($A46-1,23)+1)&amp;TEXT(BO$2+FLOOR((BO$2-1)/9,1),"000"),"")</f>
        <v>BX073</v>
      </c>
      <c r="BP46" s="22" t="str">
        <f>IF(INDEX('Shot Map'!$B$6:$V$26,CEILING($A46/5,1),CEILING(BP$2/5,1))=1,INDEX('Serial Reference'!$A$8:$W$8,1,FLOOR(($A46-1)/23,1)+1)&amp;INDEX('Serial Reference'!$A$8:$W$8,1,MOD($A46-1,23)+1)&amp;TEXT(BP$2+FLOOR((BP$2-1)/9,1),"000"),"")</f>
        <v>BX074</v>
      </c>
      <c r="BQ46" s="22" t="str">
        <f>IF(INDEX('Shot Map'!$B$6:$V$26,CEILING($A46/5,1),CEILING(BQ$2/5,1))=1,INDEX('Serial Reference'!$A$8:$W$8,1,FLOOR(($A46-1)/23,1)+1)&amp;INDEX('Serial Reference'!$A$8:$W$8,1,MOD($A46-1,23)+1)&amp;TEXT(BQ$2+FLOOR((BQ$2-1)/9,1),"000"),"")</f>
        <v>BX075</v>
      </c>
      <c r="BR46" s="22" t="str">
        <f>IF(INDEX('Shot Map'!$B$6:$V$26,CEILING($A46/5,1),CEILING(BR$2/5,1))=1,INDEX('Serial Reference'!$A$8:$W$8,1,FLOOR(($A46-1)/23,1)+1)&amp;INDEX('Serial Reference'!$A$8:$W$8,1,MOD($A46-1,23)+1)&amp;TEXT(BR$2+FLOOR((BR$2-1)/9,1),"000"),"")</f>
        <v>BX076</v>
      </c>
      <c r="BS46" s="23" t="str">
        <f>IF(INDEX('Shot Map'!$B$6:$V$26,CEILING($A46/5,1),CEILING(BS$2/5,1))=1,INDEX('Serial Reference'!$A$8:$W$8,1,FLOOR(($A46-1)/23,1)+1)&amp;INDEX('Serial Reference'!$A$8:$W$8,1,MOD($A46-1,23)+1)&amp;TEXT(BS$2+FLOOR((BS$2-1)/9,1),"000"),"")</f>
        <v>BX077</v>
      </c>
      <c r="BT46" s="21" t="str">
        <f>IF(INDEX('Shot Map'!$B$6:$V$26,CEILING($A46/5,1),CEILING(BT$2/5,1))=1,INDEX('Serial Reference'!$A$8:$W$8,1,FLOOR(($A46-1)/23,1)+1)&amp;INDEX('Serial Reference'!$A$8:$W$8,1,MOD($A46-1,23)+1)&amp;TEXT(BT$2+FLOOR((BT$2-1)/9,1),"000"),"")</f>
        <v>BX078</v>
      </c>
      <c r="BU46" s="22" t="str">
        <f>IF(INDEX('Shot Map'!$B$6:$V$26,CEILING($A46/5,1),CEILING(BU$2/5,1))=1,INDEX('Serial Reference'!$A$8:$W$8,1,FLOOR(($A46-1)/23,1)+1)&amp;INDEX('Serial Reference'!$A$8:$W$8,1,MOD($A46-1,23)+1)&amp;TEXT(BU$2+FLOOR((BU$2-1)/9,1),"000"),"")</f>
        <v>BX079</v>
      </c>
      <c r="BV46" s="22" t="str">
        <f>IF(INDEX('Shot Map'!$B$6:$V$26,CEILING($A46/5,1),CEILING(BV$2/5,1))=1,INDEX('Serial Reference'!$A$8:$W$8,1,FLOOR(($A46-1)/23,1)+1)&amp;INDEX('Serial Reference'!$A$8:$W$8,1,MOD($A46-1,23)+1)&amp;TEXT(BV$2+FLOOR((BV$2-1)/9,1),"000"),"")</f>
        <v>BX081</v>
      </c>
      <c r="BW46" s="22" t="str">
        <f>IF(INDEX('Shot Map'!$B$6:$V$26,CEILING($A46/5,1),CEILING(BW$2/5,1))=1,INDEX('Serial Reference'!$A$8:$W$8,1,FLOOR(($A46-1)/23,1)+1)&amp;INDEX('Serial Reference'!$A$8:$W$8,1,MOD($A46-1,23)+1)&amp;TEXT(BW$2+FLOOR((BW$2-1)/9,1),"000"),"")</f>
        <v>BX082</v>
      </c>
      <c r="BX46" s="23" t="str">
        <f>IF(INDEX('Shot Map'!$B$6:$V$26,CEILING($A46/5,1),CEILING(BX$2/5,1))=1,INDEX('Serial Reference'!$A$8:$W$8,1,FLOOR(($A46-1)/23,1)+1)&amp;INDEX('Serial Reference'!$A$8:$W$8,1,MOD($A46-1,23)+1)&amp;TEXT(BX$2+FLOOR((BX$2-1)/9,1),"000"),"")</f>
        <v>BX083</v>
      </c>
      <c r="BY46" s="21" t="str">
        <f>IF(INDEX('Shot Map'!$B$6:$V$26,CEILING($A46/5,1),CEILING(BY$2/5,1))=1,INDEX('Serial Reference'!$A$8:$W$8,1,FLOOR(($A46-1)/23,1)+1)&amp;INDEX('Serial Reference'!$A$8:$W$8,1,MOD($A46-1,23)+1)&amp;TEXT(BY$2+FLOOR((BY$2-1)/9,1),"000"),"")</f>
        <v>BX084</v>
      </c>
      <c r="BZ46" s="22" t="str">
        <f>IF(INDEX('Shot Map'!$B$6:$V$26,CEILING($A46/5,1),CEILING(BZ$2/5,1))=1,INDEX('Serial Reference'!$A$8:$W$8,1,FLOOR(($A46-1)/23,1)+1)&amp;INDEX('Serial Reference'!$A$8:$W$8,1,MOD($A46-1,23)+1)&amp;TEXT(BZ$2+FLOOR((BZ$2-1)/9,1),"000"),"")</f>
        <v>BX085</v>
      </c>
      <c r="CA46" s="22" t="str">
        <f>IF(INDEX('Shot Map'!$B$6:$V$26,CEILING($A46/5,1),CEILING(CA$2/5,1))=1,INDEX('Serial Reference'!$A$8:$W$8,1,FLOOR(($A46-1)/23,1)+1)&amp;INDEX('Serial Reference'!$A$8:$W$8,1,MOD($A46-1,23)+1)&amp;TEXT(CA$2+FLOOR((CA$2-1)/9,1),"000"),"")</f>
        <v>BX086</v>
      </c>
      <c r="CB46" s="22" t="str">
        <f>IF(INDEX('Shot Map'!$B$6:$V$26,CEILING($A46/5,1),CEILING(CB$2/5,1))=1,INDEX('Serial Reference'!$A$8:$W$8,1,FLOOR(($A46-1)/23,1)+1)&amp;INDEX('Serial Reference'!$A$8:$W$8,1,MOD($A46-1,23)+1)&amp;TEXT(CB$2+FLOOR((CB$2-1)/9,1),"000"),"")</f>
        <v>BX087</v>
      </c>
      <c r="CC46" s="23" t="str">
        <f>IF(INDEX('Shot Map'!$B$6:$V$26,CEILING($A46/5,1),CEILING(CC$2/5,1))=1,INDEX('Serial Reference'!$A$8:$W$8,1,FLOOR(($A46-1)/23,1)+1)&amp;INDEX('Serial Reference'!$A$8:$W$8,1,MOD($A46-1,23)+1)&amp;TEXT(CC$2+FLOOR((CC$2-1)/9,1),"000"),"")</f>
        <v>BX088</v>
      </c>
      <c r="CD46" s="21" t="str">
        <f>IF(INDEX('Shot Map'!$B$6:$V$26,CEILING($A46/5,1),CEILING(CD$2/5,1))=1,INDEX('Serial Reference'!$A$8:$W$8,1,FLOOR(($A46-1)/23,1)+1)&amp;INDEX('Serial Reference'!$A$8:$W$8,1,MOD($A46-1,23)+1)&amp;TEXT(CD$2+FLOOR((CD$2-1)/9,1),"000"),"")</f>
        <v>BX089</v>
      </c>
      <c r="CE46" s="22" t="str">
        <f>IF(INDEX('Shot Map'!$B$6:$V$26,CEILING($A46/5,1),CEILING(CE$2/5,1))=1,INDEX('Serial Reference'!$A$8:$W$8,1,FLOOR(($A46-1)/23,1)+1)&amp;INDEX('Serial Reference'!$A$8:$W$8,1,MOD($A46-1,23)+1)&amp;TEXT(CE$2+FLOOR((CE$2-1)/9,1),"000"),"")</f>
        <v>BX091</v>
      </c>
      <c r="CF46" s="22" t="str">
        <f>IF(INDEX('Shot Map'!$B$6:$V$26,CEILING($A46/5,1),CEILING(CF$2/5,1))=1,INDEX('Serial Reference'!$A$8:$W$8,1,FLOOR(($A46-1)/23,1)+1)&amp;INDEX('Serial Reference'!$A$8:$W$8,1,MOD($A46-1,23)+1)&amp;TEXT(CF$2+FLOOR((CF$2-1)/9,1),"000"),"")</f>
        <v>BX092</v>
      </c>
      <c r="CG46" s="22" t="str">
        <f>IF(INDEX('Shot Map'!$B$6:$V$26,CEILING($A46/5,1),CEILING(CG$2/5,1))=1,INDEX('Serial Reference'!$A$8:$W$8,1,FLOOR(($A46-1)/23,1)+1)&amp;INDEX('Serial Reference'!$A$8:$W$8,1,MOD($A46-1,23)+1)&amp;TEXT(CG$2+FLOOR((CG$2-1)/9,1),"000"),"")</f>
        <v>BX093</v>
      </c>
      <c r="CH46" s="23" t="str">
        <f>IF(INDEX('Shot Map'!$B$6:$V$26,CEILING($A46/5,1),CEILING(CH$2/5,1))=1,INDEX('Serial Reference'!$A$8:$W$8,1,FLOOR(($A46-1)/23,1)+1)&amp;INDEX('Serial Reference'!$A$8:$W$8,1,MOD($A46-1,23)+1)&amp;TEXT(CH$2+FLOOR((CH$2-1)/9,1),"000"),"")</f>
        <v>BX094</v>
      </c>
      <c r="CI46" s="21" t="str">
        <f>IF(INDEX('Shot Map'!$B$6:$V$26,CEILING($A46/5,1),CEILING(CI$2/5,1))=1,INDEX('Serial Reference'!$A$8:$W$8,1,FLOOR(($A46-1)/23,1)+1)&amp;INDEX('Serial Reference'!$A$8:$W$8,1,MOD($A46-1,23)+1)&amp;TEXT(CI$2+FLOOR((CI$2-1)/9,1),"000"),"")</f>
        <v>BX095</v>
      </c>
      <c r="CJ46" s="22" t="str">
        <f>IF(INDEX('Shot Map'!$B$6:$V$26,CEILING($A46/5,1),CEILING(CJ$2/5,1))=1,INDEX('Serial Reference'!$A$8:$W$8,1,FLOOR(($A46-1)/23,1)+1)&amp;INDEX('Serial Reference'!$A$8:$W$8,1,MOD($A46-1,23)+1)&amp;TEXT(CJ$2+FLOOR((CJ$2-1)/9,1),"000"),"")</f>
        <v>BX096</v>
      </c>
      <c r="CK46" s="22" t="str">
        <f>IF(INDEX('Shot Map'!$B$6:$V$26,CEILING($A46/5,1),CEILING(CK$2/5,1))=1,INDEX('Serial Reference'!$A$8:$W$8,1,FLOOR(($A46-1)/23,1)+1)&amp;INDEX('Serial Reference'!$A$8:$W$8,1,MOD($A46-1,23)+1)&amp;TEXT(CK$2+FLOOR((CK$2-1)/9,1),"000"),"")</f>
        <v>BX097</v>
      </c>
      <c r="CL46" s="22" t="str">
        <f>IF(INDEX('Shot Map'!$B$6:$V$26,CEILING($A46/5,1),CEILING(CL$2/5,1))=1,INDEX('Serial Reference'!$A$8:$W$8,1,FLOOR(($A46-1)/23,1)+1)&amp;INDEX('Serial Reference'!$A$8:$W$8,1,MOD($A46-1,23)+1)&amp;TEXT(CL$2+FLOOR((CL$2-1)/9,1),"000"),"")</f>
        <v>BX098</v>
      </c>
      <c r="CM46" s="23" t="str">
        <f>IF(INDEX('Shot Map'!$B$6:$V$26,CEILING($A46/5,1),CEILING(CM$2/5,1))=1,INDEX('Serial Reference'!$A$8:$W$8,1,FLOOR(($A46-1)/23,1)+1)&amp;INDEX('Serial Reference'!$A$8:$W$8,1,MOD($A46-1,23)+1)&amp;TEXT(CM$2+FLOOR((CM$2-1)/9,1),"000"),"")</f>
        <v>BX099</v>
      </c>
      <c r="CN46" s="21" t="str">
        <f>IF(INDEX('Shot Map'!$B$6:$V$26,CEILING($A46/5,1),CEILING(CN$2/5,1))=1,INDEX('Serial Reference'!$A$8:$W$8,1,FLOOR(($A46-1)/23,1)+1)&amp;INDEX('Serial Reference'!$A$8:$W$8,1,MOD($A46-1,23)+1)&amp;TEXT(CN$2+FLOOR((CN$2-1)/9,1),"000"),"")</f>
        <v>BX101</v>
      </c>
      <c r="CO46" s="22" t="str">
        <f>IF(INDEX('Shot Map'!$B$6:$V$26,CEILING($A46/5,1),CEILING(CO$2/5,1))=1,INDEX('Serial Reference'!$A$8:$W$8,1,FLOOR(($A46-1)/23,1)+1)&amp;INDEX('Serial Reference'!$A$8:$W$8,1,MOD($A46-1,23)+1)&amp;TEXT(CO$2+FLOOR((CO$2-1)/9,1),"000"),"")</f>
        <v>BX102</v>
      </c>
      <c r="CP46" s="22" t="str">
        <f>IF(INDEX('Shot Map'!$B$6:$V$26,CEILING($A46/5,1),CEILING(CP$2/5,1))=1,INDEX('Serial Reference'!$A$8:$W$8,1,FLOOR(($A46-1)/23,1)+1)&amp;INDEX('Serial Reference'!$A$8:$W$8,1,MOD($A46-1,23)+1)&amp;TEXT(CP$2+FLOOR((CP$2-1)/9,1),"000"),"")</f>
        <v>BX103</v>
      </c>
      <c r="CQ46" s="22" t="str">
        <f>IF(INDEX('Shot Map'!$B$6:$V$26,CEILING($A46/5,1),CEILING(CQ$2/5,1))=1,INDEX('Serial Reference'!$A$8:$W$8,1,FLOOR(($A46-1)/23,1)+1)&amp;INDEX('Serial Reference'!$A$8:$W$8,1,MOD($A46-1,23)+1)&amp;TEXT(CQ$2+FLOOR((CQ$2-1)/9,1),"000"),"")</f>
        <v>BX104</v>
      </c>
      <c r="CR46" s="23" t="str">
        <f>IF(INDEX('Shot Map'!$B$6:$V$26,CEILING($A46/5,1),CEILING(CR$2/5,1))=1,INDEX('Serial Reference'!$A$8:$W$8,1,FLOOR(($A46-1)/23,1)+1)&amp;INDEX('Serial Reference'!$A$8:$W$8,1,MOD($A46-1,23)+1)&amp;TEXT(CR$2+FLOOR((CR$2-1)/9,1),"000"),"")</f>
        <v>BX105</v>
      </c>
      <c r="CS46" s="21" t="str">
        <f>IF(INDEX('Shot Map'!$B$6:$V$26,CEILING($A46/5,1),CEILING(CS$2/5,1))=1,INDEX('Serial Reference'!$A$8:$W$8,1,FLOOR(($A46-1)/23,1)+1)&amp;INDEX('Serial Reference'!$A$8:$W$8,1,MOD($A46-1,23)+1)&amp;TEXT(CS$2+FLOOR((CS$2-1)/9,1),"000"),"")</f>
        <v>BX106</v>
      </c>
      <c r="CT46" s="22" t="str">
        <f>IF(INDEX('Shot Map'!$B$6:$V$26,CEILING($A46/5,1),CEILING(CT$2/5,1))=1,INDEX('Serial Reference'!$A$8:$W$8,1,FLOOR(($A46-1)/23,1)+1)&amp;INDEX('Serial Reference'!$A$8:$W$8,1,MOD($A46-1,23)+1)&amp;TEXT(CT$2+FLOOR((CT$2-1)/9,1),"000"),"")</f>
        <v>BX107</v>
      </c>
      <c r="CU46" s="22" t="str">
        <f>IF(INDEX('Shot Map'!$B$6:$V$26,CEILING($A46/5,1),CEILING(CU$2/5,1))=1,INDEX('Serial Reference'!$A$8:$W$8,1,FLOOR(($A46-1)/23,1)+1)&amp;INDEX('Serial Reference'!$A$8:$W$8,1,MOD($A46-1,23)+1)&amp;TEXT(CU$2+FLOOR((CU$2-1)/9,1),"000"),"")</f>
        <v>BX108</v>
      </c>
      <c r="CV46" s="22" t="str">
        <f>IF(INDEX('Shot Map'!$B$6:$V$26,CEILING($A46/5,1),CEILING(CV$2/5,1))=1,INDEX('Serial Reference'!$A$8:$W$8,1,FLOOR(($A46-1)/23,1)+1)&amp;INDEX('Serial Reference'!$A$8:$W$8,1,MOD($A46-1,23)+1)&amp;TEXT(CV$2+FLOOR((CV$2-1)/9,1),"000"),"")</f>
        <v>BX109</v>
      </c>
      <c r="CW46" s="23" t="str">
        <f>IF(INDEX('Shot Map'!$B$6:$V$26,CEILING($A46/5,1),CEILING(CW$2/5,1))=1,INDEX('Serial Reference'!$A$8:$W$8,1,FLOOR(($A46-1)/23,1)+1)&amp;INDEX('Serial Reference'!$A$8:$W$8,1,MOD($A46-1,23)+1)&amp;TEXT(CW$2+FLOOR((CW$2-1)/9,1),"000"),"")</f>
        <v>BX111</v>
      </c>
      <c r="CX46" s="21" t="str">
        <f>IF(INDEX('Shot Map'!$B$6:$V$26,CEILING($A46/5,1),CEILING(CX$2/5,1))=1,INDEX('Serial Reference'!$A$8:$W$8,1,FLOOR(($A46-1)/23,1)+1)&amp;INDEX('Serial Reference'!$A$8:$W$8,1,MOD($A46-1,23)+1)&amp;TEXT(CX$2+FLOOR((CX$2-1)/9,1),"000"),"")</f>
        <v/>
      </c>
      <c r="CY46" s="22" t="str">
        <f>IF(INDEX('Shot Map'!$B$6:$V$26,CEILING($A46/5,1),CEILING(CY$2/5,1))=1,INDEX('Serial Reference'!$A$8:$W$8,1,FLOOR(($A46-1)/23,1)+1)&amp;INDEX('Serial Reference'!$A$8:$W$8,1,MOD($A46-1,23)+1)&amp;TEXT(CY$2+FLOOR((CY$2-1)/9,1),"000"),"")</f>
        <v/>
      </c>
      <c r="CZ46" s="22" t="str">
        <f>IF(INDEX('Shot Map'!$B$6:$V$26,CEILING($A46/5,1),CEILING(CZ$2/5,1))=1,INDEX('Serial Reference'!$A$8:$W$8,1,FLOOR(($A46-1)/23,1)+1)&amp;INDEX('Serial Reference'!$A$8:$W$8,1,MOD($A46-1,23)+1)&amp;TEXT(CZ$2+FLOOR((CZ$2-1)/9,1),"000"),"")</f>
        <v/>
      </c>
      <c r="DA46" s="22" t="str">
        <f>IF(INDEX('Shot Map'!$B$6:$V$26,CEILING($A46/5,1),CEILING(DA$2/5,1))=1,INDEX('Serial Reference'!$A$8:$W$8,1,FLOOR(($A46-1)/23,1)+1)&amp;INDEX('Serial Reference'!$A$8:$W$8,1,MOD($A46-1,23)+1)&amp;TEXT(DA$2+FLOOR((DA$2-1)/9,1),"000"),"")</f>
        <v/>
      </c>
      <c r="DB46" s="23" t="str">
        <f>IF(INDEX('Shot Map'!$B$6:$V$26,CEILING($A46/5,1),CEILING(DB$2/5,1))=1,INDEX('Serial Reference'!$A$8:$W$8,1,FLOOR(($A46-1)/23,1)+1)&amp;INDEX('Serial Reference'!$A$8:$W$8,1,MOD($A46-1,23)+1)&amp;TEXT(DB$2+FLOOR((DB$2-1)/9,1),"000"),"")</f>
        <v/>
      </c>
    </row>
    <row r="47" spans="1:106" ht="12.75" customHeight="1" x14ac:dyDescent="0.25">
      <c r="A47" s="17">
        <v>45</v>
      </c>
      <c r="B47" s="24" t="str">
        <f>IF(INDEX('Shot Map'!$B$6:$V$26,CEILING($A47/5,1),CEILING(B$2/5,1))=1,INDEX('Serial Reference'!$A$8:$W$8,1,FLOOR(($A47-1)/23,1)+1)&amp;INDEX('Serial Reference'!$A$8:$W$8,1,MOD($A47-1,23)+1)&amp;TEXT(B$2+FLOOR((B$2-1)/9,1),"000"),"")</f>
        <v/>
      </c>
      <c r="C47" s="25" t="str">
        <f>IF(INDEX('Shot Map'!$B$6:$V$26,CEILING($A47/5,1),CEILING(C$2/5,1))=1,INDEX('Serial Reference'!$A$8:$W$8,1,FLOOR(($A47-1)/23,1)+1)&amp;INDEX('Serial Reference'!$A$8:$W$8,1,MOD($A47-1,23)+1)&amp;TEXT(C$2+FLOOR((C$2-1)/9,1),"000"),"")</f>
        <v/>
      </c>
      <c r="D47" s="25" t="str">
        <f>IF(INDEX('Shot Map'!$B$6:$V$26,CEILING($A47/5,1),CEILING(D$2/5,1))=1,INDEX('Serial Reference'!$A$8:$W$8,1,FLOOR(($A47-1)/23,1)+1)&amp;INDEX('Serial Reference'!$A$8:$W$8,1,MOD($A47-1,23)+1)&amp;TEXT(D$2+FLOOR((D$2-1)/9,1),"000"),"")</f>
        <v/>
      </c>
      <c r="E47" s="25" t="str">
        <f>IF(INDEX('Shot Map'!$B$6:$V$26,CEILING($A47/5,1),CEILING(E$2/5,1))=1,INDEX('Serial Reference'!$A$8:$W$8,1,FLOOR(($A47-1)/23,1)+1)&amp;INDEX('Serial Reference'!$A$8:$W$8,1,MOD($A47-1,23)+1)&amp;TEXT(E$2+FLOOR((E$2-1)/9,1),"000"),"")</f>
        <v/>
      </c>
      <c r="F47" s="26" t="str">
        <f>IF(INDEX('Shot Map'!$B$6:$V$26,CEILING($A47/5,1),CEILING(F$2/5,1))=1,INDEX('Serial Reference'!$A$8:$W$8,1,FLOOR(($A47-1)/23,1)+1)&amp;INDEX('Serial Reference'!$A$8:$W$8,1,MOD($A47-1,23)+1)&amp;TEXT(F$2+FLOOR((F$2-1)/9,1),"000"),"")</f>
        <v/>
      </c>
      <c r="G47" s="24" t="str">
        <f>IF(INDEX('Shot Map'!$B$6:$V$26,CEILING($A47/5,1),CEILING(G$2/5,1))=1,INDEX('Serial Reference'!$A$8:$W$8,1,FLOOR(($A47-1)/23,1)+1)&amp;INDEX('Serial Reference'!$A$8:$W$8,1,MOD($A47-1,23)+1)&amp;TEXT(G$2+FLOOR((G$2-1)/9,1),"000"),"")</f>
        <v>BY006</v>
      </c>
      <c r="H47" s="25" t="str">
        <f>IF(INDEX('Shot Map'!$B$6:$V$26,CEILING($A47/5,1),CEILING(H$2/5,1))=1,INDEX('Serial Reference'!$A$8:$W$8,1,FLOOR(($A47-1)/23,1)+1)&amp;INDEX('Serial Reference'!$A$8:$W$8,1,MOD($A47-1,23)+1)&amp;TEXT(H$2+FLOOR((H$2-1)/9,1),"000"),"")</f>
        <v>BY007</v>
      </c>
      <c r="I47" s="25" t="str">
        <f>IF(INDEX('Shot Map'!$B$6:$V$26,CEILING($A47/5,1),CEILING(I$2/5,1))=1,INDEX('Serial Reference'!$A$8:$W$8,1,FLOOR(($A47-1)/23,1)+1)&amp;INDEX('Serial Reference'!$A$8:$W$8,1,MOD($A47-1,23)+1)&amp;TEXT(I$2+FLOOR((I$2-1)/9,1),"000"),"")</f>
        <v>BY008</v>
      </c>
      <c r="J47" s="25" t="str">
        <f>IF(INDEX('Shot Map'!$B$6:$V$26,CEILING($A47/5,1),CEILING(J$2/5,1))=1,INDEX('Serial Reference'!$A$8:$W$8,1,FLOOR(($A47-1)/23,1)+1)&amp;INDEX('Serial Reference'!$A$8:$W$8,1,MOD($A47-1,23)+1)&amp;TEXT(J$2+FLOOR((J$2-1)/9,1),"000"),"")</f>
        <v>BY009</v>
      </c>
      <c r="K47" s="26" t="str">
        <f>IF(INDEX('Shot Map'!$B$6:$V$26,CEILING($A47/5,1),CEILING(K$2/5,1))=1,INDEX('Serial Reference'!$A$8:$W$8,1,FLOOR(($A47-1)/23,1)+1)&amp;INDEX('Serial Reference'!$A$8:$W$8,1,MOD($A47-1,23)+1)&amp;TEXT(K$2+FLOOR((K$2-1)/9,1),"000"),"")</f>
        <v>BY011</v>
      </c>
      <c r="L47" s="24" t="str">
        <f>IF(INDEX('Shot Map'!$B$6:$V$26,CEILING($A47/5,1),CEILING(L$2/5,1))=1,INDEX('Serial Reference'!$A$8:$W$8,1,FLOOR(($A47-1)/23,1)+1)&amp;INDEX('Serial Reference'!$A$8:$W$8,1,MOD($A47-1,23)+1)&amp;TEXT(L$2+FLOOR((L$2-1)/9,1),"000"),"")</f>
        <v>BY012</v>
      </c>
      <c r="M47" s="25" t="str">
        <f>IF(INDEX('Shot Map'!$B$6:$V$26,CEILING($A47/5,1),CEILING(M$2/5,1))=1,INDEX('Serial Reference'!$A$8:$W$8,1,FLOOR(($A47-1)/23,1)+1)&amp;INDEX('Serial Reference'!$A$8:$W$8,1,MOD($A47-1,23)+1)&amp;TEXT(M$2+FLOOR((M$2-1)/9,1),"000"),"")</f>
        <v>BY013</v>
      </c>
      <c r="N47" s="25" t="str">
        <f>IF(INDEX('Shot Map'!$B$6:$V$26,CEILING($A47/5,1),CEILING(N$2/5,1))=1,INDEX('Serial Reference'!$A$8:$W$8,1,FLOOR(($A47-1)/23,1)+1)&amp;INDEX('Serial Reference'!$A$8:$W$8,1,MOD($A47-1,23)+1)&amp;TEXT(N$2+FLOOR((N$2-1)/9,1),"000"),"")</f>
        <v>BY014</v>
      </c>
      <c r="O47" s="25" t="str">
        <f>IF(INDEX('Shot Map'!$B$6:$V$26,CEILING($A47/5,1),CEILING(O$2/5,1))=1,INDEX('Serial Reference'!$A$8:$W$8,1,FLOOR(($A47-1)/23,1)+1)&amp;INDEX('Serial Reference'!$A$8:$W$8,1,MOD($A47-1,23)+1)&amp;TEXT(O$2+FLOOR((O$2-1)/9,1),"000"),"")</f>
        <v>BY015</v>
      </c>
      <c r="P47" s="26" t="str">
        <f>IF(INDEX('Shot Map'!$B$6:$V$26,CEILING($A47/5,1),CEILING(P$2/5,1))=1,INDEX('Serial Reference'!$A$8:$W$8,1,FLOOR(($A47-1)/23,1)+1)&amp;INDEX('Serial Reference'!$A$8:$W$8,1,MOD($A47-1,23)+1)&amp;TEXT(P$2+FLOOR((P$2-1)/9,1),"000"),"")</f>
        <v>BY016</v>
      </c>
      <c r="Q47" s="24" t="str">
        <f>IF(INDEX('Shot Map'!$B$6:$V$26,CEILING($A47/5,1),CEILING(Q$2/5,1))=1,INDEX('Serial Reference'!$A$8:$W$8,1,FLOOR(($A47-1)/23,1)+1)&amp;INDEX('Serial Reference'!$A$8:$W$8,1,MOD($A47-1,23)+1)&amp;TEXT(Q$2+FLOOR((Q$2-1)/9,1),"000"),"")</f>
        <v>BY017</v>
      </c>
      <c r="R47" s="25" t="str">
        <f>IF(INDEX('Shot Map'!$B$6:$V$26,CEILING($A47/5,1),CEILING(R$2/5,1))=1,INDEX('Serial Reference'!$A$8:$W$8,1,FLOOR(($A47-1)/23,1)+1)&amp;INDEX('Serial Reference'!$A$8:$W$8,1,MOD($A47-1,23)+1)&amp;TEXT(R$2+FLOOR((R$2-1)/9,1),"000"),"")</f>
        <v>BY018</v>
      </c>
      <c r="S47" s="25" t="str">
        <f>IF(INDEX('Shot Map'!$B$6:$V$26,CEILING($A47/5,1),CEILING(S$2/5,1))=1,INDEX('Serial Reference'!$A$8:$W$8,1,FLOOR(($A47-1)/23,1)+1)&amp;INDEX('Serial Reference'!$A$8:$W$8,1,MOD($A47-1,23)+1)&amp;TEXT(S$2+FLOOR((S$2-1)/9,1),"000"),"")</f>
        <v>BY019</v>
      </c>
      <c r="T47" s="25" t="str">
        <f>IF(INDEX('Shot Map'!$B$6:$V$26,CEILING($A47/5,1),CEILING(T$2/5,1))=1,INDEX('Serial Reference'!$A$8:$W$8,1,FLOOR(($A47-1)/23,1)+1)&amp;INDEX('Serial Reference'!$A$8:$W$8,1,MOD($A47-1,23)+1)&amp;TEXT(T$2+FLOOR((T$2-1)/9,1),"000"),"")</f>
        <v>BY021</v>
      </c>
      <c r="U47" s="26" t="str">
        <f>IF(INDEX('Shot Map'!$B$6:$V$26,CEILING($A47/5,1),CEILING(U$2/5,1))=1,INDEX('Serial Reference'!$A$8:$W$8,1,FLOOR(($A47-1)/23,1)+1)&amp;INDEX('Serial Reference'!$A$8:$W$8,1,MOD($A47-1,23)+1)&amp;TEXT(U$2+FLOOR((U$2-1)/9,1),"000"),"")</f>
        <v>BY022</v>
      </c>
      <c r="V47" s="24" t="str">
        <f>IF(INDEX('Shot Map'!$B$6:$V$26,CEILING($A47/5,1),CEILING(V$2/5,1))=1,INDEX('Serial Reference'!$A$8:$W$8,1,FLOOR(($A47-1)/23,1)+1)&amp;INDEX('Serial Reference'!$A$8:$W$8,1,MOD($A47-1,23)+1)&amp;TEXT(V$2+FLOOR((V$2-1)/9,1),"000"),"")</f>
        <v>BY023</v>
      </c>
      <c r="W47" s="25" t="str">
        <f>IF(INDEX('Shot Map'!$B$6:$V$26,CEILING($A47/5,1),CEILING(W$2/5,1))=1,INDEX('Serial Reference'!$A$8:$W$8,1,FLOOR(($A47-1)/23,1)+1)&amp;INDEX('Serial Reference'!$A$8:$W$8,1,MOD($A47-1,23)+1)&amp;TEXT(W$2+FLOOR((W$2-1)/9,1),"000"),"")</f>
        <v>BY024</v>
      </c>
      <c r="X47" s="25" t="str">
        <f>IF(INDEX('Shot Map'!$B$6:$V$26,CEILING($A47/5,1),CEILING(X$2/5,1))=1,INDEX('Serial Reference'!$A$8:$W$8,1,FLOOR(($A47-1)/23,1)+1)&amp;INDEX('Serial Reference'!$A$8:$W$8,1,MOD($A47-1,23)+1)&amp;TEXT(X$2+FLOOR((X$2-1)/9,1),"000"),"")</f>
        <v>BY025</v>
      </c>
      <c r="Y47" s="25" t="str">
        <f>IF(INDEX('Shot Map'!$B$6:$V$26,CEILING($A47/5,1),CEILING(Y$2/5,1))=1,INDEX('Serial Reference'!$A$8:$W$8,1,FLOOR(($A47-1)/23,1)+1)&amp;INDEX('Serial Reference'!$A$8:$W$8,1,MOD($A47-1,23)+1)&amp;TEXT(Y$2+FLOOR((Y$2-1)/9,1),"000"),"")</f>
        <v>BY026</v>
      </c>
      <c r="Z47" s="26" t="str">
        <f>IF(INDEX('Shot Map'!$B$6:$V$26,CEILING($A47/5,1),CEILING(Z$2/5,1))=1,INDEX('Serial Reference'!$A$8:$W$8,1,FLOOR(($A47-1)/23,1)+1)&amp;INDEX('Serial Reference'!$A$8:$W$8,1,MOD($A47-1,23)+1)&amp;TEXT(Z$2+FLOOR((Z$2-1)/9,1),"000"),"")</f>
        <v>BY027</v>
      </c>
      <c r="AA47" s="24" t="str">
        <f>IF(INDEX('Shot Map'!$B$6:$V$26,CEILING($A47/5,1),CEILING(AA$2/5,1))=1,INDEX('Serial Reference'!$A$8:$W$8,1,FLOOR(($A47-1)/23,1)+1)&amp;INDEX('Serial Reference'!$A$8:$W$8,1,MOD($A47-1,23)+1)&amp;TEXT(AA$2+FLOOR((AA$2-1)/9,1),"000"),"")</f>
        <v>BY028</v>
      </c>
      <c r="AB47" s="25" t="str">
        <f>IF(INDEX('Shot Map'!$B$6:$V$26,CEILING($A47/5,1),CEILING(AB$2/5,1))=1,INDEX('Serial Reference'!$A$8:$W$8,1,FLOOR(($A47-1)/23,1)+1)&amp;INDEX('Serial Reference'!$A$8:$W$8,1,MOD($A47-1,23)+1)&amp;TEXT(AB$2+FLOOR((AB$2-1)/9,1),"000"),"")</f>
        <v>BY029</v>
      </c>
      <c r="AC47" s="25" t="str">
        <f>IF(INDEX('Shot Map'!$B$6:$V$26,CEILING($A47/5,1),CEILING(AC$2/5,1))=1,INDEX('Serial Reference'!$A$8:$W$8,1,FLOOR(($A47-1)/23,1)+1)&amp;INDEX('Serial Reference'!$A$8:$W$8,1,MOD($A47-1,23)+1)&amp;TEXT(AC$2+FLOOR((AC$2-1)/9,1),"000"),"")</f>
        <v>BY031</v>
      </c>
      <c r="AD47" s="25" t="str">
        <f>IF(INDEX('Shot Map'!$B$6:$V$26,CEILING($A47/5,1),CEILING(AD$2/5,1))=1,INDEX('Serial Reference'!$A$8:$W$8,1,FLOOR(($A47-1)/23,1)+1)&amp;INDEX('Serial Reference'!$A$8:$W$8,1,MOD($A47-1,23)+1)&amp;TEXT(AD$2+FLOOR((AD$2-1)/9,1),"000"),"")</f>
        <v>BY032</v>
      </c>
      <c r="AE47" s="26" t="str">
        <f>IF(INDEX('Shot Map'!$B$6:$V$26,CEILING($A47/5,1),CEILING(AE$2/5,1))=1,INDEX('Serial Reference'!$A$8:$W$8,1,FLOOR(($A47-1)/23,1)+1)&amp;INDEX('Serial Reference'!$A$8:$W$8,1,MOD($A47-1,23)+1)&amp;TEXT(AE$2+FLOOR((AE$2-1)/9,1),"000"),"")</f>
        <v>BY033</v>
      </c>
      <c r="AF47" s="24" t="str">
        <f>IF(INDEX('Shot Map'!$B$6:$V$26,CEILING($A47/5,1),CEILING(AF$2/5,1))=1,INDEX('Serial Reference'!$A$8:$W$8,1,FLOOR(($A47-1)/23,1)+1)&amp;INDEX('Serial Reference'!$A$8:$W$8,1,MOD($A47-1,23)+1)&amp;TEXT(AF$2+FLOOR((AF$2-1)/9,1),"000"),"")</f>
        <v>BY034</v>
      </c>
      <c r="AG47" s="25" t="str">
        <f>IF(INDEX('Shot Map'!$B$6:$V$26,CEILING($A47/5,1),CEILING(AG$2/5,1))=1,INDEX('Serial Reference'!$A$8:$W$8,1,FLOOR(($A47-1)/23,1)+1)&amp;INDEX('Serial Reference'!$A$8:$W$8,1,MOD($A47-1,23)+1)&amp;TEXT(AG$2+FLOOR((AG$2-1)/9,1),"000"),"")</f>
        <v>BY035</v>
      </c>
      <c r="AH47" s="25" t="str">
        <f>IF(INDEX('Shot Map'!$B$6:$V$26,CEILING($A47/5,1),CEILING(AH$2/5,1))=1,INDEX('Serial Reference'!$A$8:$W$8,1,FLOOR(($A47-1)/23,1)+1)&amp;INDEX('Serial Reference'!$A$8:$W$8,1,MOD($A47-1,23)+1)&amp;TEXT(AH$2+FLOOR((AH$2-1)/9,1),"000"),"")</f>
        <v>BY036</v>
      </c>
      <c r="AI47" s="25" t="str">
        <f>IF(INDEX('Shot Map'!$B$6:$V$26,CEILING($A47/5,1),CEILING(AI$2/5,1))=1,INDEX('Serial Reference'!$A$8:$W$8,1,FLOOR(($A47-1)/23,1)+1)&amp;INDEX('Serial Reference'!$A$8:$W$8,1,MOD($A47-1,23)+1)&amp;TEXT(AI$2+FLOOR((AI$2-1)/9,1),"000"),"")</f>
        <v>BY037</v>
      </c>
      <c r="AJ47" s="26" t="str">
        <f>IF(INDEX('Shot Map'!$B$6:$V$26,CEILING($A47/5,1),CEILING(AJ$2/5,1))=1,INDEX('Serial Reference'!$A$8:$W$8,1,FLOOR(($A47-1)/23,1)+1)&amp;INDEX('Serial Reference'!$A$8:$W$8,1,MOD($A47-1,23)+1)&amp;TEXT(AJ$2+FLOOR((AJ$2-1)/9,1),"000"),"")</f>
        <v>BY038</v>
      </c>
      <c r="AK47" s="24" t="str">
        <f>IF(INDEX('Shot Map'!$B$6:$V$26,CEILING($A47/5,1),CEILING(AK$2/5,1))=1,INDEX('Serial Reference'!$A$8:$W$8,1,FLOOR(($A47-1)/23,1)+1)&amp;INDEX('Serial Reference'!$A$8:$W$8,1,MOD($A47-1,23)+1)&amp;TEXT(AK$2+FLOOR((AK$2-1)/9,1),"000"),"")</f>
        <v>BY039</v>
      </c>
      <c r="AL47" s="25" t="str">
        <f>IF(INDEX('Shot Map'!$B$6:$V$26,CEILING($A47/5,1),CEILING(AL$2/5,1))=1,INDEX('Serial Reference'!$A$8:$W$8,1,FLOOR(($A47-1)/23,1)+1)&amp;INDEX('Serial Reference'!$A$8:$W$8,1,MOD($A47-1,23)+1)&amp;TEXT(AL$2+FLOOR((AL$2-1)/9,1),"000"),"")</f>
        <v>BY041</v>
      </c>
      <c r="AM47" s="25" t="str">
        <f>IF(INDEX('Shot Map'!$B$6:$V$26,CEILING($A47/5,1),CEILING(AM$2/5,1))=1,INDEX('Serial Reference'!$A$8:$W$8,1,FLOOR(($A47-1)/23,1)+1)&amp;INDEX('Serial Reference'!$A$8:$W$8,1,MOD($A47-1,23)+1)&amp;TEXT(AM$2+FLOOR((AM$2-1)/9,1),"000"),"")</f>
        <v>BY042</v>
      </c>
      <c r="AN47" s="25" t="str">
        <f>IF(INDEX('Shot Map'!$B$6:$V$26,CEILING($A47/5,1),CEILING(AN$2/5,1))=1,INDEX('Serial Reference'!$A$8:$W$8,1,FLOOR(($A47-1)/23,1)+1)&amp;INDEX('Serial Reference'!$A$8:$W$8,1,MOD($A47-1,23)+1)&amp;TEXT(AN$2+FLOOR((AN$2-1)/9,1),"000"),"")</f>
        <v>BY043</v>
      </c>
      <c r="AO47" s="26" t="str">
        <f>IF(INDEX('Shot Map'!$B$6:$V$26,CEILING($A47/5,1),CEILING(AO$2/5,1))=1,INDEX('Serial Reference'!$A$8:$W$8,1,FLOOR(($A47-1)/23,1)+1)&amp;INDEX('Serial Reference'!$A$8:$W$8,1,MOD($A47-1,23)+1)&amp;TEXT(AO$2+FLOOR((AO$2-1)/9,1),"000"),"")</f>
        <v>BY044</v>
      </c>
      <c r="AP47" s="24" t="str">
        <f>IF(INDEX('Shot Map'!$B$6:$V$26,CEILING($A47/5,1),CEILING(AP$2/5,1))=1,INDEX('Serial Reference'!$A$8:$W$8,1,FLOOR(($A47-1)/23,1)+1)&amp;INDEX('Serial Reference'!$A$8:$W$8,1,MOD($A47-1,23)+1)&amp;TEXT(AP$2+FLOOR((AP$2-1)/9,1),"000"),"")</f>
        <v>BY045</v>
      </c>
      <c r="AQ47" s="25" t="str">
        <f>IF(INDEX('Shot Map'!$B$6:$V$26,CEILING($A47/5,1),CEILING(AQ$2/5,1))=1,INDEX('Serial Reference'!$A$8:$W$8,1,FLOOR(($A47-1)/23,1)+1)&amp;INDEX('Serial Reference'!$A$8:$W$8,1,MOD($A47-1,23)+1)&amp;TEXT(AQ$2+FLOOR((AQ$2-1)/9,1),"000"),"")</f>
        <v>BY046</v>
      </c>
      <c r="AR47" s="25" t="str">
        <f>IF(INDEX('Shot Map'!$B$6:$V$26,CEILING($A47/5,1),CEILING(AR$2/5,1))=1,INDEX('Serial Reference'!$A$8:$W$8,1,FLOOR(($A47-1)/23,1)+1)&amp;INDEX('Serial Reference'!$A$8:$W$8,1,MOD($A47-1,23)+1)&amp;TEXT(AR$2+FLOOR((AR$2-1)/9,1),"000"),"")</f>
        <v>BY047</v>
      </c>
      <c r="AS47" s="25" t="str">
        <f>IF(INDEX('Shot Map'!$B$6:$V$26,CEILING($A47/5,1),CEILING(AS$2/5,1))=1,INDEX('Serial Reference'!$A$8:$W$8,1,FLOOR(($A47-1)/23,1)+1)&amp;INDEX('Serial Reference'!$A$8:$W$8,1,MOD($A47-1,23)+1)&amp;TEXT(AS$2+FLOOR((AS$2-1)/9,1),"000"),"")</f>
        <v>BY048</v>
      </c>
      <c r="AT47" s="26" t="str">
        <f>IF(INDEX('Shot Map'!$B$6:$V$26,CEILING($A47/5,1),CEILING(AT$2/5,1))=1,INDEX('Serial Reference'!$A$8:$W$8,1,FLOOR(($A47-1)/23,1)+1)&amp;INDEX('Serial Reference'!$A$8:$W$8,1,MOD($A47-1,23)+1)&amp;TEXT(AT$2+FLOOR((AT$2-1)/9,1),"000"),"")</f>
        <v>BY049</v>
      </c>
      <c r="AU47" s="24" t="str">
        <f>IF(INDEX('Shot Map'!$B$6:$V$26,CEILING($A47/5,1),CEILING(AU$2/5,1))=1,INDEX('Serial Reference'!$A$8:$W$8,1,FLOOR(($A47-1)/23,1)+1)&amp;INDEX('Serial Reference'!$A$8:$W$8,1,MOD($A47-1,23)+1)&amp;TEXT(AU$2+FLOOR((AU$2-1)/9,1),"000"),"")</f>
        <v>BY051</v>
      </c>
      <c r="AV47" s="25" t="str">
        <f>IF(INDEX('Shot Map'!$B$6:$V$26,CEILING($A47/5,1),CEILING(AV$2/5,1))=1,INDEX('Serial Reference'!$A$8:$W$8,1,FLOOR(($A47-1)/23,1)+1)&amp;INDEX('Serial Reference'!$A$8:$W$8,1,MOD($A47-1,23)+1)&amp;TEXT(AV$2+FLOOR((AV$2-1)/9,1),"000"),"")</f>
        <v>BY052</v>
      </c>
      <c r="AW47" s="25" t="str">
        <f>IF(INDEX('Shot Map'!$B$6:$V$26,CEILING($A47/5,1),CEILING(AW$2/5,1))=1,INDEX('Serial Reference'!$A$8:$W$8,1,FLOOR(($A47-1)/23,1)+1)&amp;INDEX('Serial Reference'!$A$8:$W$8,1,MOD($A47-1,23)+1)&amp;TEXT(AW$2+FLOOR((AW$2-1)/9,1),"000"),"")</f>
        <v>BY053</v>
      </c>
      <c r="AX47" s="25" t="str">
        <f>IF(INDEX('Shot Map'!$B$6:$V$26,CEILING($A47/5,1),CEILING(AX$2/5,1))=1,INDEX('Serial Reference'!$A$8:$W$8,1,FLOOR(($A47-1)/23,1)+1)&amp;INDEX('Serial Reference'!$A$8:$W$8,1,MOD($A47-1,23)+1)&amp;TEXT(AX$2+FLOOR((AX$2-1)/9,1),"000"),"")</f>
        <v>BY054</v>
      </c>
      <c r="AY47" s="26" t="str">
        <f>IF(INDEX('Shot Map'!$B$6:$V$26,CEILING($A47/5,1),CEILING(AY$2/5,1))=1,INDEX('Serial Reference'!$A$8:$W$8,1,FLOOR(($A47-1)/23,1)+1)&amp;INDEX('Serial Reference'!$A$8:$W$8,1,MOD($A47-1,23)+1)&amp;TEXT(AY$2+FLOOR((AY$2-1)/9,1),"000"),"")</f>
        <v>BY055</v>
      </c>
      <c r="AZ47" s="24" t="str">
        <f>IF(INDEX('Shot Map'!$B$6:$V$26,CEILING($A47/5,1),CEILING(AZ$2/5,1))=1,INDEX('Serial Reference'!$A$8:$W$8,1,FLOOR(($A47-1)/23,1)+1)&amp;INDEX('Serial Reference'!$A$8:$W$8,1,MOD($A47-1,23)+1)&amp;TEXT(AZ$2+FLOOR((AZ$2-1)/9,1),"000"),"")</f>
        <v>BY056</v>
      </c>
      <c r="BA47" s="25" t="str">
        <f>IF(INDEX('Shot Map'!$B$6:$V$26,CEILING($A47/5,1),CEILING(BA$2/5,1))=1,INDEX('Serial Reference'!$A$8:$W$8,1,FLOOR(($A47-1)/23,1)+1)&amp;INDEX('Serial Reference'!$A$8:$W$8,1,MOD($A47-1,23)+1)&amp;TEXT(BA$2+FLOOR((BA$2-1)/9,1),"000"),"")</f>
        <v>BY057</v>
      </c>
      <c r="BB47" s="25" t="str">
        <f>IF(INDEX('Shot Map'!$B$6:$V$26,CEILING($A47/5,1),CEILING(BB$2/5,1))=1,INDEX('Serial Reference'!$A$8:$W$8,1,FLOOR(($A47-1)/23,1)+1)&amp;INDEX('Serial Reference'!$A$8:$W$8,1,MOD($A47-1,23)+1)&amp;TEXT(BB$2+FLOOR((BB$2-1)/9,1),"000"),"")</f>
        <v>BY058</v>
      </c>
      <c r="BC47" s="25" t="str">
        <f>IF(INDEX('Shot Map'!$B$6:$V$26,CEILING($A47/5,1),CEILING(BC$2/5,1))=1,INDEX('Serial Reference'!$A$8:$W$8,1,FLOOR(($A47-1)/23,1)+1)&amp;INDEX('Serial Reference'!$A$8:$W$8,1,MOD($A47-1,23)+1)&amp;TEXT(BC$2+FLOOR((BC$2-1)/9,1),"000"),"")</f>
        <v>BY059</v>
      </c>
      <c r="BD47" s="26" t="str">
        <f>IF(INDEX('Shot Map'!$B$6:$V$26,CEILING($A47/5,1),CEILING(BD$2/5,1))=1,INDEX('Serial Reference'!$A$8:$W$8,1,FLOOR(($A47-1)/23,1)+1)&amp;INDEX('Serial Reference'!$A$8:$W$8,1,MOD($A47-1,23)+1)&amp;TEXT(BD$2+FLOOR((BD$2-1)/9,1),"000"),"")</f>
        <v>BY061</v>
      </c>
      <c r="BE47" s="24" t="str">
        <f>IF(INDEX('Shot Map'!$B$6:$V$26,CEILING($A47/5,1),CEILING(BE$2/5,1))=1,INDEX('Serial Reference'!$A$8:$W$8,1,FLOOR(($A47-1)/23,1)+1)&amp;INDEX('Serial Reference'!$A$8:$W$8,1,MOD($A47-1,23)+1)&amp;TEXT(BE$2+FLOOR((BE$2-1)/9,1),"000"),"")</f>
        <v>BY062</v>
      </c>
      <c r="BF47" s="25" t="str">
        <f>IF(INDEX('Shot Map'!$B$6:$V$26,CEILING($A47/5,1),CEILING(BF$2/5,1))=1,INDEX('Serial Reference'!$A$8:$W$8,1,FLOOR(($A47-1)/23,1)+1)&amp;INDEX('Serial Reference'!$A$8:$W$8,1,MOD($A47-1,23)+1)&amp;TEXT(BF$2+FLOOR((BF$2-1)/9,1),"000"),"")</f>
        <v>BY063</v>
      </c>
      <c r="BG47" s="25" t="str">
        <f>IF(INDEX('Shot Map'!$B$6:$V$26,CEILING($A47/5,1),CEILING(BG$2/5,1))=1,INDEX('Serial Reference'!$A$8:$W$8,1,FLOOR(($A47-1)/23,1)+1)&amp;INDEX('Serial Reference'!$A$8:$W$8,1,MOD($A47-1,23)+1)&amp;TEXT(BG$2+FLOOR((BG$2-1)/9,1),"000"),"")</f>
        <v>BY064</v>
      </c>
      <c r="BH47" s="25" t="str">
        <f>IF(INDEX('Shot Map'!$B$6:$V$26,CEILING($A47/5,1),CEILING(BH$2/5,1))=1,INDEX('Serial Reference'!$A$8:$W$8,1,FLOOR(($A47-1)/23,1)+1)&amp;INDEX('Serial Reference'!$A$8:$W$8,1,MOD($A47-1,23)+1)&amp;TEXT(BH$2+FLOOR((BH$2-1)/9,1),"000"),"")</f>
        <v>BY065</v>
      </c>
      <c r="BI47" s="26" t="str">
        <f>IF(INDEX('Shot Map'!$B$6:$V$26,CEILING($A47/5,1),CEILING(BI$2/5,1))=1,INDEX('Serial Reference'!$A$8:$W$8,1,FLOOR(($A47-1)/23,1)+1)&amp;INDEX('Serial Reference'!$A$8:$W$8,1,MOD($A47-1,23)+1)&amp;TEXT(BI$2+FLOOR((BI$2-1)/9,1),"000"),"")</f>
        <v>BY066</v>
      </c>
      <c r="BJ47" s="24" t="str">
        <f>IF(INDEX('Shot Map'!$B$6:$V$26,CEILING($A47/5,1),CEILING(BJ$2/5,1))=1,INDEX('Serial Reference'!$A$8:$W$8,1,FLOOR(($A47-1)/23,1)+1)&amp;INDEX('Serial Reference'!$A$8:$W$8,1,MOD($A47-1,23)+1)&amp;TEXT(BJ$2+FLOOR((BJ$2-1)/9,1),"000"),"")</f>
        <v>BY067</v>
      </c>
      <c r="BK47" s="25" t="str">
        <f>IF(INDEX('Shot Map'!$B$6:$V$26,CEILING($A47/5,1),CEILING(BK$2/5,1))=1,INDEX('Serial Reference'!$A$8:$W$8,1,FLOOR(($A47-1)/23,1)+1)&amp;INDEX('Serial Reference'!$A$8:$W$8,1,MOD($A47-1,23)+1)&amp;TEXT(BK$2+FLOOR((BK$2-1)/9,1),"000"),"")</f>
        <v>BY068</v>
      </c>
      <c r="BL47" s="25" t="str">
        <f>IF(INDEX('Shot Map'!$B$6:$V$26,CEILING($A47/5,1),CEILING(BL$2/5,1))=1,INDEX('Serial Reference'!$A$8:$W$8,1,FLOOR(($A47-1)/23,1)+1)&amp;INDEX('Serial Reference'!$A$8:$W$8,1,MOD($A47-1,23)+1)&amp;TEXT(BL$2+FLOOR((BL$2-1)/9,1),"000"),"")</f>
        <v>BY069</v>
      </c>
      <c r="BM47" s="25" t="str">
        <f>IF(INDEX('Shot Map'!$B$6:$V$26,CEILING($A47/5,1),CEILING(BM$2/5,1))=1,INDEX('Serial Reference'!$A$8:$W$8,1,FLOOR(($A47-1)/23,1)+1)&amp;INDEX('Serial Reference'!$A$8:$W$8,1,MOD($A47-1,23)+1)&amp;TEXT(BM$2+FLOOR((BM$2-1)/9,1),"000"),"")</f>
        <v>BY071</v>
      </c>
      <c r="BN47" s="26" t="str">
        <f>IF(INDEX('Shot Map'!$B$6:$V$26,CEILING($A47/5,1),CEILING(BN$2/5,1))=1,INDEX('Serial Reference'!$A$8:$W$8,1,FLOOR(($A47-1)/23,1)+1)&amp;INDEX('Serial Reference'!$A$8:$W$8,1,MOD($A47-1,23)+1)&amp;TEXT(BN$2+FLOOR((BN$2-1)/9,1),"000"),"")</f>
        <v>BY072</v>
      </c>
      <c r="BO47" s="24" t="str">
        <f>IF(INDEX('Shot Map'!$B$6:$V$26,CEILING($A47/5,1),CEILING(BO$2/5,1))=1,INDEX('Serial Reference'!$A$8:$W$8,1,FLOOR(($A47-1)/23,1)+1)&amp;INDEX('Serial Reference'!$A$8:$W$8,1,MOD($A47-1,23)+1)&amp;TEXT(BO$2+FLOOR((BO$2-1)/9,1),"000"),"")</f>
        <v>BY073</v>
      </c>
      <c r="BP47" s="25" t="str">
        <f>IF(INDEX('Shot Map'!$B$6:$V$26,CEILING($A47/5,1),CEILING(BP$2/5,1))=1,INDEX('Serial Reference'!$A$8:$W$8,1,FLOOR(($A47-1)/23,1)+1)&amp;INDEX('Serial Reference'!$A$8:$W$8,1,MOD($A47-1,23)+1)&amp;TEXT(BP$2+FLOOR((BP$2-1)/9,1),"000"),"")</f>
        <v>BY074</v>
      </c>
      <c r="BQ47" s="25" t="str">
        <f>IF(INDEX('Shot Map'!$B$6:$V$26,CEILING($A47/5,1),CEILING(BQ$2/5,1))=1,INDEX('Serial Reference'!$A$8:$W$8,1,FLOOR(($A47-1)/23,1)+1)&amp;INDEX('Serial Reference'!$A$8:$W$8,1,MOD($A47-1,23)+1)&amp;TEXT(BQ$2+FLOOR((BQ$2-1)/9,1),"000"),"")</f>
        <v>BY075</v>
      </c>
      <c r="BR47" s="25" t="str">
        <f>IF(INDEX('Shot Map'!$B$6:$V$26,CEILING($A47/5,1),CEILING(BR$2/5,1))=1,INDEX('Serial Reference'!$A$8:$W$8,1,FLOOR(($A47-1)/23,1)+1)&amp;INDEX('Serial Reference'!$A$8:$W$8,1,MOD($A47-1,23)+1)&amp;TEXT(BR$2+FLOOR((BR$2-1)/9,1),"000"),"")</f>
        <v>BY076</v>
      </c>
      <c r="BS47" s="26" t="str">
        <f>IF(INDEX('Shot Map'!$B$6:$V$26,CEILING($A47/5,1),CEILING(BS$2/5,1))=1,INDEX('Serial Reference'!$A$8:$W$8,1,FLOOR(($A47-1)/23,1)+1)&amp;INDEX('Serial Reference'!$A$8:$W$8,1,MOD($A47-1,23)+1)&amp;TEXT(BS$2+FLOOR((BS$2-1)/9,1),"000"),"")</f>
        <v>BY077</v>
      </c>
      <c r="BT47" s="24" t="str">
        <f>IF(INDEX('Shot Map'!$B$6:$V$26,CEILING($A47/5,1),CEILING(BT$2/5,1))=1,INDEX('Serial Reference'!$A$8:$W$8,1,FLOOR(($A47-1)/23,1)+1)&amp;INDEX('Serial Reference'!$A$8:$W$8,1,MOD($A47-1,23)+1)&amp;TEXT(BT$2+FLOOR((BT$2-1)/9,1),"000"),"")</f>
        <v>BY078</v>
      </c>
      <c r="BU47" s="25" t="str">
        <f>IF(INDEX('Shot Map'!$B$6:$V$26,CEILING($A47/5,1),CEILING(BU$2/5,1))=1,INDEX('Serial Reference'!$A$8:$W$8,1,FLOOR(($A47-1)/23,1)+1)&amp;INDEX('Serial Reference'!$A$8:$W$8,1,MOD($A47-1,23)+1)&amp;TEXT(BU$2+FLOOR((BU$2-1)/9,1),"000"),"")</f>
        <v>BY079</v>
      </c>
      <c r="BV47" s="25" t="str">
        <f>IF(INDEX('Shot Map'!$B$6:$V$26,CEILING($A47/5,1),CEILING(BV$2/5,1))=1,INDEX('Serial Reference'!$A$8:$W$8,1,FLOOR(($A47-1)/23,1)+1)&amp;INDEX('Serial Reference'!$A$8:$W$8,1,MOD($A47-1,23)+1)&amp;TEXT(BV$2+FLOOR((BV$2-1)/9,1),"000"),"")</f>
        <v>BY081</v>
      </c>
      <c r="BW47" s="25" t="str">
        <f>IF(INDEX('Shot Map'!$B$6:$V$26,CEILING($A47/5,1),CEILING(BW$2/5,1))=1,INDEX('Serial Reference'!$A$8:$W$8,1,FLOOR(($A47-1)/23,1)+1)&amp;INDEX('Serial Reference'!$A$8:$W$8,1,MOD($A47-1,23)+1)&amp;TEXT(BW$2+FLOOR((BW$2-1)/9,1),"000"),"")</f>
        <v>BY082</v>
      </c>
      <c r="BX47" s="26" t="str">
        <f>IF(INDEX('Shot Map'!$B$6:$V$26,CEILING($A47/5,1),CEILING(BX$2/5,1))=1,INDEX('Serial Reference'!$A$8:$W$8,1,FLOOR(($A47-1)/23,1)+1)&amp;INDEX('Serial Reference'!$A$8:$W$8,1,MOD($A47-1,23)+1)&amp;TEXT(BX$2+FLOOR((BX$2-1)/9,1),"000"),"")</f>
        <v>BY083</v>
      </c>
      <c r="BY47" s="24" t="str">
        <f>IF(INDEX('Shot Map'!$B$6:$V$26,CEILING($A47/5,1),CEILING(BY$2/5,1))=1,INDEX('Serial Reference'!$A$8:$W$8,1,FLOOR(($A47-1)/23,1)+1)&amp;INDEX('Serial Reference'!$A$8:$W$8,1,MOD($A47-1,23)+1)&amp;TEXT(BY$2+FLOOR((BY$2-1)/9,1),"000"),"")</f>
        <v>BY084</v>
      </c>
      <c r="BZ47" s="25" t="str">
        <f>IF(INDEX('Shot Map'!$B$6:$V$26,CEILING($A47/5,1),CEILING(BZ$2/5,1))=1,INDEX('Serial Reference'!$A$8:$W$8,1,FLOOR(($A47-1)/23,1)+1)&amp;INDEX('Serial Reference'!$A$8:$W$8,1,MOD($A47-1,23)+1)&amp;TEXT(BZ$2+FLOOR((BZ$2-1)/9,1),"000"),"")</f>
        <v>BY085</v>
      </c>
      <c r="CA47" s="25" t="str">
        <f>IF(INDEX('Shot Map'!$B$6:$V$26,CEILING($A47/5,1),CEILING(CA$2/5,1))=1,INDEX('Serial Reference'!$A$8:$W$8,1,FLOOR(($A47-1)/23,1)+1)&amp;INDEX('Serial Reference'!$A$8:$W$8,1,MOD($A47-1,23)+1)&amp;TEXT(CA$2+FLOOR((CA$2-1)/9,1),"000"),"")</f>
        <v>BY086</v>
      </c>
      <c r="CB47" s="25" t="str">
        <f>IF(INDEX('Shot Map'!$B$6:$V$26,CEILING($A47/5,1),CEILING(CB$2/5,1))=1,INDEX('Serial Reference'!$A$8:$W$8,1,FLOOR(($A47-1)/23,1)+1)&amp;INDEX('Serial Reference'!$A$8:$W$8,1,MOD($A47-1,23)+1)&amp;TEXT(CB$2+FLOOR((CB$2-1)/9,1),"000"),"")</f>
        <v>BY087</v>
      </c>
      <c r="CC47" s="26" t="str">
        <f>IF(INDEX('Shot Map'!$B$6:$V$26,CEILING($A47/5,1),CEILING(CC$2/5,1))=1,INDEX('Serial Reference'!$A$8:$W$8,1,FLOOR(($A47-1)/23,1)+1)&amp;INDEX('Serial Reference'!$A$8:$W$8,1,MOD($A47-1,23)+1)&amp;TEXT(CC$2+FLOOR((CC$2-1)/9,1),"000"),"")</f>
        <v>BY088</v>
      </c>
      <c r="CD47" s="24" t="str">
        <f>IF(INDEX('Shot Map'!$B$6:$V$26,CEILING($A47/5,1),CEILING(CD$2/5,1))=1,INDEX('Serial Reference'!$A$8:$W$8,1,FLOOR(($A47-1)/23,1)+1)&amp;INDEX('Serial Reference'!$A$8:$W$8,1,MOD($A47-1,23)+1)&amp;TEXT(CD$2+FLOOR((CD$2-1)/9,1),"000"),"")</f>
        <v>BY089</v>
      </c>
      <c r="CE47" s="25" t="str">
        <f>IF(INDEX('Shot Map'!$B$6:$V$26,CEILING($A47/5,1),CEILING(CE$2/5,1))=1,INDEX('Serial Reference'!$A$8:$W$8,1,FLOOR(($A47-1)/23,1)+1)&amp;INDEX('Serial Reference'!$A$8:$W$8,1,MOD($A47-1,23)+1)&amp;TEXT(CE$2+FLOOR((CE$2-1)/9,1),"000"),"")</f>
        <v>BY091</v>
      </c>
      <c r="CF47" s="25" t="str">
        <f>IF(INDEX('Shot Map'!$B$6:$V$26,CEILING($A47/5,1),CEILING(CF$2/5,1))=1,INDEX('Serial Reference'!$A$8:$W$8,1,FLOOR(($A47-1)/23,1)+1)&amp;INDEX('Serial Reference'!$A$8:$W$8,1,MOD($A47-1,23)+1)&amp;TEXT(CF$2+FLOOR((CF$2-1)/9,1),"000"),"")</f>
        <v>BY092</v>
      </c>
      <c r="CG47" s="25" t="str">
        <f>IF(INDEX('Shot Map'!$B$6:$V$26,CEILING($A47/5,1),CEILING(CG$2/5,1))=1,INDEX('Serial Reference'!$A$8:$W$8,1,FLOOR(($A47-1)/23,1)+1)&amp;INDEX('Serial Reference'!$A$8:$W$8,1,MOD($A47-1,23)+1)&amp;TEXT(CG$2+FLOOR((CG$2-1)/9,1),"000"),"")</f>
        <v>BY093</v>
      </c>
      <c r="CH47" s="26" t="str">
        <f>IF(INDEX('Shot Map'!$B$6:$V$26,CEILING($A47/5,1),CEILING(CH$2/5,1))=1,INDEX('Serial Reference'!$A$8:$W$8,1,FLOOR(($A47-1)/23,1)+1)&amp;INDEX('Serial Reference'!$A$8:$W$8,1,MOD($A47-1,23)+1)&amp;TEXT(CH$2+FLOOR((CH$2-1)/9,1),"000"),"")</f>
        <v>BY094</v>
      </c>
      <c r="CI47" s="24" t="str">
        <f>IF(INDEX('Shot Map'!$B$6:$V$26,CEILING($A47/5,1),CEILING(CI$2/5,1))=1,INDEX('Serial Reference'!$A$8:$W$8,1,FLOOR(($A47-1)/23,1)+1)&amp;INDEX('Serial Reference'!$A$8:$W$8,1,MOD($A47-1,23)+1)&amp;TEXT(CI$2+FLOOR((CI$2-1)/9,1),"000"),"")</f>
        <v>BY095</v>
      </c>
      <c r="CJ47" s="25" t="str">
        <f>IF(INDEX('Shot Map'!$B$6:$V$26,CEILING($A47/5,1),CEILING(CJ$2/5,1))=1,INDEX('Serial Reference'!$A$8:$W$8,1,FLOOR(($A47-1)/23,1)+1)&amp;INDEX('Serial Reference'!$A$8:$W$8,1,MOD($A47-1,23)+1)&amp;TEXT(CJ$2+FLOOR((CJ$2-1)/9,1),"000"),"")</f>
        <v>BY096</v>
      </c>
      <c r="CK47" s="25" t="str">
        <f>IF(INDEX('Shot Map'!$B$6:$V$26,CEILING($A47/5,1),CEILING(CK$2/5,1))=1,INDEX('Serial Reference'!$A$8:$W$8,1,FLOOR(($A47-1)/23,1)+1)&amp;INDEX('Serial Reference'!$A$8:$W$8,1,MOD($A47-1,23)+1)&amp;TEXT(CK$2+FLOOR((CK$2-1)/9,1),"000"),"")</f>
        <v>BY097</v>
      </c>
      <c r="CL47" s="25" t="str">
        <f>IF(INDEX('Shot Map'!$B$6:$V$26,CEILING($A47/5,1),CEILING(CL$2/5,1))=1,INDEX('Serial Reference'!$A$8:$W$8,1,FLOOR(($A47-1)/23,1)+1)&amp;INDEX('Serial Reference'!$A$8:$W$8,1,MOD($A47-1,23)+1)&amp;TEXT(CL$2+FLOOR((CL$2-1)/9,1),"000"),"")</f>
        <v>BY098</v>
      </c>
      <c r="CM47" s="26" t="str">
        <f>IF(INDEX('Shot Map'!$B$6:$V$26,CEILING($A47/5,1),CEILING(CM$2/5,1))=1,INDEX('Serial Reference'!$A$8:$W$8,1,FLOOR(($A47-1)/23,1)+1)&amp;INDEX('Serial Reference'!$A$8:$W$8,1,MOD($A47-1,23)+1)&amp;TEXT(CM$2+FLOOR((CM$2-1)/9,1),"000"),"")</f>
        <v>BY099</v>
      </c>
      <c r="CN47" s="24" t="str">
        <f>IF(INDEX('Shot Map'!$B$6:$V$26,CEILING($A47/5,1),CEILING(CN$2/5,1))=1,INDEX('Serial Reference'!$A$8:$W$8,1,FLOOR(($A47-1)/23,1)+1)&amp;INDEX('Serial Reference'!$A$8:$W$8,1,MOD($A47-1,23)+1)&amp;TEXT(CN$2+FLOOR((CN$2-1)/9,1),"000"),"")</f>
        <v>BY101</v>
      </c>
      <c r="CO47" s="25" t="str">
        <f>IF(INDEX('Shot Map'!$B$6:$V$26,CEILING($A47/5,1),CEILING(CO$2/5,1))=1,INDEX('Serial Reference'!$A$8:$W$8,1,FLOOR(($A47-1)/23,1)+1)&amp;INDEX('Serial Reference'!$A$8:$W$8,1,MOD($A47-1,23)+1)&amp;TEXT(CO$2+FLOOR((CO$2-1)/9,1),"000"),"")</f>
        <v>BY102</v>
      </c>
      <c r="CP47" s="25" t="str">
        <f>IF(INDEX('Shot Map'!$B$6:$V$26,CEILING($A47/5,1),CEILING(CP$2/5,1))=1,INDEX('Serial Reference'!$A$8:$W$8,1,FLOOR(($A47-1)/23,1)+1)&amp;INDEX('Serial Reference'!$A$8:$W$8,1,MOD($A47-1,23)+1)&amp;TEXT(CP$2+FLOOR((CP$2-1)/9,1),"000"),"")</f>
        <v>BY103</v>
      </c>
      <c r="CQ47" s="25" t="str">
        <f>IF(INDEX('Shot Map'!$B$6:$V$26,CEILING($A47/5,1),CEILING(CQ$2/5,1))=1,INDEX('Serial Reference'!$A$8:$W$8,1,FLOOR(($A47-1)/23,1)+1)&amp;INDEX('Serial Reference'!$A$8:$W$8,1,MOD($A47-1,23)+1)&amp;TEXT(CQ$2+FLOOR((CQ$2-1)/9,1),"000"),"")</f>
        <v>BY104</v>
      </c>
      <c r="CR47" s="26" t="str">
        <f>IF(INDEX('Shot Map'!$B$6:$V$26,CEILING($A47/5,1),CEILING(CR$2/5,1))=1,INDEX('Serial Reference'!$A$8:$W$8,1,FLOOR(($A47-1)/23,1)+1)&amp;INDEX('Serial Reference'!$A$8:$W$8,1,MOD($A47-1,23)+1)&amp;TEXT(CR$2+FLOOR((CR$2-1)/9,1),"000"),"")</f>
        <v>BY105</v>
      </c>
      <c r="CS47" s="24" t="str">
        <f>IF(INDEX('Shot Map'!$B$6:$V$26,CEILING($A47/5,1),CEILING(CS$2/5,1))=1,INDEX('Serial Reference'!$A$8:$W$8,1,FLOOR(($A47-1)/23,1)+1)&amp;INDEX('Serial Reference'!$A$8:$W$8,1,MOD($A47-1,23)+1)&amp;TEXT(CS$2+FLOOR((CS$2-1)/9,1),"000"),"")</f>
        <v>BY106</v>
      </c>
      <c r="CT47" s="25" t="str">
        <f>IF(INDEX('Shot Map'!$B$6:$V$26,CEILING($A47/5,1),CEILING(CT$2/5,1))=1,INDEX('Serial Reference'!$A$8:$W$8,1,FLOOR(($A47-1)/23,1)+1)&amp;INDEX('Serial Reference'!$A$8:$W$8,1,MOD($A47-1,23)+1)&amp;TEXT(CT$2+FLOOR((CT$2-1)/9,1),"000"),"")</f>
        <v>BY107</v>
      </c>
      <c r="CU47" s="25" t="str">
        <f>IF(INDEX('Shot Map'!$B$6:$V$26,CEILING($A47/5,1),CEILING(CU$2/5,1))=1,INDEX('Serial Reference'!$A$8:$W$8,1,FLOOR(($A47-1)/23,1)+1)&amp;INDEX('Serial Reference'!$A$8:$W$8,1,MOD($A47-1,23)+1)&amp;TEXT(CU$2+FLOOR((CU$2-1)/9,1),"000"),"")</f>
        <v>BY108</v>
      </c>
      <c r="CV47" s="25" t="str">
        <f>IF(INDEX('Shot Map'!$B$6:$V$26,CEILING($A47/5,1),CEILING(CV$2/5,1))=1,INDEX('Serial Reference'!$A$8:$W$8,1,FLOOR(($A47-1)/23,1)+1)&amp;INDEX('Serial Reference'!$A$8:$W$8,1,MOD($A47-1,23)+1)&amp;TEXT(CV$2+FLOOR((CV$2-1)/9,1),"000"),"")</f>
        <v>BY109</v>
      </c>
      <c r="CW47" s="26" t="str">
        <f>IF(INDEX('Shot Map'!$B$6:$V$26,CEILING($A47/5,1),CEILING(CW$2/5,1))=1,INDEX('Serial Reference'!$A$8:$W$8,1,FLOOR(($A47-1)/23,1)+1)&amp;INDEX('Serial Reference'!$A$8:$W$8,1,MOD($A47-1,23)+1)&amp;TEXT(CW$2+FLOOR((CW$2-1)/9,1),"000"),"")</f>
        <v>BY111</v>
      </c>
      <c r="CX47" s="24" t="str">
        <f>IF(INDEX('Shot Map'!$B$6:$V$26,CEILING($A47/5,1),CEILING(CX$2/5,1))=1,INDEX('Serial Reference'!$A$8:$W$8,1,FLOOR(($A47-1)/23,1)+1)&amp;INDEX('Serial Reference'!$A$8:$W$8,1,MOD($A47-1,23)+1)&amp;TEXT(CX$2+FLOOR((CX$2-1)/9,1),"000"),"")</f>
        <v/>
      </c>
      <c r="CY47" s="25" t="str">
        <f>IF(INDEX('Shot Map'!$B$6:$V$26,CEILING($A47/5,1),CEILING(CY$2/5,1))=1,INDEX('Serial Reference'!$A$8:$W$8,1,FLOOR(($A47-1)/23,1)+1)&amp;INDEX('Serial Reference'!$A$8:$W$8,1,MOD($A47-1,23)+1)&amp;TEXT(CY$2+FLOOR((CY$2-1)/9,1),"000"),"")</f>
        <v/>
      </c>
      <c r="CZ47" s="25" t="str">
        <f>IF(INDEX('Shot Map'!$B$6:$V$26,CEILING($A47/5,1),CEILING(CZ$2/5,1))=1,INDEX('Serial Reference'!$A$8:$W$8,1,FLOOR(($A47-1)/23,1)+1)&amp;INDEX('Serial Reference'!$A$8:$W$8,1,MOD($A47-1,23)+1)&amp;TEXT(CZ$2+FLOOR((CZ$2-1)/9,1),"000"),"")</f>
        <v/>
      </c>
      <c r="DA47" s="25" t="str">
        <f>IF(INDEX('Shot Map'!$B$6:$V$26,CEILING($A47/5,1),CEILING(DA$2/5,1))=1,INDEX('Serial Reference'!$A$8:$W$8,1,FLOOR(($A47-1)/23,1)+1)&amp;INDEX('Serial Reference'!$A$8:$W$8,1,MOD($A47-1,23)+1)&amp;TEXT(DA$2+FLOOR((DA$2-1)/9,1),"000"),"")</f>
        <v/>
      </c>
      <c r="DB47" s="26" t="str">
        <f>IF(INDEX('Shot Map'!$B$6:$V$26,CEILING($A47/5,1),CEILING(DB$2/5,1))=1,INDEX('Serial Reference'!$A$8:$W$8,1,FLOOR(($A47-1)/23,1)+1)&amp;INDEX('Serial Reference'!$A$8:$W$8,1,MOD($A47-1,23)+1)&amp;TEXT(DB$2+FLOOR((DB$2-1)/9,1),"000"),"")</f>
        <v/>
      </c>
    </row>
    <row r="48" spans="1:106" ht="12.75" customHeight="1" x14ac:dyDescent="0.25">
      <c r="A48" s="17">
        <v>46</v>
      </c>
      <c r="B48" s="18" t="str">
        <f>IF(INDEX('Shot Map'!$B$6:$V$26,CEILING($A48/5,1),CEILING(B$2/5,1))=1,INDEX('Serial Reference'!$A$8:$W$8,1,FLOOR(($A48-1)/23,1)+1)&amp;INDEX('Serial Reference'!$A$8:$W$8,1,MOD($A48-1,23)+1)&amp;TEXT(B$2+FLOOR((B$2-1)/9,1),"000"),"")</f>
        <v>BZ001</v>
      </c>
      <c r="C48" s="19" t="str">
        <f>IF(INDEX('Shot Map'!$B$6:$V$26,CEILING($A48/5,1),CEILING(C$2/5,1))=1,INDEX('Serial Reference'!$A$8:$W$8,1,FLOOR(($A48-1)/23,1)+1)&amp;INDEX('Serial Reference'!$A$8:$W$8,1,MOD($A48-1,23)+1)&amp;TEXT(C$2+FLOOR((C$2-1)/9,1),"000"),"")</f>
        <v>BZ002</v>
      </c>
      <c r="D48" s="19" t="str">
        <f>IF(INDEX('Shot Map'!$B$6:$V$26,CEILING($A48/5,1),CEILING(D$2/5,1))=1,INDEX('Serial Reference'!$A$8:$W$8,1,FLOOR(($A48-1)/23,1)+1)&amp;INDEX('Serial Reference'!$A$8:$W$8,1,MOD($A48-1,23)+1)&amp;TEXT(D$2+FLOOR((D$2-1)/9,1),"000"),"")</f>
        <v>BZ003</v>
      </c>
      <c r="E48" s="19" t="str">
        <f>IF(INDEX('Shot Map'!$B$6:$V$26,CEILING($A48/5,1),CEILING(E$2/5,1))=1,INDEX('Serial Reference'!$A$8:$W$8,1,FLOOR(($A48-1)/23,1)+1)&amp;INDEX('Serial Reference'!$A$8:$W$8,1,MOD($A48-1,23)+1)&amp;TEXT(E$2+FLOOR((E$2-1)/9,1),"000"),"")</f>
        <v>BZ004</v>
      </c>
      <c r="F48" s="20" t="str">
        <f>IF(INDEX('Shot Map'!$B$6:$V$26,CEILING($A48/5,1),CEILING(F$2/5,1))=1,INDEX('Serial Reference'!$A$8:$W$8,1,FLOOR(($A48-1)/23,1)+1)&amp;INDEX('Serial Reference'!$A$8:$W$8,1,MOD($A48-1,23)+1)&amp;TEXT(F$2+FLOOR((F$2-1)/9,1),"000"),"")</f>
        <v>BZ005</v>
      </c>
      <c r="G48" s="18" t="str">
        <f>IF(INDEX('Shot Map'!$B$6:$V$26,CEILING($A48/5,1),CEILING(G$2/5,1))=1,INDEX('Serial Reference'!$A$8:$W$8,1,FLOOR(($A48-1)/23,1)+1)&amp;INDEX('Serial Reference'!$A$8:$W$8,1,MOD($A48-1,23)+1)&amp;TEXT(G$2+FLOOR((G$2-1)/9,1),"000"),"")</f>
        <v>BZ006</v>
      </c>
      <c r="H48" s="19" t="str">
        <f>IF(INDEX('Shot Map'!$B$6:$V$26,CEILING($A48/5,1),CEILING(H$2/5,1))=1,INDEX('Serial Reference'!$A$8:$W$8,1,FLOOR(($A48-1)/23,1)+1)&amp;INDEX('Serial Reference'!$A$8:$W$8,1,MOD($A48-1,23)+1)&amp;TEXT(H$2+FLOOR((H$2-1)/9,1),"000"),"")</f>
        <v>BZ007</v>
      </c>
      <c r="I48" s="19" t="str">
        <f>IF(INDEX('Shot Map'!$B$6:$V$26,CEILING($A48/5,1),CEILING(I$2/5,1))=1,INDEX('Serial Reference'!$A$8:$W$8,1,FLOOR(($A48-1)/23,1)+1)&amp;INDEX('Serial Reference'!$A$8:$W$8,1,MOD($A48-1,23)+1)&amp;TEXT(I$2+FLOOR((I$2-1)/9,1),"000"),"")</f>
        <v>BZ008</v>
      </c>
      <c r="J48" s="19" t="str">
        <f>IF(INDEX('Shot Map'!$B$6:$V$26,CEILING($A48/5,1),CEILING(J$2/5,1))=1,INDEX('Serial Reference'!$A$8:$W$8,1,FLOOR(($A48-1)/23,1)+1)&amp;INDEX('Serial Reference'!$A$8:$W$8,1,MOD($A48-1,23)+1)&amp;TEXT(J$2+FLOOR((J$2-1)/9,1),"000"),"")</f>
        <v>BZ009</v>
      </c>
      <c r="K48" s="20" t="str">
        <f>IF(INDEX('Shot Map'!$B$6:$V$26,CEILING($A48/5,1),CEILING(K$2/5,1))=1,INDEX('Serial Reference'!$A$8:$W$8,1,FLOOR(($A48-1)/23,1)+1)&amp;INDEX('Serial Reference'!$A$8:$W$8,1,MOD($A48-1,23)+1)&amp;TEXT(K$2+FLOOR((K$2-1)/9,1),"000"),"")</f>
        <v>BZ011</v>
      </c>
      <c r="L48" s="18" t="str">
        <f>IF(INDEX('Shot Map'!$B$6:$V$26,CEILING($A48/5,1),CEILING(L$2/5,1))=1,INDEX('Serial Reference'!$A$8:$W$8,1,FLOOR(($A48-1)/23,1)+1)&amp;INDEX('Serial Reference'!$A$8:$W$8,1,MOD($A48-1,23)+1)&amp;TEXT(L$2+FLOOR((L$2-1)/9,1),"000"),"")</f>
        <v>BZ012</v>
      </c>
      <c r="M48" s="19" t="str">
        <f>IF(INDEX('Shot Map'!$B$6:$V$26,CEILING($A48/5,1),CEILING(M$2/5,1))=1,INDEX('Serial Reference'!$A$8:$W$8,1,FLOOR(($A48-1)/23,1)+1)&amp;INDEX('Serial Reference'!$A$8:$W$8,1,MOD($A48-1,23)+1)&amp;TEXT(M$2+FLOOR((M$2-1)/9,1),"000"),"")</f>
        <v>BZ013</v>
      </c>
      <c r="N48" s="19" t="str">
        <f>IF(INDEX('Shot Map'!$B$6:$V$26,CEILING($A48/5,1),CEILING(N$2/5,1))=1,INDEX('Serial Reference'!$A$8:$W$8,1,FLOOR(($A48-1)/23,1)+1)&amp;INDEX('Serial Reference'!$A$8:$W$8,1,MOD($A48-1,23)+1)&amp;TEXT(N$2+FLOOR((N$2-1)/9,1),"000"),"")</f>
        <v>BZ014</v>
      </c>
      <c r="O48" s="19" t="str">
        <f>IF(INDEX('Shot Map'!$B$6:$V$26,CEILING($A48/5,1),CEILING(O$2/5,1))=1,INDEX('Serial Reference'!$A$8:$W$8,1,FLOOR(($A48-1)/23,1)+1)&amp;INDEX('Serial Reference'!$A$8:$W$8,1,MOD($A48-1,23)+1)&amp;TEXT(O$2+FLOOR((O$2-1)/9,1),"000"),"")</f>
        <v>BZ015</v>
      </c>
      <c r="P48" s="20" t="str">
        <f>IF(INDEX('Shot Map'!$B$6:$V$26,CEILING($A48/5,1),CEILING(P$2/5,1))=1,INDEX('Serial Reference'!$A$8:$W$8,1,FLOOR(($A48-1)/23,1)+1)&amp;INDEX('Serial Reference'!$A$8:$W$8,1,MOD($A48-1,23)+1)&amp;TEXT(P$2+FLOOR((P$2-1)/9,1),"000"),"")</f>
        <v>BZ016</v>
      </c>
      <c r="Q48" s="18" t="str">
        <f>IF(INDEX('Shot Map'!$B$6:$V$26,CEILING($A48/5,1),CEILING(Q$2/5,1))=1,INDEX('Serial Reference'!$A$8:$W$8,1,FLOOR(($A48-1)/23,1)+1)&amp;INDEX('Serial Reference'!$A$8:$W$8,1,MOD($A48-1,23)+1)&amp;TEXT(Q$2+FLOOR((Q$2-1)/9,1),"000"),"")</f>
        <v>BZ017</v>
      </c>
      <c r="R48" s="19" t="str">
        <f>IF(INDEX('Shot Map'!$B$6:$V$26,CEILING($A48/5,1),CEILING(R$2/5,1))=1,INDEX('Serial Reference'!$A$8:$W$8,1,FLOOR(($A48-1)/23,1)+1)&amp;INDEX('Serial Reference'!$A$8:$W$8,1,MOD($A48-1,23)+1)&amp;TEXT(R$2+FLOOR((R$2-1)/9,1),"000"),"")</f>
        <v>BZ018</v>
      </c>
      <c r="S48" s="19" t="str">
        <f>IF(INDEX('Shot Map'!$B$6:$V$26,CEILING($A48/5,1),CEILING(S$2/5,1))=1,INDEX('Serial Reference'!$A$8:$W$8,1,FLOOR(($A48-1)/23,1)+1)&amp;INDEX('Serial Reference'!$A$8:$W$8,1,MOD($A48-1,23)+1)&amp;TEXT(S$2+FLOOR((S$2-1)/9,1),"000"),"")</f>
        <v>BZ019</v>
      </c>
      <c r="T48" s="19" t="str">
        <f>IF(INDEX('Shot Map'!$B$6:$V$26,CEILING($A48/5,1),CEILING(T$2/5,1))=1,INDEX('Serial Reference'!$A$8:$W$8,1,FLOOR(($A48-1)/23,1)+1)&amp;INDEX('Serial Reference'!$A$8:$W$8,1,MOD($A48-1,23)+1)&amp;TEXT(T$2+FLOOR((T$2-1)/9,1),"000"),"")</f>
        <v>BZ021</v>
      </c>
      <c r="U48" s="20" t="str">
        <f>IF(INDEX('Shot Map'!$B$6:$V$26,CEILING($A48/5,1),CEILING(U$2/5,1))=1,INDEX('Serial Reference'!$A$8:$W$8,1,FLOOR(($A48-1)/23,1)+1)&amp;INDEX('Serial Reference'!$A$8:$W$8,1,MOD($A48-1,23)+1)&amp;TEXT(U$2+FLOOR((U$2-1)/9,1),"000"),"")</f>
        <v>BZ022</v>
      </c>
      <c r="V48" s="18" t="str">
        <f>IF(INDEX('Shot Map'!$B$6:$V$26,CEILING($A48/5,1),CEILING(V$2/5,1))=1,INDEX('Serial Reference'!$A$8:$W$8,1,FLOOR(($A48-1)/23,1)+1)&amp;INDEX('Serial Reference'!$A$8:$W$8,1,MOD($A48-1,23)+1)&amp;TEXT(V$2+FLOOR((V$2-1)/9,1),"000"),"")</f>
        <v>BZ023</v>
      </c>
      <c r="W48" s="19" t="str">
        <f>IF(INDEX('Shot Map'!$B$6:$V$26,CEILING($A48/5,1),CEILING(W$2/5,1))=1,INDEX('Serial Reference'!$A$8:$W$8,1,FLOOR(($A48-1)/23,1)+1)&amp;INDEX('Serial Reference'!$A$8:$W$8,1,MOD($A48-1,23)+1)&amp;TEXT(W$2+FLOOR((W$2-1)/9,1),"000"),"")</f>
        <v>BZ024</v>
      </c>
      <c r="X48" s="19" t="str">
        <f>IF(INDEX('Shot Map'!$B$6:$V$26,CEILING($A48/5,1),CEILING(X$2/5,1))=1,INDEX('Serial Reference'!$A$8:$W$8,1,FLOOR(($A48-1)/23,1)+1)&amp;INDEX('Serial Reference'!$A$8:$W$8,1,MOD($A48-1,23)+1)&amp;TEXT(X$2+FLOOR((X$2-1)/9,1),"000"),"")</f>
        <v>BZ025</v>
      </c>
      <c r="Y48" s="19" t="str">
        <f>IF(INDEX('Shot Map'!$B$6:$V$26,CEILING($A48/5,1),CEILING(Y$2/5,1))=1,INDEX('Serial Reference'!$A$8:$W$8,1,FLOOR(($A48-1)/23,1)+1)&amp;INDEX('Serial Reference'!$A$8:$W$8,1,MOD($A48-1,23)+1)&amp;TEXT(Y$2+FLOOR((Y$2-1)/9,1),"000"),"")</f>
        <v>BZ026</v>
      </c>
      <c r="Z48" s="20" t="str">
        <f>IF(INDEX('Shot Map'!$B$6:$V$26,CEILING($A48/5,1),CEILING(Z$2/5,1))=1,INDEX('Serial Reference'!$A$8:$W$8,1,FLOOR(($A48-1)/23,1)+1)&amp;INDEX('Serial Reference'!$A$8:$W$8,1,MOD($A48-1,23)+1)&amp;TEXT(Z$2+FLOOR((Z$2-1)/9,1),"000"),"")</f>
        <v>BZ027</v>
      </c>
      <c r="AA48" s="18" t="str">
        <f>IF(INDEX('Shot Map'!$B$6:$V$26,CEILING($A48/5,1),CEILING(AA$2/5,1))=1,INDEX('Serial Reference'!$A$8:$W$8,1,FLOOR(($A48-1)/23,1)+1)&amp;INDEX('Serial Reference'!$A$8:$W$8,1,MOD($A48-1,23)+1)&amp;TEXT(AA$2+FLOOR((AA$2-1)/9,1),"000"),"")</f>
        <v>BZ028</v>
      </c>
      <c r="AB48" s="19" t="str">
        <f>IF(INDEX('Shot Map'!$B$6:$V$26,CEILING($A48/5,1),CEILING(AB$2/5,1))=1,INDEX('Serial Reference'!$A$8:$W$8,1,FLOOR(($A48-1)/23,1)+1)&amp;INDEX('Serial Reference'!$A$8:$W$8,1,MOD($A48-1,23)+1)&amp;TEXT(AB$2+FLOOR((AB$2-1)/9,1),"000"),"")</f>
        <v>BZ029</v>
      </c>
      <c r="AC48" s="19" t="str">
        <f>IF(INDEX('Shot Map'!$B$6:$V$26,CEILING($A48/5,1),CEILING(AC$2/5,1))=1,INDEX('Serial Reference'!$A$8:$W$8,1,FLOOR(($A48-1)/23,1)+1)&amp;INDEX('Serial Reference'!$A$8:$W$8,1,MOD($A48-1,23)+1)&amp;TEXT(AC$2+FLOOR((AC$2-1)/9,1),"000"),"")</f>
        <v>BZ031</v>
      </c>
      <c r="AD48" s="19" t="str">
        <f>IF(INDEX('Shot Map'!$B$6:$V$26,CEILING($A48/5,1),CEILING(AD$2/5,1))=1,INDEX('Serial Reference'!$A$8:$W$8,1,FLOOR(($A48-1)/23,1)+1)&amp;INDEX('Serial Reference'!$A$8:$W$8,1,MOD($A48-1,23)+1)&amp;TEXT(AD$2+FLOOR((AD$2-1)/9,1),"000"),"")</f>
        <v>BZ032</v>
      </c>
      <c r="AE48" s="20" t="str">
        <f>IF(INDEX('Shot Map'!$B$6:$V$26,CEILING($A48/5,1),CEILING(AE$2/5,1))=1,INDEX('Serial Reference'!$A$8:$W$8,1,FLOOR(($A48-1)/23,1)+1)&amp;INDEX('Serial Reference'!$A$8:$W$8,1,MOD($A48-1,23)+1)&amp;TEXT(AE$2+FLOOR((AE$2-1)/9,1),"000"),"")</f>
        <v>BZ033</v>
      </c>
      <c r="AF48" s="18" t="str">
        <f>IF(INDEX('Shot Map'!$B$6:$V$26,CEILING($A48/5,1),CEILING(AF$2/5,1))=1,INDEX('Serial Reference'!$A$8:$W$8,1,FLOOR(($A48-1)/23,1)+1)&amp;INDEX('Serial Reference'!$A$8:$W$8,1,MOD($A48-1,23)+1)&amp;TEXT(AF$2+FLOOR((AF$2-1)/9,1),"000"),"")</f>
        <v>BZ034</v>
      </c>
      <c r="AG48" s="19" t="str">
        <f>IF(INDEX('Shot Map'!$B$6:$V$26,CEILING($A48/5,1),CEILING(AG$2/5,1))=1,INDEX('Serial Reference'!$A$8:$W$8,1,FLOOR(($A48-1)/23,1)+1)&amp;INDEX('Serial Reference'!$A$8:$W$8,1,MOD($A48-1,23)+1)&amp;TEXT(AG$2+FLOOR((AG$2-1)/9,1),"000"),"")</f>
        <v>BZ035</v>
      </c>
      <c r="AH48" s="19" t="str">
        <f>IF(INDEX('Shot Map'!$B$6:$V$26,CEILING($A48/5,1),CEILING(AH$2/5,1))=1,INDEX('Serial Reference'!$A$8:$W$8,1,FLOOR(($A48-1)/23,1)+1)&amp;INDEX('Serial Reference'!$A$8:$W$8,1,MOD($A48-1,23)+1)&amp;TEXT(AH$2+FLOOR((AH$2-1)/9,1),"000"),"")</f>
        <v>BZ036</v>
      </c>
      <c r="AI48" s="19" t="str">
        <f>IF(INDEX('Shot Map'!$B$6:$V$26,CEILING($A48/5,1),CEILING(AI$2/5,1))=1,INDEX('Serial Reference'!$A$8:$W$8,1,FLOOR(($A48-1)/23,1)+1)&amp;INDEX('Serial Reference'!$A$8:$W$8,1,MOD($A48-1,23)+1)&amp;TEXT(AI$2+FLOOR((AI$2-1)/9,1),"000"),"")</f>
        <v>BZ037</v>
      </c>
      <c r="AJ48" s="20" t="str">
        <f>IF(INDEX('Shot Map'!$B$6:$V$26,CEILING($A48/5,1),CEILING(AJ$2/5,1))=1,INDEX('Serial Reference'!$A$8:$W$8,1,FLOOR(($A48-1)/23,1)+1)&amp;INDEX('Serial Reference'!$A$8:$W$8,1,MOD($A48-1,23)+1)&amp;TEXT(AJ$2+FLOOR((AJ$2-1)/9,1),"000"),"")</f>
        <v>BZ038</v>
      </c>
      <c r="AK48" s="18" t="str">
        <f>IF(INDEX('Shot Map'!$B$6:$V$26,CEILING($A48/5,1),CEILING(AK$2/5,1))=1,INDEX('Serial Reference'!$A$8:$W$8,1,FLOOR(($A48-1)/23,1)+1)&amp;INDEX('Serial Reference'!$A$8:$W$8,1,MOD($A48-1,23)+1)&amp;TEXT(AK$2+FLOOR((AK$2-1)/9,1),"000"),"")</f>
        <v>BZ039</v>
      </c>
      <c r="AL48" s="19" t="str">
        <f>IF(INDEX('Shot Map'!$B$6:$V$26,CEILING($A48/5,1),CEILING(AL$2/5,1))=1,INDEX('Serial Reference'!$A$8:$W$8,1,FLOOR(($A48-1)/23,1)+1)&amp;INDEX('Serial Reference'!$A$8:$W$8,1,MOD($A48-1,23)+1)&amp;TEXT(AL$2+FLOOR((AL$2-1)/9,1),"000"),"")</f>
        <v>BZ041</v>
      </c>
      <c r="AM48" s="19" t="str">
        <f>IF(INDEX('Shot Map'!$B$6:$V$26,CEILING($A48/5,1),CEILING(AM$2/5,1))=1,INDEX('Serial Reference'!$A$8:$W$8,1,FLOOR(($A48-1)/23,1)+1)&amp;INDEX('Serial Reference'!$A$8:$W$8,1,MOD($A48-1,23)+1)&amp;TEXT(AM$2+FLOOR((AM$2-1)/9,1),"000"),"")</f>
        <v>BZ042</v>
      </c>
      <c r="AN48" s="19" t="str">
        <f>IF(INDEX('Shot Map'!$B$6:$V$26,CEILING($A48/5,1),CEILING(AN$2/5,1))=1,INDEX('Serial Reference'!$A$8:$W$8,1,FLOOR(($A48-1)/23,1)+1)&amp;INDEX('Serial Reference'!$A$8:$W$8,1,MOD($A48-1,23)+1)&amp;TEXT(AN$2+FLOOR((AN$2-1)/9,1),"000"),"")</f>
        <v>BZ043</v>
      </c>
      <c r="AO48" s="20" t="str">
        <f>IF(INDEX('Shot Map'!$B$6:$V$26,CEILING($A48/5,1),CEILING(AO$2/5,1))=1,INDEX('Serial Reference'!$A$8:$W$8,1,FLOOR(($A48-1)/23,1)+1)&amp;INDEX('Serial Reference'!$A$8:$W$8,1,MOD($A48-1,23)+1)&amp;TEXT(AO$2+FLOOR((AO$2-1)/9,1),"000"),"")</f>
        <v>BZ044</v>
      </c>
      <c r="AP48" s="18" t="str">
        <f>IF(INDEX('Shot Map'!$B$6:$V$26,CEILING($A48/5,1),CEILING(AP$2/5,1))=1,INDEX('Serial Reference'!$A$8:$W$8,1,FLOOR(($A48-1)/23,1)+1)&amp;INDEX('Serial Reference'!$A$8:$W$8,1,MOD($A48-1,23)+1)&amp;TEXT(AP$2+FLOOR((AP$2-1)/9,1),"000"),"")</f>
        <v>BZ045</v>
      </c>
      <c r="AQ48" s="19" t="str">
        <f>IF(INDEX('Shot Map'!$B$6:$V$26,CEILING($A48/5,1),CEILING(AQ$2/5,1))=1,INDEX('Serial Reference'!$A$8:$W$8,1,FLOOR(($A48-1)/23,1)+1)&amp;INDEX('Serial Reference'!$A$8:$W$8,1,MOD($A48-1,23)+1)&amp;TEXT(AQ$2+FLOOR((AQ$2-1)/9,1),"000"),"")</f>
        <v>BZ046</v>
      </c>
      <c r="AR48" s="19" t="str">
        <f>IF(INDEX('Shot Map'!$B$6:$V$26,CEILING($A48/5,1),CEILING(AR$2/5,1))=1,INDEX('Serial Reference'!$A$8:$W$8,1,FLOOR(($A48-1)/23,1)+1)&amp;INDEX('Serial Reference'!$A$8:$W$8,1,MOD($A48-1,23)+1)&amp;TEXT(AR$2+FLOOR((AR$2-1)/9,1),"000"),"")</f>
        <v>BZ047</v>
      </c>
      <c r="AS48" s="19" t="str">
        <f>IF(INDEX('Shot Map'!$B$6:$V$26,CEILING($A48/5,1),CEILING(AS$2/5,1))=1,INDEX('Serial Reference'!$A$8:$W$8,1,FLOOR(($A48-1)/23,1)+1)&amp;INDEX('Serial Reference'!$A$8:$W$8,1,MOD($A48-1,23)+1)&amp;TEXT(AS$2+FLOOR((AS$2-1)/9,1),"000"),"")</f>
        <v>BZ048</v>
      </c>
      <c r="AT48" s="20" t="str">
        <f>IF(INDEX('Shot Map'!$B$6:$V$26,CEILING($A48/5,1),CEILING(AT$2/5,1))=1,INDEX('Serial Reference'!$A$8:$W$8,1,FLOOR(($A48-1)/23,1)+1)&amp;INDEX('Serial Reference'!$A$8:$W$8,1,MOD($A48-1,23)+1)&amp;TEXT(AT$2+FLOOR((AT$2-1)/9,1),"000"),"")</f>
        <v>BZ049</v>
      </c>
      <c r="AU48" s="18" t="str">
        <f>IF(INDEX('Shot Map'!$B$6:$V$26,CEILING($A48/5,1),CEILING(AU$2/5,1))=1,INDEX('Serial Reference'!$A$8:$W$8,1,FLOOR(($A48-1)/23,1)+1)&amp;INDEX('Serial Reference'!$A$8:$W$8,1,MOD($A48-1,23)+1)&amp;TEXT(AU$2+FLOOR((AU$2-1)/9,1),"000"),"")</f>
        <v>BZ051</v>
      </c>
      <c r="AV48" s="19" t="str">
        <f>IF(INDEX('Shot Map'!$B$6:$V$26,CEILING($A48/5,1),CEILING(AV$2/5,1))=1,INDEX('Serial Reference'!$A$8:$W$8,1,FLOOR(($A48-1)/23,1)+1)&amp;INDEX('Serial Reference'!$A$8:$W$8,1,MOD($A48-1,23)+1)&amp;TEXT(AV$2+FLOOR((AV$2-1)/9,1),"000"),"")</f>
        <v>BZ052</v>
      </c>
      <c r="AW48" s="19" t="str">
        <f>IF(INDEX('Shot Map'!$B$6:$V$26,CEILING($A48/5,1),CEILING(AW$2/5,1))=1,INDEX('Serial Reference'!$A$8:$W$8,1,FLOOR(($A48-1)/23,1)+1)&amp;INDEX('Serial Reference'!$A$8:$W$8,1,MOD($A48-1,23)+1)&amp;TEXT(AW$2+FLOOR((AW$2-1)/9,1),"000"),"")</f>
        <v>BZ053</v>
      </c>
      <c r="AX48" s="19" t="str">
        <f>IF(INDEX('Shot Map'!$B$6:$V$26,CEILING($A48/5,1),CEILING(AX$2/5,1))=1,INDEX('Serial Reference'!$A$8:$W$8,1,FLOOR(($A48-1)/23,1)+1)&amp;INDEX('Serial Reference'!$A$8:$W$8,1,MOD($A48-1,23)+1)&amp;TEXT(AX$2+FLOOR((AX$2-1)/9,1),"000"),"")</f>
        <v>BZ054</v>
      </c>
      <c r="AY48" s="20" t="str">
        <f>IF(INDEX('Shot Map'!$B$6:$V$26,CEILING($A48/5,1),CEILING(AY$2/5,1))=1,INDEX('Serial Reference'!$A$8:$W$8,1,FLOOR(($A48-1)/23,1)+1)&amp;INDEX('Serial Reference'!$A$8:$W$8,1,MOD($A48-1,23)+1)&amp;TEXT(AY$2+FLOOR((AY$2-1)/9,1),"000"),"")</f>
        <v>BZ055</v>
      </c>
      <c r="AZ48" s="18" t="str">
        <f>IF(INDEX('Shot Map'!$B$6:$V$26,CEILING($A48/5,1),CEILING(AZ$2/5,1))=1,INDEX('Serial Reference'!$A$8:$W$8,1,FLOOR(($A48-1)/23,1)+1)&amp;INDEX('Serial Reference'!$A$8:$W$8,1,MOD($A48-1,23)+1)&amp;TEXT(AZ$2+FLOOR((AZ$2-1)/9,1),"000"),"")</f>
        <v>BZ056</v>
      </c>
      <c r="BA48" s="19" t="str">
        <f>IF(INDEX('Shot Map'!$B$6:$V$26,CEILING($A48/5,1),CEILING(BA$2/5,1))=1,INDEX('Serial Reference'!$A$8:$W$8,1,FLOOR(($A48-1)/23,1)+1)&amp;INDEX('Serial Reference'!$A$8:$W$8,1,MOD($A48-1,23)+1)&amp;TEXT(BA$2+FLOOR((BA$2-1)/9,1),"000"),"")</f>
        <v>BZ057</v>
      </c>
      <c r="BB48" s="19" t="str">
        <f>IF(INDEX('Shot Map'!$B$6:$V$26,CEILING($A48/5,1),CEILING(BB$2/5,1))=1,INDEX('Serial Reference'!$A$8:$W$8,1,FLOOR(($A48-1)/23,1)+1)&amp;INDEX('Serial Reference'!$A$8:$W$8,1,MOD($A48-1,23)+1)&amp;TEXT(BB$2+FLOOR((BB$2-1)/9,1),"000"),"")</f>
        <v>BZ058</v>
      </c>
      <c r="BC48" s="19" t="str">
        <f>IF(INDEX('Shot Map'!$B$6:$V$26,CEILING($A48/5,1),CEILING(BC$2/5,1))=1,INDEX('Serial Reference'!$A$8:$W$8,1,FLOOR(($A48-1)/23,1)+1)&amp;INDEX('Serial Reference'!$A$8:$W$8,1,MOD($A48-1,23)+1)&amp;TEXT(BC$2+FLOOR((BC$2-1)/9,1),"000"),"")</f>
        <v>BZ059</v>
      </c>
      <c r="BD48" s="20" t="str">
        <f>IF(INDEX('Shot Map'!$B$6:$V$26,CEILING($A48/5,1),CEILING(BD$2/5,1))=1,INDEX('Serial Reference'!$A$8:$W$8,1,FLOOR(($A48-1)/23,1)+1)&amp;INDEX('Serial Reference'!$A$8:$W$8,1,MOD($A48-1,23)+1)&amp;TEXT(BD$2+FLOOR((BD$2-1)/9,1),"000"),"")</f>
        <v>BZ061</v>
      </c>
      <c r="BE48" s="18" t="str">
        <f>IF(INDEX('Shot Map'!$B$6:$V$26,CEILING($A48/5,1),CEILING(BE$2/5,1))=1,INDEX('Serial Reference'!$A$8:$W$8,1,FLOOR(($A48-1)/23,1)+1)&amp;INDEX('Serial Reference'!$A$8:$W$8,1,MOD($A48-1,23)+1)&amp;TEXT(BE$2+FLOOR((BE$2-1)/9,1),"000"),"")</f>
        <v>BZ062</v>
      </c>
      <c r="BF48" s="19" t="str">
        <f>IF(INDEX('Shot Map'!$B$6:$V$26,CEILING($A48/5,1),CEILING(BF$2/5,1))=1,INDEX('Serial Reference'!$A$8:$W$8,1,FLOOR(($A48-1)/23,1)+1)&amp;INDEX('Serial Reference'!$A$8:$W$8,1,MOD($A48-1,23)+1)&amp;TEXT(BF$2+FLOOR((BF$2-1)/9,1),"000"),"")</f>
        <v>BZ063</v>
      </c>
      <c r="BG48" s="19" t="str">
        <f>IF(INDEX('Shot Map'!$B$6:$V$26,CEILING($A48/5,1),CEILING(BG$2/5,1))=1,INDEX('Serial Reference'!$A$8:$W$8,1,FLOOR(($A48-1)/23,1)+1)&amp;INDEX('Serial Reference'!$A$8:$W$8,1,MOD($A48-1,23)+1)&amp;TEXT(BG$2+FLOOR((BG$2-1)/9,1),"000"),"")</f>
        <v>BZ064</v>
      </c>
      <c r="BH48" s="19" t="str">
        <f>IF(INDEX('Shot Map'!$B$6:$V$26,CEILING($A48/5,1),CEILING(BH$2/5,1))=1,INDEX('Serial Reference'!$A$8:$W$8,1,FLOOR(($A48-1)/23,1)+1)&amp;INDEX('Serial Reference'!$A$8:$W$8,1,MOD($A48-1,23)+1)&amp;TEXT(BH$2+FLOOR((BH$2-1)/9,1),"000"),"")</f>
        <v>BZ065</v>
      </c>
      <c r="BI48" s="20" t="str">
        <f>IF(INDEX('Shot Map'!$B$6:$V$26,CEILING($A48/5,1),CEILING(BI$2/5,1))=1,INDEX('Serial Reference'!$A$8:$W$8,1,FLOOR(($A48-1)/23,1)+1)&amp;INDEX('Serial Reference'!$A$8:$W$8,1,MOD($A48-1,23)+1)&amp;TEXT(BI$2+FLOOR((BI$2-1)/9,1),"000"),"")</f>
        <v>BZ066</v>
      </c>
      <c r="BJ48" s="18" t="str">
        <f>IF(INDEX('Shot Map'!$B$6:$V$26,CEILING($A48/5,1),CEILING(BJ$2/5,1))=1,INDEX('Serial Reference'!$A$8:$W$8,1,FLOOR(($A48-1)/23,1)+1)&amp;INDEX('Serial Reference'!$A$8:$W$8,1,MOD($A48-1,23)+1)&amp;TEXT(BJ$2+FLOOR((BJ$2-1)/9,1),"000"),"")</f>
        <v>BZ067</v>
      </c>
      <c r="BK48" s="19" t="str">
        <f>IF(INDEX('Shot Map'!$B$6:$V$26,CEILING($A48/5,1),CEILING(BK$2/5,1))=1,INDEX('Serial Reference'!$A$8:$W$8,1,FLOOR(($A48-1)/23,1)+1)&amp;INDEX('Serial Reference'!$A$8:$W$8,1,MOD($A48-1,23)+1)&amp;TEXT(BK$2+FLOOR((BK$2-1)/9,1),"000"),"")</f>
        <v>BZ068</v>
      </c>
      <c r="BL48" s="19" t="str">
        <f>IF(INDEX('Shot Map'!$B$6:$V$26,CEILING($A48/5,1),CEILING(BL$2/5,1))=1,INDEX('Serial Reference'!$A$8:$W$8,1,FLOOR(($A48-1)/23,1)+1)&amp;INDEX('Serial Reference'!$A$8:$W$8,1,MOD($A48-1,23)+1)&amp;TEXT(BL$2+FLOOR((BL$2-1)/9,1),"000"),"")</f>
        <v>BZ069</v>
      </c>
      <c r="BM48" s="19" t="str">
        <f>IF(INDEX('Shot Map'!$B$6:$V$26,CEILING($A48/5,1),CEILING(BM$2/5,1))=1,INDEX('Serial Reference'!$A$8:$W$8,1,FLOOR(($A48-1)/23,1)+1)&amp;INDEX('Serial Reference'!$A$8:$W$8,1,MOD($A48-1,23)+1)&amp;TEXT(BM$2+FLOOR((BM$2-1)/9,1),"000"),"")</f>
        <v>BZ071</v>
      </c>
      <c r="BN48" s="20" t="str">
        <f>IF(INDEX('Shot Map'!$B$6:$V$26,CEILING($A48/5,1),CEILING(BN$2/5,1))=1,INDEX('Serial Reference'!$A$8:$W$8,1,FLOOR(($A48-1)/23,1)+1)&amp;INDEX('Serial Reference'!$A$8:$W$8,1,MOD($A48-1,23)+1)&amp;TEXT(BN$2+FLOOR((BN$2-1)/9,1),"000"),"")</f>
        <v>BZ072</v>
      </c>
      <c r="BO48" s="18" t="str">
        <f>IF(INDEX('Shot Map'!$B$6:$V$26,CEILING($A48/5,1),CEILING(BO$2/5,1))=1,INDEX('Serial Reference'!$A$8:$W$8,1,FLOOR(($A48-1)/23,1)+1)&amp;INDEX('Serial Reference'!$A$8:$W$8,1,MOD($A48-1,23)+1)&amp;TEXT(BO$2+FLOOR((BO$2-1)/9,1),"000"),"")</f>
        <v>BZ073</v>
      </c>
      <c r="BP48" s="19" t="str">
        <f>IF(INDEX('Shot Map'!$B$6:$V$26,CEILING($A48/5,1),CEILING(BP$2/5,1))=1,INDEX('Serial Reference'!$A$8:$W$8,1,FLOOR(($A48-1)/23,1)+1)&amp;INDEX('Serial Reference'!$A$8:$W$8,1,MOD($A48-1,23)+1)&amp;TEXT(BP$2+FLOOR((BP$2-1)/9,1),"000"),"")</f>
        <v>BZ074</v>
      </c>
      <c r="BQ48" s="19" t="str">
        <f>IF(INDEX('Shot Map'!$B$6:$V$26,CEILING($A48/5,1),CEILING(BQ$2/5,1))=1,INDEX('Serial Reference'!$A$8:$W$8,1,FLOOR(($A48-1)/23,1)+1)&amp;INDEX('Serial Reference'!$A$8:$W$8,1,MOD($A48-1,23)+1)&amp;TEXT(BQ$2+FLOOR((BQ$2-1)/9,1),"000"),"")</f>
        <v>BZ075</v>
      </c>
      <c r="BR48" s="19" t="str">
        <f>IF(INDEX('Shot Map'!$B$6:$V$26,CEILING($A48/5,1),CEILING(BR$2/5,1))=1,INDEX('Serial Reference'!$A$8:$W$8,1,FLOOR(($A48-1)/23,1)+1)&amp;INDEX('Serial Reference'!$A$8:$W$8,1,MOD($A48-1,23)+1)&amp;TEXT(BR$2+FLOOR((BR$2-1)/9,1),"000"),"")</f>
        <v>BZ076</v>
      </c>
      <c r="BS48" s="20" t="str">
        <f>IF(INDEX('Shot Map'!$B$6:$V$26,CEILING($A48/5,1),CEILING(BS$2/5,1))=1,INDEX('Serial Reference'!$A$8:$W$8,1,FLOOR(($A48-1)/23,1)+1)&amp;INDEX('Serial Reference'!$A$8:$W$8,1,MOD($A48-1,23)+1)&amp;TEXT(BS$2+FLOOR((BS$2-1)/9,1),"000"),"")</f>
        <v>BZ077</v>
      </c>
      <c r="BT48" s="18" t="str">
        <f>IF(INDEX('Shot Map'!$B$6:$V$26,CEILING($A48/5,1),CEILING(BT$2/5,1))=1,INDEX('Serial Reference'!$A$8:$W$8,1,FLOOR(($A48-1)/23,1)+1)&amp;INDEX('Serial Reference'!$A$8:$W$8,1,MOD($A48-1,23)+1)&amp;TEXT(BT$2+FLOOR((BT$2-1)/9,1),"000"),"")</f>
        <v>BZ078</v>
      </c>
      <c r="BU48" s="19" t="str">
        <f>IF(INDEX('Shot Map'!$B$6:$V$26,CEILING($A48/5,1),CEILING(BU$2/5,1))=1,INDEX('Serial Reference'!$A$8:$W$8,1,FLOOR(($A48-1)/23,1)+1)&amp;INDEX('Serial Reference'!$A$8:$W$8,1,MOD($A48-1,23)+1)&amp;TEXT(BU$2+FLOOR((BU$2-1)/9,1),"000"),"")</f>
        <v>BZ079</v>
      </c>
      <c r="BV48" s="19" t="str">
        <f>IF(INDEX('Shot Map'!$B$6:$V$26,CEILING($A48/5,1),CEILING(BV$2/5,1))=1,INDEX('Serial Reference'!$A$8:$W$8,1,FLOOR(($A48-1)/23,1)+1)&amp;INDEX('Serial Reference'!$A$8:$W$8,1,MOD($A48-1,23)+1)&amp;TEXT(BV$2+FLOOR((BV$2-1)/9,1),"000"),"")</f>
        <v>BZ081</v>
      </c>
      <c r="BW48" s="19" t="str">
        <f>IF(INDEX('Shot Map'!$B$6:$V$26,CEILING($A48/5,1),CEILING(BW$2/5,1))=1,INDEX('Serial Reference'!$A$8:$W$8,1,FLOOR(($A48-1)/23,1)+1)&amp;INDEX('Serial Reference'!$A$8:$W$8,1,MOD($A48-1,23)+1)&amp;TEXT(BW$2+FLOOR((BW$2-1)/9,1),"000"),"")</f>
        <v>BZ082</v>
      </c>
      <c r="BX48" s="20" t="str">
        <f>IF(INDEX('Shot Map'!$B$6:$V$26,CEILING($A48/5,1),CEILING(BX$2/5,1))=1,INDEX('Serial Reference'!$A$8:$W$8,1,FLOOR(($A48-1)/23,1)+1)&amp;INDEX('Serial Reference'!$A$8:$W$8,1,MOD($A48-1,23)+1)&amp;TEXT(BX$2+FLOOR((BX$2-1)/9,1),"000"),"")</f>
        <v>BZ083</v>
      </c>
      <c r="BY48" s="18" t="str">
        <f>IF(INDEX('Shot Map'!$B$6:$V$26,CEILING($A48/5,1),CEILING(BY$2/5,1))=1,INDEX('Serial Reference'!$A$8:$W$8,1,FLOOR(($A48-1)/23,1)+1)&amp;INDEX('Serial Reference'!$A$8:$W$8,1,MOD($A48-1,23)+1)&amp;TEXT(BY$2+FLOOR((BY$2-1)/9,1),"000"),"")</f>
        <v>BZ084</v>
      </c>
      <c r="BZ48" s="19" t="str">
        <f>IF(INDEX('Shot Map'!$B$6:$V$26,CEILING($A48/5,1),CEILING(BZ$2/5,1))=1,INDEX('Serial Reference'!$A$8:$W$8,1,FLOOR(($A48-1)/23,1)+1)&amp;INDEX('Serial Reference'!$A$8:$W$8,1,MOD($A48-1,23)+1)&amp;TEXT(BZ$2+FLOOR((BZ$2-1)/9,1),"000"),"")</f>
        <v>BZ085</v>
      </c>
      <c r="CA48" s="19" t="str">
        <f>IF(INDEX('Shot Map'!$B$6:$V$26,CEILING($A48/5,1),CEILING(CA$2/5,1))=1,INDEX('Serial Reference'!$A$8:$W$8,1,FLOOR(($A48-1)/23,1)+1)&amp;INDEX('Serial Reference'!$A$8:$W$8,1,MOD($A48-1,23)+1)&amp;TEXT(CA$2+FLOOR((CA$2-1)/9,1),"000"),"")</f>
        <v>BZ086</v>
      </c>
      <c r="CB48" s="19" t="str">
        <f>IF(INDEX('Shot Map'!$B$6:$V$26,CEILING($A48/5,1),CEILING(CB$2/5,1))=1,INDEX('Serial Reference'!$A$8:$W$8,1,FLOOR(($A48-1)/23,1)+1)&amp;INDEX('Serial Reference'!$A$8:$W$8,1,MOD($A48-1,23)+1)&amp;TEXT(CB$2+FLOOR((CB$2-1)/9,1),"000"),"")</f>
        <v>BZ087</v>
      </c>
      <c r="CC48" s="20" t="str">
        <f>IF(INDEX('Shot Map'!$B$6:$V$26,CEILING($A48/5,1),CEILING(CC$2/5,1))=1,INDEX('Serial Reference'!$A$8:$W$8,1,FLOOR(($A48-1)/23,1)+1)&amp;INDEX('Serial Reference'!$A$8:$W$8,1,MOD($A48-1,23)+1)&amp;TEXT(CC$2+FLOOR((CC$2-1)/9,1),"000"),"")</f>
        <v>BZ088</v>
      </c>
      <c r="CD48" s="18" t="str">
        <f>IF(INDEX('Shot Map'!$B$6:$V$26,CEILING($A48/5,1),CEILING(CD$2/5,1))=1,INDEX('Serial Reference'!$A$8:$W$8,1,FLOOR(($A48-1)/23,1)+1)&amp;INDEX('Serial Reference'!$A$8:$W$8,1,MOD($A48-1,23)+1)&amp;TEXT(CD$2+FLOOR((CD$2-1)/9,1),"000"),"")</f>
        <v>BZ089</v>
      </c>
      <c r="CE48" s="19" t="str">
        <f>IF(INDEX('Shot Map'!$B$6:$V$26,CEILING($A48/5,1),CEILING(CE$2/5,1))=1,INDEX('Serial Reference'!$A$8:$W$8,1,FLOOR(($A48-1)/23,1)+1)&amp;INDEX('Serial Reference'!$A$8:$W$8,1,MOD($A48-1,23)+1)&amp;TEXT(CE$2+FLOOR((CE$2-1)/9,1),"000"),"")</f>
        <v>BZ091</v>
      </c>
      <c r="CF48" s="19" t="str">
        <f>IF(INDEX('Shot Map'!$B$6:$V$26,CEILING($A48/5,1),CEILING(CF$2/5,1))=1,INDEX('Serial Reference'!$A$8:$W$8,1,FLOOR(($A48-1)/23,1)+1)&amp;INDEX('Serial Reference'!$A$8:$W$8,1,MOD($A48-1,23)+1)&amp;TEXT(CF$2+FLOOR((CF$2-1)/9,1),"000"),"")</f>
        <v>BZ092</v>
      </c>
      <c r="CG48" s="19" t="str">
        <f>IF(INDEX('Shot Map'!$B$6:$V$26,CEILING($A48/5,1),CEILING(CG$2/5,1))=1,INDEX('Serial Reference'!$A$8:$W$8,1,FLOOR(($A48-1)/23,1)+1)&amp;INDEX('Serial Reference'!$A$8:$W$8,1,MOD($A48-1,23)+1)&amp;TEXT(CG$2+FLOOR((CG$2-1)/9,1),"000"),"")</f>
        <v>BZ093</v>
      </c>
      <c r="CH48" s="20" t="str">
        <f>IF(INDEX('Shot Map'!$B$6:$V$26,CEILING($A48/5,1),CEILING(CH$2/5,1))=1,INDEX('Serial Reference'!$A$8:$W$8,1,FLOOR(($A48-1)/23,1)+1)&amp;INDEX('Serial Reference'!$A$8:$W$8,1,MOD($A48-1,23)+1)&amp;TEXT(CH$2+FLOOR((CH$2-1)/9,1),"000"),"")</f>
        <v>BZ094</v>
      </c>
      <c r="CI48" s="18" t="str">
        <f>IF(INDEX('Shot Map'!$B$6:$V$26,CEILING($A48/5,1),CEILING(CI$2/5,1))=1,INDEX('Serial Reference'!$A$8:$W$8,1,FLOOR(($A48-1)/23,1)+1)&amp;INDEX('Serial Reference'!$A$8:$W$8,1,MOD($A48-1,23)+1)&amp;TEXT(CI$2+FLOOR((CI$2-1)/9,1),"000"),"")</f>
        <v>BZ095</v>
      </c>
      <c r="CJ48" s="19" t="str">
        <f>IF(INDEX('Shot Map'!$B$6:$V$26,CEILING($A48/5,1),CEILING(CJ$2/5,1))=1,INDEX('Serial Reference'!$A$8:$W$8,1,FLOOR(($A48-1)/23,1)+1)&amp;INDEX('Serial Reference'!$A$8:$W$8,1,MOD($A48-1,23)+1)&amp;TEXT(CJ$2+FLOOR((CJ$2-1)/9,1),"000"),"")</f>
        <v>BZ096</v>
      </c>
      <c r="CK48" s="19" t="str">
        <f>IF(INDEX('Shot Map'!$B$6:$V$26,CEILING($A48/5,1),CEILING(CK$2/5,1))=1,INDEX('Serial Reference'!$A$8:$W$8,1,FLOOR(($A48-1)/23,1)+1)&amp;INDEX('Serial Reference'!$A$8:$W$8,1,MOD($A48-1,23)+1)&amp;TEXT(CK$2+FLOOR((CK$2-1)/9,1),"000"),"")</f>
        <v>BZ097</v>
      </c>
      <c r="CL48" s="19" t="str">
        <f>IF(INDEX('Shot Map'!$B$6:$V$26,CEILING($A48/5,1),CEILING(CL$2/5,1))=1,INDEX('Serial Reference'!$A$8:$W$8,1,FLOOR(($A48-1)/23,1)+1)&amp;INDEX('Serial Reference'!$A$8:$W$8,1,MOD($A48-1,23)+1)&amp;TEXT(CL$2+FLOOR((CL$2-1)/9,1),"000"),"")</f>
        <v>BZ098</v>
      </c>
      <c r="CM48" s="20" t="str">
        <f>IF(INDEX('Shot Map'!$B$6:$V$26,CEILING($A48/5,1),CEILING(CM$2/5,1))=1,INDEX('Serial Reference'!$A$8:$W$8,1,FLOOR(($A48-1)/23,1)+1)&amp;INDEX('Serial Reference'!$A$8:$W$8,1,MOD($A48-1,23)+1)&amp;TEXT(CM$2+FLOOR((CM$2-1)/9,1),"000"),"")</f>
        <v>BZ099</v>
      </c>
      <c r="CN48" s="18" t="str">
        <f>IF(INDEX('Shot Map'!$B$6:$V$26,CEILING($A48/5,1),CEILING(CN$2/5,1))=1,INDEX('Serial Reference'!$A$8:$W$8,1,FLOOR(($A48-1)/23,1)+1)&amp;INDEX('Serial Reference'!$A$8:$W$8,1,MOD($A48-1,23)+1)&amp;TEXT(CN$2+FLOOR((CN$2-1)/9,1),"000"),"")</f>
        <v>BZ101</v>
      </c>
      <c r="CO48" s="19" t="str">
        <f>IF(INDEX('Shot Map'!$B$6:$V$26,CEILING($A48/5,1),CEILING(CO$2/5,1))=1,INDEX('Serial Reference'!$A$8:$W$8,1,FLOOR(($A48-1)/23,1)+1)&amp;INDEX('Serial Reference'!$A$8:$W$8,1,MOD($A48-1,23)+1)&amp;TEXT(CO$2+FLOOR((CO$2-1)/9,1),"000"),"")</f>
        <v>BZ102</v>
      </c>
      <c r="CP48" s="19" t="str">
        <f>IF(INDEX('Shot Map'!$B$6:$V$26,CEILING($A48/5,1),CEILING(CP$2/5,1))=1,INDEX('Serial Reference'!$A$8:$W$8,1,FLOOR(($A48-1)/23,1)+1)&amp;INDEX('Serial Reference'!$A$8:$W$8,1,MOD($A48-1,23)+1)&amp;TEXT(CP$2+FLOOR((CP$2-1)/9,1),"000"),"")</f>
        <v>BZ103</v>
      </c>
      <c r="CQ48" s="19" t="str">
        <f>IF(INDEX('Shot Map'!$B$6:$V$26,CEILING($A48/5,1),CEILING(CQ$2/5,1))=1,INDEX('Serial Reference'!$A$8:$W$8,1,FLOOR(($A48-1)/23,1)+1)&amp;INDEX('Serial Reference'!$A$8:$W$8,1,MOD($A48-1,23)+1)&amp;TEXT(CQ$2+FLOOR((CQ$2-1)/9,1),"000"),"")</f>
        <v>BZ104</v>
      </c>
      <c r="CR48" s="20" t="str">
        <f>IF(INDEX('Shot Map'!$B$6:$V$26,CEILING($A48/5,1),CEILING(CR$2/5,1))=1,INDEX('Serial Reference'!$A$8:$W$8,1,FLOOR(($A48-1)/23,1)+1)&amp;INDEX('Serial Reference'!$A$8:$W$8,1,MOD($A48-1,23)+1)&amp;TEXT(CR$2+FLOOR((CR$2-1)/9,1),"000"),"")</f>
        <v>BZ105</v>
      </c>
      <c r="CS48" s="18" t="str">
        <f>IF(INDEX('Shot Map'!$B$6:$V$26,CEILING($A48/5,1),CEILING(CS$2/5,1))=1,INDEX('Serial Reference'!$A$8:$W$8,1,FLOOR(($A48-1)/23,1)+1)&amp;INDEX('Serial Reference'!$A$8:$W$8,1,MOD($A48-1,23)+1)&amp;TEXT(CS$2+FLOOR((CS$2-1)/9,1),"000"),"")</f>
        <v>BZ106</v>
      </c>
      <c r="CT48" s="19" t="str">
        <f>IF(INDEX('Shot Map'!$B$6:$V$26,CEILING($A48/5,1),CEILING(CT$2/5,1))=1,INDEX('Serial Reference'!$A$8:$W$8,1,FLOOR(($A48-1)/23,1)+1)&amp;INDEX('Serial Reference'!$A$8:$W$8,1,MOD($A48-1,23)+1)&amp;TEXT(CT$2+FLOOR((CT$2-1)/9,1),"000"),"")</f>
        <v>BZ107</v>
      </c>
      <c r="CU48" s="19" t="str">
        <f>IF(INDEX('Shot Map'!$B$6:$V$26,CEILING($A48/5,1),CEILING(CU$2/5,1))=1,INDEX('Serial Reference'!$A$8:$W$8,1,FLOOR(($A48-1)/23,1)+1)&amp;INDEX('Serial Reference'!$A$8:$W$8,1,MOD($A48-1,23)+1)&amp;TEXT(CU$2+FLOOR((CU$2-1)/9,1),"000"),"")</f>
        <v>BZ108</v>
      </c>
      <c r="CV48" s="19" t="str">
        <f>IF(INDEX('Shot Map'!$B$6:$V$26,CEILING($A48/5,1),CEILING(CV$2/5,1))=1,INDEX('Serial Reference'!$A$8:$W$8,1,FLOOR(($A48-1)/23,1)+1)&amp;INDEX('Serial Reference'!$A$8:$W$8,1,MOD($A48-1,23)+1)&amp;TEXT(CV$2+FLOOR((CV$2-1)/9,1),"000"),"")</f>
        <v>BZ109</v>
      </c>
      <c r="CW48" s="20" t="str">
        <f>IF(INDEX('Shot Map'!$B$6:$V$26,CEILING($A48/5,1),CEILING(CW$2/5,1))=1,INDEX('Serial Reference'!$A$8:$W$8,1,FLOOR(($A48-1)/23,1)+1)&amp;INDEX('Serial Reference'!$A$8:$W$8,1,MOD($A48-1,23)+1)&amp;TEXT(CW$2+FLOOR((CW$2-1)/9,1),"000"),"")</f>
        <v>BZ111</v>
      </c>
      <c r="CX48" s="18" t="str">
        <f>IF(INDEX('Shot Map'!$B$6:$V$26,CEILING($A48/5,1),CEILING(CX$2/5,1))=1,INDEX('Serial Reference'!$A$8:$W$8,1,FLOOR(($A48-1)/23,1)+1)&amp;INDEX('Serial Reference'!$A$8:$W$8,1,MOD($A48-1,23)+1)&amp;TEXT(CX$2+FLOOR((CX$2-1)/9,1),"000"),"")</f>
        <v>BZ112</v>
      </c>
      <c r="CY48" s="19" t="str">
        <f>IF(INDEX('Shot Map'!$B$6:$V$26,CEILING($A48/5,1),CEILING(CY$2/5,1))=1,INDEX('Serial Reference'!$A$8:$W$8,1,FLOOR(($A48-1)/23,1)+1)&amp;INDEX('Serial Reference'!$A$8:$W$8,1,MOD($A48-1,23)+1)&amp;TEXT(CY$2+FLOOR((CY$2-1)/9,1),"000"),"")</f>
        <v>BZ113</v>
      </c>
      <c r="CZ48" s="19" t="str">
        <f>IF(INDEX('Shot Map'!$B$6:$V$26,CEILING($A48/5,1),CEILING(CZ$2/5,1))=1,INDEX('Serial Reference'!$A$8:$W$8,1,FLOOR(($A48-1)/23,1)+1)&amp;INDEX('Serial Reference'!$A$8:$W$8,1,MOD($A48-1,23)+1)&amp;TEXT(CZ$2+FLOOR((CZ$2-1)/9,1),"000"),"")</f>
        <v>BZ114</v>
      </c>
      <c r="DA48" s="19" t="str">
        <f>IF(INDEX('Shot Map'!$B$6:$V$26,CEILING($A48/5,1),CEILING(DA$2/5,1))=1,INDEX('Serial Reference'!$A$8:$W$8,1,FLOOR(($A48-1)/23,1)+1)&amp;INDEX('Serial Reference'!$A$8:$W$8,1,MOD($A48-1,23)+1)&amp;TEXT(DA$2+FLOOR((DA$2-1)/9,1),"000"),"")</f>
        <v>BZ115</v>
      </c>
      <c r="DB48" s="20" t="str">
        <f>IF(INDEX('Shot Map'!$B$6:$V$26,CEILING($A48/5,1),CEILING(DB$2/5,1))=1,INDEX('Serial Reference'!$A$8:$W$8,1,FLOOR(($A48-1)/23,1)+1)&amp;INDEX('Serial Reference'!$A$8:$W$8,1,MOD($A48-1,23)+1)&amp;TEXT(DB$2+FLOOR((DB$2-1)/9,1),"000"),"")</f>
        <v>BZ116</v>
      </c>
    </row>
    <row r="49" spans="1:106" ht="12.75" customHeight="1" x14ac:dyDescent="0.25">
      <c r="A49" s="17">
        <v>47</v>
      </c>
      <c r="B49" s="21" t="str">
        <f>IF(INDEX('Shot Map'!$B$6:$V$26,CEILING($A49/5,1),CEILING(B$2/5,1))=1,INDEX('Serial Reference'!$A$8:$W$8,1,FLOOR(($A49-1)/23,1)+1)&amp;INDEX('Serial Reference'!$A$8:$W$8,1,MOD($A49-1,23)+1)&amp;TEXT(B$2+FLOOR((B$2-1)/9,1),"000"),"")</f>
        <v>CA001</v>
      </c>
      <c r="C49" s="22" t="str">
        <f>IF(INDEX('Shot Map'!$B$6:$V$26,CEILING($A49/5,1),CEILING(C$2/5,1))=1,INDEX('Serial Reference'!$A$8:$W$8,1,FLOOR(($A49-1)/23,1)+1)&amp;INDEX('Serial Reference'!$A$8:$W$8,1,MOD($A49-1,23)+1)&amp;TEXT(C$2+FLOOR((C$2-1)/9,1),"000"),"")</f>
        <v>CA002</v>
      </c>
      <c r="D49" s="22" t="str">
        <f>IF(INDEX('Shot Map'!$B$6:$V$26,CEILING($A49/5,1),CEILING(D$2/5,1))=1,INDEX('Serial Reference'!$A$8:$W$8,1,FLOOR(($A49-1)/23,1)+1)&amp;INDEX('Serial Reference'!$A$8:$W$8,1,MOD($A49-1,23)+1)&amp;TEXT(D$2+FLOOR((D$2-1)/9,1),"000"),"")</f>
        <v>CA003</v>
      </c>
      <c r="E49" s="22" t="str">
        <f>IF(INDEX('Shot Map'!$B$6:$V$26,CEILING($A49/5,1),CEILING(E$2/5,1))=1,INDEX('Serial Reference'!$A$8:$W$8,1,FLOOR(($A49-1)/23,1)+1)&amp;INDEX('Serial Reference'!$A$8:$W$8,1,MOD($A49-1,23)+1)&amp;TEXT(E$2+FLOOR((E$2-1)/9,1),"000"),"")</f>
        <v>CA004</v>
      </c>
      <c r="F49" s="23" t="str">
        <f>IF(INDEX('Shot Map'!$B$6:$V$26,CEILING($A49/5,1),CEILING(F$2/5,1))=1,INDEX('Serial Reference'!$A$8:$W$8,1,FLOOR(($A49-1)/23,1)+1)&amp;INDEX('Serial Reference'!$A$8:$W$8,1,MOD($A49-1,23)+1)&amp;TEXT(F$2+FLOOR((F$2-1)/9,1),"000"),"")</f>
        <v>CA005</v>
      </c>
      <c r="G49" s="21" t="str">
        <f>IF(INDEX('Shot Map'!$B$6:$V$26,CEILING($A49/5,1),CEILING(G$2/5,1))=1,INDEX('Serial Reference'!$A$8:$W$8,1,FLOOR(($A49-1)/23,1)+1)&amp;INDEX('Serial Reference'!$A$8:$W$8,1,MOD($A49-1,23)+1)&amp;TEXT(G$2+FLOOR((G$2-1)/9,1),"000"),"")</f>
        <v>CA006</v>
      </c>
      <c r="H49" s="22" t="str">
        <f>IF(INDEX('Shot Map'!$B$6:$V$26,CEILING($A49/5,1),CEILING(H$2/5,1))=1,INDEX('Serial Reference'!$A$8:$W$8,1,FLOOR(($A49-1)/23,1)+1)&amp;INDEX('Serial Reference'!$A$8:$W$8,1,MOD($A49-1,23)+1)&amp;TEXT(H$2+FLOOR((H$2-1)/9,1),"000"),"")</f>
        <v>CA007</v>
      </c>
      <c r="I49" s="22" t="str">
        <f>IF(INDEX('Shot Map'!$B$6:$V$26,CEILING($A49/5,1),CEILING(I$2/5,1))=1,INDEX('Serial Reference'!$A$8:$W$8,1,FLOOR(($A49-1)/23,1)+1)&amp;INDEX('Serial Reference'!$A$8:$W$8,1,MOD($A49-1,23)+1)&amp;TEXT(I$2+FLOOR((I$2-1)/9,1),"000"),"")</f>
        <v>CA008</v>
      </c>
      <c r="J49" s="22" t="str">
        <f>IF(INDEX('Shot Map'!$B$6:$V$26,CEILING($A49/5,1),CEILING(J$2/5,1))=1,INDEX('Serial Reference'!$A$8:$W$8,1,FLOOR(($A49-1)/23,1)+1)&amp;INDEX('Serial Reference'!$A$8:$W$8,1,MOD($A49-1,23)+1)&amp;TEXT(J$2+FLOOR((J$2-1)/9,1),"000"),"")</f>
        <v>CA009</v>
      </c>
      <c r="K49" s="23" t="str">
        <f>IF(INDEX('Shot Map'!$B$6:$V$26,CEILING($A49/5,1),CEILING(K$2/5,1))=1,INDEX('Serial Reference'!$A$8:$W$8,1,FLOOR(($A49-1)/23,1)+1)&amp;INDEX('Serial Reference'!$A$8:$W$8,1,MOD($A49-1,23)+1)&amp;TEXT(K$2+FLOOR((K$2-1)/9,1),"000"),"")</f>
        <v>CA011</v>
      </c>
      <c r="L49" s="21" t="str">
        <f>IF(INDEX('Shot Map'!$B$6:$V$26,CEILING($A49/5,1),CEILING(L$2/5,1))=1,INDEX('Serial Reference'!$A$8:$W$8,1,FLOOR(($A49-1)/23,1)+1)&amp;INDEX('Serial Reference'!$A$8:$W$8,1,MOD($A49-1,23)+1)&amp;TEXT(L$2+FLOOR((L$2-1)/9,1),"000"),"")</f>
        <v>CA012</v>
      </c>
      <c r="M49" s="22" t="str">
        <f>IF(INDEX('Shot Map'!$B$6:$V$26,CEILING($A49/5,1),CEILING(M$2/5,1))=1,INDEX('Serial Reference'!$A$8:$W$8,1,FLOOR(($A49-1)/23,1)+1)&amp;INDEX('Serial Reference'!$A$8:$W$8,1,MOD($A49-1,23)+1)&amp;TEXT(M$2+FLOOR((M$2-1)/9,1),"000"),"")</f>
        <v>CA013</v>
      </c>
      <c r="N49" s="22" t="str">
        <f>IF(INDEX('Shot Map'!$B$6:$V$26,CEILING($A49/5,1),CEILING(N$2/5,1))=1,INDEX('Serial Reference'!$A$8:$W$8,1,FLOOR(($A49-1)/23,1)+1)&amp;INDEX('Serial Reference'!$A$8:$W$8,1,MOD($A49-1,23)+1)&amp;TEXT(N$2+FLOOR((N$2-1)/9,1),"000"),"")</f>
        <v>CA014</v>
      </c>
      <c r="O49" s="22" t="str">
        <f>IF(INDEX('Shot Map'!$B$6:$V$26,CEILING($A49/5,1),CEILING(O$2/5,1))=1,INDEX('Serial Reference'!$A$8:$W$8,1,FLOOR(($A49-1)/23,1)+1)&amp;INDEX('Serial Reference'!$A$8:$W$8,1,MOD($A49-1,23)+1)&amp;TEXT(O$2+FLOOR((O$2-1)/9,1),"000"),"")</f>
        <v>CA015</v>
      </c>
      <c r="P49" s="23" t="str">
        <f>IF(INDEX('Shot Map'!$B$6:$V$26,CEILING($A49/5,1),CEILING(P$2/5,1))=1,INDEX('Serial Reference'!$A$8:$W$8,1,FLOOR(($A49-1)/23,1)+1)&amp;INDEX('Serial Reference'!$A$8:$W$8,1,MOD($A49-1,23)+1)&amp;TEXT(P$2+FLOOR((P$2-1)/9,1),"000"),"")</f>
        <v>CA016</v>
      </c>
      <c r="Q49" s="21" t="str">
        <f>IF(INDEX('Shot Map'!$B$6:$V$26,CEILING($A49/5,1),CEILING(Q$2/5,1))=1,INDEX('Serial Reference'!$A$8:$W$8,1,FLOOR(($A49-1)/23,1)+1)&amp;INDEX('Serial Reference'!$A$8:$W$8,1,MOD($A49-1,23)+1)&amp;TEXT(Q$2+FLOOR((Q$2-1)/9,1),"000"),"")</f>
        <v>CA017</v>
      </c>
      <c r="R49" s="22" t="str">
        <f>IF(INDEX('Shot Map'!$B$6:$V$26,CEILING($A49/5,1),CEILING(R$2/5,1))=1,INDEX('Serial Reference'!$A$8:$W$8,1,FLOOR(($A49-1)/23,1)+1)&amp;INDEX('Serial Reference'!$A$8:$W$8,1,MOD($A49-1,23)+1)&amp;TEXT(R$2+FLOOR((R$2-1)/9,1),"000"),"")</f>
        <v>CA018</v>
      </c>
      <c r="S49" s="22" t="str">
        <f>IF(INDEX('Shot Map'!$B$6:$V$26,CEILING($A49/5,1),CEILING(S$2/5,1))=1,INDEX('Serial Reference'!$A$8:$W$8,1,FLOOR(($A49-1)/23,1)+1)&amp;INDEX('Serial Reference'!$A$8:$W$8,1,MOD($A49-1,23)+1)&amp;TEXT(S$2+FLOOR((S$2-1)/9,1),"000"),"")</f>
        <v>CA019</v>
      </c>
      <c r="T49" s="22" t="str">
        <f>IF(INDEX('Shot Map'!$B$6:$V$26,CEILING($A49/5,1),CEILING(T$2/5,1))=1,INDEX('Serial Reference'!$A$8:$W$8,1,FLOOR(($A49-1)/23,1)+1)&amp;INDEX('Serial Reference'!$A$8:$W$8,1,MOD($A49-1,23)+1)&amp;TEXT(T$2+FLOOR((T$2-1)/9,1),"000"),"")</f>
        <v>CA021</v>
      </c>
      <c r="U49" s="23" t="str">
        <f>IF(INDEX('Shot Map'!$B$6:$V$26,CEILING($A49/5,1),CEILING(U$2/5,1))=1,INDEX('Serial Reference'!$A$8:$W$8,1,FLOOR(($A49-1)/23,1)+1)&amp;INDEX('Serial Reference'!$A$8:$W$8,1,MOD($A49-1,23)+1)&amp;TEXT(U$2+FLOOR((U$2-1)/9,1),"000"),"")</f>
        <v>CA022</v>
      </c>
      <c r="V49" s="21" t="str">
        <f>IF(INDEX('Shot Map'!$B$6:$V$26,CEILING($A49/5,1),CEILING(V$2/5,1))=1,INDEX('Serial Reference'!$A$8:$W$8,1,FLOOR(($A49-1)/23,1)+1)&amp;INDEX('Serial Reference'!$A$8:$W$8,1,MOD($A49-1,23)+1)&amp;TEXT(V$2+FLOOR((V$2-1)/9,1),"000"),"")</f>
        <v>CA023</v>
      </c>
      <c r="W49" s="22" t="str">
        <f>IF(INDEX('Shot Map'!$B$6:$V$26,CEILING($A49/5,1),CEILING(W$2/5,1))=1,INDEX('Serial Reference'!$A$8:$W$8,1,FLOOR(($A49-1)/23,1)+1)&amp;INDEX('Serial Reference'!$A$8:$W$8,1,MOD($A49-1,23)+1)&amp;TEXT(W$2+FLOOR((W$2-1)/9,1),"000"),"")</f>
        <v>CA024</v>
      </c>
      <c r="X49" s="22" t="str">
        <f>IF(INDEX('Shot Map'!$B$6:$V$26,CEILING($A49/5,1),CEILING(X$2/5,1))=1,INDEX('Serial Reference'!$A$8:$W$8,1,FLOOR(($A49-1)/23,1)+1)&amp;INDEX('Serial Reference'!$A$8:$W$8,1,MOD($A49-1,23)+1)&amp;TEXT(X$2+FLOOR((X$2-1)/9,1),"000"),"")</f>
        <v>CA025</v>
      </c>
      <c r="Y49" s="22" t="str">
        <f>IF(INDEX('Shot Map'!$B$6:$V$26,CEILING($A49/5,1),CEILING(Y$2/5,1))=1,INDEX('Serial Reference'!$A$8:$W$8,1,FLOOR(($A49-1)/23,1)+1)&amp;INDEX('Serial Reference'!$A$8:$W$8,1,MOD($A49-1,23)+1)&amp;TEXT(Y$2+FLOOR((Y$2-1)/9,1),"000"),"")</f>
        <v>CA026</v>
      </c>
      <c r="Z49" s="23" t="str">
        <f>IF(INDEX('Shot Map'!$B$6:$V$26,CEILING($A49/5,1),CEILING(Z$2/5,1))=1,INDEX('Serial Reference'!$A$8:$W$8,1,FLOOR(($A49-1)/23,1)+1)&amp;INDEX('Serial Reference'!$A$8:$W$8,1,MOD($A49-1,23)+1)&amp;TEXT(Z$2+FLOOR((Z$2-1)/9,1),"000"),"")</f>
        <v>CA027</v>
      </c>
      <c r="AA49" s="21" t="str">
        <f>IF(INDEX('Shot Map'!$B$6:$V$26,CEILING($A49/5,1),CEILING(AA$2/5,1))=1,INDEX('Serial Reference'!$A$8:$W$8,1,FLOOR(($A49-1)/23,1)+1)&amp;INDEX('Serial Reference'!$A$8:$W$8,1,MOD($A49-1,23)+1)&amp;TEXT(AA$2+FLOOR((AA$2-1)/9,1),"000"),"")</f>
        <v>CA028</v>
      </c>
      <c r="AB49" s="22" t="str">
        <f>IF(INDEX('Shot Map'!$B$6:$V$26,CEILING($A49/5,1),CEILING(AB$2/5,1))=1,INDEX('Serial Reference'!$A$8:$W$8,1,FLOOR(($A49-1)/23,1)+1)&amp;INDEX('Serial Reference'!$A$8:$W$8,1,MOD($A49-1,23)+1)&amp;TEXT(AB$2+FLOOR((AB$2-1)/9,1),"000"),"")</f>
        <v>CA029</v>
      </c>
      <c r="AC49" s="22" t="str">
        <f>IF(INDEX('Shot Map'!$B$6:$V$26,CEILING($A49/5,1),CEILING(AC$2/5,1))=1,INDEX('Serial Reference'!$A$8:$W$8,1,FLOOR(($A49-1)/23,1)+1)&amp;INDEX('Serial Reference'!$A$8:$W$8,1,MOD($A49-1,23)+1)&amp;TEXT(AC$2+FLOOR((AC$2-1)/9,1),"000"),"")</f>
        <v>CA031</v>
      </c>
      <c r="AD49" s="22" t="str">
        <f>IF(INDEX('Shot Map'!$B$6:$V$26,CEILING($A49/5,1),CEILING(AD$2/5,1))=1,INDEX('Serial Reference'!$A$8:$W$8,1,FLOOR(($A49-1)/23,1)+1)&amp;INDEX('Serial Reference'!$A$8:$W$8,1,MOD($A49-1,23)+1)&amp;TEXT(AD$2+FLOOR((AD$2-1)/9,1),"000"),"")</f>
        <v>CA032</v>
      </c>
      <c r="AE49" s="23" t="str">
        <f>IF(INDEX('Shot Map'!$B$6:$V$26,CEILING($A49/5,1),CEILING(AE$2/5,1))=1,INDEX('Serial Reference'!$A$8:$W$8,1,FLOOR(($A49-1)/23,1)+1)&amp;INDEX('Serial Reference'!$A$8:$W$8,1,MOD($A49-1,23)+1)&amp;TEXT(AE$2+FLOOR((AE$2-1)/9,1),"000"),"")</f>
        <v>CA033</v>
      </c>
      <c r="AF49" s="21" t="str">
        <f>IF(INDEX('Shot Map'!$B$6:$V$26,CEILING($A49/5,1),CEILING(AF$2/5,1))=1,INDEX('Serial Reference'!$A$8:$W$8,1,FLOOR(($A49-1)/23,1)+1)&amp;INDEX('Serial Reference'!$A$8:$W$8,1,MOD($A49-1,23)+1)&amp;TEXT(AF$2+FLOOR((AF$2-1)/9,1),"000"),"")</f>
        <v>CA034</v>
      </c>
      <c r="AG49" s="22" t="str">
        <f>IF(INDEX('Shot Map'!$B$6:$V$26,CEILING($A49/5,1),CEILING(AG$2/5,1))=1,INDEX('Serial Reference'!$A$8:$W$8,1,FLOOR(($A49-1)/23,1)+1)&amp;INDEX('Serial Reference'!$A$8:$W$8,1,MOD($A49-1,23)+1)&amp;TEXT(AG$2+FLOOR((AG$2-1)/9,1),"000"),"")</f>
        <v>CA035</v>
      </c>
      <c r="AH49" s="22" t="str">
        <f>IF(INDEX('Shot Map'!$B$6:$V$26,CEILING($A49/5,1),CEILING(AH$2/5,1))=1,INDEX('Serial Reference'!$A$8:$W$8,1,FLOOR(($A49-1)/23,1)+1)&amp;INDEX('Serial Reference'!$A$8:$W$8,1,MOD($A49-1,23)+1)&amp;TEXT(AH$2+FLOOR((AH$2-1)/9,1),"000"),"")</f>
        <v>CA036</v>
      </c>
      <c r="AI49" s="22" t="str">
        <f>IF(INDEX('Shot Map'!$B$6:$V$26,CEILING($A49/5,1),CEILING(AI$2/5,1))=1,INDEX('Serial Reference'!$A$8:$W$8,1,FLOOR(($A49-1)/23,1)+1)&amp;INDEX('Serial Reference'!$A$8:$W$8,1,MOD($A49-1,23)+1)&amp;TEXT(AI$2+FLOOR((AI$2-1)/9,1),"000"),"")</f>
        <v>CA037</v>
      </c>
      <c r="AJ49" s="23" t="str">
        <f>IF(INDEX('Shot Map'!$B$6:$V$26,CEILING($A49/5,1),CEILING(AJ$2/5,1))=1,INDEX('Serial Reference'!$A$8:$W$8,1,FLOOR(($A49-1)/23,1)+1)&amp;INDEX('Serial Reference'!$A$8:$W$8,1,MOD($A49-1,23)+1)&amp;TEXT(AJ$2+FLOOR((AJ$2-1)/9,1),"000"),"")</f>
        <v>CA038</v>
      </c>
      <c r="AK49" s="21" t="str">
        <f>IF(INDEX('Shot Map'!$B$6:$V$26,CEILING($A49/5,1),CEILING(AK$2/5,1))=1,INDEX('Serial Reference'!$A$8:$W$8,1,FLOOR(($A49-1)/23,1)+1)&amp;INDEX('Serial Reference'!$A$8:$W$8,1,MOD($A49-1,23)+1)&amp;TEXT(AK$2+FLOOR((AK$2-1)/9,1),"000"),"")</f>
        <v>CA039</v>
      </c>
      <c r="AL49" s="22" t="str">
        <f>IF(INDEX('Shot Map'!$B$6:$V$26,CEILING($A49/5,1),CEILING(AL$2/5,1))=1,INDEX('Serial Reference'!$A$8:$W$8,1,FLOOR(($A49-1)/23,1)+1)&amp;INDEX('Serial Reference'!$A$8:$W$8,1,MOD($A49-1,23)+1)&amp;TEXT(AL$2+FLOOR((AL$2-1)/9,1),"000"),"")</f>
        <v>CA041</v>
      </c>
      <c r="AM49" s="22" t="str">
        <f>IF(INDEX('Shot Map'!$B$6:$V$26,CEILING($A49/5,1),CEILING(AM$2/5,1))=1,INDEX('Serial Reference'!$A$8:$W$8,1,FLOOR(($A49-1)/23,1)+1)&amp;INDEX('Serial Reference'!$A$8:$W$8,1,MOD($A49-1,23)+1)&amp;TEXT(AM$2+FLOOR((AM$2-1)/9,1),"000"),"")</f>
        <v>CA042</v>
      </c>
      <c r="AN49" s="22" t="str">
        <f>IF(INDEX('Shot Map'!$B$6:$V$26,CEILING($A49/5,1),CEILING(AN$2/5,1))=1,INDEX('Serial Reference'!$A$8:$W$8,1,FLOOR(($A49-1)/23,1)+1)&amp;INDEX('Serial Reference'!$A$8:$W$8,1,MOD($A49-1,23)+1)&amp;TEXT(AN$2+FLOOR((AN$2-1)/9,1),"000"),"")</f>
        <v>CA043</v>
      </c>
      <c r="AO49" s="23" t="str">
        <f>IF(INDEX('Shot Map'!$B$6:$V$26,CEILING($A49/5,1),CEILING(AO$2/5,1))=1,INDEX('Serial Reference'!$A$8:$W$8,1,FLOOR(($A49-1)/23,1)+1)&amp;INDEX('Serial Reference'!$A$8:$W$8,1,MOD($A49-1,23)+1)&amp;TEXT(AO$2+FLOOR((AO$2-1)/9,1),"000"),"")</f>
        <v>CA044</v>
      </c>
      <c r="AP49" s="21" t="str">
        <f>IF(INDEX('Shot Map'!$B$6:$V$26,CEILING($A49/5,1),CEILING(AP$2/5,1))=1,INDEX('Serial Reference'!$A$8:$W$8,1,FLOOR(($A49-1)/23,1)+1)&amp;INDEX('Serial Reference'!$A$8:$W$8,1,MOD($A49-1,23)+1)&amp;TEXT(AP$2+FLOOR((AP$2-1)/9,1),"000"),"")</f>
        <v>CA045</v>
      </c>
      <c r="AQ49" s="22" t="str">
        <f>IF(INDEX('Shot Map'!$B$6:$V$26,CEILING($A49/5,1),CEILING(AQ$2/5,1))=1,INDEX('Serial Reference'!$A$8:$W$8,1,FLOOR(($A49-1)/23,1)+1)&amp;INDEX('Serial Reference'!$A$8:$W$8,1,MOD($A49-1,23)+1)&amp;TEXT(AQ$2+FLOOR((AQ$2-1)/9,1),"000"),"")</f>
        <v>CA046</v>
      </c>
      <c r="AR49" s="22" t="str">
        <f>IF(INDEX('Shot Map'!$B$6:$V$26,CEILING($A49/5,1),CEILING(AR$2/5,1))=1,INDEX('Serial Reference'!$A$8:$W$8,1,FLOOR(($A49-1)/23,1)+1)&amp;INDEX('Serial Reference'!$A$8:$W$8,1,MOD($A49-1,23)+1)&amp;TEXT(AR$2+FLOOR((AR$2-1)/9,1),"000"),"")</f>
        <v>CA047</v>
      </c>
      <c r="AS49" s="22" t="str">
        <f>IF(INDEX('Shot Map'!$B$6:$V$26,CEILING($A49/5,1),CEILING(AS$2/5,1))=1,INDEX('Serial Reference'!$A$8:$W$8,1,FLOOR(($A49-1)/23,1)+1)&amp;INDEX('Serial Reference'!$A$8:$W$8,1,MOD($A49-1,23)+1)&amp;TEXT(AS$2+FLOOR((AS$2-1)/9,1),"000"),"")</f>
        <v>CA048</v>
      </c>
      <c r="AT49" s="23" t="str">
        <f>IF(INDEX('Shot Map'!$B$6:$V$26,CEILING($A49/5,1),CEILING(AT$2/5,1))=1,INDEX('Serial Reference'!$A$8:$W$8,1,FLOOR(($A49-1)/23,1)+1)&amp;INDEX('Serial Reference'!$A$8:$W$8,1,MOD($A49-1,23)+1)&amp;TEXT(AT$2+FLOOR((AT$2-1)/9,1),"000"),"")</f>
        <v>CA049</v>
      </c>
      <c r="AU49" s="21" t="str">
        <f>IF(INDEX('Shot Map'!$B$6:$V$26,CEILING($A49/5,1),CEILING(AU$2/5,1))=1,INDEX('Serial Reference'!$A$8:$W$8,1,FLOOR(($A49-1)/23,1)+1)&amp;INDEX('Serial Reference'!$A$8:$W$8,1,MOD($A49-1,23)+1)&amp;TEXT(AU$2+FLOOR((AU$2-1)/9,1),"000"),"")</f>
        <v>CA051</v>
      </c>
      <c r="AV49" s="22" t="str">
        <f>IF(INDEX('Shot Map'!$B$6:$V$26,CEILING($A49/5,1),CEILING(AV$2/5,1))=1,INDEX('Serial Reference'!$A$8:$W$8,1,FLOOR(($A49-1)/23,1)+1)&amp;INDEX('Serial Reference'!$A$8:$W$8,1,MOD($A49-1,23)+1)&amp;TEXT(AV$2+FLOOR((AV$2-1)/9,1),"000"),"")</f>
        <v>CA052</v>
      </c>
      <c r="AW49" s="22" t="str">
        <f>IF(INDEX('Shot Map'!$B$6:$V$26,CEILING($A49/5,1),CEILING(AW$2/5,1))=1,INDEX('Serial Reference'!$A$8:$W$8,1,FLOOR(($A49-1)/23,1)+1)&amp;INDEX('Serial Reference'!$A$8:$W$8,1,MOD($A49-1,23)+1)&amp;TEXT(AW$2+FLOOR((AW$2-1)/9,1),"000"),"")</f>
        <v>CA053</v>
      </c>
      <c r="AX49" s="22" t="str">
        <f>IF(INDEX('Shot Map'!$B$6:$V$26,CEILING($A49/5,1),CEILING(AX$2/5,1))=1,INDEX('Serial Reference'!$A$8:$W$8,1,FLOOR(($A49-1)/23,1)+1)&amp;INDEX('Serial Reference'!$A$8:$W$8,1,MOD($A49-1,23)+1)&amp;TEXT(AX$2+FLOOR((AX$2-1)/9,1),"000"),"")</f>
        <v>CA054</v>
      </c>
      <c r="AY49" s="23" t="str">
        <f>IF(INDEX('Shot Map'!$B$6:$V$26,CEILING($A49/5,1),CEILING(AY$2/5,1))=1,INDEX('Serial Reference'!$A$8:$W$8,1,FLOOR(($A49-1)/23,1)+1)&amp;INDEX('Serial Reference'!$A$8:$W$8,1,MOD($A49-1,23)+1)&amp;TEXT(AY$2+FLOOR((AY$2-1)/9,1),"000"),"")</f>
        <v>CA055</v>
      </c>
      <c r="AZ49" s="21" t="str">
        <f>IF(INDEX('Shot Map'!$B$6:$V$26,CEILING($A49/5,1),CEILING(AZ$2/5,1))=1,INDEX('Serial Reference'!$A$8:$W$8,1,FLOOR(($A49-1)/23,1)+1)&amp;INDEX('Serial Reference'!$A$8:$W$8,1,MOD($A49-1,23)+1)&amp;TEXT(AZ$2+FLOOR((AZ$2-1)/9,1),"000"),"")</f>
        <v>CA056</v>
      </c>
      <c r="BA49" s="22" t="str">
        <f>IF(INDEX('Shot Map'!$B$6:$V$26,CEILING($A49/5,1),CEILING(BA$2/5,1))=1,INDEX('Serial Reference'!$A$8:$W$8,1,FLOOR(($A49-1)/23,1)+1)&amp;INDEX('Serial Reference'!$A$8:$W$8,1,MOD($A49-1,23)+1)&amp;TEXT(BA$2+FLOOR((BA$2-1)/9,1),"000"),"")</f>
        <v>CA057</v>
      </c>
      <c r="BB49" s="22" t="str">
        <f>IF(INDEX('Shot Map'!$B$6:$V$26,CEILING($A49/5,1),CEILING(BB$2/5,1))=1,INDEX('Serial Reference'!$A$8:$W$8,1,FLOOR(($A49-1)/23,1)+1)&amp;INDEX('Serial Reference'!$A$8:$W$8,1,MOD($A49-1,23)+1)&amp;TEXT(BB$2+FLOOR((BB$2-1)/9,1),"000"),"")</f>
        <v>CA058</v>
      </c>
      <c r="BC49" s="22" t="str">
        <f>IF(INDEX('Shot Map'!$B$6:$V$26,CEILING($A49/5,1),CEILING(BC$2/5,1))=1,INDEX('Serial Reference'!$A$8:$W$8,1,FLOOR(($A49-1)/23,1)+1)&amp;INDEX('Serial Reference'!$A$8:$W$8,1,MOD($A49-1,23)+1)&amp;TEXT(BC$2+FLOOR((BC$2-1)/9,1),"000"),"")</f>
        <v>CA059</v>
      </c>
      <c r="BD49" s="23" t="str">
        <f>IF(INDEX('Shot Map'!$B$6:$V$26,CEILING($A49/5,1),CEILING(BD$2/5,1))=1,INDEX('Serial Reference'!$A$8:$W$8,1,FLOOR(($A49-1)/23,1)+1)&amp;INDEX('Serial Reference'!$A$8:$W$8,1,MOD($A49-1,23)+1)&amp;TEXT(BD$2+FLOOR((BD$2-1)/9,1),"000"),"")</f>
        <v>CA061</v>
      </c>
      <c r="BE49" s="21" t="str">
        <f>IF(INDEX('Shot Map'!$B$6:$V$26,CEILING($A49/5,1),CEILING(BE$2/5,1))=1,INDEX('Serial Reference'!$A$8:$W$8,1,FLOOR(($A49-1)/23,1)+1)&amp;INDEX('Serial Reference'!$A$8:$W$8,1,MOD($A49-1,23)+1)&amp;TEXT(BE$2+FLOOR((BE$2-1)/9,1),"000"),"")</f>
        <v>CA062</v>
      </c>
      <c r="BF49" s="22" t="str">
        <f>IF(INDEX('Shot Map'!$B$6:$V$26,CEILING($A49/5,1),CEILING(BF$2/5,1))=1,INDEX('Serial Reference'!$A$8:$W$8,1,FLOOR(($A49-1)/23,1)+1)&amp;INDEX('Serial Reference'!$A$8:$W$8,1,MOD($A49-1,23)+1)&amp;TEXT(BF$2+FLOOR((BF$2-1)/9,1),"000"),"")</f>
        <v>CA063</v>
      </c>
      <c r="BG49" s="22" t="str">
        <f>IF(INDEX('Shot Map'!$B$6:$V$26,CEILING($A49/5,1),CEILING(BG$2/5,1))=1,INDEX('Serial Reference'!$A$8:$W$8,1,FLOOR(($A49-1)/23,1)+1)&amp;INDEX('Serial Reference'!$A$8:$W$8,1,MOD($A49-1,23)+1)&amp;TEXT(BG$2+FLOOR((BG$2-1)/9,1),"000"),"")</f>
        <v>CA064</v>
      </c>
      <c r="BH49" s="22" t="str">
        <f>IF(INDEX('Shot Map'!$B$6:$V$26,CEILING($A49/5,1),CEILING(BH$2/5,1))=1,INDEX('Serial Reference'!$A$8:$W$8,1,FLOOR(($A49-1)/23,1)+1)&amp;INDEX('Serial Reference'!$A$8:$W$8,1,MOD($A49-1,23)+1)&amp;TEXT(BH$2+FLOOR((BH$2-1)/9,1),"000"),"")</f>
        <v>CA065</v>
      </c>
      <c r="BI49" s="23" t="str">
        <f>IF(INDEX('Shot Map'!$B$6:$V$26,CEILING($A49/5,1),CEILING(BI$2/5,1))=1,INDEX('Serial Reference'!$A$8:$W$8,1,FLOOR(($A49-1)/23,1)+1)&amp;INDEX('Serial Reference'!$A$8:$W$8,1,MOD($A49-1,23)+1)&amp;TEXT(BI$2+FLOOR((BI$2-1)/9,1),"000"),"")</f>
        <v>CA066</v>
      </c>
      <c r="BJ49" s="21" t="str">
        <f>IF(INDEX('Shot Map'!$B$6:$V$26,CEILING($A49/5,1),CEILING(BJ$2/5,1))=1,INDEX('Serial Reference'!$A$8:$W$8,1,FLOOR(($A49-1)/23,1)+1)&amp;INDEX('Serial Reference'!$A$8:$W$8,1,MOD($A49-1,23)+1)&amp;TEXT(BJ$2+FLOOR((BJ$2-1)/9,1),"000"),"")</f>
        <v>CA067</v>
      </c>
      <c r="BK49" s="22" t="str">
        <f>IF(INDEX('Shot Map'!$B$6:$V$26,CEILING($A49/5,1),CEILING(BK$2/5,1))=1,INDEX('Serial Reference'!$A$8:$W$8,1,FLOOR(($A49-1)/23,1)+1)&amp;INDEX('Serial Reference'!$A$8:$W$8,1,MOD($A49-1,23)+1)&amp;TEXT(BK$2+FLOOR((BK$2-1)/9,1),"000"),"")</f>
        <v>CA068</v>
      </c>
      <c r="BL49" s="22" t="str">
        <f>IF(INDEX('Shot Map'!$B$6:$V$26,CEILING($A49/5,1),CEILING(BL$2/5,1))=1,INDEX('Serial Reference'!$A$8:$W$8,1,FLOOR(($A49-1)/23,1)+1)&amp;INDEX('Serial Reference'!$A$8:$W$8,1,MOD($A49-1,23)+1)&amp;TEXT(BL$2+FLOOR((BL$2-1)/9,1),"000"),"")</f>
        <v>CA069</v>
      </c>
      <c r="BM49" s="22" t="str">
        <f>IF(INDEX('Shot Map'!$B$6:$V$26,CEILING($A49/5,1),CEILING(BM$2/5,1))=1,INDEX('Serial Reference'!$A$8:$W$8,1,FLOOR(($A49-1)/23,1)+1)&amp;INDEX('Serial Reference'!$A$8:$W$8,1,MOD($A49-1,23)+1)&amp;TEXT(BM$2+FLOOR((BM$2-1)/9,1),"000"),"")</f>
        <v>CA071</v>
      </c>
      <c r="BN49" s="23" t="str">
        <f>IF(INDEX('Shot Map'!$B$6:$V$26,CEILING($A49/5,1),CEILING(BN$2/5,1))=1,INDEX('Serial Reference'!$A$8:$W$8,1,FLOOR(($A49-1)/23,1)+1)&amp;INDEX('Serial Reference'!$A$8:$W$8,1,MOD($A49-1,23)+1)&amp;TEXT(BN$2+FLOOR((BN$2-1)/9,1),"000"),"")</f>
        <v>CA072</v>
      </c>
      <c r="BO49" s="21" t="str">
        <f>IF(INDEX('Shot Map'!$B$6:$V$26,CEILING($A49/5,1),CEILING(BO$2/5,1))=1,INDEX('Serial Reference'!$A$8:$W$8,1,FLOOR(($A49-1)/23,1)+1)&amp;INDEX('Serial Reference'!$A$8:$W$8,1,MOD($A49-1,23)+1)&amp;TEXT(BO$2+FLOOR((BO$2-1)/9,1),"000"),"")</f>
        <v>CA073</v>
      </c>
      <c r="BP49" s="22" t="str">
        <f>IF(INDEX('Shot Map'!$B$6:$V$26,CEILING($A49/5,1),CEILING(BP$2/5,1))=1,INDEX('Serial Reference'!$A$8:$W$8,1,FLOOR(($A49-1)/23,1)+1)&amp;INDEX('Serial Reference'!$A$8:$W$8,1,MOD($A49-1,23)+1)&amp;TEXT(BP$2+FLOOR((BP$2-1)/9,1),"000"),"")</f>
        <v>CA074</v>
      </c>
      <c r="BQ49" s="22" t="str">
        <f>IF(INDEX('Shot Map'!$B$6:$V$26,CEILING($A49/5,1),CEILING(BQ$2/5,1))=1,INDEX('Serial Reference'!$A$8:$W$8,1,FLOOR(($A49-1)/23,1)+1)&amp;INDEX('Serial Reference'!$A$8:$W$8,1,MOD($A49-1,23)+1)&amp;TEXT(BQ$2+FLOOR((BQ$2-1)/9,1),"000"),"")</f>
        <v>CA075</v>
      </c>
      <c r="BR49" s="22" t="str">
        <f>IF(INDEX('Shot Map'!$B$6:$V$26,CEILING($A49/5,1),CEILING(BR$2/5,1))=1,INDEX('Serial Reference'!$A$8:$W$8,1,FLOOR(($A49-1)/23,1)+1)&amp;INDEX('Serial Reference'!$A$8:$W$8,1,MOD($A49-1,23)+1)&amp;TEXT(BR$2+FLOOR((BR$2-1)/9,1),"000"),"")</f>
        <v>CA076</v>
      </c>
      <c r="BS49" s="23" t="str">
        <f>IF(INDEX('Shot Map'!$B$6:$V$26,CEILING($A49/5,1),CEILING(BS$2/5,1))=1,INDEX('Serial Reference'!$A$8:$W$8,1,FLOOR(($A49-1)/23,1)+1)&amp;INDEX('Serial Reference'!$A$8:$W$8,1,MOD($A49-1,23)+1)&amp;TEXT(BS$2+FLOOR((BS$2-1)/9,1),"000"),"")</f>
        <v>CA077</v>
      </c>
      <c r="BT49" s="21" t="str">
        <f>IF(INDEX('Shot Map'!$B$6:$V$26,CEILING($A49/5,1),CEILING(BT$2/5,1))=1,INDEX('Serial Reference'!$A$8:$W$8,1,FLOOR(($A49-1)/23,1)+1)&amp;INDEX('Serial Reference'!$A$8:$W$8,1,MOD($A49-1,23)+1)&amp;TEXT(BT$2+FLOOR((BT$2-1)/9,1),"000"),"")</f>
        <v>CA078</v>
      </c>
      <c r="BU49" s="22" t="str">
        <f>IF(INDEX('Shot Map'!$B$6:$V$26,CEILING($A49/5,1),CEILING(BU$2/5,1))=1,INDEX('Serial Reference'!$A$8:$W$8,1,FLOOR(($A49-1)/23,1)+1)&amp;INDEX('Serial Reference'!$A$8:$W$8,1,MOD($A49-1,23)+1)&amp;TEXT(BU$2+FLOOR((BU$2-1)/9,1),"000"),"")</f>
        <v>CA079</v>
      </c>
      <c r="BV49" s="22" t="str">
        <f>IF(INDEX('Shot Map'!$B$6:$V$26,CEILING($A49/5,1),CEILING(BV$2/5,1))=1,INDEX('Serial Reference'!$A$8:$W$8,1,FLOOR(($A49-1)/23,1)+1)&amp;INDEX('Serial Reference'!$A$8:$W$8,1,MOD($A49-1,23)+1)&amp;TEXT(BV$2+FLOOR((BV$2-1)/9,1),"000"),"")</f>
        <v>CA081</v>
      </c>
      <c r="BW49" s="22" t="str">
        <f>IF(INDEX('Shot Map'!$B$6:$V$26,CEILING($A49/5,1),CEILING(BW$2/5,1))=1,INDEX('Serial Reference'!$A$8:$W$8,1,FLOOR(($A49-1)/23,1)+1)&amp;INDEX('Serial Reference'!$A$8:$W$8,1,MOD($A49-1,23)+1)&amp;TEXT(BW$2+FLOOR((BW$2-1)/9,1),"000"),"")</f>
        <v>CA082</v>
      </c>
      <c r="BX49" s="23" t="str">
        <f>IF(INDEX('Shot Map'!$B$6:$V$26,CEILING($A49/5,1),CEILING(BX$2/5,1))=1,INDEX('Serial Reference'!$A$8:$W$8,1,FLOOR(($A49-1)/23,1)+1)&amp;INDEX('Serial Reference'!$A$8:$W$8,1,MOD($A49-1,23)+1)&amp;TEXT(BX$2+FLOOR((BX$2-1)/9,1),"000"),"")</f>
        <v>CA083</v>
      </c>
      <c r="BY49" s="21" t="str">
        <f>IF(INDEX('Shot Map'!$B$6:$V$26,CEILING($A49/5,1),CEILING(BY$2/5,1))=1,INDEX('Serial Reference'!$A$8:$W$8,1,FLOOR(($A49-1)/23,1)+1)&amp;INDEX('Serial Reference'!$A$8:$W$8,1,MOD($A49-1,23)+1)&amp;TEXT(BY$2+FLOOR((BY$2-1)/9,1),"000"),"")</f>
        <v>CA084</v>
      </c>
      <c r="BZ49" s="22" t="str">
        <f>IF(INDEX('Shot Map'!$B$6:$V$26,CEILING($A49/5,1),CEILING(BZ$2/5,1))=1,INDEX('Serial Reference'!$A$8:$W$8,1,FLOOR(($A49-1)/23,1)+1)&amp;INDEX('Serial Reference'!$A$8:$W$8,1,MOD($A49-1,23)+1)&amp;TEXT(BZ$2+FLOOR((BZ$2-1)/9,1),"000"),"")</f>
        <v>CA085</v>
      </c>
      <c r="CA49" s="22" t="str">
        <f>IF(INDEX('Shot Map'!$B$6:$V$26,CEILING($A49/5,1),CEILING(CA$2/5,1))=1,INDEX('Serial Reference'!$A$8:$W$8,1,FLOOR(($A49-1)/23,1)+1)&amp;INDEX('Serial Reference'!$A$8:$W$8,1,MOD($A49-1,23)+1)&amp;TEXT(CA$2+FLOOR((CA$2-1)/9,1),"000"),"")</f>
        <v>CA086</v>
      </c>
      <c r="CB49" s="22" t="str">
        <f>IF(INDEX('Shot Map'!$B$6:$V$26,CEILING($A49/5,1),CEILING(CB$2/5,1))=1,INDEX('Serial Reference'!$A$8:$W$8,1,FLOOR(($A49-1)/23,1)+1)&amp;INDEX('Serial Reference'!$A$8:$W$8,1,MOD($A49-1,23)+1)&amp;TEXT(CB$2+FLOOR((CB$2-1)/9,1),"000"),"")</f>
        <v>CA087</v>
      </c>
      <c r="CC49" s="23" t="str">
        <f>IF(INDEX('Shot Map'!$B$6:$V$26,CEILING($A49/5,1),CEILING(CC$2/5,1))=1,INDEX('Serial Reference'!$A$8:$W$8,1,FLOOR(($A49-1)/23,1)+1)&amp;INDEX('Serial Reference'!$A$8:$W$8,1,MOD($A49-1,23)+1)&amp;TEXT(CC$2+FLOOR((CC$2-1)/9,1),"000"),"")</f>
        <v>CA088</v>
      </c>
      <c r="CD49" s="21" t="str">
        <f>IF(INDEX('Shot Map'!$B$6:$V$26,CEILING($A49/5,1),CEILING(CD$2/5,1))=1,INDEX('Serial Reference'!$A$8:$W$8,1,FLOOR(($A49-1)/23,1)+1)&amp;INDEX('Serial Reference'!$A$8:$W$8,1,MOD($A49-1,23)+1)&amp;TEXT(CD$2+FLOOR((CD$2-1)/9,1),"000"),"")</f>
        <v>CA089</v>
      </c>
      <c r="CE49" s="22" t="str">
        <f>IF(INDEX('Shot Map'!$B$6:$V$26,CEILING($A49/5,1),CEILING(CE$2/5,1))=1,INDEX('Serial Reference'!$A$8:$W$8,1,FLOOR(($A49-1)/23,1)+1)&amp;INDEX('Serial Reference'!$A$8:$W$8,1,MOD($A49-1,23)+1)&amp;TEXT(CE$2+FLOOR((CE$2-1)/9,1),"000"),"")</f>
        <v>CA091</v>
      </c>
      <c r="CF49" s="22" t="str">
        <f>IF(INDEX('Shot Map'!$B$6:$V$26,CEILING($A49/5,1),CEILING(CF$2/5,1))=1,INDEX('Serial Reference'!$A$8:$W$8,1,FLOOR(($A49-1)/23,1)+1)&amp;INDEX('Serial Reference'!$A$8:$W$8,1,MOD($A49-1,23)+1)&amp;TEXT(CF$2+FLOOR((CF$2-1)/9,1),"000"),"")</f>
        <v>CA092</v>
      </c>
      <c r="CG49" s="22" t="str">
        <f>IF(INDEX('Shot Map'!$B$6:$V$26,CEILING($A49/5,1),CEILING(CG$2/5,1))=1,INDEX('Serial Reference'!$A$8:$W$8,1,FLOOR(($A49-1)/23,1)+1)&amp;INDEX('Serial Reference'!$A$8:$W$8,1,MOD($A49-1,23)+1)&amp;TEXT(CG$2+FLOOR((CG$2-1)/9,1),"000"),"")</f>
        <v>CA093</v>
      </c>
      <c r="CH49" s="23" t="str">
        <f>IF(INDEX('Shot Map'!$B$6:$V$26,CEILING($A49/5,1),CEILING(CH$2/5,1))=1,INDEX('Serial Reference'!$A$8:$W$8,1,FLOOR(($A49-1)/23,1)+1)&amp;INDEX('Serial Reference'!$A$8:$W$8,1,MOD($A49-1,23)+1)&amp;TEXT(CH$2+FLOOR((CH$2-1)/9,1),"000"),"")</f>
        <v>CA094</v>
      </c>
      <c r="CI49" s="21" t="str">
        <f>IF(INDEX('Shot Map'!$B$6:$V$26,CEILING($A49/5,1),CEILING(CI$2/5,1))=1,INDEX('Serial Reference'!$A$8:$W$8,1,FLOOR(($A49-1)/23,1)+1)&amp;INDEX('Serial Reference'!$A$8:$W$8,1,MOD($A49-1,23)+1)&amp;TEXT(CI$2+FLOOR((CI$2-1)/9,1),"000"),"")</f>
        <v>CA095</v>
      </c>
      <c r="CJ49" s="22" t="str">
        <f>IF(INDEX('Shot Map'!$B$6:$V$26,CEILING($A49/5,1),CEILING(CJ$2/5,1))=1,INDEX('Serial Reference'!$A$8:$W$8,1,FLOOR(($A49-1)/23,1)+1)&amp;INDEX('Serial Reference'!$A$8:$W$8,1,MOD($A49-1,23)+1)&amp;TEXT(CJ$2+FLOOR((CJ$2-1)/9,1),"000"),"")</f>
        <v>CA096</v>
      </c>
      <c r="CK49" s="22" t="str">
        <f>IF(INDEX('Shot Map'!$B$6:$V$26,CEILING($A49/5,1),CEILING(CK$2/5,1))=1,INDEX('Serial Reference'!$A$8:$W$8,1,FLOOR(($A49-1)/23,1)+1)&amp;INDEX('Serial Reference'!$A$8:$W$8,1,MOD($A49-1,23)+1)&amp;TEXT(CK$2+FLOOR((CK$2-1)/9,1),"000"),"")</f>
        <v>CA097</v>
      </c>
      <c r="CL49" s="22" t="str">
        <f>IF(INDEX('Shot Map'!$B$6:$V$26,CEILING($A49/5,1),CEILING(CL$2/5,1))=1,INDEX('Serial Reference'!$A$8:$W$8,1,FLOOR(($A49-1)/23,1)+1)&amp;INDEX('Serial Reference'!$A$8:$W$8,1,MOD($A49-1,23)+1)&amp;TEXT(CL$2+FLOOR((CL$2-1)/9,1),"000"),"")</f>
        <v>CA098</v>
      </c>
      <c r="CM49" s="23" t="str">
        <f>IF(INDEX('Shot Map'!$B$6:$V$26,CEILING($A49/5,1),CEILING(CM$2/5,1))=1,INDEX('Serial Reference'!$A$8:$W$8,1,FLOOR(($A49-1)/23,1)+1)&amp;INDEX('Serial Reference'!$A$8:$W$8,1,MOD($A49-1,23)+1)&amp;TEXT(CM$2+FLOOR((CM$2-1)/9,1),"000"),"")</f>
        <v>CA099</v>
      </c>
      <c r="CN49" s="21" t="str">
        <f>IF(INDEX('Shot Map'!$B$6:$V$26,CEILING($A49/5,1),CEILING(CN$2/5,1))=1,INDEX('Serial Reference'!$A$8:$W$8,1,FLOOR(($A49-1)/23,1)+1)&amp;INDEX('Serial Reference'!$A$8:$W$8,1,MOD($A49-1,23)+1)&amp;TEXT(CN$2+FLOOR((CN$2-1)/9,1),"000"),"")</f>
        <v>CA101</v>
      </c>
      <c r="CO49" s="22" t="str">
        <f>IF(INDEX('Shot Map'!$B$6:$V$26,CEILING($A49/5,1),CEILING(CO$2/5,1))=1,INDEX('Serial Reference'!$A$8:$W$8,1,FLOOR(($A49-1)/23,1)+1)&amp;INDEX('Serial Reference'!$A$8:$W$8,1,MOD($A49-1,23)+1)&amp;TEXT(CO$2+FLOOR((CO$2-1)/9,1),"000"),"")</f>
        <v>CA102</v>
      </c>
      <c r="CP49" s="22" t="str">
        <f>IF(INDEX('Shot Map'!$B$6:$V$26,CEILING($A49/5,1),CEILING(CP$2/5,1))=1,INDEX('Serial Reference'!$A$8:$W$8,1,FLOOR(($A49-1)/23,1)+1)&amp;INDEX('Serial Reference'!$A$8:$W$8,1,MOD($A49-1,23)+1)&amp;TEXT(CP$2+FLOOR((CP$2-1)/9,1),"000"),"")</f>
        <v>CA103</v>
      </c>
      <c r="CQ49" s="22" t="str">
        <f>IF(INDEX('Shot Map'!$B$6:$V$26,CEILING($A49/5,1),CEILING(CQ$2/5,1))=1,INDEX('Serial Reference'!$A$8:$W$8,1,FLOOR(($A49-1)/23,1)+1)&amp;INDEX('Serial Reference'!$A$8:$W$8,1,MOD($A49-1,23)+1)&amp;TEXT(CQ$2+FLOOR((CQ$2-1)/9,1),"000"),"")</f>
        <v>CA104</v>
      </c>
      <c r="CR49" s="23" t="str">
        <f>IF(INDEX('Shot Map'!$B$6:$V$26,CEILING($A49/5,1),CEILING(CR$2/5,1))=1,INDEX('Serial Reference'!$A$8:$W$8,1,FLOOR(($A49-1)/23,1)+1)&amp;INDEX('Serial Reference'!$A$8:$W$8,1,MOD($A49-1,23)+1)&amp;TEXT(CR$2+FLOOR((CR$2-1)/9,1),"000"),"")</f>
        <v>CA105</v>
      </c>
      <c r="CS49" s="21" t="str">
        <f>IF(INDEX('Shot Map'!$B$6:$V$26,CEILING($A49/5,1),CEILING(CS$2/5,1))=1,INDEX('Serial Reference'!$A$8:$W$8,1,FLOOR(($A49-1)/23,1)+1)&amp;INDEX('Serial Reference'!$A$8:$W$8,1,MOD($A49-1,23)+1)&amp;TEXT(CS$2+FLOOR((CS$2-1)/9,1),"000"),"")</f>
        <v>CA106</v>
      </c>
      <c r="CT49" s="22" t="str">
        <f>IF(INDEX('Shot Map'!$B$6:$V$26,CEILING($A49/5,1),CEILING(CT$2/5,1))=1,INDEX('Serial Reference'!$A$8:$W$8,1,FLOOR(($A49-1)/23,1)+1)&amp;INDEX('Serial Reference'!$A$8:$W$8,1,MOD($A49-1,23)+1)&amp;TEXT(CT$2+FLOOR((CT$2-1)/9,1),"000"),"")</f>
        <v>CA107</v>
      </c>
      <c r="CU49" s="22" t="str">
        <f>IF(INDEX('Shot Map'!$B$6:$V$26,CEILING($A49/5,1),CEILING(CU$2/5,1))=1,INDEX('Serial Reference'!$A$8:$W$8,1,FLOOR(($A49-1)/23,1)+1)&amp;INDEX('Serial Reference'!$A$8:$W$8,1,MOD($A49-1,23)+1)&amp;TEXT(CU$2+FLOOR((CU$2-1)/9,1),"000"),"")</f>
        <v>CA108</v>
      </c>
      <c r="CV49" s="22" t="str">
        <f>IF(INDEX('Shot Map'!$B$6:$V$26,CEILING($A49/5,1),CEILING(CV$2/5,1))=1,INDEX('Serial Reference'!$A$8:$W$8,1,FLOOR(($A49-1)/23,1)+1)&amp;INDEX('Serial Reference'!$A$8:$W$8,1,MOD($A49-1,23)+1)&amp;TEXT(CV$2+FLOOR((CV$2-1)/9,1),"000"),"")</f>
        <v>CA109</v>
      </c>
      <c r="CW49" s="23" t="str">
        <f>IF(INDEX('Shot Map'!$B$6:$V$26,CEILING($A49/5,1),CEILING(CW$2/5,1))=1,INDEX('Serial Reference'!$A$8:$W$8,1,FLOOR(($A49-1)/23,1)+1)&amp;INDEX('Serial Reference'!$A$8:$W$8,1,MOD($A49-1,23)+1)&amp;TEXT(CW$2+FLOOR((CW$2-1)/9,1),"000"),"")</f>
        <v>CA111</v>
      </c>
      <c r="CX49" s="21" t="str">
        <f>IF(INDEX('Shot Map'!$B$6:$V$26,CEILING($A49/5,1),CEILING(CX$2/5,1))=1,INDEX('Serial Reference'!$A$8:$W$8,1,FLOOR(($A49-1)/23,1)+1)&amp;INDEX('Serial Reference'!$A$8:$W$8,1,MOD($A49-1,23)+1)&amp;TEXT(CX$2+FLOOR((CX$2-1)/9,1),"000"),"")</f>
        <v>CA112</v>
      </c>
      <c r="CY49" s="22" t="str">
        <f>IF(INDEX('Shot Map'!$B$6:$V$26,CEILING($A49/5,1),CEILING(CY$2/5,1))=1,INDEX('Serial Reference'!$A$8:$W$8,1,FLOOR(($A49-1)/23,1)+1)&amp;INDEX('Serial Reference'!$A$8:$W$8,1,MOD($A49-1,23)+1)&amp;TEXT(CY$2+FLOOR((CY$2-1)/9,1),"000"),"")</f>
        <v>CA113</v>
      </c>
      <c r="CZ49" s="22" t="str">
        <f>IF(INDEX('Shot Map'!$B$6:$V$26,CEILING($A49/5,1),CEILING(CZ$2/5,1))=1,INDEX('Serial Reference'!$A$8:$W$8,1,FLOOR(($A49-1)/23,1)+1)&amp;INDEX('Serial Reference'!$A$8:$W$8,1,MOD($A49-1,23)+1)&amp;TEXT(CZ$2+FLOOR((CZ$2-1)/9,1),"000"),"")</f>
        <v>CA114</v>
      </c>
      <c r="DA49" s="22" t="str">
        <f>IF(INDEX('Shot Map'!$B$6:$V$26,CEILING($A49/5,1),CEILING(DA$2/5,1))=1,INDEX('Serial Reference'!$A$8:$W$8,1,FLOOR(($A49-1)/23,1)+1)&amp;INDEX('Serial Reference'!$A$8:$W$8,1,MOD($A49-1,23)+1)&amp;TEXT(DA$2+FLOOR((DA$2-1)/9,1),"000"),"")</f>
        <v>CA115</v>
      </c>
      <c r="DB49" s="23" t="str">
        <f>IF(INDEX('Shot Map'!$B$6:$V$26,CEILING($A49/5,1),CEILING(DB$2/5,1))=1,INDEX('Serial Reference'!$A$8:$W$8,1,FLOOR(($A49-1)/23,1)+1)&amp;INDEX('Serial Reference'!$A$8:$W$8,1,MOD($A49-1,23)+1)&amp;TEXT(DB$2+FLOOR((DB$2-1)/9,1),"000"),"")</f>
        <v>CA116</v>
      </c>
    </row>
    <row r="50" spans="1:106" ht="12.75" customHeight="1" x14ac:dyDescent="0.25">
      <c r="A50" s="17">
        <v>48</v>
      </c>
      <c r="B50" s="21" t="str">
        <f>IF(INDEX('Shot Map'!$B$6:$V$26,CEILING($A50/5,1),CEILING(B$2/5,1))=1,INDEX('Serial Reference'!$A$8:$W$8,1,FLOOR(($A50-1)/23,1)+1)&amp;INDEX('Serial Reference'!$A$8:$W$8,1,MOD($A50-1,23)+1)&amp;TEXT(B$2+FLOOR((B$2-1)/9,1),"000"),"")</f>
        <v>CB001</v>
      </c>
      <c r="C50" s="22" t="str">
        <f>IF(INDEX('Shot Map'!$B$6:$V$26,CEILING($A50/5,1),CEILING(C$2/5,1))=1,INDEX('Serial Reference'!$A$8:$W$8,1,FLOOR(($A50-1)/23,1)+1)&amp;INDEX('Serial Reference'!$A$8:$W$8,1,MOD($A50-1,23)+1)&amp;TEXT(C$2+FLOOR((C$2-1)/9,1),"000"),"")</f>
        <v>CB002</v>
      </c>
      <c r="D50" s="22" t="str">
        <f>IF(INDEX('Shot Map'!$B$6:$V$26,CEILING($A50/5,1),CEILING(D$2/5,1))=1,INDEX('Serial Reference'!$A$8:$W$8,1,FLOOR(($A50-1)/23,1)+1)&amp;INDEX('Serial Reference'!$A$8:$W$8,1,MOD($A50-1,23)+1)&amp;TEXT(D$2+FLOOR((D$2-1)/9,1),"000"),"")</f>
        <v>CB003</v>
      </c>
      <c r="E50" s="22" t="str">
        <f>IF(INDEX('Shot Map'!$B$6:$V$26,CEILING($A50/5,1),CEILING(E$2/5,1))=1,INDEX('Serial Reference'!$A$8:$W$8,1,FLOOR(($A50-1)/23,1)+1)&amp;INDEX('Serial Reference'!$A$8:$W$8,1,MOD($A50-1,23)+1)&amp;TEXT(E$2+FLOOR((E$2-1)/9,1),"000"),"")</f>
        <v>CB004</v>
      </c>
      <c r="F50" s="23" t="str">
        <f>IF(INDEX('Shot Map'!$B$6:$V$26,CEILING($A50/5,1),CEILING(F$2/5,1))=1,INDEX('Serial Reference'!$A$8:$W$8,1,FLOOR(($A50-1)/23,1)+1)&amp;INDEX('Serial Reference'!$A$8:$W$8,1,MOD($A50-1,23)+1)&amp;TEXT(F$2+FLOOR((F$2-1)/9,1),"000"),"")</f>
        <v>CB005</v>
      </c>
      <c r="G50" s="21" t="str">
        <f>IF(INDEX('Shot Map'!$B$6:$V$26,CEILING($A50/5,1),CEILING(G$2/5,1))=1,INDEX('Serial Reference'!$A$8:$W$8,1,FLOOR(($A50-1)/23,1)+1)&amp;INDEX('Serial Reference'!$A$8:$W$8,1,MOD($A50-1,23)+1)&amp;TEXT(G$2+FLOOR((G$2-1)/9,1),"000"),"")</f>
        <v>CB006</v>
      </c>
      <c r="H50" s="22" t="str">
        <f>IF(INDEX('Shot Map'!$B$6:$V$26,CEILING($A50/5,1),CEILING(H$2/5,1))=1,INDEX('Serial Reference'!$A$8:$W$8,1,FLOOR(($A50-1)/23,1)+1)&amp;INDEX('Serial Reference'!$A$8:$W$8,1,MOD($A50-1,23)+1)&amp;TEXT(H$2+FLOOR((H$2-1)/9,1),"000"),"")</f>
        <v>CB007</v>
      </c>
      <c r="I50" s="22" t="str">
        <f>IF(INDEX('Shot Map'!$B$6:$V$26,CEILING($A50/5,1),CEILING(I$2/5,1))=1,INDEX('Serial Reference'!$A$8:$W$8,1,FLOOR(($A50-1)/23,1)+1)&amp;INDEX('Serial Reference'!$A$8:$W$8,1,MOD($A50-1,23)+1)&amp;TEXT(I$2+FLOOR((I$2-1)/9,1),"000"),"")</f>
        <v>CB008</v>
      </c>
      <c r="J50" s="22" t="str">
        <f>IF(INDEX('Shot Map'!$B$6:$V$26,CEILING($A50/5,1),CEILING(J$2/5,1))=1,INDEX('Serial Reference'!$A$8:$W$8,1,FLOOR(($A50-1)/23,1)+1)&amp;INDEX('Serial Reference'!$A$8:$W$8,1,MOD($A50-1,23)+1)&amp;TEXT(J$2+FLOOR((J$2-1)/9,1),"000"),"")</f>
        <v>CB009</v>
      </c>
      <c r="K50" s="23" t="str">
        <f>IF(INDEX('Shot Map'!$B$6:$V$26,CEILING($A50/5,1),CEILING(K$2/5,1))=1,INDEX('Serial Reference'!$A$8:$W$8,1,FLOOR(($A50-1)/23,1)+1)&amp;INDEX('Serial Reference'!$A$8:$W$8,1,MOD($A50-1,23)+1)&amp;TEXT(K$2+FLOOR((K$2-1)/9,1),"000"),"")</f>
        <v>CB011</v>
      </c>
      <c r="L50" s="21" t="str">
        <f>IF(INDEX('Shot Map'!$B$6:$V$26,CEILING($A50/5,1),CEILING(L$2/5,1))=1,INDEX('Serial Reference'!$A$8:$W$8,1,FLOOR(($A50-1)/23,1)+1)&amp;INDEX('Serial Reference'!$A$8:$W$8,1,MOD($A50-1,23)+1)&amp;TEXT(L$2+FLOOR((L$2-1)/9,1),"000"),"")</f>
        <v>CB012</v>
      </c>
      <c r="M50" s="22" t="str">
        <f>IF(INDEX('Shot Map'!$B$6:$V$26,CEILING($A50/5,1),CEILING(M$2/5,1))=1,INDEX('Serial Reference'!$A$8:$W$8,1,FLOOR(($A50-1)/23,1)+1)&amp;INDEX('Serial Reference'!$A$8:$W$8,1,MOD($A50-1,23)+1)&amp;TEXT(M$2+FLOOR((M$2-1)/9,1),"000"),"")</f>
        <v>CB013</v>
      </c>
      <c r="N50" s="22" t="str">
        <f>IF(INDEX('Shot Map'!$B$6:$V$26,CEILING($A50/5,1),CEILING(N$2/5,1))=1,INDEX('Serial Reference'!$A$8:$W$8,1,FLOOR(($A50-1)/23,1)+1)&amp;INDEX('Serial Reference'!$A$8:$W$8,1,MOD($A50-1,23)+1)&amp;TEXT(N$2+FLOOR((N$2-1)/9,1),"000"),"")</f>
        <v>CB014</v>
      </c>
      <c r="O50" s="22" t="str">
        <f>IF(INDEX('Shot Map'!$B$6:$V$26,CEILING($A50/5,1),CEILING(O$2/5,1))=1,INDEX('Serial Reference'!$A$8:$W$8,1,FLOOR(($A50-1)/23,1)+1)&amp;INDEX('Serial Reference'!$A$8:$W$8,1,MOD($A50-1,23)+1)&amp;TEXT(O$2+FLOOR((O$2-1)/9,1),"000"),"")</f>
        <v>CB015</v>
      </c>
      <c r="P50" s="23" t="str">
        <f>IF(INDEX('Shot Map'!$B$6:$V$26,CEILING($A50/5,1),CEILING(P$2/5,1))=1,INDEX('Serial Reference'!$A$8:$W$8,1,FLOOR(($A50-1)/23,1)+1)&amp;INDEX('Serial Reference'!$A$8:$W$8,1,MOD($A50-1,23)+1)&amp;TEXT(P$2+FLOOR((P$2-1)/9,1),"000"),"")</f>
        <v>CB016</v>
      </c>
      <c r="Q50" s="21" t="str">
        <f>IF(INDEX('Shot Map'!$B$6:$V$26,CEILING($A50/5,1),CEILING(Q$2/5,1))=1,INDEX('Serial Reference'!$A$8:$W$8,1,FLOOR(($A50-1)/23,1)+1)&amp;INDEX('Serial Reference'!$A$8:$W$8,1,MOD($A50-1,23)+1)&amp;TEXT(Q$2+FLOOR((Q$2-1)/9,1),"000"),"")</f>
        <v>CB017</v>
      </c>
      <c r="R50" s="22" t="str">
        <f>IF(INDEX('Shot Map'!$B$6:$V$26,CEILING($A50/5,1),CEILING(R$2/5,1))=1,INDEX('Serial Reference'!$A$8:$W$8,1,FLOOR(($A50-1)/23,1)+1)&amp;INDEX('Serial Reference'!$A$8:$W$8,1,MOD($A50-1,23)+1)&amp;TEXT(R$2+FLOOR((R$2-1)/9,1),"000"),"")</f>
        <v>CB018</v>
      </c>
      <c r="S50" s="22" t="str">
        <f>IF(INDEX('Shot Map'!$B$6:$V$26,CEILING($A50/5,1),CEILING(S$2/5,1))=1,INDEX('Serial Reference'!$A$8:$W$8,1,FLOOR(($A50-1)/23,1)+1)&amp;INDEX('Serial Reference'!$A$8:$W$8,1,MOD($A50-1,23)+1)&amp;TEXT(S$2+FLOOR((S$2-1)/9,1),"000"),"")</f>
        <v>CB019</v>
      </c>
      <c r="T50" s="22" t="str">
        <f>IF(INDEX('Shot Map'!$B$6:$V$26,CEILING($A50/5,1),CEILING(T$2/5,1))=1,INDEX('Serial Reference'!$A$8:$W$8,1,FLOOR(($A50-1)/23,1)+1)&amp;INDEX('Serial Reference'!$A$8:$W$8,1,MOD($A50-1,23)+1)&amp;TEXT(T$2+FLOOR((T$2-1)/9,1),"000"),"")</f>
        <v>CB021</v>
      </c>
      <c r="U50" s="23" t="str">
        <f>IF(INDEX('Shot Map'!$B$6:$V$26,CEILING($A50/5,1),CEILING(U$2/5,1))=1,INDEX('Serial Reference'!$A$8:$W$8,1,FLOOR(($A50-1)/23,1)+1)&amp;INDEX('Serial Reference'!$A$8:$W$8,1,MOD($A50-1,23)+1)&amp;TEXT(U$2+FLOOR((U$2-1)/9,1),"000"),"")</f>
        <v>CB022</v>
      </c>
      <c r="V50" s="21" t="str">
        <f>IF(INDEX('Shot Map'!$B$6:$V$26,CEILING($A50/5,1),CEILING(V$2/5,1))=1,INDEX('Serial Reference'!$A$8:$W$8,1,FLOOR(($A50-1)/23,1)+1)&amp;INDEX('Serial Reference'!$A$8:$W$8,1,MOD($A50-1,23)+1)&amp;TEXT(V$2+FLOOR((V$2-1)/9,1),"000"),"")</f>
        <v>CB023</v>
      </c>
      <c r="W50" s="22" t="str">
        <f>IF(INDEX('Shot Map'!$B$6:$V$26,CEILING($A50/5,1),CEILING(W$2/5,1))=1,INDEX('Serial Reference'!$A$8:$W$8,1,FLOOR(($A50-1)/23,1)+1)&amp;INDEX('Serial Reference'!$A$8:$W$8,1,MOD($A50-1,23)+1)&amp;TEXT(W$2+FLOOR((W$2-1)/9,1),"000"),"")</f>
        <v>CB024</v>
      </c>
      <c r="X50" s="22" t="str">
        <f>IF(INDEX('Shot Map'!$B$6:$V$26,CEILING($A50/5,1),CEILING(X$2/5,1))=1,INDEX('Serial Reference'!$A$8:$W$8,1,FLOOR(($A50-1)/23,1)+1)&amp;INDEX('Serial Reference'!$A$8:$W$8,1,MOD($A50-1,23)+1)&amp;TEXT(X$2+FLOOR((X$2-1)/9,1),"000"),"")</f>
        <v>CB025</v>
      </c>
      <c r="Y50" s="22" t="str">
        <f>IF(INDEX('Shot Map'!$B$6:$V$26,CEILING($A50/5,1),CEILING(Y$2/5,1))=1,INDEX('Serial Reference'!$A$8:$W$8,1,FLOOR(($A50-1)/23,1)+1)&amp;INDEX('Serial Reference'!$A$8:$W$8,1,MOD($A50-1,23)+1)&amp;TEXT(Y$2+FLOOR((Y$2-1)/9,1),"000"),"")</f>
        <v>CB026</v>
      </c>
      <c r="Z50" s="23" t="str">
        <f>IF(INDEX('Shot Map'!$B$6:$V$26,CEILING($A50/5,1),CEILING(Z$2/5,1))=1,INDEX('Serial Reference'!$A$8:$W$8,1,FLOOR(($A50-1)/23,1)+1)&amp;INDEX('Serial Reference'!$A$8:$W$8,1,MOD($A50-1,23)+1)&amp;TEXT(Z$2+FLOOR((Z$2-1)/9,1),"000"),"")</f>
        <v>CB027</v>
      </c>
      <c r="AA50" s="21" t="str">
        <f>IF(INDEX('Shot Map'!$B$6:$V$26,CEILING($A50/5,1),CEILING(AA$2/5,1))=1,INDEX('Serial Reference'!$A$8:$W$8,1,FLOOR(($A50-1)/23,1)+1)&amp;INDEX('Serial Reference'!$A$8:$W$8,1,MOD($A50-1,23)+1)&amp;TEXT(AA$2+FLOOR((AA$2-1)/9,1),"000"),"")</f>
        <v>CB028</v>
      </c>
      <c r="AB50" s="22" t="str">
        <f>IF(INDEX('Shot Map'!$B$6:$V$26,CEILING($A50/5,1),CEILING(AB$2/5,1))=1,INDEX('Serial Reference'!$A$8:$W$8,1,FLOOR(($A50-1)/23,1)+1)&amp;INDEX('Serial Reference'!$A$8:$W$8,1,MOD($A50-1,23)+1)&amp;TEXT(AB$2+FLOOR((AB$2-1)/9,1),"000"),"")</f>
        <v>CB029</v>
      </c>
      <c r="AC50" s="22" t="str">
        <f>IF(INDEX('Shot Map'!$B$6:$V$26,CEILING($A50/5,1),CEILING(AC$2/5,1))=1,INDEX('Serial Reference'!$A$8:$W$8,1,FLOOR(($A50-1)/23,1)+1)&amp;INDEX('Serial Reference'!$A$8:$W$8,1,MOD($A50-1,23)+1)&amp;TEXT(AC$2+FLOOR((AC$2-1)/9,1),"000"),"")</f>
        <v>CB031</v>
      </c>
      <c r="AD50" s="22" t="str">
        <f>IF(INDEX('Shot Map'!$B$6:$V$26,CEILING($A50/5,1),CEILING(AD$2/5,1))=1,INDEX('Serial Reference'!$A$8:$W$8,1,FLOOR(($A50-1)/23,1)+1)&amp;INDEX('Serial Reference'!$A$8:$W$8,1,MOD($A50-1,23)+1)&amp;TEXT(AD$2+FLOOR((AD$2-1)/9,1),"000"),"")</f>
        <v>CB032</v>
      </c>
      <c r="AE50" s="23" t="str">
        <f>IF(INDEX('Shot Map'!$B$6:$V$26,CEILING($A50/5,1),CEILING(AE$2/5,1))=1,INDEX('Serial Reference'!$A$8:$W$8,1,FLOOR(($A50-1)/23,1)+1)&amp;INDEX('Serial Reference'!$A$8:$W$8,1,MOD($A50-1,23)+1)&amp;TEXT(AE$2+FLOOR((AE$2-1)/9,1),"000"),"")</f>
        <v>CB033</v>
      </c>
      <c r="AF50" s="21" t="str">
        <f>IF(INDEX('Shot Map'!$B$6:$V$26,CEILING($A50/5,1),CEILING(AF$2/5,1))=1,INDEX('Serial Reference'!$A$8:$W$8,1,FLOOR(($A50-1)/23,1)+1)&amp;INDEX('Serial Reference'!$A$8:$W$8,1,MOD($A50-1,23)+1)&amp;TEXT(AF$2+FLOOR((AF$2-1)/9,1),"000"),"")</f>
        <v>CB034</v>
      </c>
      <c r="AG50" s="22" t="str">
        <f>IF(INDEX('Shot Map'!$B$6:$V$26,CEILING($A50/5,1),CEILING(AG$2/5,1))=1,INDEX('Serial Reference'!$A$8:$W$8,1,FLOOR(($A50-1)/23,1)+1)&amp;INDEX('Serial Reference'!$A$8:$W$8,1,MOD($A50-1,23)+1)&amp;TEXT(AG$2+FLOOR((AG$2-1)/9,1),"000"),"")</f>
        <v>CB035</v>
      </c>
      <c r="AH50" s="22" t="str">
        <f>IF(INDEX('Shot Map'!$B$6:$V$26,CEILING($A50/5,1),CEILING(AH$2/5,1))=1,INDEX('Serial Reference'!$A$8:$W$8,1,FLOOR(($A50-1)/23,1)+1)&amp;INDEX('Serial Reference'!$A$8:$W$8,1,MOD($A50-1,23)+1)&amp;TEXT(AH$2+FLOOR((AH$2-1)/9,1),"000"),"")</f>
        <v>CB036</v>
      </c>
      <c r="AI50" s="22" t="str">
        <f>IF(INDEX('Shot Map'!$B$6:$V$26,CEILING($A50/5,1),CEILING(AI$2/5,1))=1,INDEX('Serial Reference'!$A$8:$W$8,1,FLOOR(($A50-1)/23,1)+1)&amp;INDEX('Serial Reference'!$A$8:$W$8,1,MOD($A50-1,23)+1)&amp;TEXT(AI$2+FLOOR((AI$2-1)/9,1),"000"),"")</f>
        <v>CB037</v>
      </c>
      <c r="AJ50" s="23" t="str">
        <f>IF(INDEX('Shot Map'!$B$6:$V$26,CEILING($A50/5,1),CEILING(AJ$2/5,1))=1,INDEX('Serial Reference'!$A$8:$W$8,1,FLOOR(($A50-1)/23,1)+1)&amp;INDEX('Serial Reference'!$A$8:$W$8,1,MOD($A50-1,23)+1)&amp;TEXT(AJ$2+FLOOR((AJ$2-1)/9,1),"000"),"")</f>
        <v>CB038</v>
      </c>
      <c r="AK50" s="21" t="str">
        <f>IF(INDEX('Shot Map'!$B$6:$V$26,CEILING($A50/5,1),CEILING(AK$2/5,1))=1,INDEX('Serial Reference'!$A$8:$W$8,1,FLOOR(($A50-1)/23,1)+1)&amp;INDEX('Serial Reference'!$A$8:$W$8,1,MOD($A50-1,23)+1)&amp;TEXT(AK$2+FLOOR((AK$2-1)/9,1),"000"),"")</f>
        <v>CB039</v>
      </c>
      <c r="AL50" s="22" t="str">
        <f>IF(INDEX('Shot Map'!$B$6:$V$26,CEILING($A50/5,1),CEILING(AL$2/5,1))=1,INDEX('Serial Reference'!$A$8:$W$8,1,FLOOR(($A50-1)/23,1)+1)&amp;INDEX('Serial Reference'!$A$8:$W$8,1,MOD($A50-1,23)+1)&amp;TEXT(AL$2+FLOOR((AL$2-1)/9,1),"000"),"")</f>
        <v>CB041</v>
      </c>
      <c r="AM50" s="22" t="str">
        <f>IF(INDEX('Shot Map'!$B$6:$V$26,CEILING($A50/5,1),CEILING(AM$2/5,1))=1,INDEX('Serial Reference'!$A$8:$W$8,1,FLOOR(($A50-1)/23,1)+1)&amp;INDEX('Serial Reference'!$A$8:$W$8,1,MOD($A50-1,23)+1)&amp;TEXT(AM$2+FLOOR((AM$2-1)/9,1),"000"),"")</f>
        <v>CB042</v>
      </c>
      <c r="AN50" s="22" t="str">
        <f>IF(INDEX('Shot Map'!$B$6:$V$26,CEILING($A50/5,1),CEILING(AN$2/5,1))=1,INDEX('Serial Reference'!$A$8:$W$8,1,FLOOR(($A50-1)/23,1)+1)&amp;INDEX('Serial Reference'!$A$8:$W$8,1,MOD($A50-1,23)+1)&amp;TEXT(AN$2+FLOOR((AN$2-1)/9,1),"000"),"")</f>
        <v>CB043</v>
      </c>
      <c r="AO50" s="23" t="str">
        <f>IF(INDEX('Shot Map'!$B$6:$V$26,CEILING($A50/5,1),CEILING(AO$2/5,1))=1,INDEX('Serial Reference'!$A$8:$W$8,1,FLOOR(($A50-1)/23,1)+1)&amp;INDEX('Serial Reference'!$A$8:$W$8,1,MOD($A50-1,23)+1)&amp;TEXT(AO$2+FLOOR((AO$2-1)/9,1),"000"),"")</f>
        <v>CB044</v>
      </c>
      <c r="AP50" s="21" t="str">
        <f>IF(INDEX('Shot Map'!$B$6:$V$26,CEILING($A50/5,1),CEILING(AP$2/5,1))=1,INDEX('Serial Reference'!$A$8:$W$8,1,FLOOR(($A50-1)/23,1)+1)&amp;INDEX('Serial Reference'!$A$8:$W$8,1,MOD($A50-1,23)+1)&amp;TEXT(AP$2+FLOOR((AP$2-1)/9,1),"000"),"")</f>
        <v>CB045</v>
      </c>
      <c r="AQ50" s="22" t="str">
        <f>IF(INDEX('Shot Map'!$B$6:$V$26,CEILING($A50/5,1),CEILING(AQ$2/5,1))=1,INDEX('Serial Reference'!$A$8:$W$8,1,FLOOR(($A50-1)/23,1)+1)&amp;INDEX('Serial Reference'!$A$8:$W$8,1,MOD($A50-1,23)+1)&amp;TEXT(AQ$2+FLOOR((AQ$2-1)/9,1),"000"),"")</f>
        <v>CB046</v>
      </c>
      <c r="AR50" s="22" t="str">
        <f>IF(INDEX('Shot Map'!$B$6:$V$26,CEILING($A50/5,1),CEILING(AR$2/5,1))=1,INDEX('Serial Reference'!$A$8:$W$8,1,FLOOR(($A50-1)/23,1)+1)&amp;INDEX('Serial Reference'!$A$8:$W$8,1,MOD($A50-1,23)+1)&amp;TEXT(AR$2+FLOOR((AR$2-1)/9,1),"000"),"")</f>
        <v>CB047</v>
      </c>
      <c r="AS50" s="22" t="str">
        <f>IF(INDEX('Shot Map'!$B$6:$V$26,CEILING($A50/5,1),CEILING(AS$2/5,1))=1,INDEX('Serial Reference'!$A$8:$W$8,1,FLOOR(($A50-1)/23,1)+1)&amp;INDEX('Serial Reference'!$A$8:$W$8,1,MOD($A50-1,23)+1)&amp;TEXT(AS$2+FLOOR((AS$2-1)/9,1),"000"),"")</f>
        <v>CB048</v>
      </c>
      <c r="AT50" s="23" t="str">
        <f>IF(INDEX('Shot Map'!$B$6:$V$26,CEILING($A50/5,1),CEILING(AT$2/5,1))=1,INDEX('Serial Reference'!$A$8:$W$8,1,FLOOR(($A50-1)/23,1)+1)&amp;INDEX('Serial Reference'!$A$8:$W$8,1,MOD($A50-1,23)+1)&amp;TEXT(AT$2+FLOOR((AT$2-1)/9,1),"000"),"")</f>
        <v>CB049</v>
      </c>
      <c r="AU50" s="21" t="str">
        <f>IF(INDEX('Shot Map'!$B$6:$V$26,CEILING($A50/5,1),CEILING(AU$2/5,1))=1,INDEX('Serial Reference'!$A$8:$W$8,1,FLOOR(($A50-1)/23,1)+1)&amp;INDEX('Serial Reference'!$A$8:$W$8,1,MOD($A50-1,23)+1)&amp;TEXT(AU$2+FLOOR((AU$2-1)/9,1),"000"),"")</f>
        <v>CB051</v>
      </c>
      <c r="AV50" s="22" t="str">
        <f>IF(INDEX('Shot Map'!$B$6:$V$26,CEILING($A50/5,1),CEILING(AV$2/5,1))=1,INDEX('Serial Reference'!$A$8:$W$8,1,FLOOR(($A50-1)/23,1)+1)&amp;INDEX('Serial Reference'!$A$8:$W$8,1,MOD($A50-1,23)+1)&amp;TEXT(AV$2+FLOOR((AV$2-1)/9,1),"000"),"")</f>
        <v>CB052</v>
      </c>
      <c r="AW50" s="22" t="str">
        <f>IF(INDEX('Shot Map'!$B$6:$V$26,CEILING($A50/5,1),CEILING(AW$2/5,1))=1,INDEX('Serial Reference'!$A$8:$W$8,1,FLOOR(($A50-1)/23,1)+1)&amp;INDEX('Serial Reference'!$A$8:$W$8,1,MOD($A50-1,23)+1)&amp;TEXT(AW$2+FLOOR((AW$2-1)/9,1),"000"),"")</f>
        <v>CB053</v>
      </c>
      <c r="AX50" s="22" t="str">
        <f>IF(INDEX('Shot Map'!$B$6:$V$26,CEILING($A50/5,1),CEILING(AX$2/5,1))=1,INDEX('Serial Reference'!$A$8:$W$8,1,FLOOR(($A50-1)/23,1)+1)&amp;INDEX('Serial Reference'!$A$8:$W$8,1,MOD($A50-1,23)+1)&amp;TEXT(AX$2+FLOOR((AX$2-1)/9,1),"000"),"")</f>
        <v>CB054</v>
      </c>
      <c r="AY50" s="23" t="str">
        <f>IF(INDEX('Shot Map'!$B$6:$V$26,CEILING($A50/5,1),CEILING(AY$2/5,1))=1,INDEX('Serial Reference'!$A$8:$W$8,1,FLOOR(($A50-1)/23,1)+1)&amp;INDEX('Serial Reference'!$A$8:$W$8,1,MOD($A50-1,23)+1)&amp;TEXT(AY$2+FLOOR((AY$2-1)/9,1),"000"),"")</f>
        <v>CB055</v>
      </c>
      <c r="AZ50" s="21" t="str">
        <f>IF(INDEX('Shot Map'!$B$6:$V$26,CEILING($A50/5,1),CEILING(AZ$2/5,1))=1,INDEX('Serial Reference'!$A$8:$W$8,1,FLOOR(($A50-1)/23,1)+1)&amp;INDEX('Serial Reference'!$A$8:$W$8,1,MOD($A50-1,23)+1)&amp;TEXT(AZ$2+FLOOR((AZ$2-1)/9,1),"000"),"")</f>
        <v>CB056</v>
      </c>
      <c r="BA50" s="22" t="str">
        <f>IF(INDEX('Shot Map'!$B$6:$V$26,CEILING($A50/5,1),CEILING(BA$2/5,1))=1,INDEX('Serial Reference'!$A$8:$W$8,1,FLOOR(($A50-1)/23,1)+1)&amp;INDEX('Serial Reference'!$A$8:$W$8,1,MOD($A50-1,23)+1)&amp;TEXT(BA$2+FLOOR((BA$2-1)/9,1),"000"),"")</f>
        <v>CB057</v>
      </c>
      <c r="BB50" s="22" t="str">
        <f>IF(INDEX('Shot Map'!$B$6:$V$26,CEILING($A50/5,1),CEILING(BB$2/5,1))=1,INDEX('Serial Reference'!$A$8:$W$8,1,FLOOR(($A50-1)/23,1)+1)&amp;INDEX('Serial Reference'!$A$8:$W$8,1,MOD($A50-1,23)+1)&amp;TEXT(BB$2+FLOOR((BB$2-1)/9,1),"000"),"")</f>
        <v>CB058</v>
      </c>
      <c r="BC50" s="22" t="str">
        <f>IF(INDEX('Shot Map'!$B$6:$V$26,CEILING($A50/5,1),CEILING(BC$2/5,1))=1,INDEX('Serial Reference'!$A$8:$W$8,1,FLOOR(($A50-1)/23,1)+1)&amp;INDEX('Serial Reference'!$A$8:$W$8,1,MOD($A50-1,23)+1)&amp;TEXT(BC$2+FLOOR((BC$2-1)/9,1),"000"),"")</f>
        <v>CB059</v>
      </c>
      <c r="BD50" s="23" t="str">
        <f>IF(INDEX('Shot Map'!$B$6:$V$26,CEILING($A50/5,1),CEILING(BD$2/5,1))=1,INDEX('Serial Reference'!$A$8:$W$8,1,FLOOR(($A50-1)/23,1)+1)&amp;INDEX('Serial Reference'!$A$8:$W$8,1,MOD($A50-1,23)+1)&amp;TEXT(BD$2+FLOOR((BD$2-1)/9,1),"000"),"")</f>
        <v>CB061</v>
      </c>
      <c r="BE50" s="21" t="str">
        <f>IF(INDEX('Shot Map'!$B$6:$V$26,CEILING($A50/5,1),CEILING(BE$2/5,1))=1,INDEX('Serial Reference'!$A$8:$W$8,1,FLOOR(($A50-1)/23,1)+1)&amp;INDEX('Serial Reference'!$A$8:$W$8,1,MOD($A50-1,23)+1)&amp;TEXT(BE$2+FLOOR((BE$2-1)/9,1),"000"),"")</f>
        <v>CB062</v>
      </c>
      <c r="BF50" s="22" t="str">
        <f>IF(INDEX('Shot Map'!$B$6:$V$26,CEILING($A50/5,1),CEILING(BF$2/5,1))=1,INDEX('Serial Reference'!$A$8:$W$8,1,FLOOR(($A50-1)/23,1)+1)&amp;INDEX('Serial Reference'!$A$8:$W$8,1,MOD($A50-1,23)+1)&amp;TEXT(BF$2+FLOOR((BF$2-1)/9,1),"000"),"")</f>
        <v>CB063</v>
      </c>
      <c r="BG50" s="22" t="str">
        <f>IF(INDEX('Shot Map'!$B$6:$V$26,CEILING($A50/5,1),CEILING(BG$2/5,1))=1,INDEX('Serial Reference'!$A$8:$W$8,1,FLOOR(($A50-1)/23,1)+1)&amp;INDEX('Serial Reference'!$A$8:$W$8,1,MOD($A50-1,23)+1)&amp;TEXT(BG$2+FLOOR((BG$2-1)/9,1),"000"),"")</f>
        <v>CB064</v>
      </c>
      <c r="BH50" s="22" t="str">
        <f>IF(INDEX('Shot Map'!$B$6:$V$26,CEILING($A50/5,1),CEILING(BH$2/5,1))=1,INDEX('Serial Reference'!$A$8:$W$8,1,FLOOR(($A50-1)/23,1)+1)&amp;INDEX('Serial Reference'!$A$8:$W$8,1,MOD($A50-1,23)+1)&amp;TEXT(BH$2+FLOOR((BH$2-1)/9,1),"000"),"")</f>
        <v>CB065</v>
      </c>
      <c r="BI50" s="23" t="str">
        <f>IF(INDEX('Shot Map'!$B$6:$V$26,CEILING($A50/5,1),CEILING(BI$2/5,1))=1,INDEX('Serial Reference'!$A$8:$W$8,1,FLOOR(($A50-1)/23,1)+1)&amp;INDEX('Serial Reference'!$A$8:$W$8,1,MOD($A50-1,23)+1)&amp;TEXT(BI$2+FLOOR((BI$2-1)/9,1),"000"),"")</f>
        <v>CB066</v>
      </c>
      <c r="BJ50" s="21" t="str">
        <f>IF(INDEX('Shot Map'!$B$6:$V$26,CEILING($A50/5,1),CEILING(BJ$2/5,1))=1,INDEX('Serial Reference'!$A$8:$W$8,1,FLOOR(($A50-1)/23,1)+1)&amp;INDEX('Serial Reference'!$A$8:$W$8,1,MOD($A50-1,23)+1)&amp;TEXT(BJ$2+FLOOR((BJ$2-1)/9,1),"000"),"")</f>
        <v>CB067</v>
      </c>
      <c r="BK50" s="22" t="str">
        <f>IF(INDEX('Shot Map'!$B$6:$V$26,CEILING($A50/5,1),CEILING(BK$2/5,1))=1,INDEX('Serial Reference'!$A$8:$W$8,1,FLOOR(($A50-1)/23,1)+1)&amp;INDEX('Serial Reference'!$A$8:$W$8,1,MOD($A50-1,23)+1)&amp;TEXT(BK$2+FLOOR((BK$2-1)/9,1),"000"),"")</f>
        <v>CB068</v>
      </c>
      <c r="BL50" s="22" t="str">
        <f>IF(INDEX('Shot Map'!$B$6:$V$26,CEILING($A50/5,1),CEILING(BL$2/5,1))=1,INDEX('Serial Reference'!$A$8:$W$8,1,FLOOR(($A50-1)/23,1)+1)&amp;INDEX('Serial Reference'!$A$8:$W$8,1,MOD($A50-1,23)+1)&amp;TEXT(BL$2+FLOOR((BL$2-1)/9,1),"000"),"")</f>
        <v>CB069</v>
      </c>
      <c r="BM50" s="22" t="str">
        <f>IF(INDEX('Shot Map'!$B$6:$V$26,CEILING($A50/5,1),CEILING(BM$2/5,1))=1,INDEX('Serial Reference'!$A$8:$W$8,1,FLOOR(($A50-1)/23,1)+1)&amp;INDEX('Serial Reference'!$A$8:$W$8,1,MOD($A50-1,23)+1)&amp;TEXT(BM$2+FLOOR((BM$2-1)/9,1),"000"),"")</f>
        <v>CB071</v>
      </c>
      <c r="BN50" s="23" t="str">
        <f>IF(INDEX('Shot Map'!$B$6:$V$26,CEILING($A50/5,1),CEILING(BN$2/5,1))=1,INDEX('Serial Reference'!$A$8:$W$8,1,FLOOR(($A50-1)/23,1)+1)&amp;INDEX('Serial Reference'!$A$8:$W$8,1,MOD($A50-1,23)+1)&amp;TEXT(BN$2+FLOOR((BN$2-1)/9,1),"000"),"")</f>
        <v>CB072</v>
      </c>
      <c r="BO50" s="21" t="str">
        <f>IF(INDEX('Shot Map'!$B$6:$V$26,CEILING($A50/5,1),CEILING(BO$2/5,1))=1,INDEX('Serial Reference'!$A$8:$W$8,1,FLOOR(($A50-1)/23,1)+1)&amp;INDEX('Serial Reference'!$A$8:$W$8,1,MOD($A50-1,23)+1)&amp;TEXT(BO$2+FLOOR((BO$2-1)/9,1),"000"),"")</f>
        <v>CB073</v>
      </c>
      <c r="BP50" s="22" t="str">
        <f>IF(INDEX('Shot Map'!$B$6:$V$26,CEILING($A50/5,1),CEILING(BP$2/5,1))=1,INDEX('Serial Reference'!$A$8:$W$8,1,FLOOR(($A50-1)/23,1)+1)&amp;INDEX('Serial Reference'!$A$8:$W$8,1,MOD($A50-1,23)+1)&amp;TEXT(BP$2+FLOOR((BP$2-1)/9,1),"000"),"")</f>
        <v>CB074</v>
      </c>
      <c r="BQ50" s="22" t="str">
        <f>IF(INDEX('Shot Map'!$B$6:$V$26,CEILING($A50/5,1),CEILING(BQ$2/5,1))=1,INDEX('Serial Reference'!$A$8:$W$8,1,FLOOR(($A50-1)/23,1)+1)&amp;INDEX('Serial Reference'!$A$8:$W$8,1,MOD($A50-1,23)+1)&amp;TEXT(BQ$2+FLOOR((BQ$2-1)/9,1),"000"),"")</f>
        <v>CB075</v>
      </c>
      <c r="BR50" s="22" t="str">
        <f>IF(INDEX('Shot Map'!$B$6:$V$26,CEILING($A50/5,1),CEILING(BR$2/5,1))=1,INDEX('Serial Reference'!$A$8:$W$8,1,FLOOR(($A50-1)/23,1)+1)&amp;INDEX('Serial Reference'!$A$8:$W$8,1,MOD($A50-1,23)+1)&amp;TEXT(BR$2+FLOOR((BR$2-1)/9,1),"000"),"")</f>
        <v>CB076</v>
      </c>
      <c r="BS50" s="23" t="str">
        <f>IF(INDEX('Shot Map'!$B$6:$V$26,CEILING($A50/5,1),CEILING(BS$2/5,1))=1,INDEX('Serial Reference'!$A$8:$W$8,1,FLOOR(($A50-1)/23,1)+1)&amp;INDEX('Serial Reference'!$A$8:$W$8,1,MOD($A50-1,23)+1)&amp;TEXT(BS$2+FLOOR((BS$2-1)/9,1),"000"),"")</f>
        <v>CB077</v>
      </c>
      <c r="BT50" s="21" t="str">
        <f>IF(INDEX('Shot Map'!$B$6:$V$26,CEILING($A50/5,1),CEILING(BT$2/5,1))=1,INDEX('Serial Reference'!$A$8:$W$8,1,FLOOR(($A50-1)/23,1)+1)&amp;INDEX('Serial Reference'!$A$8:$W$8,1,MOD($A50-1,23)+1)&amp;TEXT(BT$2+FLOOR((BT$2-1)/9,1),"000"),"")</f>
        <v>CB078</v>
      </c>
      <c r="BU50" s="22" t="str">
        <f>IF(INDEX('Shot Map'!$B$6:$V$26,CEILING($A50/5,1),CEILING(BU$2/5,1))=1,INDEX('Serial Reference'!$A$8:$W$8,1,FLOOR(($A50-1)/23,1)+1)&amp;INDEX('Serial Reference'!$A$8:$W$8,1,MOD($A50-1,23)+1)&amp;TEXT(BU$2+FLOOR((BU$2-1)/9,1),"000"),"")</f>
        <v>CB079</v>
      </c>
      <c r="BV50" s="22" t="str">
        <f>IF(INDEX('Shot Map'!$B$6:$V$26,CEILING($A50/5,1),CEILING(BV$2/5,1))=1,INDEX('Serial Reference'!$A$8:$W$8,1,FLOOR(($A50-1)/23,1)+1)&amp;INDEX('Serial Reference'!$A$8:$W$8,1,MOD($A50-1,23)+1)&amp;TEXT(BV$2+FLOOR((BV$2-1)/9,1),"000"),"")</f>
        <v>CB081</v>
      </c>
      <c r="BW50" s="22" t="str">
        <f>IF(INDEX('Shot Map'!$B$6:$V$26,CEILING($A50/5,1),CEILING(BW$2/5,1))=1,INDEX('Serial Reference'!$A$8:$W$8,1,FLOOR(($A50-1)/23,1)+1)&amp;INDEX('Serial Reference'!$A$8:$W$8,1,MOD($A50-1,23)+1)&amp;TEXT(BW$2+FLOOR((BW$2-1)/9,1),"000"),"")</f>
        <v>CB082</v>
      </c>
      <c r="BX50" s="23" t="str">
        <f>IF(INDEX('Shot Map'!$B$6:$V$26,CEILING($A50/5,1),CEILING(BX$2/5,1))=1,INDEX('Serial Reference'!$A$8:$W$8,1,FLOOR(($A50-1)/23,1)+1)&amp;INDEX('Serial Reference'!$A$8:$W$8,1,MOD($A50-1,23)+1)&amp;TEXT(BX$2+FLOOR((BX$2-1)/9,1),"000"),"")</f>
        <v>CB083</v>
      </c>
      <c r="BY50" s="21" t="str">
        <f>IF(INDEX('Shot Map'!$B$6:$V$26,CEILING($A50/5,1),CEILING(BY$2/5,1))=1,INDEX('Serial Reference'!$A$8:$W$8,1,FLOOR(($A50-1)/23,1)+1)&amp;INDEX('Serial Reference'!$A$8:$W$8,1,MOD($A50-1,23)+1)&amp;TEXT(BY$2+FLOOR((BY$2-1)/9,1),"000"),"")</f>
        <v>CB084</v>
      </c>
      <c r="BZ50" s="22" t="str">
        <f>IF(INDEX('Shot Map'!$B$6:$V$26,CEILING($A50/5,1),CEILING(BZ$2/5,1))=1,INDEX('Serial Reference'!$A$8:$W$8,1,FLOOR(($A50-1)/23,1)+1)&amp;INDEX('Serial Reference'!$A$8:$W$8,1,MOD($A50-1,23)+1)&amp;TEXT(BZ$2+FLOOR((BZ$2-1)/9,1),"000"),"")</f>
        <v>CB085</v>
      </c>
      <c r="CA50" s="22" t="str">
        <f>IF(INDEX('Shot Map'!$B$6:$V$26,CEILING($A50/5,1),CEILING(CA$2/5,1))=1,INDEX('Serial Reference'!$A$8:$W$8,1,FLOOR(($A50-1)/23,1)+1)&amp;INDEX('Serial Reference'!$A$8:$W$8,1,MOD($A50-1,23)+1)&amp;TEXT(CA$2+FLOOR((CA$2-1)/9,1),"000"),"")</f>
        <v>CB086</v>
      </c>
      <c r="CB50" s="22" t="str">
        <f>IF(INDEX('Shot Map'!$B$6:$V$26,CEILING($A50/5,1),CEILING(CB$2/5,1))=1,INDEX('Serial Reference'!$A$8:$W$8,1,FLOOR(($A50-1)/23,1)+1)&amp;INDEX('Serial Reference'!$A$8:$W$8,1,MOD($A50-1,23)+1)&amp;TEXT(CB$2+FLOOR((CB$2-1)/9,1),"000"),"")</f>
        <v>CB087</v>
      </c>
      <c r="CC50" s="23" t="str">
        <f>IF(INDEX('Shot Map'!$B$6:$V$26,CEILING($A50/5,1),CEILING(CC$2/5,1))=1,INDEX('Serial Reference'!$A$8:$W$8,1,FLOOR(($A50-1)/23,1)+1)&amp;INDEX('Serial Reference'!$A$8:$W$8,1,MOD($A50-1,23)+1)&amp;TEXT(CC$2+FLOOR((CC$2-1)/9,1),"000"),"")</f>
        <v>CB088</v>
      </c>
      <c r="CD50" s="21" t="str">
        <f>IF(INDEX('Shot Map'!$B$6:$V$26,CEILING($A50/5,1),CEILING(CD$2/5,1))=1,INDEX('Serial Reference'!$A$8:$W$8,1,FLOOR(($A50-1)/23,1)+1)&amp;INDEX('Serial Reference'!$A$8:$W$8,1,MOD($A50-1,23)+1)&amp;TEXT(CD$2+FLOOR((CD$2-1)/9,1),"000"),"")</f>
        <v>CB089</v>
      </c>
      <c r="CE50" s="22" t="str">
        <f>IF(INDEX('Shot Map'!$B$6:$V$26,CEILING($A50/5,1),CEILING(CE$2/5,1))=1,INDEX('Serial Reference'!$A$8:$W$8,1,FLOOR(($A50-1)/23,1)+1)&amp;INDEX('Serial Reference'!$A$8:$W$8,1,MOD($A50-1,23)+1)&amp;TEXT(CE$2+FLOOR((CE$2-1)/9,1),"000"),"")</f>
        <v>CB091</v>
      </c>
      <c r="CF50" s="22" t="str">
        <f>IF(INDEX('Shot Map'!$B$6:$V$26,CEILING($A50/5,1),CEILING(CF$2/5,1))=1,INDEX('Serial Reference'!$A$8:$W$8,1,FLOOR(($A50-1)/23,1)+1)&amp;INDEX('Serial Reference'!$A$8:$W$8,1,MOD($A50-1,23)+1)&amp;TEXT(CF$2+FLOOR((CF$2-1)/9,1),"000"),"")</f>
        <v>CB092</v>
      </c>
      <c r="CG50" s="22" t="str">
        <f>IF(INDEX('Shot Map'!$B$6:$V$26,CEILING($A50/5,1),CEILING(CG$2/5,1))=1,INDEX('Serial Reference'!$A$8:$W$8,1,FLOOR(($A50-1)/23,1)+1)&amp;INDEX('Serial Reference'!$A$8:$W$8,1,MOD($A50-1,23)+1)&amp;TEXT(CG$2+FLOOR((CG$2-1)/9,1),"000"),"")</f>
        <v>CB093</v>
      </c>
      <c r="CH50" s="23" t="str">
        <f>IF(INDEX('Shot Map'!$B$6:$V$26,CEILING($A50/5,1),CEILING(CH$2/5,1))=1,INDEX('Serial Reference'!$A$8:$W$8,1,FLOOR(($A50-1)/23,1)+1)&amp;INDEX('Serial Reference'!$A$8:$W$8,1,MOD($A50-1,23)+1)&amp;TEXT(CH$2+FLOOR((CH$2-1)/9,1),"000"),"")</f>
        <v>CB094</v>
      </c>
      <c r="CI50" s="21" t="str">
        <f>IF(INDEX('Shot Map'!$B$6:$V$26,CEILING($A50/5,1),CEILING(CI$2/5,1))=1,INDEX('Serial Reference'!$A$8:$W$8,1,FLOOR(($A50-1)/23,1)+1)&amp;INDEX('Serial Reference'!$A$8:$W$8,1,MOD($A50-1,23)+1)&amp;TEXT(CI$2+FLOOR((CI$2-1)/9,1),"000"),"")</f>
        <v>CB095</v>
      </c>
      <c r="CJ50" s="22" t="str">
        <f>IF(INDEX('Shot Map'!$B$6:$V$26,CEILING($A50/5,1),CEILING(CJ$2/5,1))=1,INDEX('Serial Reference'!$A$8:$W$8,1,FLOOR(($A50-1)/23,1)+1)&amp;INDEX('Serial Reference'!$A$8:$W$8,1,MOD($A50-1,23)+1)&amp;TEXT(CJ$2+FLOOR((CJ$2-1)/9,1),"000"),"")</f>
        <v>CB096</v>
      </c>
      <c r="CK50" s="22" t="str">
        <f>IF(INDEX('Shot Map'!$B$6:$V$26,CEILING($A50/5,1),CEILING(CK$2/5,1))=1,INDEX('Serial Reference'!$A$8:$W$8,1,FLOOR(($A50-1)/23,1)+1)&amp;INDEX('Serial Reference'!$A$8:$W$8,1,MOD($A50-1,23)+1)&amp;TEXT(CK$2+FLOOR((CK$2-1)/9,1),"000"),"")</f>
        <v>CB097</v>
      </c>
      <c r="CL50" s="22" t="str">
        <f>IF(INDEX('Shot Map'!$B$6:$V$26,CEILING($A50/5,1),CEILING(CL$2/5,1))=1,INDEX('Serial Reference'!$A$8:$W$8,1,FLOOR(($A50-1)/23,1)+1)&amp;INDEX('Serial Reference'!$A$8:$W$8,1,MOD($A50-1,23)+1)&amp;TEXT(CL$2+FLOOR((CL$2-1)/9,1),"000"),"")</f>
        <v>CB098</v>
      </c>
      <c r="CM50" s="23" t="str">
        <f>IF(INDEX('Shot Map'!$B$6:$V$26,CEILING($A50/5,1),CEILING(CM$2/5,1))=1,INDEX('Serial Reference'!$A$8:$W$8,1,FLOOR(($A50-1)/23,1)+1)&amp;INDEX('Serial Reference'!$A$8:$W$8,1,MOD($A50-1,23)+1)&amp;TEXT(CM$2+FLOOR((CM$2-1)/9,1),"000"),"")</f>
        <v>CB099</v>
      </c>
      <c r="CN50" s="21" t="str">
        <f>IF(INDEX('Shot Map'!$B$6:$V$26,CEILING($A50/5,1),CEILING(CN$2/5,1))=1,INDEX('Serial Reference'!$A$8:$W$8,1,FLOOR(($A50-1)/23,1)+1)&amp;INDEX('Serial Reference'!$A$8:$W$8,1,MOD($A50-1,23)+1)&amp;TEXT(CN$2+FLOOR((CN$2-1)/9,1),"000"),"")</f>
        <v>CB101</v>
      </c>
      <c r="CO50" s="22" t="str">
        <f>IF(INDEX('Shot Map'!$B$6:$V$26,CEILING($A50/5,1),CEILING(CO$2/5,1))=1,INDEX('Serial Reference'!$A$8:$W$8,1,FLOOR(($A50-1)/23,1)+1)&amp;INDEX('Serial Reference'!$A$8:$W$8,1,MOD($A50-1,23)+1)&amp;TEXT(CO$2+FLOOR((CO$2-1)/9,1),"000"),"")</f>
        <v>CB102</v>
      </c>
      <c r="CP50" s="22" t="str">
        <f>IF(INDEX('Shot Map'!$B$6:$V$26,CEILING($A50/5,1),CEILING(CP$2/5,1))=1,INDEX('Serial Reference'!$A$8:$W$8,1,FLOOR(($A50-1)/23,1)+1)&amp;INDEX('Serial Reference'!$A$8:$W$8,1,MOD($A50-1,23)+1)&amp;TEXT(CP$2+FLOOR((CP$2-1)/9,1),"000"),"")</f>
        <v>CB103</v>
      </c>
      <c r="CQ50" s="22" t="str">
        <f>IF(INDEX('Shot Map'!$B$6:$V$26,CEILING($A50/5,1),CEILING(CQ$2/5,1))=1,INDEX('Serial Reference'!$A$8:$W$8,1,FLOOR(($A50-1)/23,1)+1)&amp;INDEX('Serial Reference'!$A$8:$W$8,1,MOD($A50-1,23)+1)&amp;TEXT(CQ$2+FLOOR((CQ$2-1)/9,1),"000"),"")</f>
        <v>CB104</v>
      </c>
      <c r="CR50" s="23" t="str">
        <f>IF(INDEX('Shot Map'!$B$6:$V$26,CEILING($A50/5,1),CEILING(CR$2/5,1))=1,INDEX('Serial Reference'!$A$8:$W$8,1,FLOOR(($A50-1)/23,1)+1)&amp;INDEX('Serial Reference'!$A$8:$W$8,1,MOD($A50-1,23)+1)&amp;TEXT(CR$2+FLOOR((CR$2-1)/9,1),"000"),"")</f>
        <v>CB105</v>
      </c>
      <c r="CS50" s="21" t="str">
        <f>IF(INDEX('Shot Map'!$B$6:$V$26,CEILING($A50/5,1),CEILING(CS$2/5,1))=1,INDEX('Serial Reference'!$A$8:$W$8,1,FLOOR(($A50-1)/23,1)+1)&amp;INDEX('Serial Reference'!$A$8:$W$8,1,MOD($A50-1,23)+1)&amp;TEXT(CS$2+FLOOR((CS$2-1)/9,1),"000"),"")</f>
        <v>CB106</v>
      </c>
      <c r="CT50" s="22" t="str">
        <f>IF(INDEX('Shot Map'!$B$6:$V$26,CEILING($A50/5,1),CEILING(CT$2/5,1))=1,INDEX('Serial Reference'!$A$8:$W$8,1,FLOOR(($A50-1)/23,1)+1)&amp;INDEX('Serial Reference'!$A$8:$W$8,1,MOD($A50-1,23)+1)&amp;TEXT(CT$2+FLOOR((CT$2-1)/9,1),"000"),"")</f>
        <v>CB107</v>
      </c>
      <c r="CU50" s="22" t="str">
        <f>IF(INDEX('Shot Map'!$B$6:$V$26,CEILING($A50/5,1),CEILING(CU$2/5,1))=1,INDEX('Serial Reference'!$A$8:$W$8,1,FLOOR(($A50-1)/23,1)+1)&amp;INDEX('Serial Reference'!$A$8:$W$8,1,MOD($A50-1,23)+1)&amp;TEXT(CU$2+FLOOR((CU$2-1)/9,1),"000"),"")</f>
        <v>CB108</v>
      </c>
      <c r="CV50" s="22" t="str">
        <f>IF(INDEX('Shot Map'!$B$6:$V$26,CEILING($A50/5,1),CEILING(CV$2/5,1))=1,INDEX('Serial Reference'!$A$8:$W$8,1,FLOOR(($A50-1)/23,1)+1)&amp;INDEX('Serial Reference'!$A$8:$W$8,1,MOD($A50-1,23)+1)&amp;TEXT(CV$2+FLOOR((CV$2-1)/9,1),"000"),"")</f>
        <v>CB109</v>
      </c>
      <c r="CW50" s="23" t="str">
        <f>IF(INDEX('Shot Map'!$B$6:$V$26,CEILING($A50/5,1),CEILING(CW$2/5,1))=1,INDEX('Serial Reference'!$A$8:$W$8,1,FLOOR(($A50-1)/23,1)+1)&amp;INDEX('Serial Reference'!$A$8:$W$8,1,MOD($A50-1,23)+1)&amp;TEXT(CW$2+FLOOR((CW$2-1)/9,1),"000"),"")</f>
        <v>CB111</v>
      </c>
      <c r="CX50" s="21" t="str">
        <f>IF(INDEX('Shot Map'!$B$6:$V$26,CEILING($A50/5,1),CEILING(CX$2/5,1))=1,INDEX('Serial Reference'!$A$8:$W$8,1,FLOOR(($A50-1)/23,1)+1)&amp;INDEX('Serial Reference'!$A$8:$W$8,1,MOD($A50-1,23)+1)&amp;TEXT(CX$2+FLOOR((CX$2-1)/9,1),"000"),"")</f>
        <v>CB112</v>
      </c>
      <c r="CY50" s="22" t="str">
        <f>IF(INDEX('Shot Map'!$B$6:$V$26,CEILING($A50/5,1),CEILING(CY$2/5,1))=1,INDEX('Serial Reference'!$A$8:$W$8,1,FLOOR(($A50-1)/23,1)+1)&amp;INDEX('Serial Reference'!$A$8:$W$8,1,MOD($A50-1,23)+1)&amp;TEXT(CY$2+FLOOR((CY$2-1)/9,1),"000"),"")</f>
        <v>CB113</v>
      </c>
      <c r="CZ50" s="22" t="str">
        <f>IF(INDEX('Shot Map'!$B$6:$V$26,CEILING($A50/5,1),CEILING(CZ$2/5,1))=1,INDEX('Serial Reference'!$A$8:$W$8,1,FLOOR(($A50-1)/23,1)+1)&amp;INDEX('Serial Reference'!$A$8:$W$8,1,MOD($A50-1,23)+1)&amp;TEXT(CZ$2+FLOOR((CZ$2-1)/9,1),"000"),"")</f>
        <v>CB114</v>
      </c>
      <c r="DA50" s="22" t="str">
        <f>IF(INDEX('Shot Map'!$B$6:$V$26,CEILING($A50/5,1),CEILING(DA$2/5,1))=1,INDEX('Serial Reference'!$A$8:$W$8,1,FLOOR(($A50-1)/23,1)+1)&amp;INDEX('Serial Reference'!$A$8:$W$8,1,MOD($A50-1,23)+1)&amp;TEXT(DA$2+FLOOR((DA$2-1)/9,1),"000"),"")</f>
        <v>CB115</v>
      </c>
      <c r="DB50" s="23" t="str">
        <f>IF(INDEX('Shot Map'!$B$6:$V$26,CEILING($A50/5,1),CEILING(DB$2/5,1))=1,INDEX('Serial Reference'!$A$8:$W$8,1,FLOOR(($A50-1)/23,1)+1)&amp;INDEX('Serial Reference'!$A$8:$W$8,1,MOD($A50-1,23)+1)&amp;TEXT(DB$2+FLOOR((DB$2-1)/9,1),"000"),"")</f>
        <v>CB116</v>
      </c>
    </row>
    <row r="51" spans="1:106" ht="12.75" customHeight="1" x14ac:dyDescent="0.25">
      <c r="A51" s="17">
        <v>49</v>
      </c>
      <c r="B51" s="21" t="str">
        <f>IF(INDEX('Shot Map'!$B$6:$V$26,CEILING($A51/5,1),CEILING(B$2/5,1))=1,INDEX('Serial Reference'!$A$8:$W$8,1,FLOOR(($A51-1)/23,1)+1)&amp;INDEX('Serial Reference'!$A$8:$W$8,1,MOD($A51-1,23)+1)&amp;TEXT(B$2+FLOOR((B$2-1)/9,1),"000"),"")</f>
        <v>CC001</v>
      </c>
      <c r="C51" s="22" t="str">
        <f>IF(INDEX('Shot Map'!$B$6:$V$26,CEILING($A51/5,1),CEILING(C$2/5,1))=1,INDEX('Serial Reference'!$A$8:$W$8,1,FLOOR(($A51-1)/23,1)+1)&amp;INDEX('Serial Reference'!$A$8:$W$8,1,MOD($A51-1,23)+1)&amp;TEXT(C$2+FLOOR((C$2-1)/9,1),"000"),"")</f>
        <v>CC002</v>
      </c>
      <c r="D51" s="22" t="str">
        <f>IF(INDEX('Shot Map'!$B$6:$V$26,CEILING($A51/5,1),CEILING(D$2/5,1))=1,INDEX('Serial Reference'!$A$8:$W$8,1,FLOOR(($A51-1)/23,1)+1)&amp;INDEX('Serial Reference'!$A$8:$W$8,1,MOD($A51-1,23)+1)&amp;TEXT(D$2+FLOOR((D$2-1)/9,1),"000"),"")</f>
        <v>CC003</v>
      </c>
      <c r="E51" s="22" t="str">
        <f>IF(INDEX('Shot Map'!$B$6:$V$26,CEILING($A51/5,1),CEILING(E$2/5,1))=1,INDEX('Serial Reference'!$A$8:$W$8,1,FLOOR(($A51-1)/23,1)+1)&amp;INDEX('Serial Reference'!$A$8:$W$8,1,MOD($A51-1,23)+1)&amp;TEXT(E$2+FLOOR((E$2-1)/9,1),"000"),"")</f>
        <v>CC004</v>
      </c>
      <c r="F51" s="23" t="str">
        <f>IF(INDEX('Shot Map'!$B$6:$V$26,CEILING($A51/5,1),CEILING(F$2/5,1))=1,INDEX('Serial Reference'!$A$8:$W$8,1,FLOOR(($A51-1)/23,1)+1)&amp;INDEX('Serial Reference'!$A$8:$W$8,1,MOD($A51-1,23)+1)&amp;TEXT(F$2+FLOOR((F$2-1)/9,1),"000"),"")</f>
        <v>CC005</v>
      </c>
      <c r="G51" s="21" t="str">
        <f>IF(INDEX('Shot Map'!$B$6:$V$26,CEILING($A51/5,1),CEILING(G$2/5,1))=1,INDEX('Serial Reference'!$A$8:$W$8,1,FLOOR(($A51-1)/23,1)+1)&amp;INDEX('Serial Reference'!$A$8:$W$8,1,MOD($A51-1,23)+1)&amp;TEXT(G$2+FLOOR((G$2-1)/9,1),"000"),"")</f>
        <v>CC006</v>
      </c>
      <c r="H51" s="22" t="str">
        <f>IF(INDEX('Shot Map'!$B$6:$V$26,CEILING($A51/5,1),CEILING(H$2/5,1))=1,INDEX('Serial Reference'!$A$8:$W$8,1,FLOOR(($A51-1)/23,1)+1)&amp;INDEX('Serial Reference'!$A$8:$W$8,1,MOD($A51-1,23)+1)&amp;TEXT(H$2+FLOOR((H$2-1)/9,1),"000"),"")</f>
        <v>CC007</v>
      </c>
      <c r="I51" s="22" t="str">
        <f>IF(INDEX('Shot Map'!$B$6:$V$26,CEILING($A51/5,1),CEILING(I$2/5,1))=1,INDEX('Serial Reference'!$A$8:$W$8,1,FLOOR(($A51-1)/23,1)+1)&amp;INDEX('Serial Reference'!$A$8:$W$8,1,MOD($A51-1,23)+1)&amp;TEXT(I$2+FLOOR((I$2-1)/9,1),"000"),"")</f>
        <v>CC008</v>
      </c>
      <c r="J51" s="22" t="str">
        <f>IF(INDEX('Shot Map'!$B$6:$V$26,CEILING($A51/5,1),CEILING(J$2/5,1))=1,INDEX('Serial Reference'!$A$8:$W$8,1,FLOOR(($A51-1)/23,1)+1)&amp;INDEX('Serial Reference'!$A$8:$W$8,1,MOD($A51-1,23)+1)&amp;TEXT(J$2+FLOOR((J$2-1)/9,1),"000"),"")</f>
        <v>CC009</v>
      </c>
      <c r="K51" s="23" t="str">
        <f>IF(INDEX('Shot Map'!$B$6:$V$26,CEILING($A51/5,1),CEILING(K$2/5,1))=1,INDEX('Serial Reference'!$A$8:$W$8,1,FLOOR(($A51-1)/23,1)+1)&amp;INDEX('Serial Reference'!$A$8:$W$8,1,MOD($A51-1,23)+1)&amp;TEXT(K$2+FLOOR((K$2-1)/9,1),"000"),"")</f>
        <v>CC011</v>
      </c>
      <c r="L51" s="21" t="str">
        <f>IF(INDEX('Shot Map'!$B$6:$V$26,CEILING($A51/5,1),CEILING(L$2/5,1))=1,INDEX('Serial Reference'!$A$8:$W$8,1,FLOOR(($A51-1)/23,1)+1)&amp;INDEX('Serial Reference'!$A$8:$W$8,1,MOD($A51-1,23)+1)&amp;TEXT(L$2+FLOOR((L$2-1)/9,1),"000"),"")</f>
        <v>CC012</v>
      </c>
      <c r="M51" s="22" t="str">
        <f>IF(INDEX('Shot Map'!$B$6:$V$26,CEILING($A51/5,1),CEILING(M$2/5,1))=1,INDEX('Serial Reference'!$A$8:$W$8,1,FLOOR(($A51-1)/23,1)+1)&amp;INDEX('Serial Reference'!$A$8:$W$8,1,MOD($A51-1,23)+1)&amp;TEXT(M$2+FLOOR((M$2-1)/9,1),"000"),"")</f>
        <v>CC013</v>
      </c>
      <c r="N51" s="22" t="str">
        <f>IF(INDEX('Shot Map'!$B$6:$V$26,CEILING($A51/5,1),CEILING(N$2/5,1))=1,INDEX('Serial Reference'!$A$8:$W$8,1,FLOOR(($A51-1)/23,1)+1)&amp;INDEX('Serial Reference'!$A$8:$W$8,1,MOD($A51-1,23)+1)&amp;TEXT(N$2+FLOOR((N$2-1)/9,1),"000"),"")</f>
        <v>CC014</v>
      </c>
      <c r="O51" s="22" t="str">
        <f>IF(INDEX('Shot Map'!$B$6:$V$26,CEILING($A51/5,1),CEILING(O$2/5,1))=1,INDEX('Serial Reference'!$A$8:$W$8,1,FLOOR(($A51-1)/23,1)+1)&amp;INDEX('Serial Reference'!$A$8:$W$8,1,MOD($A51-1,23)+1)&amp;TEXT(O$2+FLOOR((O$2-1)/9,1),"000"),"")</f>
        <v>CC015</v>
      </c>
      <c r="P51" s="23" t="str">
        <f>IF(INDEX('Shot Map'!$B$6:$V$26,CEILING($A51/5,1),CEILING(P$2/5,1))=1,INDEX('Serial Reference'!$A$8:$W$8,1,FLOOR(($A51-1)/23,1)+1)&amp;INDEX('Serial Reference'!$A$8:$W$8,1,MOD($A51-1,23)+1)&amp;TEXT(P$2+FLOOR((P$2-1)/9,1),"000"),"")</f>
        <v>CC016</v>
      </c>
      <c r="Q51" s="21" t="str">
        <f>IF(INDEX('Shot Map'!$B$6:$V$26,CEILING($A51/5,1),CEILING(Q$2/5,1))=1,INDEX('Serial Reference'!$A$8:$W$8,1,FLOOR(($A51-1)/23,1)+1)&amp;INDEX('Serial Reference'!$A$8:$W$8,1,MOD($A51-1,23)+1)&amp;TEXT(Q$2+FLOOR((Q$2-1)/9,1),"000"),"")</f>
        <v>CC017</v>
      </c>
      <c r="R51" s="22" t="str">
        <f>IF(INDEX('Shot Map'!$B$6:$V$26,CEILING($A51/5,1),CEILING(R$2/5,1))=1,INDEX('Serial Reference'!$A$8:$W$8,1,FLOOR(($A51-1)/23,1)+1)&amp;INDEX('Serial Reference'!$A$8:$W$8,1,MOD($A51-1,23)+1)&amp;TEXT(R$2+FLOOR((R$2-1)/9,1),"000"),"")</f>
        <v>CC018</v>
      </c>
      <c r="S51" s="22" t="str">
        <f>IF(INDEX('Shot Map'!$B$6:$V$26,CEILING($A51/5,1),CEILING(S$2/5,1))=1,INDEX('Serial Reference'!$A$8:$W$8,1,FLOOR(($A51-1)/23,1)+1)&amp;INDEX('Serial Reference'!$A$8:$W$8,1,MOD($A51-1,23)+1)&amp;TEXT(S$2+FLOOR((S$2-1)/9,1),"000"),"")</f>
        <v>CC019</v>
      </c>
      <c r="T51" s="22" t="str">
        <f>IF(INDEX('Shot Map'!$B$6:$V$26,CEILING($A51/5,1),CEILING(T$2/5,1))=1,INDEX('Serial Reference'!$A$8:$W$8,1,FLOOR(($A51-1)/23,1)+1)&amp;INDEX('Serial Reference'!$A$8:$W$8,1,MOD($A51-1,23)+1)&amp;TEXT(T$2+FLOOR((T$2-1)/9,1),"000"),"")</f>
        <v>CC021</v>
      </c>
      <c r="U51" s="23" t="str">
        <f>IF(INDEX('Shot Map'!$B$6:$V$26,CEILING($A51/5,1),CEILING(U$2/5,1))=1,INDEX('Serial Reference'!$A$8:$W$8,1,FLOOR(($A51-1)/23,1)+1)&amp;INDEX('Serial Reference'!$A$8:$W$8,1,MOD($A51-1,23)+1)&amp;TEXT(U$2+FLOOR((U$2-1)/9,1),"000"),"")</f>
        <v>CC022</v>
      </c>
      <c r="V51" s="21" t="str">
        <f>IF(INDEX('Shot Map'!$B$6:$V$26,CEILING($A51/5,1),CEILING(V$2/5,1))=1,INDEX('Serial Reference'!$A$8:$W$8,1,FLOOR(($A51-1)/23,1)+1)&amp;INDEX('Serial Reference'!$A$8:$W$8,1,MOD($A51-1,23)+1)&amp;TEXT(V$2+FLOOR((V$2-1)/9,1),"000"),"")</f>
        <v>CC023</v>
      </c>
      <c r="W51" s="22" t="str">
        <f>IF(INDEX('Shot Map'!$B$6:$V$26,CEILING($A51/5,1),CEILING(W$2/5,1))=1,INDEX('Serial Reference'!$A$8:$W$8,1,FLOOR(($A51-1)/23,1)+1)&amp;INDEX('Serial Reference'!$A$8:$W$8,1,MOD($A51-1,23)+1)&amp;TEXT(W$2+FLOOR((W$2-1)/9,1),"000"),"")</f>
        <v>CC024</v>
      </c>
      <c r="X51" s="22" t="str">
        <f>IF(INDEX('Shot Map'!$B$6:$V$26,CEILING($A51/5,1),CEILING(X$2/5,1))=1,INDEX('Serial Reference'!$A$8:$W$8,1,FLOOR(($A51-1)/23,1)+1)&amp;INDEX('Serial Reference'!$A$8:$W$8,1,MOD($A51-1,23)+1)&amp;TEXT(X$2+FLOOR((X$2-1)/9,1),"000"),"")</f>
        <v>CC025</v>
      </c>
      <c r="Y51" s="22" t="str">
        <f>IF(INDEX('Shot Map'!$B$6:$V$26,CEILING($A51/5,1),CEILING(Y$2/5,1))=1,INDEX('Serial Reference'!$A$8:$W$8,1,FLOOR(($A51-1)/23,1)+1)&amp;INDEX('Serial Reference'!$A$8:$W$8,1,MOD($A51-1,23)+1)&amp;TEXT(Y$2+FLOOR((Y$2-1)/9,1),"000"),"")</f>
        <v>CC026</v>
      </c>
      <c r="Z51" s="23" t="str">
        <f>IF(INDEX('Shot Map'!$B$6:$V$26,CEILING($A51/5,1),CEILING(Z$2/5,1))=1,INDEX('Serial Reference'!$A$8:$W$8,1,FLOOR(($A51-1)/23,1)+1)&amp;INDEX('Serial Reference'!$A$8:$W$8,1,MOD($A51-1,23)+1)&amp;TEXT(Z$2+FLOOR((Z$2-1)/9,1),"000"),"")</f>
        <v>CC027</v>
      </c>
      <c r="AA51" s="21" t="str">
        <f>IF(INDEX('Shot Map'!$B$6:$V$26,CEILING($A51/5,1),CEILING(AA$2/5,1))=1,INDEX('Serial Reference'!$A$8:$W$8,1,FLOOR(($A51-1)/23,1)+1)&amp;INDEX('Serial Reference'!$A$8:$W$8,1,MOD($A51-1,23)+1)&amp;TEXT(AA$2+FLOOR((AA$2-1)/9,1),"000"),"")</f>
        <v>CC028</v>
      </c>
      <c r="AB51" s="22" t="str">
        <f>IF(INDEX('Shot Map'!$B$6:$V$26,CEILING($A51/5,1),CEILING(AB$2/5,1))=1,INDEX('Serial Reference'!$A$8:$W$8,1,FLOOR(($A51-1)/23,1)+1)&amp;INDEX('Serial Reference'!$A$8:$W$8,1,MOD($A51-1,23)+1)&amp;TEXT(AB$2+FLOOR((AB$2-1)/9,1),"000"),"")</f>
        <v>CC029</v>
      </c>
      <c r="AC51" s="22" t="str">
        <f>IF(INDEX('Shot Map'!$B$6:$V$26,CEILING($A51/5,1),CEILING(AC$2/5,1))=1,INDEX('Serial Reference'!$A$8:$W$8,1,FLOOR(($A51-1)/23,1)+1)&amp;INDEX('Serial Reference'!$A$8:$W$8,1,MOD($A51-1,23)+1)&amp;TEXT(AC$2+FLOOR((AC$2-1)/9,1),"000"),"")</f>
        <v>CC031</v>
      </c>
      <c r="AD51" s="22" t="str">
        <f>IF(INDEX('Shot Map'!$B$6:$V$26,CEILING($A51/5,1),CEILING(AD$2/5,1))=1,INDEX('Serial Reference'!$A$8:$W$8,1,FLOOR(($A51-1)/23,1)+1)&amp;INDEX('Serial Reference'!$A$8:$W$8,1,MOD($A51-1,23)+1)&amp;TEXT(AD$2+FLOOR((AD$2-1)/9,1),"000"),"")</f>
        <v>CC032</v>
      </c>
      <c r="AE51" s="23" t="str">
        <f>IF(INDEX('Shot Map'!$B$6:$V$26,CEILING($A51/5,1),CEILING(AE$2/5,1))=1,INDEX('Serial Reference'!$A$8:$W$8,1,FLOOR(($A51-1)/23,1)+1)&amp;INDEX('Serial Reference'!$A$8:$W$8,1,MOD($A51-1,23)+1)&amp;TEXT(AE$2+FLOOR((AE$2-1)/9,1),"000"),"")</f>
        <v>CC033</v>
      </c>
      <c r="AF51" s="21" t="str">
        <f>IF(INDEX('Shot Map'!$B$6:$V$26,CEILING($A51/5,1),CEILING(AF$2/5,1))=1,INDEX('Serial Reference'!$A$8:$W$8,1,FLOOR(($A51-1)/23,1)+1)&amp;INDEX('Serial Reference'!$A$8:$W$8,1,MOD($A51-1,23)+1)&amp;TEXT(AF$2+FLOOR((AF$2-1)/9,1),"000"),"")</f>
        <v>CC034</v>
      </c>
      <c r="AG51" s="22" t="str">
        <f>IF(INDEX('Shot Map'!$B$6:$V$26,CEILING($A51/5,1),CEILING(AG$2/5,1))=1,INDEX('Serial Reference'!$A$8:$W$8,1,FLOOR(($A51-1)/23,1)+1)&amp;INDEX('Serial Reference'!$A$8:$W$8,1,MOD($A51-1,23)+1)&amp;TEXT(AG$2+FLOOR((AG$2-1)/9,1),"000"),"")</f>
        <v>CC035</v>
      </c>
      <c r="AH51" s="22" t="str">
        <f>IF(INDEX('Shot Map'!$B$6:$V$26,CEILING($A51/5,1),CEILING(AH$2/5,1))=1,INDEX('Serial Reference'!$A$8:$W$8,1,FLOOR(($A51-1)/23,1)+1)&amp;INDEX('Serial Reference'!$A$8:$W$8,1,MOD($A51-1,23)+1)&amp;TEXT(AH$2+FLOOR((AH$2-1)/9,1),"000"),"")</f>
        <v>CC036</v>
      </c>
      <c r="AI51" s="22" t="str">
        <f>IF(INDEX('Shot Map'!$B$6:$V$26,CEILING($A51/5,1),CEILING(AI$2/5,1))=1,INDEX('Serial Reference'!$A$8:$W$8,1,FLOOR(($A51-1)/23,1)+1)&amp;INDEX('Serial Reference'!$A$8:$W$8,1,MOD($A51-1,23)+1)&amp;TEXT(AI$2+FLOOR((AI$2-1)/9,1),"000"),"")</f>
        <v>CC037</v>
      </c>
      <c r="AJ51" s="23" t="str">
        <f>IF(INDEX('Shot Map'!$B$6:$V$26,CEILING($A51/5,1),CEILING(AJ$2/5,1))=1,INDEX('Serial Reference'!$A$8:$W$8,1,FLOOR(($A51-1)/23,1)+1)&amp;INDEX('Serial Reference'!$A$8:$W$8,1,MOD($A51-1,23)+1)&amp;TEXT(AJ$2+FLOOR((AJ$2-1)/9,1),"000"),"")</f>
        <v>CC038</v>
      </c>
      <c r="AK51" s="21" t="str">
        <f>IF(INDEX('Shot Map'!$B$6:$V$26,CEILING($A51/5,1),CEILING(AK$2/5,1))=1,INDEX('Serial Reference'!$A$8:$W$8,1,FLOOR(($A51-1)/23,1)+1)&amp;INDEX('Serial Reference'!$A$8:$W$8,1,MOD($A51-1,23)+1)&amp;TEXT(AK$2+FLOOR((AK$2-1)/9,1),"000"),"")</f>
        <v>CC039</v>
      </c>
      <c r="AL51" s="22" t="str">
        <f>IF(INDEX('Shot Map'!$B$6:$V$26,CEILING($A51/5,1),CEILING(AL$2/5,1))=1,INDEX('Serial Reference'!$A$8:$W$8,1,FLOOR(($A51-1)/23,1)+1)&amp;INDEX('Serial Reference'!$A$8:$W$8,1,MOD($A51-1,23)+1)&amp;TEXT(AL$2+FLOOR((AL$2-1)/9,1),"000"),"")</f>
        <v>CC041</v>
      </c>
      <c r="AM51" s="22" t="str">
        <f>IF(INDEX('Shot Map'!$B$6:$V$26,CEILING($A51/5,1),CEILING(AM$2/5,1))=1,INDEX('Serial Reference'!$A$8:$W$8,1,FLOOR(($A51-1)/23,1)+1)&amp;INDEX('Serial Reference'!$A$8:$W$8,1,MOD($A51-1,23)+1)&amp;TEXT(AM$2+FLOOR((AM$2-1)/9,1),"000"),"")</f>
        <v>CC042</v>
      </c>
      <c r="AN51" s="22" t="str">
        <f>IF(INDEX('Shot Map'!$B$6:$V$26,CEILING($A51/5,1),CEILING(AN$2/5,1))=1,INDEX('Serial Reference'!$A$8:$W$8,1,FLOOR(($A51-1)/23,1)+1)&amp;INDEX('Serial Reference'!$A$8:$W$8,1,MOD($A51-1,23)+1)&amp;TEXT(AN$2+FLOOR((AN$2-1)/9,1),"000"),"")</f>
        <v>CC043</v>
      </c>
      <c r="AO51" s="23" t="str">
        <f>IF(INDEX('Shot Map'!$B$6:$V$26,CEILING($A51/5,1),CEILING(AO$2/5,1))=1,INDEX('Serial Reference'!$A$8:$W$8,1,FLOOR(($A51-1)/23,1)+1)&amp;INDEX('Serial Reference'!$A$8:$W$8,1,MOD($A51-1,23)+1)&amp;TEXT(AO$2+FLOOR((AO$2-1)/9,1),"000"),"")</f>
        <v>CC044</v>
      </c>
      <c r="AP51" s="21" t="str">
        <f>IF(INDEX('Shot Map'!$B$6:$V$26,CEILING($A51/5,1),CEILING(AP$2/5,1))=1,INDEX('Serial Reference'!$A$8:$W$8,1,FLOOR(($A51-1)/23,1)+1)&amp;INDEX('Serial Reference'!$A$8:$W$8,1,MOD($A51-1,23)+1)&amp;TEXT(AP$2+FLOOR((AP$2-1)/9,1),"000"),"")</f>
        <v>CC045</v>
      </c>
      <c r="AQ51" s="22" t="str">
        <f>IF(INDEX('Shot Map'!$B$6:$V$26,CEILING($A51/5,1),CEILING(AQ$2/5,1))=1,INDEX('Serial Reference'!$A$8:$W$8,1,FLOOR(($A51-1)/23,1)+1)&amp;INDEX('Serial Reference'!$A$8:$W$8,1,MOD($A51-1,23)+1)&amp;TEXT(AQ$2+FLOOR((AQ$2-1)/9,1),"000"),"")</f>
        <v>CC046</v>
      </c>
      <c r="AR51" s="22" t="str">
        <f>IF(INDEX('Shot Map'!$B$6:$V$26,CEILING($A51/5,1),CEILING(AR$2/5,1))=1,INDEX('Serial Reference'!$A$8:$W$8,1,FLOOR(($A51-1)/23,1)+1)&amp;INDEX('Serial Reference'!$A$8:$W$8,1,MOD($A51-1,23)+1)&amp;TEXT(AR$2+FLOOR((AR$2-1)/9,1),"000"),"")</f>
        <v>CC047</v>
      </c>
      <c r="AS51" s="22" t="str">
        <f>IF(INDEX('Shot Map'!$B$6:$V$26,CEILING($A51/5,1),CEILING(AS$2/5,1))=1,INDEX('Serial Reference'!$A$8:$W$8,1,FLOOR(($A51-1)/23,1)+1)&amp;INDEX('Serial Reference'!$A$8:$W$8,1,MOD($A51-1,23)+1)&amp;TEXT(AS$2+FLOOR((AS$2-1)/9,1),"000"),"")</f>
        <v>CC048</v>
      </c>
      <c r="AT51" s="23" t="str">
        <f>IF(INDEX('Shot Map'!$B$6:$V$26,CEILING($A51/5,1),CEILING(AT$2/5,1))=1,INDEX('Serial Reference'!$A$8:$W$8,1,FLOOR(($A51-1)/23,1)+1)&amp;INDEX('Serial Reference'!$A$8:$W$8,1,MOD($A51-1,23)+1)&amp;TEXT(AT$2+FLOOR((AT$2-1)/9,1),"000"),"")</f>
        <v>CC049</v>
      </c>
      <c r="AU51" s="21" t="str">
        <f>IF(INDEX('Shot Map'!$B$6:$V$26,CEILING($A51/5,1),CEILING(AU$2/5,1))=1,INDEX('Serial Reference'!$A$8:$W$8,1,FLOOR(($A51-1)/23,1)+1)&amp;INDEX('Serial Reference'!$A$8:$W$8,1,MOD($A51-1,23)+1)&amp;TEXT(AU$2+FLOOR((AU$2-1)/9,1),"000"),"")</f>
        <v>CC051</v>
      </c>
      <c r="AV51" s="22" t="str">
        <f>IF(INDEX('Shot Map'!$B$6:$V$26,CEILING($A51/5,1),CEILING(AV$2/5,1))=1,INDEX('Serial Reference'!$A$8:$W$8,1,FLOOR(($A51-1)/23,1)+1)&amp;INDEX('Serial Reference'!$A$8:$W$8,1,MOD($A51-1,23)+1)&amp;TEXT(AV$2+FLOOR((AV$2-1)/9,1),"000"),"")</f>
        <v>CC052</v>
      </c>
      <c r="AW51" s="22" t="str">
        <f>IF(INDEX('Shot Map'!$B$6:$V$26,CEILING($A51/5,1),CEILING(AW$2/5,1))=1,INDEX('Serial Reference'!$A$8:$W$8,1,FLOOR(($A51-1)/23,1)+1)&amp;INDEX('Serial Reference'!$A$8:$W$8,1,MOD($A51-1,23)+1)&amp;TEXT(AW$2+FLOOR((AW$2-1)/9,1),"000"),"")</f>
        <v>CC053</v>
      </c>
      <c r="AX51" s="22" t="str">
        <f>IF(INDEX('Shot Map'!$B$6:$V$26,CEILING($A51/5,1),CEILING(AX$2/5,1))=1,INDEX('Serial Reference'!$A$8:$W$8,1,FLOOR(($A51-1)/23,1)+1)&amp;INDEX('Serial Reference'!$A$8:$W$8,1,MOD($A51-1,23)+1)&amp;TEXT(AX$2+FLOOR((AX$2-1)/9,1),"000"),"")</f>
        <v>CC054</v>
      </c>
      <c r="AY51" s="23" t="str">
        <f>IF(INDEX('Shot Map'!$B$6:$V$26,CEILING($A51/5,1),CEILING(AY$2/5,1))=1,INDEX('Serial Reference'!$A$8:$W$8,1,FLOOR(($A51-1)/23,1)+1)&amp;INDEX('Serial Reference'!$A$8:$W$8,1,MOD($A51-1,23)+1)&amp;TEXT(AY$2+FLOOR((AY$2-1)/9,1),"000"),"")</f>
        <v>CC055</v>
      </c>
      <c r="AZ51" s="21" t="str">
        <f>IF(INDEX('Shot Map'!$B$6:$V$26,CEILING($A51/5,1),CEILING(AZ$2/5,1))=1,INDEX('Serial Reference'!$A$8:$W$8,1,FLOOR(($A51-1)/23,1)+1)&amp;INDEX('Serial Reference'!$A$8:$W$8,1,MOD($A51-1,23)+1)&amp;TEXT(AZ$2+FLOOR((AZ$2-1)/9,1),"000"),"")</f>
        <v>CC056</v>
      </c>
      <c r="BA51" s="22" t="str">
        <f>IF(INDEX('Shot Map'!$B$6:$V$26,CEILING($A51/5,1),CEILING(BA$2/5,1))=1,INDEX('Serial Reference'!$A$8:$W$8,1,FLOOR(($A51-1)/23,1)+1)&amp;INDEX('Serial Reference'!$A$8:$W$8,1,MOD($A51-1,23)+1)&amp;TEXT(BA$2+FLOOR((BA$2-1)/9,1),"000"),"")</f>
        <v>CC057</v>
      </c>
      <c r="BB51" s="22" t="str">
        <f>IF(INDEX('Shot Map'!$B$6:$V$26,CEILING($A51/5,1),CEILING(BB$2/5,1))=1,INDEX('Serial Reference'!$A$8:$W$8,1,FLOOR(($A51-1)/23,1)+1)&amp;INDEX('Serial Reference'!$A$8:$W$8,1,MOD($A51-1,23)+1)&amp;TEXT(BB$2+FLOOR((BB$2-1)/9,1),"000"),"")</f>
        <v>CC058</v>
      </c>
      <c r="BC51" s="22" t="str">
        <f>IF(INDEX('Shot Map'!$B$6:$V$26,CEILING($A51/5,1),CEILING(BC$2/5,1))=1,INDEX('Serial Reference'!$A$8:$W$8,1,FLOOR(($A51-1)/23,1)+1)&amp;INDEX('Serial Reference'!$A$8:$W$8,1,MOD($A51-1,23)+1)&amp;TEXT(BC$2+FLOOR((BC$2-1)/9,1),"000"),"")</f>
        <v>CC059</v>
      </c>
      <c r="BD51" s="23" t="str">
        <f>IF(INDEX('Shot Map'!$B$6:$V$26,CEILING($A51/5,1),CEILING(BD$2/5,1))=1,INDEX('Serial Reference'!$A$8:$W$8,1,FLOOR(($A51-1)/23,1)+1)&amp;INDEX('Serial Reference'!$A$8:$W$8,1,MOD($A51-1,23)+1)&amp;TEXT(BD$2+FLOOR((BD$2-1)/9,1),"000"),"")</f>
        <v>CC061</v>
      </c>
      <c r="BE51" s="21" t="str">
        <f>IF(INDEX('Shot Map'!$B$6:$V$26,CEILING($A51/5,1),CEILING(BE$2/5,1))=1,INDEX('Serial Reference'!$A$8:$W$8,1,FLOOR(($A51-1)/23,1)+1)&amp;INDEX('Serial Reference'!$A$8:$W$8,1,MOD($A51-1,23)+1)&amp;TEXT(BE$2+FLOOR((BE$2-1)/9,1),"000"),"")</f>
        <v>CC062</v>
      </c>
      <c r="BF51" s="22" t="str">
        <f>IF(INDEX('Shot Map'!$B$6:$V$26,CEILING($A51/5,1),CEILING(BF$2/5,1))=1,INDEX('Serial Reference'!$A$8:$W$8,1,FLOOR(($A51-1)/23,1)+1)&amp;INDEX('Serial Reference'!$A$8:$W$8,1,MOD($A51-1,23)+1)&amp;TEXT(BF$2+FLOOR((BF$2-1)/9,1),"000"),"")</f>
        <v>CC063</v>
      </c>
      <c r="BG51" s="22" t="str">
        <f>IF(INDEX('Shot Map'!$B$6:$V$26,CEILING($A51/5,1),CEILING(BG$2/5,1))=1,INDEX('Serial Reference'!$A$8:$W$8,1,FLOOR(($A51-1)/23,1)+1)&amp;INDEX('Serial Reference'!$A$8:$W$8,1,MOD($A51-1,23)+1)&amp;TEXT(BG$2+FLOOR((BG$2-1)/9,1),"000"),"")</f>
        <v>CC064</v>
      </c>
      <c r="BH51" s="22" t="str">
        <f>IF(INDEX('Shot Map'!$B$6:$V$26,CEILING($A51/5,1),CEILING(BH$2/5,1))=1,INDEX('Serial Reference'!$A$8:$W$8,1,FLOOR(($A51-1)/23,1)+1)&amp;INDEX('Serial Reference'!$A$8:$W$8,1,MOD($A51-1,23)+1)&amp;TEXT(BH$2+FLOOR((BH$2-1)/9,1),"000"),"")</f>
        <v>CC065</v>
      </c>
      <c r="BI51" s="23" t="str">
        <f>IF(INDEX('Shot Map'!$B$6:$V$26,CEILING($A51/5,1),CEILING(BI$2/5,1))=1,INDEX('Serial Reference'!$A$8:$W$8,1,FLOOR(($A51-1)/23,1)+1)&amp;INDEX('Serial Reference'!$A$8:$W$8,1,MOD($A51-1,23)+1)&amp;TEXT(BI$2+FLOOR((BI$2-1)/9,1),"000"),"")</f>
        <v>CC066</v>
      </c>
      <c r="BJ51" s="21" t="str">
        <f>IF(INDEX('Shot Map'!$B$6:$V$26,CEILING($A51/5,1),CEILING(BJ$2/5,1))=1,INDEX('Serial Reference'!$A$8:$W$8,1,FLOOR(($A51-1)/23,1)+1)&amp;INDEX('Serial Reference'!$A$8:$W$8,1,MOD($A51-1,23)+1)&amp;TEXT(BJ$2+FLOOR((BJ$2-1)/9,1),"000"),"")</f>
        <v>CC067</v>
      </c>
      <c r="BK51" s="22" t="str">
        <f>IF(INDEX('Shot Map'!$B$6:$V$26,CEILING($A51/5,1),CEILING(BK$2/5,1))=1,INDEX('Serial Reference'!$A$8:$W$8,1,FLOOR(($A51-1)/23,1)+1)&amp;INDEX('Serial Reference'!$A$8:$W$8,1,MOD($A51-1,23)+1)&amp;TEXT(BK$2+FLOOR((BK$2-1)/9,1),"000"),"")</f>
        <v>CC068</v>
      </c>
      <c r="BL51" s="22" t="str">
        <f>IF(INDEX('Shot Map'!$B$6:$V$26,CEILING($A51/5,1),CEILING(BL$2/5,1))=1,INDEX('Serial Reference'!$A$8:$W$8,1,FLOOR(($A51-1)/23,1)+1)&amp;INDEX('Serial Reference'!$A$8:$W$8,1,MOD($A51-1,23)+1)&amp;TEXT(BL$2+FLOOR((BL$2-1)/9,1),"000"),"")</f>
        <v>CC069</v>
      </c>
      <c r="BM51" s="22" t="str">
        <f>IF(INDEX('Shot Map'!$B$6:$V$26,CEILING($A51/5,1),CEILING(BM$2/5,1))=1,INDEX('Serial Reference'!$A$8:$W$8,1,FLOOR(($A51-1)/23,1)+1)&amp;INDEX('Serial Reference'!$A$8:$W$8,1,MOD($A51-1,23)+1)&amp;TEXT(BM$2+FLOOR((BM$2-1)/9,1),"000"),"")</f>
        <v>CC071</v>
      </c>
      <c r="BN51" s="23" t="str">
        <f>IF(INDEX('Shot Map'!$B$6:$V$26,CEILING($A51/5,1),CEILING(BN$2/5,1))=1,INDEX('Serial Reference'!$A$8:$W$8,1,FLOOR(($A51-1)/23,1)+1)&amp;INDEX('Serial Reference'!$A$8:$W$8,1,MOD($A51-1,23)+1)&amp;TEXT(BN$2+FLOOR((BN$2-1)/9,1),"000"),"")</f>
        <v>CC072</v>
      </c>
      <c r="BO51" s="21" t="str">
        <f>IF(INDEX('Shot Map'!$B$6:$V$26,CEILING($A51/5,1),CEILING(BO$2/5,1))=1,INDEX('Serial Reference'!$A$8:$W$8,1,FLOOR(($A51-1)/23,1)+1)&amp;INDEX('Serial Reference'!$A$8:$W$8,1,MOD($A51-1,23)+1)&amp;TEXT(BO$2+FLOOR((BO$2-1)/9,1),"000"),"")</f>
        <v>CC073</v>
      </c>
      <c r="BP51" s="22" t="str">
        <f>IF(INDEX('Shot Map'!$B$6:$V$26,CEILING($A51/5,1),CEILING(BP$2/5,1))=1,INDEX('Serial Reference'!$A$8:$W$8,1,FLOOR(($A51-1)/23,1)+1)&amp;INDEX('Serial Reference'!$A$8:$W$8,1,MOD($A51-1,23)+1)&amp;TEXT(BP$2+FLOOR((BP$2-1)/9,1),"000"),"")</f>
        <v>CC074</v>
      </c>
      <c r="BQ51" s="22" t="str">
        <f>IF(INDEX('Shot Map'!$B$6:$V$26,CEILING($A51/5,1),CEILING(BQ$2/5,1))=1,INDEX('Serial Reference'!$A$8:$W$8,1,FLOOR(($A51-1)/23,1)+1)&amp;INDEX('Serial Reference'!$A$8:$W$8,1,MOD($A51-1,23)+1)&amp;TEXT(BQ$2+FLOOR((BQ$2-1)/9,1),"000"),"")</f>
        <v>CC075</v>
      </c>
      <c r="BR51" s="22" t="str">
        <f>IF(INDEX('Shot Map'!$B$6:$V$26,CEILING($A51/5,1),CEILING(BR$2/5,1))=1,INDEX('Serial Reference'!$A$8:$W$8,1,FLOOR(($A51-1)/23,1)+1)&amp;INDEX('Serial Reference'!$A$8:$W$8,1,MOD($A51-1,23)+1)&amp;TEXT(BR$2+FLOOR((BR$2-1)/9,1),"000"),"")</f>
        <v>CC076</v>
      </c>
      <c r="BS51" s="23" t="str">
        <f>IF(INDEX('Shot Map'!$B$6:$V$26,CEILING($A51/5,1),CEILING(BS$2/5,1))=1,INDEX('Serial Reference'!$A$8:$W$8,1,FLOOR(($A51-1)/23,1)+1)&amp;INDEX('Serial Reference'!$A$8:$W$8,1,MOD($A51-1,23)+1)&amp;TEXT(BS$2+FLOOR((BS$2-1)/9,1),"000"),"")</f>
        <v>CC077</v>
      </c>
      <c r="BT51" s="21" t="str">
        <f>IF(INDEX('Shot Map'!$B$6:$V$26,CEILING($A51/5,1),CEILING(BT$2/5,1))=1,INDEX('Serial Reference'!$A$8:$W$8,1,FLOOR(($A51-1)/23,1)+1)&amp;INDEX('Serial Reference'!$A$8:$W$8,1,MOD($A51-1,23)+1)&amp;TEXT(BT$2+FLOOR((BT$2-1)/9,1),"000"),"")</f>
        <v>CC078</v>
      </c>
      <c r="BU51" s="22" t="str">
        <f>IF(INDEX('Shot Map'!$B$6:$V$26,CEILING($A51/5,1),CEILING(BU$2/5,1))=1,INDEX('Serial Reference'!$A$8:$W$8,1,FLOOR(($A51-1)/23,1)+1)&amp;INDEX('Serial Reference'!$A$8:$W$8,1,MOD($A51-1,23)+1)&amp;TEXT(BU$2+FLOOR((BU$2-1)/9,1),"000"),"")</f>
        <v>CC079</v>
      </c>
      <c r="BV51" s="22" t="str">
        <f>IF(INDEX('Shot Map'!$B$6:$V$26,CEILING($A51/5,1),CEILING(BV$2/5,1))=1,INDEX('Serial Reference'!$A$8:$W$8,1,FLOOR(($A51-1)/23,1)+1)&amp;INDEX('Serial Reference'!$A$8:$W$8,1,MOD($A51-1,23)+1)&amp;TEXT(BV$2+FLOOR((BV$2-1)/9,1),"000"),"")</f>
        <v>CC081</v>
      </c>
      <c r="BW51" s="22" t="str">
        <f>IF(INDEX('Shot Map'!$B$6:$V$26,CEILING($A51/5,1),CEILING(BW$2/5,1))=1,INDEX('Serial Reference'!$A$8:$W$8,1,FLOOR(($A51-1)/23,1)+1)&amp;INDEX('Serial Reference'!$A$8:$W$8,1,MOD($A51-1,23)+1)&amp;TEXT(BW$2+FLOOR((BW$2-1)/9,1),"000"),"")</f>
        <v>CC082</v>
      </c>
      <c r="BX51" s="23" t="str">
        <f>IF(INDEX('Shot Map'!$B$6:$V$26,CEILING($A51/5,1),CEILING(BX$2/5,1))=1,INDEX('Serial Reference'!$A$8:$W$8,1,FLOOR(($A51-1)/23,1)+1)&amp;INDEX('Serial Reference'!$A$8:$W$8,1,MOD($A51-1,23)+1)&amp;TEXT(BX$2+FLOOR((BX$2-1)/9,1),"000"),"")</f>
        <v>CC083</v>
      </c>
      <c r="BY51" s="21" t="str">
        <f>IF(INDEX('Shot Map'!$B$6:$V$26,CEILING($A51/5,1),CEILING(BY$2/5,1))=1,INDEX('Serial Reference'!$A$8:$W$8,1,FLOOR(($A51-1)/23,1)+1)&amp;INDEX('Serial Reference'!$A$8:$W$8,1,MOD($A51-1,23)+1)&amp;TEXT(BY$2+FLOOR((BY$2-1)/9,1),"000"),"")</f>
        <v>CC084</v>
      </c>
      <c r="BZ51" s="22" t="str">
        <f>IF(INDEX('Shot Map'!$B$6:$V$26,CEILING($A51/5,1),CEILING(BZ$2/5,1))=1,INDEX('Serial Reference'!$A$8:$W$8,1,FLOOR(($A51-1)/23,1)+1)&amp;INDEX('Serial Reference'!$A$8:$W$8,1,MOD($A51-1,23)+1)&amp;TEXT(BZ$2+FLOOR((BZ$2-1)/9,1),"000"),"")</f>
        <v>CC085</v>
      </c>
      <c r="CA51" s="22" t="str">
        <f>IF(INDEX('Shot Map'!$B$6:$V$26,CEILING($A51/5,1),CEILING(CA$2/5,1))=1,INDEX('Serial Reference'!$A$8:$W$8,1,FLOOR(($A51-1)/23,1)+1)&amp;INDEX('Serial Reference'!$A$8:$W$8,1,MOD($A51-1,23)+1)&amp;TEXT(CA$2+FLOOR((CA$2-1)/9,1),"000"),"")</f>
        <v>CC086</v>
      </c>
      <c r="CB51" s="22" t="str">
        <f>IF(INDEX('Shot Map'!$B$6:$V$26,CEILING($A51/5,1),CEILING(CB$2/5,1))=1,INDEX('Serial Reference'!$A$8:$W$8,1,FLOOR(($A51-1)/23,1)+1)&amp;INDEX('Serial Reference'!$A$8:$W$8,1,MOD($A51-1,23)+1)&amp;TEXT(CB$2+FLOOR((CB$2-1)/9,1),"000"),"")</f>
        <v>CC087</v>
      </c>
      <c r="CC51" s="23" t="str">
        <f>IF(INDEX('Shot Map'!$B$6:$V$26,CEILING($A51/5,1),CEILING(CC$2/5,1))=1,INDEX('Serial Reference'!$A$8:$W$8,1,FLOOR(($A51-1)/23,1)+1)&amp;INDEX('Serial Reference'!$A$8:$W$8,1,MOD($A51-1,23)+1)&amp;TEXT(CC$2+FLOOR((CC$2-1)/9,1),"000"),"")</f>
        <v>CC088</v>
      </c>
      <c r="CD51" s="21" t="str">
        <f>IF(INDEX('Shot Map'!$B$6:$V$26,CEILING($A51/5,1),CEILING(CD$2/5,1))=1,INDEX('Serial Reference'!$A$8:$W$8,1,FLOOR(($A51-1)/23,1)+1)&amp;INDEX('Serial Reference'!$A$8:$W$8,1,MOD($A51-1,23)+1)&amp;TEXT(CD$2+FLOOR((CD$2-1)/9,1),"000"),"")</f>
        <v>CC089</v>
      </c>
      <c r="CE51" s="22" t="str">
        <f>IF(INDEX('Shot Map'!$B$6:$V$26,CEILING($A51/5,1),CEILING(CE$2/5,1))=1,INDEX('Serial Reference'!$A$8:$W$8,1,FLOOR(($A51-1)/23,1)+1)&amp;INDEX('Serial Reference'!$A$8:$W$8,1,MOD($A51-1,23)+1)&amp;TEXT(CE$2+FLOOR((CE$2-1)/9,1),"000"),"")</f>
        <v>CC091</v>
      </c>
      <c r="CF51" s="22" t="str">
        <f>IF(INDEX('Shot Map'!$B$6:$V$26,CEILING($A51/5,1),CEILING(CF$2/5,1))=1,INDEX('Serial Reference'!$A$8:$W$8,1,FLOOR(($A51-1)/23,1)+1)&amp;INDEX('Serial Reference'!$A$8:$W$8,1,MOD($A51-1,23)+1)&amp;TEXT(CF$2+FLOOR((CF$2-1)/9,1),"000"),"")</f>
        <v>CC092</v>
      </c>
      <c r="CG51" s="22" t="str">
        <f>IF(INDEX('Shot Map'!$B$6:$V$26,CEILING($A51/5,1),CEILING(CG$2/5,1))=1,INDEX('Serial Reference'!$A$8:$W$8,1,FLOOR(($A51-1)/23,1)+1)&amp;INDEX('Serial Reference'!$A$8:$W$8,1,MOD($A51-1,23)+1)&amp;TEXT(CG$2+FLOOR((CG$2-1)/9,1),"000"),"")</f>
        <v>CC093</v>
      </c>
      <c r="CH51" s="23" t="str">
        <f>IF(INDEX('Shot Map'!$B$6:$V$26,CEILING($A51/5,1),CEILING(CH$2/5,1))=1,INDEX('Serial Reference'!$A$8:$W$8,1,FLOOR(($A51-1)/23,1)+1)&amp;INDEX('Serial Reference'!$A$8:$W$8,1,MOD($A51-1,23)+1)&amp;TEXT(CH$2+FLOOR((CH$2-1)/9,1),"000"),"")</f>
        <v>CC094</v>
      </c>
      <c r="CI51" s="21" t="str">
        <f>IF(INDEX('Shot Map'!$B$6:$V$26,CEILING($A51/5,1),CEILING(CI$2/5,1))=1,INDEX('Serial Reference'!$A$8:$W$8,1,FLOOR(($A51-1)/23,1)+1)&amp;INDEX('Serial Reference'!$A$8:$W$8,1,MOD($A51-1,23)+1)&amp;TEXT(CI$2+FLOOR((CI$2-1)/9,1),"000"),"")</f>
        <v>CC095</v>
      </c>
      <c r="CJ51" s="22" t="str">
        <f>IF(INDEX('Shot Map'!$B$6:$V$26,CEILING($A51/5,1),CEILING(CJ$2/5,1))=1,INDEX('Serial Reference'!$A$8:$W$8,1,FLOOR(($A51-1)/23,1)+1)&amp;INDEX('Serial Reference'!$A$8:$W$8,1,MOD($A51-1,23)+1)&amp;TEXT(CJ$2+FLOOR((CJ$2-1)/9,1),"000"),"")</f>
        <v>CC096</v>
      </c>
      <c r="CK51" s="22" t="str">
        <f>IF(INDEX('Shot Map'!$B$6:$V$26,CEILING($A51/5,1),CEILING(CK$2/5,1))=1,INDEX('Serial Reference'!$A$8:$W$8,1,FLOOR(($A51-1)/23,1)+1)&amp;INDEX('Serial Reference'!$A$8:$W$8,1,MOD($A51-1,23)+1)&amp;TEXT(CK$2+FLOOR((CK$2-1)/9,1),"000"),"")</f>
        <v>CC097</v>
      </c>
      <c r="CL51" s="22" t="str">
        <f>IF(INDEX('Shot Map'!$B$6:$V$26,CEILING($A51/5,1),CEILING(CL$2/5,1))=1,INDEX('Serial Reference'!$A$8:$W$8,1,FLOOR(($A51-1)/23,1)+1)&amp;INDEX('Serial Reference'!$A$8:$W$8,1,MOD($A51-1,23)+1)&amp;TEXT(CL$2+FLOOR((CL$2-1)/9,1),"000"),"")</f>
        <v>CC098</v>
      </c>
      <c r="CM51" s="23" t="str">
        <f>IF(INDEX('Shot Map'!$B$6:$V$26,CEILING($A51/5,1),CEILING(CM$2/5,1))=1,INDEX('Serial Reference'!$A$8:$W$8,1,FLOOR(($A51-1)/23,1)+1)&amp;INDEX('Serial Reference'!$A$8:$W$8,1,MOD($A51-1,23)+1)&amp;TEXT(CM$2+FLOOR((CM$2-1)/9,1),"000"),"")</f>
        <v>CC099</v>
      </c>
      <c r="CN51" s="21" t="str">
        <f>IF(INDEX('Shot Map'!$B$6:$V$26,CEILING($A51/5,1),CEILING(CN$2/5,1))=1,INDEX('Serial Reference'!$A$8:$W$8,1,FLOOR(($A51-1)/23,1)+1)&amp;INDEX('Serial Reference'!$A$8:$W$8,1,MOD($A51-1,23)+1)&amp;TEXT(CN$2+FLOOR((CN$2-1)/9,1),"000"),"")</f>
        <v>CC101</v>
      </c>
      <c r="CO51" s="22" t="str">
        <f>IF(INDEX('Shot Map'!$B$6:$V$26,CEILING($A51/5,1),CEILING(CO$2/5,1))=1,INDEX('Serial Reference'!$A$8:$W$8,1,FLOOR(($A51-1)/23,1)+1)&amp;INDEX('Serial Reference'!$A$8:$W$8,1,MOD($A51-1,23)+1)&amp;TEXT(CO$2+FLOOR((CO$2-1)/9,1),"000"),"")</f>
        <v>CC102</v>
      </c>
      <c r="CP51" s="22" t="str">
        <f>IF(INDEX('Shot Map'!$B$6:$V$26,CEILING($A51/5,1),CEILING(CP$2/5,1))=1,INDEX('Serial Reference'!$A$8:$W$8,1,FLOOR(($A51-1)/23,1)+1)&amp;INDEX('Serial Reference'!$A$8:$W$8,1,MOD($A51-1,23)+1)&amp;TEXT(CP$2+FLOOR((CP$2-1)/9,1),"000"),"")</f>
        <v>CC103</v>
      </c>
      <c r="CQ51" s="22" t="str">
        <f>IF(INDEX('Shot Map'!$B$6:$V$26,CEILING($A51/5,1),CEILING(CQ$2/5,1))=1,INDEX('Serial Reference'!$A$8:$W$8,1,FLOOR(($A51-1)/23,1)+1)&amp;INDEX('Serial Reference'!$A$8:$W$8,1,MOD($A51-1,23)+1)&amp;TEXT(CQ$2+FLOOR((CQ$2-1)/9,1),"000"),"")</f>
        <v>CC104</v>
      </c>
      <c r="CR51" s="23" t="str">
        <f>IF(INDEX('Shot Map'!$B$6:$V$26,CEILING($A51/5,1),CEILING(CR$2/5,1))=1,INDEX('Serial Reference'!$A$8:$W$8,1,FLOOR(($A51-1)/23,1)+1)&amp;INDEX('Serial Reference'!$A$8:$W$8,1,MOD($A51-1,23)+1)&amp;TEXT(CR$2+FLOOR((CR$2-1)/9,1),"000"),"")</f>
        <v>CC105</v>
      </c>
      <c r="CS51" s="21" t="str">
        <f>IF(INDEX('Shot Map'!$B$6:$V$26,CEILING($A51/5,1),CEILING(CS$2/5,1))=1,INDEX('Serial Reference'!$A$8:$W$8,1,FLOOR(($A51-1)/23,1)+1)&amp;INDEX('Serial Reference'!$A$8:$W$8,1,MOD($A51-1,23)+1)&amp;TEXT(CS$2+FLOOR((CS$2-1)/9,1),"000"),"")</f>
        <v>CC106</v>
      </c>
      <c r="CT51" s="22" t="str">
        <f>IF(INDEX('Shot Map'!$B$6:$V$26,CEILING($A51/5,1),CEILING(CT$2/5,1))=1,INDEX('Serial Reference'!$A$8:$W$8,1,FLOOR(($A51-1)/23,1)+1)&amp;INDEX('Serial Reference'!$A$8:$W$8,1,MOD($A51-1,23)+1)&amp;TEXT(CT$2+FLOOR((CT$2-1)/9,1),"000"),"")</f>
        <v>CC107</v>
      </c>
      <c r="CU51" s="22" t="str">
        <f>IF(INDEX('Shot Map'!$B$6:$V$26,CEILING($A51/5,1),CEILING(CU$2/5,1))=1,INDEX('Serial Reference'!$A$8:$W$8,1,FLOOR(($A51-1)/23,1)+1)&amp;INDEX('Serial Reference'!$A$8:$W$8,1,MOD($A51-1,23)+1)&amp;TEXT(CU$2+FLOOR((CU$2-1)/9,1),"000"),"")</f>
        <v>CC108</v>
      </c>
      <c r="CV51" s="22" t="str">
        <f>IF(INDEX('Shot Map'!$B$6:$V$26,CEILING($A51/5,1),CEILING(CV$2/5,1))=1,INDEX('Serial Reference'!$A$8:$W$8,1,FLOOR(($A51-1)/23,1)+1)&amp;INDEX('Serial Reference'!$A$8:$W$8,1,MOD($A51-1,23)+1)&amp;TEXT(CV$2+FLOOR((CV$2-1)/9,1),"000"),"")</f>
        <v>CC109</v>
      </c>
      <c r="CW51" s="23" t="str">
        <f>IF(INDEX('Shot Map'!$B$6:$V$26,CEILING($A51/5,1),CEILING(CW$2/5,1))=1,INDEX('Serial Reference'!$A$8:$W$8,1,FLOOR(($A51-1)/23,1)+1)&amp;INDEX('Serial Reference'!$A$8:$W$8,1,MOD($A51-1,23)+1)&amp;TEXT(CW$2+FLOOR((CW$2-1)/9,1),"000"),"")</f>
        <v>CC111</v>
      </c>
      <c r="CX51" s="21" t="str">
        <f>IF(INDEX('Shot Map'!$B$6:$V$26,CEILING($A51/5,1),CEILING(CX$2/5,1))=1,INDEX('Serial Reference'!$A$8:$W$8,1,FLOOR(($A51-1)/23,1)+1)&amp;INDEX('Serial Reference'!$A$8:$W$8,1,MOD($A51-1,23)+1)&amp;TEXT(CX$2+FLOOR((CX$2-1)/9,1),"000"),"")</f>
        <v>CC112</v>
      </c>
      <c r="CY51" s="22" t="str">
        <f>IF(INDEX('Shot Map'!$B$6:$V$26,CEILING($A51/5,1),CEILING(CY$2/5,1))=1,INDEX('Serial Reference'!$A$8:$W$8,1,FLOOR(($A51-1)/23,1)+1)&amp;INDEX('Serial Reference'!$A$8:$W$8,1,MOD($A51-1,23)+1)&amp;TEXT(CY$2+FLOOR((CY$2-1)/9,1),"000"),"")</f>
        <v>CC113</v>
      </c>
      <c r="CZ51" s="22" t="str">
        <f>IF(INDEX('Shot Map'!$B$6:$V$26,CEILING($A51/5,1),CEILING(CZ$2/5,1))=1,INDEX('Serial Reference'!$A$8:$W$8,1,FLOOR(($A51-1)/23,1)+1)&amp;INDEX('Serial Reference'!$A$8:$W$8,1,MOD($A51-1,23)+1)&amp;TEXT(CZ$2+FLOOR((CZ$2-1)/9,1),"000"),"")</f>
        <v>CC114</v>
      </c>
      <c r="DA51" s="22" t="str">
        <f>IF(INDEX('Shot Map'!$B$6:$V$26,CEILING($A51/5,1),CEILING(DA$2/5,1))=1,INDEX('Serial Reference'!$A$8:$W$8,1,FLOOR(($A51-1)/23,1)+1)&amp;INDEX('Serial Reference'!$A$8:$W$8,1,MOD($A51-1,23)+1)&amp;TEXT(DA$2+FLOOR((DA$2-1)/9,1),"000"),"")</f>
        <v>CC115</v>
      </c>
      <c r="DB51" s="23" t="str">
        <f>IF(INDEX('Shot Map'!$B$6:$V$26,CEILING($A51/5,1),CEILING(DB$2/5,1))=1,INDEX('Serial Reference'!$A$8:$W$8,1,FLOOR(($A51-1)/23,1)+1)&amp;INDEX('Serial Reference'!$A$8:$W$8,1,MOD($A51-1,23)+1)&amp;TEXT(DB$2+FLOOR((DB$2-1)/9,1),"000"),"")</f>
        <v>CC116</v>
      </c>
    </row>
    <row r="52" spans="1:106" ht="12.75" customHeight="1" x14ac:dyDescent="0.25">
      <c r="A52" s="17">
        <v>50</v>
      </c>
      <c r="B52" s="24" t="str">
        <f>IF(INDEX('Shot Map'!$B$6:$V$26,CEILING($A52/5,1),CEILING(B$2/5,1))=1,INDEX('Serial Reference'!$A$8:$W$8,1,FLOOR(($A52-1)/23,1)+1)&amp;INDEX('Serial Reference'!$A$8:$W$8,1,MOD($A52-1,23)+1)&amp;TEXT(B$2+FLOOR((B$2-1)/9,1),"000"),"")</f>
        <v>CD001</v>
      </c>
      <c r="C52" s="25" t="str">
        <f>IF(INDEX('Shot Map'!$B$6:$V$26,CEILING($A52/5,1),CEILING(C$2/5,1))=1,INDEX('Serial Reference'!$A$8:$W$8,1,FLOOR(($A52-1)/23,1)+1)&amp;INDEX('Serial Reference'!$A$8:$W$8,1,MOD($A52-1,23)+1)&amp;TEXT(C$2+FLOOR((C$2-1)/9,1),"000"),"")</f>
        <v>CD002</v>
      </c>
      <c r="D52" s="25" t="str">
        <f>IF(INDEX('Shot Map'!$B$6:$V$26,CEILING($A52/5,1),CEILING(D$2/5,1))=1,INDEX('Serial Reference'!$A$8:$W$8,1,FLOOR(($A52-1)/23,1)+1)&amp;INDEX('Serial Reference'!$A$8:$W$8,1,MOD($A52-1,23)+1)&amp;TEXT(D$2+FLOOR((D$2-1)/9,1),"000"),"")</f>
        <v>CD003</v>
      </c>
      <c r="E52" s="25" t="str">
        <f>IF(INDEX('Shot Map'!$B$6:$V$26,CEILING($A52/5,1),CEILING(E$2/5,1))=1,INDEX('Serial Reference'!$A$8:$W$8,1,FLOOR(($A52-1)/23,1)+1)&amp;INDEX('Serial Reference'!$A$8:$W$8,1,MOD($A52-1,23)+1)&amp;TEXT(E$2+FLOOR((E$2-1)/9,1),"000"),"")</f>
        <v>CD004</v>
      </c>
      <c r="F52" s="26" t="str">
        <f>IF(INDEX('Shot Map'!$B$6:$V$26,CEILING($A52/5,1),CEILING(F$2/5,1))=1,INDEX('Serial Reference'!$A$8:$W$8,1,FLOOR(($A52-1)/23,1)+1)&amp;INDEX('Serial Reference'!$A$8:$W$8,1,MOD($A52-1,23)+1)&amp;TEXT(F$2+FLOOR((F$2-1)/9,1),"000"),"")</f>
        <v>CD005</v>
      </c>
      <c r="G52" s="24" t="str">
        <f>IF(INDEX('Shot Map'!$B$6:$V$26,CEILING($A52/5,1),CEILING(G$2/5,1))=1,INDEX('Serial Reference'!$A$8:$W$8,1,FLOOR(($A52-1)/23,1)+1)&amp;INDEX('Serial Reference'!$A$8:$W$8,1,MOD($A52-1,23)+1)&amp;TEXT(G$2+FLOOR((G$2-1)/9,1),"000"),"")</f>
        <v>CD006</v>
      </c>
      <c r="H52" s="25" t="str">
        <f>IF(INDEX('Shot Map'!$B$6:$V$26,CEILING($A52/5,1),CEILING(H$2/5,1))=1,INDEX('Serial Reference'!$A$8:$W$8,1,FLOOR(($A52-1)/23,1)+1)&amp;INDEX('Serial Reference'!$A$8:$W$8,1,MOD($A52-1,23)+1)&amp;TEXT(H$2+FLOOR((H$2-1)/9,1),"000"),"")</f>
        <v>CD007</v>
      </c>
      <c r="I52" s="25" t="str">
        <f>IF(INDEX('Shot Map'!$B$6:$V$26,CEILING($A52/5,1),CEILING(I$2/5,1))=1,INDEX('Serial Reference'!$A$8:$W$8,1,FLOOR(($A52-1)/23,1)+1)&amp;INDEX('Serial Reference'!$A$8:$W$8,1,MOD($A52-1,23)+1)&amp;TEXT(I$2+FLOOR((I$2-1)/9,1),"000"),"")</f>
        <v>CD008</v>
      </c>
      <c r="J52" s="25" t="str">
        <f>IF(INDEX('Shot Map'!$B$6:$V$26,CEILING($A52/5,1),CEILING(J$2/5,1))=1,INDEX('Serial Reference'!$A$8:$W$8,1,FLOOR(($A52-1)/23,1)+1)&amp;INDEX('Serial Reference'!$A$8:$W$8,1,MOD($A52-1,23)+1)&amp;TEXT(J$2+FLOOR((J$2-1)/9,1),"000"),"")</f>
        <v>CD009</v>
      </c>
      <c r="K52" s="26" t="str">
        <f>IF(INDEX('Shot Map'!$B$6:$V$26,CEILING($A52/5,1),CEILING(K$2/5,1))=1,INDEX('Serial Reference'!$A$8:$W$8,1,FLOOR(($A52-1)/23,1)+1)&amp;INDEX('Serial Reference'!$A$8:$W$8,1,MOD($A52-1,23)+1)&amp;TEXT(K$2+FLOOR((K$2-1)/9,1),"000"),"")</f>
        <v>CD011</v>
      </c>
      <c r="L52" s="24" t="str">
        <f>IF(INDEX('Shot Map'!$B$6:$V$26,CEILING($A52/5,1),CEILING(L$2/5,1))=1,INDEX('Serial Reference'!$A$8:$W$8,1,FLOOR(($A52-1)/23,1)+1)&amp;INDEX('Serial Reference'!$A$8:$W$8,1,MOD($A52-1,23)+1)&amp;TEXT(L$2+FLOOR((L$2-1)/9,1),"000"),"")</f>
        <v>CD012</v>
      </c>
      <c r="M52" s="25" t="str">
        <f>IF(INDEX('Shot Map'!$B$6:$V$26,CEILING($A52/5,1),CEILING(M$2/5,1))=1,INDEX('Serial Reference'!$A$8:$W$8,1,FLOOR(($A52-1)/23,1)+1)&amp;INDEX('Serial Reference'!$A$8:$W$8,1,MOD($A52-1,23)+1)&amp;TEXT(M$2+FLOOR((M$2-1)/9,1),"000"),"")</f>
        <v>CD013</v>
      </c>
      <c r="N52" s="25" t="str">
        <f>IF(INDEX('Shot Map'!$B$6:$V$26,CEILING($A52/5,1),CEILING(N$2/5,1))=1,INDEX('Serial Reference'!$A$8:$W$8,1,FLOOR(($A52-1)/23,1)+1)&amp;INDEX('Serial Reference'!$A$8:$W$8,1,MOD($A52-1,23)+1)&amp;TEXT(N$2+FLOOR((N$2-1)/9,1),"000"),"")</f>
        <v>CD014</v>
      </c>
      <c r="O52" s="25" t="str">
        <f>IF(INDEX('Shot Map'!$B$6:$V$26,CEILING($A52/5,1),CEILING(O$2/5,1))=1,INDEX('Serial Reference'!$A$8:$W$8,1,FLOOR(($A52-1)/23,1)+1)&amp;INDEX('Serial Reference'!$A$8:$W$8,1,MOD($A52-1,23)+1)&amp;TEXT(O$2+FLOOR((O$2-1)/9,1),"000"),"")</f>
        <v>CD015</v>
      </c>
      <c r="P52" s="26" t="str">
        <f>IF(INDEX('Shot Map'!$B$6:$V$26,CEILING($A52/5,1),CEILING(P$2/5,1))=1,INDEX('Serial Reference'!$A$8:$W$8,1,FLOOR(($A52-1)/23,1)+1)&amp;INDEX('Serial Reference'!$A$8:$W$8,1,MOD($A52-1,23)+1)&amp;TEXT(P$2+FLOOR((P$2-1)/9,1),"000"),"")</f>
        <v>CD016</v>
      </c>
      <c r="Q52" s="24" t="str">
        <f>IF(INDEX('Shot Map'!$B$6:$V$26,CEILING($A52/5,1),CEILING(Q$2/5,1))=1,INDEX('Serial Reference'!$A$8:$W$8,1,FLOOR(($A52-1)/23,1)+1)&amp;INDEX('Serial Reference'!$A$8:$W$8,1,MOD($A52-1,23)+1)&amp;TEXT(Q$2+FLOOR((Q$2-1)/9,1),"000"),"")</f>
        <v>CD017</v>
      </c>
      <c r="R52" s="25" t="str">
        <f>IF(INDEX('Shot Map'!$B$6:$V$26,CEILING($A52/5,1),CEILING(R$2/5,1))=1,INDEX('Serial Reference'!$A$8:$W$8,1,FLOOR(($A52-1)/23,1)+1)&amp;INDEX('Serial Reference'!$A$8:$W$8,1,MOD($A52-1,23)+1)&amp;TEXT(R$2+FLOOR((R$2-1)/9,1),"000"),"")</f>
        <v>CD018</v>
      </c>
      <c r="S52" s="25" t="str">
        <f>IF(INDEX('Shot Map'!$B$6:$V$26,CEILING($A52/5,1),CEILING(S$2/5,1))=1,INDEX('Serial Reference'!$A$8:$W$8,1,FLOOR(($A52-1)/23,1)+1)&amp;INDEX('Serial Reference'!$A$8:$W$8,1,MOD($A52-1,23)+1)&amp;TEXT(S$2+FLOOR((S$2-1)/9,1),"000"),"")</f>
        <v>CD019</v>
      </c>
      <c r="T52" s="25" t="str">
        <f>IF(INDEX('Shot Map'!$B$6:$V$26,CEILING($A52/5,1),CEILING(T$2/5,1))=1,INDEX('Serial Reference'!$A$8:$W$8,1,FLOOR(($A52-1)/23,1)+1)&amp;INDEX('Serial Reference'!$A$8:$W$8,1,MOD($A52-1,23)+1)&amp;TEXT(T$2+FLOOR((T$2-1)/9,1),"000"),"")</f>
        <v>CD021</v>
      </c>
      <c r="U52" s="26" t="str">
        <f>IF(INDEX('Shot Map'!$B$6:$V$26,CEILING($A52/5,1),CEILING(U$2/5,1))=1,INDEX('Serial Reference'!$A$8:$W$8,1,FLOOR(($A52-1)/23,1)+1)&amp;INDEX('Serial Reference'!$A$8:$W$8,1,MOD($A52-1,23)+1)&amp;TEXT(U$2+FLOOR((U$2-1)/9,1),"000"),"")</f>
        <v>CD022</v>
      </c>
      <c r="V52" s="24" t="str">
        <f>IF(INDEX('Shot Map'!$B$6:$V$26,CEILING($A52/5,1),CEILING(V$2/5,1))=1,INDEX('Serial Reference'!$A$8:$W$8,1,FLOOR(($A52-1)/23,1)+1)&amp;INDEX('Serial Reference'!$A$8:$W$8,1,MOD($A52-1,23)+1)&amp;TEXT(V$2+FLOOR((V$2-1)/9,1),"000"),"")</f>
        <v>CD023</v>
      </c>
      <c r="W52" s="25" t="str">
        <f>IF(INDEX('Shot Map'!$B$6:$V$26,CEILING($A52/5,1),CEILING(W$2/5,1))=1,INDEX('Serial Reference'!$A$8:$W$8,1,FLOOR(($A52-1)/23,1)+1)&amp;INDEX('Serial Reference'!$A$8:$W$8,1,MOD($A52-1,23)+1)&amp;TEXT(W$2+FLOOR((W$2-1)/9,1),"000"),"")</f>
        <v>CD024</v>
      </c>
      <c r="X52" s="25" t="str">
        <f>IF(INDEX('Shot Map'!$B$6:$V$26,CEILING($A52/5,1),CEILING(X$2/5,1))=1,INDEX('Serial Reference'!$A$8:$W$8,1,FLOOR(($A52-1)/23,1)+1)&amp;INDEX('Serial Reference'!$A$8:$W$8,1,MOD($A52-1,23)+1)&amp;TEXT(X$2+FLOOR((X$2-1)/9,1),"000"),"")</f>
        <v>CD025</v>
      </c>
      <c r="Y52" s="25" t="str">
        <f>IF(INDEX('Shot Map'!$B$6:$V$26,CEILING($A52/5,1),CEILING(Y$2/5,1))=1,INDEX('Serial Reference'!$A$8:$W$8,1,FLOOR(($A52-1)/23,1)+1)&amp;INDEX('Serial Reference'!$A$8:$W$8,1,MOD($A52-1,23)+1)&amp;TEXT(Y$2+FLOOR((Y$2-1)/9,1),"000"),"")</f>
        <v>CD026</v>
      </c>
      <c r="Z52" s="26" t="str">
        <f>IF(INDEX('Shot Map'!$B$6:$V$26,CEILING($A52/5,1),CEILING(Z$2/5,1))=1,INDEX('Serial Reference'!$A$8:$W$8,1,FLOOR(($A52-1)/23,1)+1)&amp;INDEX('Serial Reference'!$A$8:$W$8,1,MOD($A52-1,23)+1)&amp;TEXT(Z$2+FLOOR((Z$2-1)/9,1),"000"),"")</f>
        <v>CD027</v>
      </c>
      <c r="AA52" s="24" t="str">
        <f>IF(INDEX('Shot Map'!$B$6:$V$26,CEILING($A52/5,1),CEILING(AA$2/5,1))=1,INDEX('Serial Reference'!$A$8:$W$8,1,FLOOR(($A52-1)/23,1)+1)&amp;INDEX('Serial Reference'!$A$8:$W$8,1,MOD($A52-1,23)+1)&amp;TEXT(AA$2+FLOOR((AA$2-1)/9,1),"000"),"")</f>
        <v>CD028</v>
      </c>
      <c r="AB52" s="25" t="str">
        <f>IF(INDEX('Shot Map'!$B$6:$V$26,CEILING($A52/5,1),CEILING(AB$2/5,1))=1,INDEX('Serial Reference'!$A$8:$W$8,1,FLOOR(($A52-1)/23,1)+1)&amp;INDEX('Serial Reference'!$A$8:$W$8,1,MOD($A52-1,23)+1)&amp;TEXT(AB$2+FLOOR((AB$2-1)/9,1),"000"),"")</f>
        <v>CD029</v>
      </c>
      <c r="AC52" s="25" t="str">
        <f>IF(INDEX('Shot Map'!$B$6:$V$26,CEILING($A52/5,1),CEILING(AC$2/5,1))=1,INDEX('Serial Reference'!$A$8:$W$8,1,FLOOR(($A52-1)/23,1)+1)&amp;INDEX('Serial Reference'!$A$8:$W$8,1,MOD($A52-1,23)+1)&amp;TEXT(AC$2+FLOOR((AC$2-1)/9,1),"000"),"")</f>
        <v>CD031</v>
      </c>
      <c r="AD52" s="25" t="str">
        <f>IF(INDEX('Shot Map'!$B$6:$V$26,CEILING($A52/5,1),CEILING(AD$2/5,1))=1,INDEX('Serial Reference'!$A$8:$W$8,1,FLOOR(($A52-1)/23,1)+1)&amp;INDEX('Serial Reference'!$A$8:$W$8,1,MOD($A52-1,23)+1)&amp;TEXT(AD$2+FLOOR((AD$2-1)/9,1),"000"),"")</f>
        <v>CD032</v>
      </c>
      <c r="AE52" s="26" t="str">
        <f>IF(INDEX('Shot Map'!$B$6:$V$26,CEILING($A52/5,1),CEILING(AE$2/5,1))=1,INDEX('Serial Reference'!$A$8:$W$8,1,FLOOR(($A52-1)/23,1)+1)&amp;INDEX('Serial Reference'!$A$8:$W$8,1,MOD($A52-1,23)+1)&amp;TEXT(AE$2+FLOOR((AE$2-1)/9,1),"000"),"")</f>
        <v>CD033</v>
      </c>
      <c r="AF52" s="24" t="str">
        <f>IF(INDEX('Shot Map'!$B$6:$V$26,CEILING($A52/5,1),CEILING(AF$2/5,1))=1,INDEX('Serial Reference'!$A$8:$W$8,1,FLOOR(($A52-1)/23,1)+1)&amp;INDEX('Serial Reference'!$A$8:$W$8,1,MOD($A52-1,23)+1)&amp;TEXT(AF$2+FLOOR((AF$2-1)/9,1),"000"),"")</f>
        <v>CD034</v>
      </c>
      <c r="AG52" s="25" t="str">
        <f>IF(INDEX('Shot Map'!$B$6:$V$26,CEILING($A52/5,1),CEILING(AG$2/5,1))=1,INDEX('Serial Reference'!$A$8:$W$8,1,FLOOR(($A52-1)/23,1)+1)&amp;INDEX('Serial Reference'!$A$8:$W$8,1,MOD($A52-1,23)+1)&amp;TEXT(AG$2+FLOOR((AG$2-1)/9,1),"000"),"")</f>
        <v>CD035</v>
      </c>
      <c r="AH52" s="25" t="str">
        <f>IF(INDEX('Shot Map'!$B$6:$V$26,CEILING($A52/5,1),CEILING(AH$2/5,1))=1,INDEX('Serial Reference'!$A$8:$W$8,1,FLOOR(($A52-1)/23,1)+1)&amp;INDEX('Serial Reference'!$A$8:$W$8,1,MOD($A52-1,23)+1)&amp;TEXT(AH$2+FLOOR((AH$2-1)/9,1),"000"),"")</f>
        <v>CD036</v>
      </c>
      <c r="AI52" s="25" t="str">
        <f>IF(INDEX('Shot Map'!$B$6:$V$26,CEILING($A52/5,1),CEILING(AI$2/5,1))=1,INDEX('Serial Reference'!$A$8:$W$8,1,FLOOR(($A52-1)/23,1)+1)&amp;INDEX('Serial Reference'!$A$8:$W$8,1,MOD($A52-1,23)+1)&amp;TEXT(AI$2+FLOOR((AI$2-1)/9,1),"000"),"")</f>
        <v>CD037</v>
      </c>
      <c r="AJ52" s="26" t="str">
        <f>IF(INDEX('Shot Map'!$B$6:$V$26,CEILING($A52/5,1),CEILING(AJ$2/5,1))=1,INDEX('Serial Reference'!$A$8:$W$8,1,FLOOR(($A52-1)/23,1)+1)&amp;INDEX('Serial Reference'!$A$8:$W$8,1,MOD($A52-1,23)+1)&amp;TEXT(AJ$2+FLOOR((AJ$2-1)/9,1),"000"),"")</f>
        <v>CD038</v>
      </c>
      <c r="AK52" s="24" t="str">
        <f>IF(INDEX('Shot Map'!$B$6:$V$26,CEILING($A52/5,1),CEILING(AK$2/5,1))=1,INDEX('Serial Reference'!$A$8:$W$8,1,FLOOR(($A52-1)/23,1)+1)&amp;INDEX('Serial Reference'!$A$8:$W$8,1,MOD($A52-1,23)+1)&amp;TEXT(AK$2+FLOOR((AK$2-1)/9,1),"000"),"")</f>
        <v>CD039</v>
      </c>
      <c r="AL52" s="25" t="str">
        <f>IF(INDEX('Shot Map'!$B$6:$V$26,CEILING($A52/5,1),CEILING(AL$2/5,1))=1,INDEX('Serial Reference'!$A$8:$W$8,1,FLOOR(($A52-1)/23,1)+1)&amp;INDEX('Serial Reference'!$A$8:$W$8,1,MOD($A52-1,23)+1)&amp;TEXT(AL$2+FLOOR((AL$2-1)/9,1),"000"),"")</f>
        <v>CD041</v>
      </c>
      <c r="AM52" s="25" t="str">
        <f>IF(INDEX('Shot Map'!$B$6:$V$26,CEILING($A52/5,1),CEILING(AM$2/5,1))=1,INDEX('Serial Reference'!$A$8:$W$8,1,FLOOR(($A52-1)/23,1)+1)&amp;INDEX('Serial Reference'!$A$8:$W$8,1,MOD($A52-1,23)+1)&amp;TEXT(AM$2+FLOOR((AM$2-1)/9,1),"000"),"")</f>
        <v>CD042</v>
      </c>
      <c r="AN52" s="25" t="str">
        <f>IF(INDEX('Shot Map'!$B$6:$V$26,CEILING($A52/5,1),CEILING(AN$2/5,1))=1,INDEX('Serial Reference'!$A$8:$W$8,1,FLOOR(($A52-1)/23,1)+1)&amp;INDEX('Serial Reference'!$A$8:$W$8,1,MOD($A52-1,23)+1)&amp;TEXT(AN$2+FLOOR((AN$2-1)/9,1),"000"),"")</f>
        <v>CD043</v>
      </c>
      <c r="AO52" s="26" t="str">
        <f>IF(INDEX('Shot Map'!$B$6:$V$26,CEILING($A52/5,1),CEILING(AO$2/5,1))=1,INDEX('Serial Reference'!$A$8:$W$8,1,FLOOR(($A52-1)/23,1)+1)&amp;INDEX('Serial Reference'!$A$8:$W$8,1,MOD($A52-1,23)+1)&amp;TEXT(AO$2+FLOOR((AO$2-1)/9,1),"000"),"")</f>
        <v>CD044</v>
      </c>
      <c r="AP52" s="24" t="str">
        <f>IF(INDEX('Shot Map'!$B$6:$V$26,CEILING($A52/5,1),CEILING(AP$2/5,1))=1,INDEX('Serial Reference'!$A$8:$W$8,1,FLOOR(($A52-1)/23,1)+1)&amp;INDEX('Serial Reference'!$A$8:$W$8,1,MOD($A52-1,23)+1)&amp;TEXT(AP$2+FLOOR((AP$2-1)/9,1),"000"),"")</f>
        <v>CD045</v>
      </c>
      <c r="AQ52" s="25" t="str">
        <f>IF(INDEX('Shot Map'!$B$6:$V$26,CEILING($A52/5,1),CEILING(AQ$2/5,1))=1,INDEX('Serial Reference'!$A$8:$W$8,1,FLOOR(($A52-1)/23,1)+1)&amp;INDEX('Serial Reference'!$A$8:$W$8,1,MOD($A52-1,23)+1)&amp;TEXT(AQ$2+FLOOR((AQ$2-1)/9,1),"000"),"")</f>
        <v>CD046</v>
      </c>
      <c r="AR52" s="25" t="str">
        <f>IF(INDEX('Shot Map'!$B$6:$V$26,CEILING($A52/5,1),CEILING(AR$2/5,1))=1,INDEX('Serial Reference'!$A$8:$W$8,1,FLOOR(($A52-1)/23,1)+1)&amp;INDEX('Serial Reference'!$A$8:$W$8,1,MOD($A52-1,23)+1)&amp;TEXT(AR$2+FLOOR((AR$2-1)/9,1),"000"),"")</f>
        <v>CD047</v>
      </c>
      <c r="AS52" s="25" t="str">
        <f>IF(INDEX('Shot Map'!$B$6:$V$26,CEILING($A52/5,1),CEILING(AS$2/5,1))=1,INDEX('Serial Reference'!$A$8:$W$8,1,FLOOR(($A52-1)/23,1)+1)&amp;INDEX('Serial Reference'!$A$8:$W$8,1,MOD($A52-1,23)+1)&amp;TEXT(AS$2+FLOOR((AS$2-1)/9,1),"000"),"")</f>
        <v>CD048</v>
      </c>
      <c r="AT52" s="26" t="str">
        <f>IF(INDEX('Shot Map'!$B$6:$V$26,CEILING($A52/5,1),CEILING(AT$2/5,1))=1,INDEX('Serial Reference'!$A$8:$W$8,1,FLOOR(($A52-1)/23,1)+1)&amp;INDEX('Serial Reference'!$A$8:$W$8,1,MOD($A52-1,23)+1)&amp;TEXT(AT$2+FLOOR((AT$2-1)/9,1),"000"),"")</f>
        <v>CD049</v>
      </c>
      <c r="AU52" s="24" t="str">
        <f>IF(INDEX('Shot Map'!$B$6:$V$26,CEILING($A52/5,1),CEILING(AU$2/5,1))=1,INDEX('Serial Reference'!$A$8:$W$8,1,FLOOR(($A52-1)/23,1)+1)&amp;INDEX('Serial Reference'!$A$8:$W$8,1,MOD($A52-1,23)+1)&amp;TEXT(AU$2+FLOOR((AU$2-1)/9,1),"000"),"")</f>
        <v>CD051</v>
      </c>
      <c r="AV52" s="25" t="str">
        <f>IF(INDEX('Shot Map'!$B$6:$V$26,CEILING($A52/5,1),CEILING(AV$2/5,1))=1,INDEX('Serial Reference'!$A$8:$W$8,1,FLOOR(($A52-1)/23,1)+1)&amp;INDEX('Serial Reference'!$A$8:$W$8,1,MOD($A52-1,23)+1)&amp;TEXT(AV$2+FLOOR((AV$2-1)/9,1),"000"),"")</f>
        <v>CD052</v>
      </c>
      <c r="AW52" s="25" t="str">
        <f>IF(INDEX('Shot Map'!$B$6:$V$26,CEILING($A52/5,1),CEILING(AW$2/5,1))=1,INDEX('Serial Reference'!$A$8:$W$8,1,FLOOR(($A52-1)/23,1)+1)&amp;INDEX('Serial Reference'!$A$8:$W$8,1,MOD($A52-1,23)+1)&amp;TEXT(AW$2+FLOOR((AW$2-1)/9,1),"000"),"")</f>
        <v>CD053</v>
      </c>
      <c r="AX52" s="25" t="str">
        <f>IF(INDEX('Shot Map'!$B$6:$V$26,CEILING($A52/5,1),CEILING(AX$2/5,1))=1,INDEX('Serial Reference'!$A$8:$W$8,1,FLOOR(($A52-1)/23,1)+1)&amp;INDEX('Serial Reference'!$A$8:$W$8,1,MOD($A52-1,23)+1)&amp;TEXT(AX$2+FLOOR((AX$2-1)/9,1),"000"),"")</f>
        <v>CD054</v>
      </c>
      <c r="AY52" s="26" t="str">
        <f>IF(INDEX('Shot Map'!$B$6:$V$26,CEILING($A52/5,1),CEILING(AY$2/5,1))=1,INDEX('Serial Reference'!$A$8:$W$8,1,FLOOR(($A52-1)/23,1)+1)&amp;INDEX('Serial Reference'!$A$8:$W$8,1,MOD($A52-1,23)+1)&amp;TEXT(AY$2+FLOOR((AY$2-1)/9,1),"000"),"")</f>
        <v>CD055</v>
      </c>
      <c r="AZ52" s="24" t="str">
        <f>IF(INDEX('Shot Map'!$B$6:$V$26,CEILING($A52/5,1),CEILING(AZ$2/5,1))=1,INDEX('Serial Reference'!$A$8:$W$8,1,FLOOR(($A52-1)/23,1)+1)&amp;INDEX('Serial Reference'!$A$8:$W$8,1,MOD($A52-1,23)+1)&amp;TEXT(AZ$2+FLOOR((AZ$2-1)/9,1),"000"),"")</f>
        <v>CD056</v>
      </c>
      <c r="BA52" s="25" t="str">
        <f>IF(INDEX('Shot Map'!$B$6:$V$26,CEILING($A52/5,1),CEILING(BA$2/5,1))=1,INDEX('Serial Reference'!$A$8:$W$8,1,FLOOR(($A52-1)/23,1)+1)&amp;INDEX('Serial Reference'!$A$8:$W$8,1,MOD($A52-1,23)+1)&amp;TEXT(BA$2+FLOOR((BA$2-1)/9,1),"000"),"")</f>
        <v>CD057</v>
      </c>
      <c r="BB52" s="25" t="str">
        <f>IF(INDEX('Shot Map'!$B$6:$V$26,CEILING($A52/5,1),CEILING(BB$2/5,1))=1,INDEX('Serial Reference'!$A$8:$W$8,1,FLOOR(($A52-1)/23,1)+1)&amp;INDEX('Serial Reference'!$A$8:$W$8,1,MOD($A52-1,23)+1)&amp;TEXT(BB$2+FLOOR((BB$2-1)/9,1),"000"),"")</f>
        <v>CD058</v>
      </c>
      <c r="BC52" s="25" t="str">
        <f>IF(INDEX('Shot Map'!$B$6:$V$26,CEILING($A52/5,1),CEILING(BC$2/5,1))=1,INDEX('Serial Reference'!$A$8:$W$8,1,FLOOR(($A52-1)/23,1)+1)&amp;INDEX('Serial Reference'!$A$8:$W$8,1,MOD($A52-1,23)+1)&amp;TEXT(BC$2+FLOOR((BC$2-1)/9,1),"000"),"")</f>
        <v>CD059</v>
      </c>
      <c r="BD52" s="26" t="str">
        <f>IF(INDEX('Shot Map'!$B$6:$V$26,CEILING($A52/5,1),CEILING(BD$2/5,1))=1,INDEX('Serial Reference'!$A$8:$W$8,1,FLOOR(($A52-1)/23,1)+1)&amp;INDEX('Serial Reference'!$A$8:$W$8,1,MOD($A52-1,23)+1)&amp;TEXT(BD$2+FLOOR((BD$2-1)/9,1),"000"),"")</f>
        <v>CD061</v>
      </c>
      <c r="BE52" s="24" t="str">
        <f>IF(INDEX('Shot Map'!$B$6:$V$26,CEILING($A52/5,1),CEILING(BE$2/5,1))=1,INDEX('Serial Reference'!$A$8:$W$8,1,FLOOR(($A52-1)/23,1)+1)&amp;INDEX('Serial Reference'!$A$8:$W$8,1,MOD($A52-1,23)+1)&amp;TEXT(BE$2+FLOOR((BE$2-1)/9,1),"000"),"")</f>
        <v>CD062</v>
      </c>
      <c r="BF52" s="25" t="str">
        <f>IF(INDEX('Shot Map'!$B$6:$V$26,CEILING($A52/5,1),CEILING(BF$2/5,1))=1,INDEX('Serial Reference'!$A$8:$W$8,1,FLOOR(($A52-1)/23,1)+1)&amp;INDEX('Serial Reference'!$A$8:$W$8,1,MOD($A52-1,23)+1)&amp;TEXT(BF$2+FLOOR((BF$2-1)/9,1),"000"),"")</f>
        <v>CD063</v>
      </c>
      <c r="BG52" s="25" t="str">
        <f>IF(INDEX('Shot Map'!$B$6:$V$26,CEILING($A52/5,1),CEILING(BG$2/5,1))=1,INDEX('Serial Reference'!$A$8:$W$8,1,FLOOR(($A52-1)/23,1)+1)&amp;INDEX('Serial Reference'!$A$8:$W$8,1,MOD($A52-1,23)+1)&amp;TEXT(BG$2+FLOOR((BG$2-1)/9,1),"000"),"")</f>
        <v>CD064</v>
      </c>
      <c r="BH52" s="25" t="str">
        <f>IF(INDEX('Shot Map'!$B$6:$V$26,CEILING($A52/5,1),CEILING(BH$2/5,1))=1,INDEX('Serial Reference'!$A$8:$W$8,1,FLOOR(($A52-1)/23,1)+1)&amp;INDEX('Serial Reference'!$A$8:$W$8,1,MOD($A52-1,23)+1)&amp;TEXT(BH$2+FLOOR((BH$2-1)/9,1),"000"),"")</f>
        <v>CD065</v>
      </c>
      <c r="BI52" s="26" t="str">
        <f>IF(INDEX('Shot Map'!$B$6:$V$26,CEILING($A52/5,1),CEILING(BI$2/5,1))=1,INDEX('Serial Reference'!$A$8:$W$8,1,FLOOR(($A52-1)/23,1)+1)&amp;INDEX('Serial Reference'!$A$8:$W$8,1,MOD($A52-1,23)+1)&amp;TEXT(BI$2+FLOOR((BI$2-1)/9,1),"000"),"")</f>
        <v>CD066</v>
      </c>
      <c r="BJ52" s="24" t="str">
        <f>IF(INDEX('Shot Map'!$B$6:$V$26,CEILING($A52/5,1),CEILING(BJ$2/5,1))=1,INDEX('Serial Reference'!$A$8:$W$8,1,FLOOR(($A52-1)/23,1)+1)&amp;INDEX('Serial Reference'!$A$8:$W$8,1,MOD($A52-1,23)+1)&amp;TEXT(BJ$2+FLOOR((BJ$2-1)/9,1),"000"),"")</f>
        <v>CD067</v>
      </c>
      <c r="BK52" s="25" t="str">
        <f>IF(INDEX('Shot Map'!$B$6:$V$26,CEILING($A52/5,1),CEILING(BK$2/5,1))=1,INDEX('Serial Reference'!$A$8:$W$8,1,FLOOR(($A52-1)/23,1)+1)&amp;INDEX('Serial Reference'!$A$8:$W$8,1,MOD($A52-1,23)+1)&amp;TEXT(BK$2+FLOOR((BK$2-1)/9,1),"000"),"")</f>
        <v>CD068</v>
      </c>
      <c r="BL52" s="25" t="str">
        <f>IF(INDEX('Shot Map'!$B$6:$V$26,CEILING($A52/5,1),CEILING(BL$2/5,1))=1,INDEX('Serial Reference'!$A$8:$W$8,1,FLOOR(($A52-1)/23,1)+1)&amp;INDEX('Serial Reference'!$A$8:$W$8,1,MOD($A52-1,23)+1)&amp;TEXT(BL$2+FLOOR((BL$2-1)/9,1),"000"),"")</f>
        <v>CD069</v>
      </c>
      <c r="BM52" s="25" t="str">
        <f>IF(INDEX('Shot Map'!$B$6:$V$26,CEILING($A52/5,1),CEILING(BM$2/5,1))=1,INDEX('Serial Reference'!$A$8:$W$8,1,FLOOR(($A52-1)/23,1)+1)&amp;INDEX('Serial Reference'!$A$8:$W$8,1,MOD($A52-1,23)+1)&amp;TEXT(BM$2+FLOOR((BM$2-1)/9,1),"000"),"")</f>
        <v>CD071</v>
      </c>
      <c r="BN52" s="26" t="str">
        <f>IF(INDEX('Shot Map'!$B$6:$V$26,CEILING($A52/5,1),CEILING(BN$2/5,1))=1,INDEX('Serial Reference'!$A$8:$W$8,1,FLOOR(($A52-1)/23,1)+1)&amp;INDEX('Serial Reference'!$A$8:$W$8,1,MOD($A52-1,23)+1)&amp;TEXT(BN$2+FLOOR((BN$2-1)/9,1),"000"),"")</f>
        <v>CD072</v>
      </c>
      <c r="BO52" s="24" t="str">
        <f>IF(INDEX('Shot Map'!$B$6:$V$26,CEILING($A52/5,1),CEILING(BO$2/5,1))=1,INDEX('Serial Reference'!$A$8:$W$8,1,FLOOR(($A52-1)/23,1)+1)&amp;INDEX('Serial Reference'!$A$8:$W$8,1,MOD($A52-1,23)+1)&amp;TEXT(BO$2+FLOOR((BO$2-1)/9,1),"000"),"")</f>
        <v>CD073</v>
      </c>
      <c r="BP52" s="25" t="str">
        <f>IF(INDEX('Shot Map'!$B$6:$V$26,CEILING($A52/5,1),CEILING(BP$2/5,1))=1,INDEX('Serial Reference'!$A$8:$W$8,1,FLOOR(($A52-1)/23,1)+1)&amp;INDEX('Serial Reference'!$A$8:$W$8,1,MOD($A52-1,23)+1)&amp;TEXT(BP$2+FLOOR((BP$2-1)/9,1),"000"),"")</f>
        <v>CD074</v>
      </c>
      <c r="BQ52" s="25" t="str">
        <f>IF(INDEX('Shot Map'!$B$6:$V$26,CEILING($A52/5,1),CEILING(BQ$2/5,1))=1,INDEX('Serial Reference'!$A$8:$W$8,1,FLOOR(($A52-1)/23,1)+1)&amp;INDEX('Serial Reference'!$A$8:$W$8,1,MOD($A52-1,23)+1)&amp;TEXT(BQ$2+FLOOR((BQ$2-1)/9,1),"000"),"")</f>
        <v>CD075</v>
      </c>
      <c r="BR52" s="25" t="str">
        <f>IF(INDEX('Shot Map'!$B$6:$V$26,CEILING($A52/5,1),CEILING(BR$2/5,1))=1,INDEX('Serial Reference'!$A$8:$W$8,1,FLOOR(($A52-1)/23,1)+1)&amp;INDEX('Serial Reference'!$A$8:$W$8,1,MOD($A52-1,23)+1)&amp;TEXT(BR$2+FLOOR((BR$2-1)/9,1),"000"),"")</f>
        <v>CD076</v>
      </c>
      <c r="BS52" s="26" t="str">
        <f>IF(INDEX('Shot Map'!$B$6:$V$26,CEILING($A52/5,1),CEILING(BS$2/5,1))=1,INDEX('Serial Reference'!$A$8:$W$8,1,FLOOR(($A52-1)/23,1)+1)&amp;INDEX('Serial Reference'!$A$8:$W$8,1,MOD($A52-1,23)+1)&amp;TEXT(BS$2+FLOOR((BS$2-1)/9,1),"000"),"")</f>
        <v>CD077</v>
      </c>
      <c r="BT52" s="24" t="str">
        <f>IF(INDEX('Shot Map'!$B$6:$V$26,CEILING($A52/5,1),CEILING(BT$2/5,1))=1,INDEX('Serial Reference'!$A$8:$W$8,1,FLOOR(($A52-1)/23,1)+1)&amp;INDEX('Serial Reference'!$A$8:$W$8,1,MOD($A52-1,23)+1)&amp;TEXT(BT$2+FLOOR((BT$2-1)/9,1),"000"),"")</f>
        <v>CD078</v>
      </c>
      <c r="BU52" s="25" t="str">
        <f>IF(INDEX('Shot Map'!$B$6:$V$26,CEILING($A52/5,1),CEILING(BU$2/5,1))=1,INDEX('Serial Reference'!$A$8:$W$8,1,FLOOR(($A52-1)/23,1)+1)&amp;INDEX('Serial Reference'!$A$8:$W$8,1,MOD($A52-1,23)+1)&amp;TEXT(BU$2+FLOOR((BU$2-1)/9,1),"000"),"")</f>
        <v>CD079</v>
      </c>
      <c r="BV52" s="25" t="str">
        <f>IF(INDEX('Shot Map'!$B$6:$V$26,CEILING($A52/5,1),CEILING(BV$2/5,1))=1,INDEX('Serial Reference'!$A$8:$W$8,1,FLOOR(($A52-1)/23,1)+1)&amp;INDEX('Serial Reference'!$A$8:$W$8,1,MOD($A52-1,23)+1)&amp;TEXT(BV$2+FLOOR((BV$2-1)/9,1),"000"),"")</f>
        <v>CD081</v>
      </c>
      <c r="BW52" s="25" t="str">
        <f>IF(INDEX('Shot Map'!$B$6:$V$26,CEILING($A52/5,1),CEILING(BW$2/5,1))=1,INDEX('Serial Reference'!$A$8:$W$8,1,FLOOR(($A52-1)/23,1)+1)&amp;INDEX('Serial Reference'!$A$8:$W$8,1,MOD($A52-1,23)+1)&amp;TEXT(BW$2+FLOOR((BW$2-1)/9,1),"000"),"")</f>
        <v>CD082</v>
      </c>
      <c r="BX52" s="26" t="str">
        <f>IF(INDEX('Shot Map'!$B$6:$V$26,CEILING($A52/5,1),CEILING(BX$2/5,1))=1,INDEX('Serial Reference'!$A$8:$W$8,1,FLOOR(($A52-1)/23,1)+1)&amp;INDEX('Serial Reference'!$A$8:$W$8,1,MOD($A52-1,23)+1)&amp;TEXT(BX$2+FLOOR((BX$2-1)/9,1),"000"),"")</f>
        <v>CD083</v>
      </c>
      <c r="BY52" s="24" t="str">
        <f>IF(INDEX('Shot Map'!$B$6:$V$26,CEILING($A52/5,1),CEILING(BY$2/5,1))=1,INDEX('Serial Reference'!$A$8:$W$8,1,FLOOR(($A52-1)/23,1)+1)&amp;INDEX('Serial Reference'!$A$8:$W$8,1,MOD($A52-1,23)+1)&amp;TEXT(BY$2+FLOOR((BY$2-1)/9,1),"000"),"")</f>
        <v>CD084</v>
      </c>
      <c r="BZ52" s="25" t="str">
        <f>IF(INDEX('Shot Map'!$B$6:$V$26,CEILING($A52/5,1),CEILING(BZ$2/5,1))=1,INDEX('Serial Reference'!$A$8:$W$8,1,FLOOR(($A52-1)/23,1)+1)&amp;INDEX('Serial Reference'!$A$8:$W$8,1,MOD($A52-1,23)+1)&amp;TEXT(BZ$2+FLOOR((BZ$2-1)/9,1),"000"),"")</f>
        <v>CD085</v>
      </c>
      <c r="CA52" s="25" t="str">
        <f>IF(INDEX('Shot Map'!$B$6:$V$26,CEILING($A52/5,1),CEILING(CA$2/5,1))=1,INDEX('Serial Reference'!$A$8:$W$8,1,FLOOR(($A52-1)/23,1)+1)&amp;INDEX('Serial Reference'!$A$8:$W$8,1,MOD($A52-1,23)+1)&amp;TEXT(CA$2+FLOOR((CA$2-1)/9,1),"000"),"")</f>
        <v>CD086</v>
      </c>
      <c r="CB52" s="25" t="str">
        <f>IF(INDEX('Shot Map'!$B$6:$V$26,CEILING($A52/5,1),CEILING(CB$2/5,1))=1,INDEX('Serial Reference'!$A$8:$W$8,1,FLOOR(($A52-1)/23,1)+1)&amp;INDEX('Serial Reference'!$A$8:$W$8,1,MOD($A52-1,23)+1)&amp;TEXT(CB$2+FLOOR((CB$2-1)/9,1),"000"),"")</f>
        <v>CD087</v>
      </c>
      <c r="CC52" s="26" t="str">
        <f>IF(INDEX('Shot Map'!$B$6:$V$26,CEILING($A52/5,1),CEILING(CC$2/5,1))=1,INDEX('Serial Reference'!$A$8:$W$8,1,FLOOR(($A52-1)/23,1)+1)&amp;INDEX('Serial Reference'!$A$8:$W$8,1,MOD($A52-1,23)+1)&amp;TEXT(CC$2+FLOOR((CC$2-1)/9,1),"000"),"")</f>
        <v>CD088</v>
      </c>
      <c r="CD52" s="24" t="str">
        <f>IF(INDEX('Shot Map'!$B$6:$V$26,CEILING($A52/5,1),CEILING(CD$2/5,1))=1,INDEX('Serial Reference'!$A$8:$W$8,1,FLOOR(($A52-1)/23,1)+1)&amp;INDEX('Serial Reference'!$A$8:$W$8,1,MOD($A52-1,23)+1)&amp;TEXT(CD$2+FLOOR((CD$2-1)/9,1),"000"),"")</f>
        <v>CD089</v>
      </c>
      <c r="CE52" s="25" t="str">
        <f>IF(INDEX('Shot Map'!$B$6:$V$26,CEILING($A52/5,1),CEILING(CE$2/5,1))=1,INDEX('Serial Reference'!$A$8:$W$8,1,FLOOR(($A52-1)/23,1)+1)&amp;INDEX('Serial Reference'!$A$8:$W$8,1,MOD($A52-1,23)+1)&amp;TEXT(CE$2+FLOOR((CE$2-1)/9,1),"000"),"")</f>
        <v>CD091</v>
      </c>
      <c r="CF52" s="25" t="str">
        <f>IF(INDEX('Shot Map'!$B$6:$V$26,CEILING($A52/5,1),CEILING(CF$2/5,1))=1,INDEX('Serial Reference'!$A$8:$W$8,1,FLOOR(($A52-1)/23,1)+1)&amp;INDEX('Serial Reference'!$A$8:$W$8,1,MOD($A52-1,23)+1)&amp;TEXT(CF$2+FLOOR((CF$2-1)/9,1),"000"),"")</f>
        <v>CD092</v>
      </c>
      <c r="CG52" s="25" t="str">
        <f>IF(INDEX('Shot Map'!$B$6:$V$26,CEILING($A52/5,1),CEILING(CG$2/5,1))=1,INDEX('Serial Reference'!$A$8:$W$8,1,FLOOR(($A52-1)/23,1)+1)&amp;INDEX('Serial Reference'!$A$8:$W$8,1,MOD($A52-1,23)+1)&amp;TEXT(CG$2+FLOOR((CG$2-1)/9,1),"000"),"")</f>
        <v>CD093</v>
      </c>
      <c r="CH52" s="26" t="str">
        <f>IF(INDEX('Shot Map'!$B$6:$V$26,CEILING($A52/5,1),CEILING(CH$2/5,1))=1,INDEX('Serial Reference'!$A$8:$W$8,1,FLOOR(($A52-1)/23,1)+1)&amp;INDEX('Serial Reference'!$A$8:$W$8,1,MOD($A52-1,23)+1)&amp;TEXT(CH$2+FLOOR((CH$2-1)/9,1),"000"),"")</f>
        <v>CD094</v>
      </c>
      <c r="CI52" s="24" t="str">
        <f>IF(INDEX('Shot Map'!$B$6:$V$26,CEILING($A52/5,1),CEILING(CI$2/5,1))=1,INDEX('Serial Reference'!$A$8:$W$8,1,FLOOR(($A52-1)/23,1)+1)&amp;INDEX('Serial Reference'!$A$8:$W$8,1,MOD($A52-1,23)+1)&amp;TEXT(CI$2+FLOOR((CI$2-1)/9,1),"000"),"")</f>
        <v>CD095</v>
      </c>
      <c r="CJ52" s="25" t="str">
        <f>IF(INDEX('Shot Map'!$B$6:$V$26,CEILING($A52/5,1),CEILING(CJ$2/5,1))=1,INDEX('Serial Reference'!$A$8:$W$8,1,FLOOR(($A52-1)/23,1)+1)&amp;INDEX('Serial Reference'!$A$8:$W$8,1,MOD($A52-1,23)+1)&amp;TEXT(CJ$2+FLOOR((CJ$2-1)/9,1),"000"),"")</f>
        <v>CD096</v>
      </c>
      <c r="CK52" s="25" t="str">
        <f>IF(INDEX('Shot Map'!$B$6:$V$26,CEILING($A52/5,1),CEILING(CK$2/5,1))=1,INDEX('Serial Reference'!$A$8:$W$8,1,FLOOR(($A52-1)/23,1)+1)&amp;INDEX('Serial Reference'!$A$8:$W$8,1,MOD($A52-1,23)+1)&amp;TEXT(CK$2+FLOOR((CK$2-1)/9,1),"000"),"")</f>
        <v>CD097</v>
      </c>
      <c r="CL52" s="25" t="str">
        <f>IF(INDEX('Shot Map'!$B$6:$V$26,CEILING($A52/5,1),CEILING(CL$2/5,1))=1,INDEX('Serial Reference'!$A$8:$W$8,1,FLOOR(($A52-1)/23,1)+1)&amp;INDEX('Serial Reference'!$A$8:$W$8,1,MOD($A52-1,23)+1)&amp;TEXT(CL$2+FLOOR((CL$2-1)/9,1),"000"),"")</f>
        <v>CD098</v>
      </c>
      <c r="CM52" s="26" t="str">
        <f>IF(INDEX('Shot Map'!$B$6:$V$26,CEILING($A52/5,1),CEILING(CM$2/5,1))=1,INDEX('Serial Reference'!$A$8:$W$8,1,FLOOR(($A52-1)/23,1)+1)&amp;INDEX('Serial Reference'!$A$8:$W$8,1,MOD($A52-1,23)+1)&amp;TEXT(CM$2+FLOOR((CM$2-1)/9,1),"000"),"")</f>
        <v>CD099</v>
      </c>
      <c r="CN52" s="24" t="str">
        <f>IF(INDEX('Shot Map'!$B$6:$V$26,CEILING($A52/5,1),CEILING(CN$2/5,1))=1,INDEX('Serial Reference'!$A$8:$W$8,1,FLOOR(($A52-1)/23,1)+1)&amp;INDEX('Serial Reference'!$A$8:$W$8,1,MOD($A52-1,23)+1)&amp;TEXT(CN$2+FLOOR((CN$2-1)/9,1),"000"),"")</f>
        <v>CD101</v>
      </c>
      <c r="CO52" s="25" t="str">
        <f>IF(INDEX('Shot Map'!$B$6:$V$26,CEILING($A52/5,1),CEILING(CO$2/5,1))=1,INDEX('Serial Reference'!$A$8:$W$8,1,FLOOR(($A52-1)/23,1)+1)&amp;INDEX('Serial Reference'!$A$8:$W$8,1,MOD($A52-1,23)+1)&amp;TEXT(CO$2+FLOOR((CO$2-1)/9,1),"000"),"")</f>
        <v>CD102</v>
      </c>
      <c r="CP52" s="25" t="str">
        <f>IF(INDEX('Shot Map'!$B$6:$V$26,CEILING($A52/5,1),CEILING(CP$2/5,1))=1,INDEX('Serial Reference'!$A$8:$W$8,1,FLOOR(($A52-1)/23,1)+1)&amp;INDEX('Serial Reference'!$A$8:$W$8,1,MOD($A52-1,23)+1)&amp;TEXT(CP$2+FLOOR((CP$2-1)/9,1),"000"),"")</f>
        <v>CD103</v>
      </c>
      <c r="CQ52" s="25" t="str">
        <f>IF(INDEX('Shot Map'!$B$6:$V$26,CEILING($A52/5,1),CEILING(CQ$2/5,1))=1,INDEX('Serial Reference'!$A$8:$W$8,1,FLOOR(($A52-1)/23,1)+1)&amp;INDEX('Serial Reference'!$A$8:$W$8,1,MOD($A52-1,23)+1)&amp;TEXT(CQ$2+FLOOR((CQ$2-1)/9,1),"000"),"")</f>
        <v>CD104</v>
      </c>
      <c r="CR52" s="26" t="str">
        <f>IF(INDEX('Shot Map'!$B$6:$V$26,CEILING($A52/5,1),CEILING(CR$2/5,1))=1,INDEX('Serial Reference'!$A$8:$W$8,1,FLOOR(($A52-1)/23,1)+1)&amp;INDEX('Serial Reference'!$A$8:$W$8,1,MOD($A52-1,23)+1)&amp;TEXT(CR$2+FLOOR((CR$2-1)/9,1),"000"),"")</f>
        <v>CD105</v>
      </c>
      <c r="CS52" s="24" t="str">
        <f>IF(INDEX('Shot Map'!$B$6:$V$26,CEILING($A52/5,1),CEILING(CS$2/5,1))=1,INDEX('Serial Reference'!$A$8:$W$8,1,FLOOR(($A52-1)/23,1)+1)&amp;INDEX('Serial Reference'!$A$8:$W$8,1,MOD($A52-1,23)+1)&amp;TEXT(CS$2+FLOOR((CS$2-1)/9,1),"000"),"")</f>
        <v>CD106</v>
      </c>
      <c r="CT52" s="25" t="str">
        <f>IF(INDEX('Shot Map'!$B$6:$V$26,CEILING($A52/5,1),CEILING(CT$2/5,1))=1,INDEX('Serial Reference'!$A$8:$W$8,1,FLOOR(($A52-1)/23,1)+1)&amp;INDEX('Serial Reference'!$A$8:$W$8,1,MOD($A52-1,23)+1)&amp;TEXT(CT$2+FLOOR((CT$2-1)/9,1),"000"),"")</f>
        <v>CD107</v>
      </c>
      <c r="CU52" s="25" t="str">
        <f>IF(INDEX('Shot Map'!$B$6:$V$26,CEILING($A52/5,1),CEILING(CU$2/5,1))=1,INDEX('Serial Reference'!$A$8:$W$8,1,FLOOR(($A52-1)/23,1)+1)&amp;INDEX('Serial Reference'!$A$8:$W$8,1,MOD($A52-1,23)+1)&amp;TEXT(CU$2+FLOOR((CU$2-1)/9,1),"000"),"")</f>
        <v>CD108</v>
      </c>
      <c r="CV52" s="25" t="str">
        <f>IF(INDEX('Shot Map'!$B$6:$V$26,CEILING($A52/5,1),CEILING(CV$2/5,1))=1,INDEX('Serial Reference'!$A$8:$W$8,1,FLOOR(($A52-1)/23,1)+1)&amp;INDEX('Serial Reference'!$A$8:$W$8,1,MOD($A52-1,23)+1)&amp;TEXT(CV$2+FLOOR((CV$2-1)/9,1),"000"),"")</f>
        <v>CD109</v>
      </c>
      <c r="CW52" s="26" t="str">
        <f>IF(INDEX('Shot Map'!$B$6:$V$26,CEILING($A52/5,1),CEILING(CW$2/5,1))=1,INDEX('Serial Reference'!$A$8:$W$8,1,FLOOR(($A52-1)/23,1)+1)&amp;INDEX('Serial Reference'!$A$8:$W$8,1,MOD($A52-1,23)+1)&amp;TEXT(CW$2+FLOOR((CW$2-1)/9,1),"000"),"")</f>
        <v>CD111</v>
      </c>
      <c r="CX52" s="24" t="str">
        <f>IF(INDEX('Shot Map'!$B$6:$V$26,CEILING($A52/5,1),CEILING(CX$2/5,1))=1,INDEX('Serial Reference'!$A$8:$W$8,1,FLOOR(($A52-1)/23,1)+1)&amp;INDEX('Serial Reference'!$A$8:$W$8,1,MOD($A52-1,23)+1)&amp;TEXT(CX$2+FLOOR((CX$2-1)/9,1),"000"),"")</f>
        <v>CD112</v>
      </c>
      <c r="CY52" s="25" t="str">
        <f>IF(INDEX('Shot Map'!$B$6:$V$26,CEILING($A52/5,1),CEILING(CY$2/5,1))=1,INDEX('Serial Reference'!$A$8:$W$8,1,FLOOR(($A52-1)/23,1)+1)&amp;INDEX('Serial Reference'!$A$8:$W$8,1,MOD($A52-1,23)+1)&amp;TEXT(CY$2+FLOOR((CY$2-1)/9,1),"000"),"")</f>
        <v>CD113</v>
      </c>
      <c r="CZ52" s="25" t="str">
        <f>IF(INDEX('Shot Map'!$B$6:$V$26,CEILING($A52/5,1),CEILING(CZ$2/5,1))=1,INDEX('Serial Reference'!$A$8:$W$8,1,FLOOR(($A52-1)/23,1)+1)&amp;INDEX('Serial Reference'!$A$8:$W$8,1,MOD($A52-1,23)+1)&amp;TEXT(CZ$2+FLOOR((CZ$2-1)/9,1),"000"),"")</f>
        <v>CD114</v>
      </c>
      <c r="DA52" s="25" t="str">
        <f>IF(INDEX('Shot Map'!$B$6:$V$26,CEILING($A52/5,1),CEILING(DA$2/5,1))=1,INDEX('Serial Reference'!$A$8:$W$8,1,FLOOR(($A52-1)/23,1)+1)&amp;INDEX('Serial Reference'!$A$8:$W$8,1,MOD($A52-1,23)+1)&amp;TEXT(DA$2+FLOOR((DA$2-1)/9,1),"000"),"")</f>
        <v>CD115</v>
      </c>
      <c r="DB52" s="26" t="str">
        <f>IF(INDEX('Shot Map'!$B$6:$V$26,CEILING($A52/5,1),CEILING(DB$2/5,1))=1,INDEX('Serial Reference'!$A$8:$W$8,1,FLOOR(($A52-1)/23,1)+1)&amp;INDEX('Serial Reference'!$A$8:$W$8,1,MOD($A52-1,23)+1)&amp;TEXT(DB$2+FLOOR((DB$2-1)/9,1),"000"),"")</f>
        <v>CD116</v>
      </c>
    </row>
    <row r="53" spans="1:106" ht="12.75" customHeight="1" x14ac:dyDescent="0.25">
      <c r="A53" s="17">
        <v>51</v>
      </c>
      <c r="B53" s="18" t="str">
        <f>IF(INDEX('Shot Map'!$B$6:$V$26,CEILING($A53/5,1),CEILING(B$2/5,1))=1,INDEX('Serial Reference'!$A$8:$W$8,1,FLOOR(($A53-1)/23,1)+1)&amp;INDEX('Serial Reference'!$A$8:$W$8,1,MOD($A53-1,23)+1)&amp;TEXT(B$2+FLOOR((B$2-1)/9,1),"000"),"")</f>
        <v>CE001</v>
      </c>
      <c r="C53" s="19" t="str">
        <f>IF(INDEX('Shot Map'!$B$6:$V$26,CEILING($A53/5,1),CEILING(C$2/5,1))=1,INDEX('Serial Reference'!$A$8:$W$8,1,FLOOR(($A53-1)/23,1)+1)&amp;INDEX('Serial Reference'!$A$8:$W$8,1,MOD($A53-1,23)+1)&amp;TEXT(C$2+FLOOR((C$2-1)/9,1),"000"),"")</f>
        <v>CE002</v>
      </c>
      <c r="D53" s="19" t="str">
        <f>IF(INDEX('Shot Map'!$B$6:$V$26,CEILING($A53/5,1),CEILING(D$2/5,1))=1,INDEX('Serial Reference'!$A$8:$W$8,1,FLOOR(($A53-1)/23,1)+1)&amp;INDEX('Serial Reference'!$A$8:$W$8,1,MOD($A53-1,23)+1)&amp;TEXT(D$2+FLOOR((D$2-1)/9,1),"000"),"")</f>
        <v>CE003</v>
      </c>
      <c r="E53" s="19" t="str">
        <f>IF(INDEX('Shot Map'!$B$6:$V$26,CEILING($A53/5,1),CEILING(E$2/5,1))=1,INDEX('Serial Reference'!$A$8:$W$8,1,FLOOR(($A53-1)/23,1)+1)&amp;INDEX('Serial Reference'!$A$8:$W$8,1,MOD($A53-1,23)+1)&amp;TEXT(E$2+FLOOR((E$2-1)/9,1),"000"),"")</f>
        <v>CE004</v>
      </c>
      <c r="F53" s="20" t="str">
        <f>IF(INDEX('Shot Map'!$B$6:$V$26,CEILING($A53/5,1),CEILING(F$2/5,1))=1,INDEX('Serial Reference'!$A$8:$W$8,1,FLOOR(($A53-1)/23,1)+1)&amp;INDEX('Serial Reference'!$A$8:$W$8,1,MOD($A53-1,23)+1)&amp;TEXT(F$2+FLOOR((F$2-1)/9,1),"000"),"")</f>
        <v>CE005</v>
      </c>
      <c r="G53" s="18" t="str">
        <f>IF(INDEX('Shot Map'!$B$6:$V$26,CEILING($A53/5,1),CEILING(G$2/5,1))=1,INDEX('Serial Reference'!$A$8:$W$8,1,FLOOR(($A53-1)/23,1)+1)&amp;INDEX('Serial Reference'!$A$8:$W$8,1,MOD($A53-1,23)+1)&amp;TEXT(G$2+FLOOR((G$2-1)/9,1),"000"),"")</f>
        <v>CE006</v>
      </c>
      <c r="H53" s="19" t="str">
        <f>IF(INDEX('Shot Map'!$B$6:$V$26,CEILING($A53/5,1),CEILING(H$2/5,1))=1,INDEX('Serial Reference'!$A$8:$W$8,1,FLOOR(($A53-1)/23,1)+1)&amp;INDEX('Serial Reference'!$A$8:$W$8,1,MOD($A53-1,23)+1)&amp;TEXT(H$2+FLOOR((H$2-1)/9,1),"000"),"")</f>
        <v>CE007</v>
      </c>
      <c r="I53" s="19" t="str">
        <f>IF(INDEX('Shot Map'!$B$6:$V$26,CEILING($A53/5,1),CEILING(I$2/5,1))=1,INDEX('Serial Reference'!$A$8:$W$8,1,FLOOR(($A53-1)/23,1)+1)&amp;INDEX('Serial Reference'!$A$8:$W$8,1,MOD($A53-1,23)+1)&amp;TEXT(I$2+FLOOR((I$2-1)/9,1),"000"),"")</f>
        <v>CE008</v>
      </c>
      <c r="J53" s="19" t="str">
        <f>IF(INDEX('Shot Map'!$B$6:$V$26,CEILING($A53/5,1),CEILING(J$2/5,1))=1,INDEX('Serial Reference'!$A$8:$W$8,1,FLOOR(($A53-1)/23,1)+1)&amp;INDEX('Serial Reference'!$A$8:$W$8,1,MOD($A53-1,23)+1)&amp;TEXT(J$2+FLOOR((J$2-1)/9,1),"000"),"")</f>
        <v>CE009</v>
      </c>
      <c r="K53" s="20" t="str">
        <f>IF(INDEX('Shot Map'!$B$6:$V$26,CEILING($A53/5,1),CEILING(K$2/5,1))=1,INDEX('Serial Reference'!$A$8:$W$8,1,FLOOR(($A53-1)/23,1)+1)&amp;INDEX('Serial Reference'!$A$8:$W$8,1,MOD($A53-1,23)+1)&amp;TEXT(K$2+FLOOR((K$2-1)/9,1),"000"),"")</f>
        <v>CE011</v>
      </c>
      <c r="L53" s="18" t="str">
        <f>IF(INDEX('Shot Map'!$B$6:$V$26,CEILING($A53/5,1),CEILING(L$2/5,1))=1,INDEX('Serial Reference'!$A$8:$W$8,1,FLOOR(($A53-1)/23,1)+1)&amp;INDEX('Serial Reference'!$A$8:$W$8,1,MOD($A53-1,23)+1)&amp;TEXT(L$2+FLOOR((L$2-1)/9,1),"000"),"")</f>
        <v>CE012</v>
      </c>
      <c r="M53" s="19" t="str">
        <f>IF(INDEX('Shot Map'!$B$6:$V$26,CEILING($A53/5,1),CEILING(M$2/5,1))=1,INDEX('Serial Reference'!$A$8:$W$8,1,FLOOR(($A53-1)/23,1)+1)&amp;INDEX('Serial Reference'!$A$8:$W$8,1,MOD($A53-1,23)+1)&amp;TEXT(M$2+FLOOR((M$2-1)/9,1),"000"),"")</f>
        <v>CE013</v>
      </c>
      <c r="N53" s="19" t="str">
        <f>IF(INDEX('Shot Map'!$B$6:$V$26,CEILING($A53/5,1),CEILING(N$2/5,1))=1,INDEX('Serial Reference'!$A$8:$W$8,1,FLOOR(($A53-1)/23,1)+1)&amp;INDEX('Serial Reference'!$A$8:$W$8,1,MOD($A53-1,23)+1)&amp;TEXT(N$2+FLOOR((N$2-1)/9,1),"000"),"")</f>
        <v>CE014</v>
      </c>
      <c r="O53" s="19" t="str">
        <f>IF(INDEX('Shot Map'!$B$6:$V$26,CEILING($A53/5,1),CEILING(O$2/5,1))=1,INDEX('Serial Reference'!$A$8:$W$8,1,FLOOR(($A53-1)/23,1)+1)&amp;INDEX('Serial Reference'!$A$8:$W$8,1,MOD($A53-1,23)+1)&amp;TEXT(O$2+FLOOR((O$2-1)/9,1),"000"),"")</f>
        <v>CE015</v>
      </c>
      <c r="P53" s="20" t="str">
        <f>IF(INDEX('Shot Map'!$B$6:$V$26,CEILING($A53/5,1),CEILING(P$2/5,1))=1,INDEX('Serial Reference'!$A$8:$W$8,1,FLOOR(($A53-1)/23,1)+1)&amp;INDEX('Serial Reference'!$A$8:$W$8,1,MOD($A53-1,23)+1)&amp;TEXT(P$2+FLOOR((P$2-1)/9,1),"000"),"")</f>
        <v>CE016</v>
      </c>
      <c r="Q53" s="18" t="str">
        <f>IF(INDEX('Shot Map'!$B$6:$V$26,CEILING($A53/5,1),CEILING(Q$2/5,1))=1,INDEX('Serial Reference'!$A$8:$W$8,1,FLOOR(($A53-1)/23,1)+1)&amp;INDEX('Serial Reference'!$A$8:$W$8,1,MOD($A53-1,23)+1)&amp;TEXT(Q$2+FLOOR((Q$2-1)/9,1),"000"),"")</f>
        <v>CE017</v>
      </c>
      <c r="R53" s="19" t="str">
        <f>IF(INDEX('Shot Map'!$B$6:$V$26,CEILING($A53/5,1),CEILING(R$2/5,1))=1,INDEX('Serial Reference'!$A$8:$W$8,1,FLOOR(($A53-1)/23,1)+1)&amp;INDEX('Serial Reference'!$A$8:$W$8,1,MOD($A53-1,23)+1)&amp;TEXT(R$2+FLOOR((R$2-1)/9,1),"000"),"")</f>
        <v>CE018</v>
      </c>
      <c r="S53" s="19" t="str">
        <f>IF(INDEX('Shot Map'!$B$6:$V$26,CEILING($A53/5,1),CEILING(S$2/5,1))=1,INDEX('Serial Reference'!$A$8:$W$8,1,FLOOR(($A53-1)/23,1)+1)&amp;INDEX('Serial Reference'!$A$8:$W$8,1,MOD($A53-1,23)+1)&amp;TEXT(S$2+FLOOR((S$2-1)/9,1),"000"),"")</f>
        <v>CE019</v>
      </c>
      <c r="T53" s="19" t="str">
        <f>IF(INDEX('Shot Map'!$B$6:$V$26,CEILING($A53/5,1),CEILING(T$2/5,1))=1,INDEX('Serial Reference'!$A$8:$W$8,1,FLOOR(($A53-1)/23,1)+1)&amp;INDEX('Serial Reference'!$A$8:$W$8,1,MOD($A53-1,23)+1)&amp;TEXT(T$2+FLOOR((T$2-1)/9,1),"000"),"")</f>
        <v>CE021</v>
      </c>
      <c r="U53" s="20" t="str">
        <f>IF(INDEX('Shot Map'!$B$6:$V$26,CEILING($A53/5,1),CEILING(U$2/5,1))=1,INDEX('Serial Reference'!$A$8:$W$8,1,FLOOR(($A53-1)/23,1)+1)&amp;INDEX('Serial Reference'!$A$8:$W$8,1,MOD($A53-1,23)+1)&amp;TEXT(U$2+FLOOR((U$2-1)/9,1),"000"),"")</f>
        <v>CE022</v>
      </c>
      <c r="V53" s="18" t="str">
        <f>IF(INDEX('Shot Map'!$B$6:$V$26,CEILING($A53/5,1),CEILING(V$2/5,1))=1,INDEX('Serial Reference'!$A$8:$W$8,1,FLOOR(($A53-1)/23,1)+1)&amp;INDEX('Serial Reference'!$A$8:$W$8,1,MOD($A53-1,23)+1)&amp;TEXT(V$2+FLOOR((V$2-1)/9,1),"000"),"")</f>
        <v>CE023</v>
      </c>
      <c r="W53" s="19" t="str">
        <f>IF(INDEX('Shot Map'!$B$6:$V$26,CEILING($A53/5,1),CEILING(W$2/5,1))=1,INDEX('Serial Reference'!$A$8:$W$8,1,FLOOR(($A53-1)/23,1)+1)&amp;INDEX('Serial Reference'!$A$8:$W$8,1,MOD($A53-1,23)+1)&amp;TEXT(W$2+FLOOR((W$2-1)/9,1),"000"),"")</f>
        <v>CE024</v>
      </c>
      <c r="X53" s="19" t="str">
        <f>IF(INDEX('Shot Map'!$B$6:$V$26,CEILING($A53/5,1),CEILING(X$2/5,1))=1,INDEX('Serial Reference'!$A$8:$W$8,1,FLOOR(($A53-1)/23,1)+1)&amp;INDEX('Serial Reference'!$A$8:$W$8,1,MOD($A53-1,23)+1)&amp;TEXT(X$2+FLOOR((X$2-1)/9,1),"000"),"")</f>
        <v>CE025</v>
      </c>
      <c r="Y53" s="19" t="str">
        <f>IF(INDEX('Shot Map'!$B$6:$V$26,CEILING($A53/5,1),CEILING(Y$2/5,1))=1,INDEX('Serial Reference'!$A$8:$W$8,1,FLOOR(($A53-1)/23,1)+1)&amp;INDEX('Serial Reference'!$A$8:$W$8,1,MOD($A53-1,23)+1)&amp;TEXT(Y$2+FLOOR((Y$2-1)/9,1),"000"),"")</f>
        <v>CE026</v>
      </c>
      <c r="Z53" s="20" t="str">
        <f>IF(INDEX('Shot Map'!$B$6:$V$26,CEILING($A53/5,1),CEILING(Z$2/5,1))=1,INDEX('Serial Reference'!$A$8:$W$8,1,FLOOR(($A53-1)/23,1)+1)&amp;INDEX('Serial Reference'!$A$8:$W$8,1,MOD($A53-1,23)+1)&amp;TEXT(Z$2+FLOOR((Z$2-1)/9,1),"000"),"")</f>
        <v>CE027</v>
      </c>
      <c r="AA53" s="18" t="str">
        <f>IF(INDEX('Shot Map'!$B$6:$V$26,CEILING($A53/5,1),CEILING(AA$2/5,1))=1,INDEX('Serial Reference'!$A$8:$W$8,1,FLOOR(($A53-1)/23,1)+1)&amp;INDEX('Serial Reference'!$A$8:$W$8,1,MOD($A53-1,23)+1)&amp;TEXT(AA$2+FLOOR((AA$2-1)/9,1),"000"),"")</f>
        <v>CE028</v>
      </c>
      <c r="AB53" s="19" t="str">
        <f>IF(INDEX('Shot Map'!$B$6:$V$26,CEILING($A53/5,1),CEILING(AB$2/5,1))=1,INDEX('Serial Reference'!$A$8:$W$8,1,FLOOR(($A53-1)/23,1)+1)&amp;INDEX('Serial Reference'!$A$8:$W$8,1,MOD($A53-1,23)+1)&amp;TEXT(AB$2+FLOOR((AB$2-1)/9,1),"000"),"")</f>
        <v>CE029</v>
      </c>
      <c r="AC53" s="19" t="str">
        <f>IF(INDEX('Shot Map'!$B$6:$V$26,CEILING($A53/5,1),CEILING(AC$2/5,1))=1,INDEX('Serial Reference'!$A$8:$W$8,1,FLOOR(($A53-1)/23,1)+1)&amp;INDEX('Serial Reference'!$A$8:$W$8,1,MOD($A53-1,23)+1)&amp;TEXT(AC$2+FLOOR((AC$2-1)/9,1),"000"),"")</f>
        <v>CE031</v>
      </c>
      <c r="AD53" s="19" t="str">
        <f>IF(INDEX('Shot Map'!$B$6:$V$26,CEILING($A53/5,1),CEILING(AD$2/5,1))=1,INDEX('Serial Reference'!$A$8:$W$8,1,FLOOR(($A53-1)/23,1)+1)&amp;INDEX('Serial Reference'!$A$8:$W$8,1,MOD($A53-1,23)+1)&amp;TEXT(AD$2+FLOOR((AD$2-1)/9,1),"000"),"")</f>
        <v>CE032</v>
      </c>
      <c r="AE53" s="20" t="str">
        <f>IF(INDEX('Shot Map'!$B$6:$V$26,CEILING($A53/5,1),CEILING(AE$2/5,1))=1,INDEX('Serial Reference'!$A$8:$W$8,1,FLOOR(($A53-1)/23,1)+1)&amp;INDEX('Serial Reference'!$A$8:$W$8,1,MOD($A53-1,23)+1)&amp;TEXT(AE$2+FLOOR((AE$2-1)/9,1),"000"),"")</f>
        <v>CE033</v>
      </c>
      <c r="AF53" s="18" t="str">
        <f>IF(INDEX('Shot Map'!$B$6:$V$26,CEILING($A53/5,1),CEILING(AF$2/5,1))=1,INDEX('Serial Reference'!$A$8:$W$8,1,FLOOR(($A53-1)/23,1)+1)&amp;INDEX('Serial Reference'!$A$8:$W$8,1,MOD($A53-1,23)+1)&amp;TEXT(AF$2+FLOOR((AF$2-1)/9,1),"000"),"")</f>
        <v>CE034</v>
      </c>
      <c r="AG53" s="19" t="str">
        <f>IF(INDEX('Shot Map'!$B$6:$V$26,CEILING($A53/5,1),CEILING(AG$2/5,1))=1,INDEX('Serial Reference'!$A$8:$W$8,1,FLOOR(($A53-1)/23,1)+1)&amp;INDEX('Serial Reference'!$A$8:$W$8,1,MOD($A53-1,23)+1)&amp;TEXT(AG$2+FLOOR((AG$2-1)/9,1),"000"),"")</f>
        <v>CE035</v>
      </c>
      <c r="AH53" s="19" t="str">
        <f>IF(INDEX('Shot Map'!$B$6:$V$26,CEILING($A53/5,1),CEILING(AH$2/5,1))=1,INDEX('Serial Reference'!$A$8:$W$8,1,FLOOR(($A53-1)/23,1)+1)&amp;INDEX('Serial Reference'!$A$8:$W$8,1,MOD($A53-1,23)+1)&amp;TEXT(AH$2+FLOOR((AH$2-1)/9,1),"000"),"")</f>
        <v>CE036</v>
      </c>
      <c r="AI53" s="19" t="str">
        <f>IF(INDEX('Shot Map'!$B$6:$V$26,CEILING($A53/5,1),CEILING(AI$2/5,1))=1,INDEX('Serial Reference'!$A$8:$W$8,1,FLOOR(($A53-1)/23,1)+1)&amp;INDEX('Serial Reference'!$A$8:$W$8,1,MOD($A53-1,23)+1)&amp;TEXT(AI$2+FLOOR((AI$2-1)/9,1),"000"),"")</f>
        <v>CE037</v>
      </c>
      <c r="AJ53" s="20" t="str">
        <f>IF(INDEX('Shot Map'!$B$6:$V$26,CEILING($A53/5,1),CEILING(AJ$2/5,1))=1,INDEX('Serial Reference'!$A$8:$W$8,1,FLOOR(($A53-1)/23,1)+1)&amp;INDEX('Serial Reference'!$A$8:$W$8,1,MOD($A53-1,23)+1)&amp;TEXT(AJ$2+FLOOR((AJ$2-1)/9,1),"000"),"")</f>
        <v>CE038</v>
      </c>
      <c r="AK53" s="18" t="str">
        <f>IF(INDEX('Shot Map'!$B$6:$V$26,CEILING($A53/5,1),CEILING(AK$2/5,1))=1,INDEX('Serial Reference'!$A$8:$W$8,1,FLOOR(($A53-1)/23,1)+1)&amp;INDEX('Serial Reference'!$A$8:$W$8,1,MOD($A53-1,23)+1)&amp;TEXT(AK$2+FLOOR((AK$2-1)/9,1),"000"),"")</f>
        <v>CE039</v>
      </c>
      <c r="AL53" s="19" t="str">
        <f>IF(INDEX('Shot Map'!$B$6:$V$26,CEILING($A53/5,1),CEILING(AL$2/5,1))=1,INDEX('Serial Reference'!$A$8:$W$8,1,FLOOR(($A53-1)/23,1)+1)&amp;INDEX('Serial Reference'!$A$8:$W$8,1,MOD($A53-1,23)+1)&amp;TEXT(AL$2+FLOOR((AL$2-1)/9,1),"000"),"")</f>
        <v>CE041</v>
      </c>
      <c r="AM53" s="19" t="str">
        <f>IF(INDEX('Shot Map'!$B$6:$V$26,CEILING($A53/5,1),CEILING(AM$2/5,1))=1,INDEX('Serial Reference'!$A$8:$W$8,1,FLOOR(($A53-1)/23,1)+1)&amp;INDEX('Serial Reference'!$A$8:$W$8,1,MOD($A53-1,23)+1)&amp;TEXT(AM$2+FLOOR((AM$2-1)/9,1),"000"),"")</f>
        <v>CE042</v>
      </c>
      <c r="AN53" s="19" t="str">
        <f>IF(INDEX('Shot Map'!$B$6:$V$26,CEILING($A53/5,1),CEILING(AN$2/5,1))=1,INDEX('Serial Reference'!$A$8:$W$8,1,FLOOR(($A53-1)/23,1)+1)&amp;INDEX('Serial Reference'!$A$8:$W$8,1,MOD($A53-1,23)+1)&amp;TEXT(AN$2+FLOOR((AN$2-1)/9,1),"000"),"")</f>
        <v>CE043</v>
      </c>
      <c r="AO53" s="20" t="str">
        <f>IF(INDEX('Shot Map'!$B$6:$V$26,CEILING($A53/5,1),CEILING(AO$2/5,1))=1,INDEX('Serial Reference'!$A$8:$W$8,1,FLOOR(($A53-1)/23,1)+1)&amp;INDEX('Serial Reference'!$A$8:$W$8,1,MOD($A53-1,23)+1)&amp;TEXT(AO$2+FLOOR((AO$2-1)/9,1),"000"),"")</f>
        <v>CE044</v>
      </c>
      <c r="AP53" s="18" t="str">
        <f>IF(INDEX('Shot Map'!$B$6:$V$26,CEILING($A53/5,1),CEILING(AP$2/5,1))=1,INDEX('Serial Reference'!$A$8:$W$8,1,FLOOR(($A53-1)/23,1)+1)&amp;INDEX('Serial Reference'!$A$8:$W$8,1,MOD($A53-1,23)+1)&amp;TEXT(AP$2+FLOOR((AP$2-1)/9,1),"000"),"")</f>
        <v>CE045</v>
      </c>
      <c r="AQ53" s="19" t="str">
        <f>IF(INDEX('Shot Map'!$B$6:$V$26,CEILING($A53/5,1),CEILING(AQ$2/5,1))=1,INDEX('Serial Reference'!$A$8:$W$8,1,FLOOR(($A53-1)/23,1)+1)&amp;INDEX('Serial Reference'!$A$8:$W$8,1,MOD($A53-1,23)+1)&amp;TEXT(AQ$2+FLOOR((AQ$2-1)/9,1),"000"),"")</f>
        <v>CE046</v>
      </c>
      <c r="AR53" s="19" t="str">
        <f>IF(INDEX('Shot Map'!$B$6:$V$26,CEILING($A53/5,1),CEILING(AR$2/5,1))=1,INDEX('Serial Reference'!$A$8:$W$8,1,FLOOR(($A53-1)/23,1)+1)&amp;INDEX('Serial Reference'!$A$8:$W$8,1,MOD($A53-1,23)+1)&amp;TEXT(AR$2+FLOOR((AR$2-1)/9,1),"000"),"")</f>
        <v>CE047</v>
      </c>
      <c r="AS53" s="19" t="str">
        <f>IF(INDEX('Shot Map'!$B$6:$V$26,CEILING($A53/5,1),CEILING(AS$2/5,1))=1,INDEX('Serial Reference'!$A$8:$W$8,1,FLOOR(($A53-1)/23,1)+1)&amp;INDEX('Serial Reference'!$A$8:$W$8,1,MOD($A53-1,23)+1)&amp;TEXT(AS$2+FLOOR((AS$2-1)/9,1),"000"),"")</f>
        <v>CE048</v>
      </c>
      <c r="AT53" s="20" t="str">
        <f>IF(INDEX('Shot Map'!$B$6:$V$26,CEILING($A53/5,1),CEILING(AT$2/5,1))=1,INDEX('Serial Reference'!$A$8:$W$8,1,FLOOR(($A53-1)/23,1)+1)&amp;INDEX('Serial Reference'!$A$8:$W$8,1,MOD($A53-1,23)+1)&amp;TEXT(AT$2+FLOOR((AT$2-1)/9,1),"000"),"")</f>
        <v>CE049</v>
      </c>
      <c r="AU53" s="18" t="str">
        <f>IF(INDEX('Shot Map'!$B$6:$V$26,CEILING($A53/5,1),CEILING(AU$2/5,1))=1,INDEX('Serial Reference'!$A$8:$W$8,1,FLOOR(($A53-1)/23,1)+1)&amp;INDEX('Serial Reference'!$A$8:$W$8,1,MOD($A53-1,23)+1)&amp;TEXT(AU$2+FLOOR((AU$2-1)/9,1),"000"),"")</f>
        <v>CE051</v>
      </c>
      <c r="AV53" s="19" t="str">
        <f>IF(INDEX('Shot Map'!$B$6:$V$26,CEILING($A53/5,1),CEILING(AV$2/5,1))=1,INDEX('Serial Reference'!$A$8:$W$8,1,FLOOR(($A53-1)/23,1)+1)&amp;INDEX('Serial Reference'!$A$8:$W$8,1,MOD($A53-1,23)+1)&amp;TEXT(AV$2+FLOOR((AV$2-1)/9,1),"000"),"")</f>
        <v>CE052</v>
      </c>
      <c r="AW53" s="19" t="str">
        <f>IF(INDEX('Shot Map'!$B$6:$V$26,CEILING($A53/5,1),CEILING(AW$2/5,1))=1,INDEX('Serial Reference'!$A$8:$W$8,1,FLOOR(($A53-1)/23,1)+1)&amp;INDEX('Serial Reference'!$A$8:$W$8,1,MOD($A53-1,23)+1)&amp;TEXT(AW$2+FLOOR((AW$2-1)/9,1),"000"),"")</f>
        <v>CE053</v>
      </c>
      <c r="AX53" s="19" t="str">
        <f>IF(INDEX('Shot Map'!$B$6:$V$26,CEILING($A53/5,1),CEILING(AX$2/5,1))=1,INDEX('Serial Reference'!$A$8:$W$8,1,FLOOR(($A53-1)/23,1)+1)&amp;INDEX('Serial Reference'!$A$8:$W$8,1,MOD($A53-1,23)+1)&amp;TEXT(AX$2+FLOOR((AX$2-1)/9,1),"000"),"")</f>
        <v>CE054</v>
      </c>
      <c r="AY53" s="20" t="str">
        <f>IF(INDEX('Shot Map'!$B$6:$V$26,CEILING($A53/5,1),CEILING(AY$2/5,1))=1,INDEX('Serial Reference'!$A$8:$W$8,1,FLOOR(($A53-1)/23,1)+1)&amp;INDEX('Serial Reference'!$A$8:$W$8,1,MOD($A53-1,23)+1)&amp;TEXT(AY$2+FLOOR((AY$2-1)/9,1),"000"),"")</f>
        <v>CE055</v>
      </c>
      <c r="AZ53" s="18" t="str">
        <f>IF(INDEX('Shot Map'!$B$6:$V$26,CEILING($A53/5,1),CEILING(AZ$2/5,1))=1,INDEX('Serial Reference'!$A$8:$W$8,1,FLOOR(($A53-1)/23,1)+1)&amp;INDEX('Serial Reference'!$A$8:$W$8,1,MOD($A53-1,23)+1)&amp;TEXT(AZ$2+FLOOR((AZ$2-1)/9,1),"000"),"")</f>
        <v>CE056</v>
      </c>
      <c r="BA53" s="19" t="str">
        <f>IF(INDEX('Shot Map'!$B$6:$V$26,CEILING($A53/5,1),CEILING(BA$2/5,1))=1,INDEX('Serial Reference'!$A$8:$W$8,1,FLOOR(($A53-1)/23,1)+1)&amp;INDEX('Serial Reference'!$A$8:$W$8,1,MOD($A53-1,23)+1)&amp;TEXT(BA$2+FLOOR((BA$2-1)/9,1),"000"),"")</f>
        <v>CE057</v>
      </c>
      <c r="BB53" s="19" t="str">
        <f>IF(INDEX('Shot Map'!$B$6:$V$26,CEILING($A53/5,1),CEILING(BB$2/5,1))=1,INDEX('Serial Reference'!$A$8:$W$8,1,FLOOR(($A53-1)/23,1)+1)&amp;INDEX('Serial Reference'!$A$8:$W$8,1,MOD($A53-1,23)+1)&amp;TEXT(BB$2+FLOOR((BB$2-1)/9,1),"000"),"")</f>
        <v>CE058</v>
      </c>
      <c r="BC53" s="19" t="str">
        <f>IF(INDEX('Shot Map'!$B$6:$V$26,CEILING($A53/5,1),CEILING(BC$2/5,1))=1,INDEX('Serial Reference'!$A$8:$W$8,1,FLOOR(($A53-1)/23,1)+1)&amp;INDEX('Serial Reference'!$A$8:$W$8,1,MOD($A53-1,23)+1)&amp;TEXT(BC$2+FLOOR((BC$2-1)/9,1),"000"),"")</f>
        <v>CE059</v>
      </c>
      <c r="BD53" s="20" t="str">
        <f>IF(INDEX('Shot Map'!$B$6:$V$26,CEILING($A53/5,1),CEILING(BD$2/5,1))=1,INDEX('Serial Reference'!$A$8:$W$8,1,FLOOR(($A53-1)/23,1)+1)&amp;INDEX('Serial Reference'!$A$8:$W$8,1,MOD($A53-1,23)+1)&amp;TEXT(BD$2+FLOOR((BD$2-1)/9,1),"000"),"")</f>
        <v>CE061</v>
      </c>
      <c r="BE53" s="18" t="str">
        <f>IF(INDEX('Shot Map'!$B$6:$V$26,CEILING($A53/5,1),CEILING(BE$2/5,1))=1,INDEX('Serial Reference'!$A$8:$W$8,1,FLOOR(($A53-1)/23,1)+1)&amp;INDEX('Serial Reference'!$A$8:$W$8,1,MOD($A53-1,23)+1)&amp;TEXT(BE$2+FLOOR((BE$2-1)/9,1),"000"),"")</f>
        <v>CE062</v>
      </c>
      <c r="BF53" s="19" t="str">
        <f>IF(INDEX('Shot Map'!$B$6:$V$26,CEILING($A53/5,1),CEILING(BF$2/5,1))=1,INDEX('Serial Reference'!$A$8:$W$8,1,FLOOR(($A53-1)/23,1)+1)&amp;INDEX('Serial Reference'!$A$8:$W$8,1,MOD($A53-1,23)+1)&amp;TEXT(BF$2+FLOOR((BF$2-1)/9,1),"000"),"")</f>
        <v>CE063</v>
      </c>
      <c r="BG53" s="19" t="str">
        <f>IF(INDEX('Shot Map'!$B$6:$V$26,CEILING($A53/5,1),CEILING(BG$2/5,1))=1,INDEX('Serial Reference'!$A$8:$W$8,1,FLOOR(($A53-1)/23,1)+1)&amp;INDEX('Serial Reference'!$A$8:$W$8,1,MOD($A53-1,23)+1)&amp;TEXT(BG$2+FLOOR((BG$2-1)/9,1),"000"),"")</f>
        <v>CE064</v>
      </c>
      <c r="BH53" s="19" t="str">
        <f>IF(INDEX('Shot Map'!$B$6:$V$26,CEILING($A53/5,1),CEILING(BH$2/5,1))=1,INDEX('Serial Reference'!$A$8:$W$8,1,FLOOR(($A53-1)/23,1)+1)&amp;INDEX('Serial Reference'!$A$8:$W$8,1,MOD($A53-1,23)+1)&amp;TEXT(BH$2+FLOOR((BH$2-1)/9,1),"000"),"")</f>
        <v>CE065</v>
      </c>
      <c r="BI53" s="20" t="str">
        <f>IF(INDEX('Shot Map'!$B$6:$V$26,CEILING($A53/5,1),CEILING(BI$2/5,1))=1,INDEX('Serial Reference'!$A$8:$W$8,1,FLOOR(($A53-1)/23,1)+1)&amp;INDEX('Serial Reference'!$A$8:$W$8,1,MOD($A53-1,23)+1)&amp;TEXT(BI$2+FLOOR((BI$2-1)/9,1),"000"),"")</f>
        <v>CE066</v>
      </c>
      <c r="BJ53" s="18" t="str">
        <f>IF(INDEX('Shot Map'!$B$6:$V$26,CEILING($A53/5,1),CEILING(BJ$2/5,1))=1,INDEX('Serial Reference'!$A$8:$W$8,1,FLOOR(($A53-1)/23,1)+1)&amp;INDEX('Serial Reference'!$A$8:$W$8,1,MOD($A53-1,23)+1)&amp;TEXT(BJ$2+FLOOR((BJ$2-1)/9,1),"000"),"")</f>
        <v>CE067</v>
      </c>
      <c r="BK53" s="19" t="str">
        <f>IF(INDEX('Shot Map'!$B$6:$V$26,CEILING($A53/5,1),CEILING(BK$2/5,1))=1,INDEX('Serial Reference'!$A$8:$W$8,1,FLOOR(($A53-1)/23,1)+1)&amp;INDEX('Serial Reference'!$A$8:$W$8,1,MOD($A53-1,23)+1)&amp;TEXT(BK$2+FLOOR((BK$2-1)/9,1),"000"),"")</f>
        <v>CE068</v>
      </c>
      <c r="BL53" s="19" t="str">
        <f>IF(INDEX('Shot Map'!$B$6:$V$26,CEILING($A53/5,1),CEILING(BL$2/5,1))=1,INDEX('Serial Reference'!$A$8:$W$8,1,FLOOR(($A53-1)/23,1)+1)&amp;INDEX('Serial Reference'!$A$8:$W$8,1,MOD($A53-1,23)+1)&amp;TEXT(BL$2+FLOOR((BL$2-1)/9,1),"000"),"")</f>
        <v>CE069</v>
      </c>
      <c r="BM53" s="19" t="str">
        <f>IF(INDEX('Shot Map'!$B$6:$V$26,CEILING($A53/5,1),CEILING(BM$2/5,1))=1,INDEX('Serial Reference'!$A$8:$W$8,1,FLOOR(($A53-1)/23,1)+1)&amp;INDEX('Serial Reference'!$A$8:$W$8,1,MOD($A53-1,23)+1)&amp;TEXT(BM$2+FLOOR((BM$2-1)/9,1),"000"),"")</f>
        <v>CE071</v>
      </c>
      <c r="BN53" s="20" t="str">
        <f>IF(INDEX('Shot Map'!$B$6:$V$26,CEILING($A53/5,1),CEILING(BN$2/5,1))=1,INDEX('Serial Reference'!$A$8:$W$8,1,FLOOR(($A53-1)/23,1)+1)&amp;INDEX('Serial Reference'!$A$8:$W$8,1,MOD($A53-1,23)+1)&amp;TEXT(BN$2+FLOOR((BN$2-1)/9,1),"000"),"")</f>
        <v>CE072</v>
      </c>
      <c r="BO53" s="18" t="str">
        <f>IF(INDEX('Shot Map'!$B$6:$V$26,CEILING($A53/5,1),CEILING(BO$2/5,1))=1,INDEX('Serial Reference'!$A$8:$W$8,1,FLOOR(($A53-1)/23,1)+1)&amp;INDEX('Serial Reference'!$A$8:$W$8,1,MOD($A53-1,23)+1)&amp;TEXT(BO$2+FLOOR((BO$2-1)/9,1),"000"),"")</f>
        <v>CE073</v>
      </c>
      <c r="BP53" s="19" t="str">
        <f>IF(INDEX('Shot Map'!$B$6:$V$26,CEILING($A53/5,1),CEILING(BP$2/5,1))=1,INDEX('Serial Reference'!$A$8:$W$8,1,FLOOR(($A53-1)/23,1)+1)&amp;INDEX('Serial Reference'!$A$8:$W$8,1,MOD($A53-1,23)+1)&amp;TEXT(BP$2+FLOOR((BP$2-1)/9,1),"000"),"")</f>
        <v>CE074</v>
      </c>
      <c r="BQ53" s="19" t="str">
        <f>IF(INDEX('Shot Map'!$B$6:$V$26,CEILING($A53/5,1),CEILING(BQ$2/5,1))=1,INDEX('Serial Reference'!$A$8:$W$8,1,FLOOR(($A53-1)/23,1)+1)&amp;INDEX('Serial Reference'!$A$8:$W$8,1,MOD($A53-1,23)+1)&amp;TEXT(BQ$2+FLOOR((BQ$2-1)/9,1),"000"),"")</f>
        <v>CE075</v>
      </c>
      <c r="BR53" s="19" t="str">
        <f>IF(INDEX('Shot Map'!$B$6:$V$26,CEILING($A53/5,1),CEILING(BR$2/5,1))=1,INDEX('Serial Reference'!$A$8:$W$8,1,FLOOR(($A53-1)/23,1)+1)&amp;INDEX('Serial Reference'!$A$8:$W$8,1,MOD($A53-1,23)+1)&amp;TEXT(BR$2+FLOOR((BR$2-1)/9,1),"000"),"")</f>
        <v>CE076</v>
      </c>
      <c r="BS53" s="20" t="str">
        <f>IF(INDEX('Shot Map'!$B$6:$V$26,CEILING($A53/5,1),CEILING(BS$2/5,1))=1,INDEX('Serial Reference'!$A$8:$W$8,1,FLOOR(($A53-1)/23,1)+1)&amp;INDEX('Serial Reference'!$A$8:$W$8,1,MOD($A53-1,23)+1)&amp;TEXT(BS$2+FLOOR((BS$2-1)/9,1),"000"),"")</f>
        <v>CE077</v>
      </c>
      <c r="BT53" s="18" t="str">
        <f>IF(INDEX('Shot Map'!$B$6:$V$26,CEILING($A53/5,1),CEILING(BT$2/5,1))=1,INDEX('Serial Reference'!$A$8:$W$8,1,FLOOR(($A53-1)/23,1)+1)&amp;INDEX('Serial Reference'!$A$8:$W$8,1,MOD($A53-1,23)+1)&amp;TEXT(BT$2+FLOOR((BT$2-1)/9,1),"000"),"")</f>
        <v>CE078</v>
      </c>
      <c r="BU53" s="19" t="str">
        <f>IF(INDEX('Shot Map'!$B$6:$V$26,CEILING($A53/5,1),CEILING(BU$2/5,1))=1,INDEX('Serial Reference'!$A$8:$W$8,1,FLOOR(($A53-1)/23,1)+1)&amp;INDEX('Serial Reference'!$A$8:$W$8,1,MOD($A53-1,23)+1)&amp;TEXT(BU$2+FLOOR((BU$2-1)/9,1),"000"),"")</f>
        <v>CE079</v>
      </c>
      <c r="BV53" s="19" t="str">
        <f>IF(INDEX('Shot Map'!$B$6:$V$26,CEILING($A53/5,1),CEILING(BV$2/5,1))=1,INDEX('Serial Reference'!$A$8:$W$8,1,FLOOR(($A53-1)/23,1)+1)&amp;INDEX('Serial Reference'!$A$8:$W$8,1,MOD($A53-1,23)+1)&amp;TEXT(BV$2+FLOOR((BV$2-1)/9,1),"000"),"")</f>
        <v>CE081</v>
      </c>
      <c r="BW53" s="19" t="str">
        <f>IF(INDEX('Shot Map'!$B$6:$V$26,CEILING($A53/5,1),CEILING(BW$2/5,1))=1,INDEX('Serial Reference'!$A$8:$W$8,1,FLOOR(($A53-1)/23,1)+1)&amp;INDEX('Serial Reference'!$A$8:$W$8,1,MOD($A53-1,23)+1)&amp;TEXT(BW$2+FLOOR((BW$2-1)/9,1),"000"),"")</f>
        <v>CE082</v>
      </c>
      <c r="BX53" s="20" t="str">
        <f>IF(INDEX('Shot Map'!$B$6:$V$26,CEILING($A53/5,1),CEILING(BX$2/5,1))=1,INDEX('Serial Reference'!$A$8:$W$8,1,FLOOR(($A53-1)/23,1)+1)&amp;INDEX('Serial Reference'!$A$8:$W$8,1,MOD($A53-1,23)+1)&amp;TEXT(BX$2+FLOOR((BX$2-1)/9,1),"000"),"")</f>
        <v>CE083</v>
      </c>
      <c r="BY53" s="18" t="str">
        <f>IF(INDEX('Shot Map'!$B$6:$V$26,CEILING($A53/5,1),CEILING(BY$2/5,1))=1,INDEX('Serial Reference'!$A$8:$W$8,1,FLOOR(($A53-1)/23,1)+1)&amp;INDEX('Serial Reference'!$A$8:$W$8,1,MOD($A53-1,23)+1)&amp;TEXT(BY$2+FLOOR((BY$2-1)/9,1),"000"),"")</f>
        <v>CE084</v>
      </c>
      <c r="BZ53" s="19" t="str">
        <f>IF(INDEX('Shot Map'!$B$6:$V$26,CEILING($A53/5,1),CEILING(BZ$2/5,1))=1,INDEX('Serial Reference'!$A$8:$W$8,1,FLOOR(($A53-1)/23,1)+1)&amp;INDEX('Serial Reference'!$A$8:$W$8,1,MOD($A53-1,23)+1)&amp;TEXT(BZ$2+FLOOR((BZ$2-1)/9,1),"000"),"")</f>
        <v>CE085</v>
      </c>
      <c r="CA53" s="19" t="str">
        <f>IF(INDEX('Shot Map'!$B$6:$V$26,CEILING($A53/5,1),CEILING(CA$2/5,1))=1,INDEX('Serial Reference'!$A$8:$W$8,1,FLOOR(($A53-1)/23,1)+1)&amp;INDEX('Serial Reference'!$A$8:$W$8,1,MOD($A53-1,23)+1)&amp;TEXT(CA$2+FLOOR((CA$2-1)/9,1),"000"),"")</f>
        <v>CE086</v>
      </c>
      <c r="CB53" s="19" t="str">
        <f>IF(INDEX('Shot Map'!$B$6:$V$26,CEILING($A53/5,1),CEILING(CB$2/5,1))=1,INDEX('Serial Reference'!$A$8:$W$8,1,FLOOR(($A53-1)/23,1)+1)&amp;INDEX('Serial Reference'!$A$8:$W$8,1,MOD($A53-1,23)+1)&amp;TEXT(CB$2+FLOOR((CB$2-1)/9,1),"000"),"")</f>
        <v>CE087</v>
      </c>
      <c r="CC53" s="20" t="str">
        <f>IF(INDEX('Shot Map'!$B$6:$V$26,CEILING($A53/5,1),CEILING(CC$2/5,1))=1,INDEX('Serial Reference'!$A$8:$W$8,1,FLOOR(($A53-1)/23,1)+1)&amp;INDEX('Serial Reference'!$A$8:$W$8,1,MOD($A53-1,23)+1)&amp;TEXT(CC$2+FLOOR((CC$2-1)/9,1),"000"),"")</f>
        <v>CE088</v>
      </c>
      <c r="CD53" s="18" t="str">
        <f>IF(INDEX('Shot Map'!$B$6:$V$26,CEILING($A53/5,1),CEILING(CD$2/5,1))=1,INDEX('Serial Reference'!$A$8:$W$8,1,FLOOR(($A53-1)/23,1)+1)&amp;INDEX('Serial Reference'!$A$8:$W$8,1,MOD($A53-1,23)+1)&amp;TEXT(CD$2+FLOOR((CD$2-1)/9,1),"000"),"")</f>
        <v>CE089</v>
      </c>
      <c r="CE53" s="19" t="str">
        <f>IF(INDEX('Shot Map'!$B$6:$V$26,CEILING($A53/5,1),CEILING(CE$2/5,1))=1,INDEX('Serial Reference'!$A$8:$W$8,1,FLOOR(($A53-1)/23,1)+1)&amp;INDEX('Serial Reference'!$A$8:$W$8,1,MOD($A53-1,23)+1)&amp;TEXT(CE$2+FLOOR((CE$2-1)/9,1),"000"),"")</f>
        <v>CE091</v>
      </c>
      <c r="CF53" s="19" t="str">
        <f>IF(INDEX('Shot Map'!$B$6:$V$26,CEILING($A53/5,1),CEILING(CF$2/5,1))=1,INDEX('Serial Reference'!$A$8:$W$8,1,FLOOR(($A53-1)/23,1)+1)&amp;INDEX('Serial Reference'!$A$8:$W$8,1,MOD($A53-1,23)+1)&amp;TEXT(CF$2+FLOOR((CF$2-1)/9,1),"000"),"")</f>
        <v>CE092</v>
      </c>
      <c r="CG53" s="19" t="str">
        <f>IF(INDEX('Shot Map'!$B$6:$V$26,CEILING($A53/5,1),CEILING(CG$2/5,1))=1,INDEX('Serial Reference'!$A$8:$W$8,1,FLOOR(($A53-1)/23,1)+1)&amp;INDEX('Serial Reference'!$A$8:$W$8,1,MOD($A53-1,23)+1)&amp;TEXT(CG$2+FLOOR((CG$2-1)/9,1),"000"),"")</f>
        <v>CE093</v>
      </c>
      <c r="CH53" s="20" t="str">
        <f>IF(INDEX('Shot Map'!$B$6:$V$26,CEILING($A53/5,1),CEILING(CH$2/5,1))=1,INDEX('Serial Reference'!$A$8:$W$8,1,FLOOR(($A53-1)/23,1)+1)&amp;INDEX('Serial Reference'!$A$8:$W$8,1,MOD($A53-1,23)+1)&amp;TEXT(CH$2+FLOOR((CH$2-1)/9,1),"000"),"")</f>
        <v>CE094</v>
      </c>
      <c r="CI53" s="18" t="str">
        <f>IF(INDEX('Shot Map'!$B$6:$V$26,CEILING($A53/5,1),CEILING(CI$2/5,1))=1,INDEX('Serial Reference'!$A$8:$W$8,1,FLOOR(($A53-1)/23,1)+1)&amp;INDEX('Serial Reference'!$A$8:$W$8,1,MOD($A53-1,23)+1)&amp;TEXT(CI$2+FLOOR((CI$2-1)/9,1),"000"),"")</f>
        <v>CE095</v>
      </c>
      <c r="CJ53" s="19" t="str">
        <f>IF(INDEX('Shot Map'!$B$6:$V$26,CEILING($A53/5,1),CEILING(CJ$2/5,1))=1,INDEX('Serial Reference'!$A$8:$W$8,1,FLOOR(($A53-1)/23,1)+1)&amp;INDEX('Serial Reference'!$A$8:$W$8,1,MOD($A53-1,23)+1)&amp;TEXT(CJ$2+FLOOR((CJ$2-1)/9,1),"000"),"")</f>
        <v>CE096</v>
      </c>
      <c r="CK53" s="19" t="str">
        <f>IF(INDEX('Shot Map'!$B$6:$V$26,CEILING($A53/5,1),CEILING(CK$2/5,1))=1,INDEX('Serial Reference'!$A$8:$W$8,1,FLOOR(($A53-1)/23,1)+1)&amp;INDEX('Serial Reference'!$A$8:$W$8,1,MOD($A53-1,23)+1)&amp;TEXT(CK$2+FLOOR((CK$2-1)/9,1),"000"),"")</f>
        <v>CE097</v>
      </c>
      <c r="CL53" s="19" t="str">
        <f>IF(INDEX('Shot Map'!$B$6:$V$26,CEILING($A53/5,1),CEILING(CL$2/5,1))=1,INDEX('Serial Reference'!$A$8:$W$8,1,FLOOR(($A53-1)/23,1)+1)&amp;INDEX('Serial Reference'!$A$8:$W$8,1,MOD($A53-1,23)+1)&amp;TEXT(CL$2+FLOOR((CL$2-1)/9,1),"000"),"")</f>
        <v>CE098</v>
      </c>
      <c r="CM53" s="20" t="str">
        <f>IF(INDEX('Shot Map'!$B$6:$V$26,CEILING($A53/5,1),CEILING(CM$2/5,1))=1,INDEX('Serial Reference'!$A$8:$W$8,1,FLOOR(($A53-1)/23,1)+1)&amp;INDEX('Serial Reference'!$A$8:$W$8,1,MOD($A53-1,23)+1)&amp;TEXT(CM$2+FLOOR((CM$2-1)/9,1),"000"),"")</f>
        <v>CE099</v>
      </c>
      <c r="CN53" s="18" t="str">
        <f>IF(INDEX('Shot Map'!$B$6:$V$26,CEILING($A53/5,1),CEILING(CN$2/5,1))=1,INDEX('Serial Reference'!$A$8:$W$8,1,FLOOR(($A53-1)/23,1)+1)&amp;INDEX('Serial Reference'!$A$8:$W$8,1,MOD($A53-1,23)+1)&amp;TEXT(CN$2+FLOOR((CN$2-1)/9,1),"000"),"")</f>
        <v>CE101</v>
      </c>
      <c r="CO53" s="19" t="str">
        <f>IF(INDEX('Shot Map'!$B$6:$V$26,CEILING($A53/5,1),CEILING(CO$2/5,1))=1,INDEX('Serial Reference'!$A$8:$W$8,1,FLOOR(($A53-1)/23,1)+1)&amp;INDEX('Serial Reference'!$A$8:$W$8,1,MOD($A53-1,23)+1)&amp;TEXT(CO$2+FLOOR((CO$2-1)/9,1),"000"),"")</f>
        <v>CE102</v>
      </c>
      <c r="CP53" s="19" t="str">
        <f>IF(INDEX('Shot Map'!$B$6:$V$26,CEILING($A53/5,1),CEILING(CP$2/5,1))=1,INDEX('Serial Reference'!$A$8:$W$8,1,FLOOR(($A53-1)/23,1)+1)&amp;INDEX('Serial Reference'!$A$8:$W$8,1,MOD($A53-1,23)+1)&amp;TEXT(CP$2+FLOOR((CP$2-1)/9,1),"000"),"")</f>
        <v>CE103</v>
      </c>
      <c r="CQ53" s="19" t="str">
        <f>IF(INDEX('Shot Map'!$B$6:$V$26,CEILING($A53/5,1),CEILING(CQ$2/5,1))=1,INDEX('Serial Reference'!$A$8:$W$8,1,FLOOR(($A53-1)/23,1)+1)&amp;INDEX('Serial Reference'!$A$8:$W$8,1,MOD($A53-1,23)+1)&amp;TEXT(CQ$2+FLOOR((CQ$2-1)/9,1),"000"),"")</f>
        <v>CE104</v>
      </c>
      <c r="CR53" s="20" t="str">
        <f>IF(INDEX('Shot Map'!$B$6:$V$26,CEILING($A53/5,1),CEILING(CR$2/5,1))=1,INDEX('Serial Reference'!$A$8:$W$8,1,FLOOR(($A53-1)/23,1)+1)&amp;INDEX('Serial Reference'!$A$8:$W$8,1,MOD($A53-1,23)+1)&amp;TEXT(CR$2+FLOOR((CR$2-1)/9,1),"000"),"")</f>
        <v>CE105</v>
      </c>
      <c r="CS53" s="18" t="str">
        <f>IF(INDEX('Shot Map'!$B$6:$V$26,CEILING($A53/5,1),CEILING(CS$2/5,1))=1,INDEX('Serial Reference'!$A$8:$W$8,1,FLOOR(($A53-1)/23,1)+1)&amp;INDEX('Serial Reference'!$A$8:$W$8,1,MOD($A53-1,23)+1)&amp;TEXT(CS$2+FLOOR((CS$2-1)/9,1),"000"),"")</f>
        <v>CE106</v>
      </c>
      <c r="CT53" s="19" t="str">
        <f>IF(INDEX('Shot Map'!$B$6:$V$26,CEILING($A53/5,1),CEILING(CT$2/5,1))=1,INDEX('Serial Reference'!$A$8:$W$8,1,FLOOR(($A53-1)/23,1)+1)&amp;INDEX('Serial Reference'!$A$8:$W$8,1,MOD($A53-1,23)+1)&amp;TEXT(CT$2+FLOOR((CT$2-1)/9,1),"000"),"")</f>
        <v>CE107</v>
      </c>
      <c r="CU53" s="19" t="str">
        <f>IF(INDEX('Shot Map'!$B$6:$V$26,CEILING($A53/5,1),CEILING(CU$2/5,1))=1,INDEX('Serial Reference'!$A$8:$W$8,1,FLOOR(($A53-1)/23,1)+1)&amp;INDEX('Serial Reference'!$A$8:$W$8,1,MOD($A53-1,23)+1)&amp;TEXT(CU$2+FLOOR((CU$2-1)/9,1),"000"),"")</f>
        <v>CE108</v>
      </c>
      <c r="CV53" s="19" t="str">
        <f>IF(INDEX('Shot Map'!$B$6:$V$26,CEILING($A53/5,1),CEILING(CV$2/5,1))=1,INDEX('Serial Reference'!$A$8:$W$8,1,FLOOR(($A53-1)/23,1)+1)&amp;INDEX('Serial Reference'!$A$8:$W$8,1,MOD($A53-1,23)+1)&amp;TEXT(CV$2+FLOOR((CV$2-1)/9,1),"000"),"")</f>
        <v>CE109</v>
      </c>
      <c r="CW53" s="20" t="str">
        <f>IF(INDEX('Shot Map'!$B$6:$V$26,CEILING($A53/5,1),CEILING(CW$2/5,1))=1,INDEX('Serial Reference'!$A$8:$W$8,1,FLOOR(($A53-1)/23,1)+1)&amp;INDEX('Serial Reference'!$A$8:$W$8,1,MOD($A53-1,23)+1)&amp;TEXT(CW$2+FLOOR((CW$2-1)/9,1),"000"),"")</f>
        <v>CE111</v>
      </c>
      <c r="CX53" s="18" t="str">
        <f>IF(INDEX('Shot Map'!$B$6:$V$26,CEILING($A53/5,1),CEILING(CX$2/5,1))=1,INDEX('Serial Reference'!$A$8:$W$8,1,FLOOR(($A53-1)/23,1)+1)&amp;INDEX('Serial Reference'!$A$8:$W$8,1,MOD($A53-1,23)+1)&amp;TEXT(CX$2+FLOOR((CX$2-1)/9,1),"000"),"")</f>
        <v>CE112</v>
      </c>
      <c r="CY53" s="19" t="str">
        <f>IF(INDEX('Shot Map'!$B$6:$V$26,CEILING($A53/5,1),CEILING(CY$2/5,1))=1,INDEX('Serial Reference'!$A$8:$W$8,1,FLOOR(($A53-1)/23,1)+1)&amp;INDEX('Serial Reference'!$A$8:$W$8,1,MOD($A53-1,23)+1)&amp;TEXT(CY$2+FLOOR((CY$2-1)/9,1),"000"),"")</f>
        <v>CE113</v>
      </c>
      <c r="CZ53" s="19" t="str">
        <f>IF(INDEX('Shot Map'!$B$6:$V$26,CEILING($A53/5,1),CEILING(CZ$2/5,1))=1,INDEX('Serial Reference'!$A$8:$W$8,1,FLOOR(($A53-1)/23,1)+1)&amp;INDEX('Serial Reference'!$A$8:$W$8,1,MOD($A53-1,23)+1)&amp;TEXT(CZ$2+FLOOR((CZ$2-1)/9,1),"000"),"")</f>
        <v>CE114</v>
      </c>
      <c r="DA53" s="19" t="str">
        <f>IF(INDEX('Shot Map'!$B$6:$V$26,CEILING($A53/5,1),CEILING(DA$2/5,1))=1,INDEX('Serial Reference'!$A$8:$W$8,1,FLOOR(($A53-1)/23,1)+1)&amp;INDEX('Serial Reference'!$A$8:$W$8,1,MOD($A53-1,23)+1)&amp;TEXT(DA$2+FLOOR((DA$2-1)/9,1),"000"),"")</f>
        <v>CE115</v>
      </c>
      <c r="DB53" s="20" t="str">
        <f>IF(INDEX('Shot Map'!$B$6:$V$26,CEILING($A53/5,1),CEILING(DB$2/5,1))=1,INDEX('Serial Reference'!$A$8:$W$8,1,FLOOR(($A53-1)/23,1)+1)&amp;INDEX('Serial Reference'!$A$8:$W$8,1,MOD($A53-1,23)+1)&amp;TEXT(DB$2+FLOOR((DB$2-1)/9,1),"000"),"")</f>
        <v>CE116</v>
      </c>
    </row>
    <row r="54" spans="1:106" ht="12.75" customHeight="1" x14ac:dyDescent="0.25">
      <c r="A54" s="17">
        <v>52</v>
      </c>
      <c r="B54" s="21" t="str">
        <f>IF(INDEX('Shot Map'!$B$6:$V$26,CEILING($A54/5,1),CEILING(B$2/5,1))=1,INDEX('Serial Reference'!$A$8:$W$8,1,FLOOR(($A54-1)/23,1)+1)&amp;INDEX('Serial Reference'!$A$8:$W$8,1,MOD($A54-1,23)+1)&amp;TEXT(B$2+FLOOR((B$2-1)/9,1),"000"),"")</f>
        <v>CF001</v>
      </c>
      <c r="C54" s="22" t="str">
        <f>IF(INDEX('Shot Map'!$B$6:$V$26,CEILING($A54/5,1),CEILING(C$2/5,1))=1,INDEX('Serial Reference'!$A$8:$W$8,1,FLOOR(($A54-1)/23,1)+1)&amp;INDEX('Serial Reference'!$A$8:$W$8,1,MOD($A54-1,23)+1)&amp;TEXT(C$2+FLOOR((C$2-1)/9,1),"000"),"")</f>
        <v>CF002</v>
      </c>
      <c r="D54" s="22" t="str">
        <f>IF(INDEX('Shot Map'!$B$6:$V$26,CEILING($A54/5,1),CEILING(D$2/5,1))=1,INDEX('Serial Reference'!$A$8:$W$8,1,FLOOR(($A54-1)/23,1)+1)&amp;INDEX('Serial Reference'!$A$8:$W$8,1,MOD($A54-1,23)+1)&amp;TEXT(D$2+FLOOR((D$2-1)/9,1),"000"),"")</f>
        <v>CF003</v>
      </c>
      <c r="E54" s="22" t="str">
        <f>IF(INDEX('Shot Map'!$B$6:$V$26,CEILING($A54/5,1),CEILING(E$2/5,1))=1,INDEX('Serial Reference'!$A$8:$W$8,1,FLOOR(($A54-1)/23,1)+1)&amp;INDEX('Serial Reference'!$A$8:$W$8,1,MOD($A54-1,23)+1)&amp;TEXT(E$2+FLOOR((E$2-1)/9,1),"000"),"")</f>
        <v>CF004</v>
      </c>
      <c r="F54" s="23" t="str">
        <f>IF(INDEX('Shot Map'!$B$6:$V$26,CEILING($A54/5,1),CEILING(F$2/5,1))=1,INDEX('Serial Reference'!$A$8:$W$8,1,FLOOR(($A54-1)/23,1)+1)&amp;INDEX('Serial Reference'!$A$8:$W$8,1,MOD($A54-1,23)+1)&amp;TEXT(F$2+FLOOR((F$2-1)/9,1),"000"),"")</f>
        <v>CF005</v>
      </c>
      <c r="G54" s="21" t="str">
        <f>IF(INDEX('Shot Map'!$B$6:$V$26,CEILING($A54/5,1),CEILING(G$2/5,1))=1,INDEX('Serial Reference'!$A$8:$W$8,1,FLOOR(($A54-1)/23,1)+1)&amp;INDEX('Serial Reference'!$A$8:$W$8,1,MOD($A54-1,23)+1)&amp;TEXT(G$2+FLOOR((G$2-1)/9,1),"000"),"")</f>
        <v>CF006</v>
      </c>
      <c r="H54" s="22" t="str">
        <f>IF(INDEX('Shot Map'!$B$6:$V$26,CEILING($A54/5,1),CEILING(H$2/5,1))=1,INDEX('Serial Reference'!$A$8:$W$8,1,FLOOR(($A54-1)/23,1)+1)&amp;INDEX('Serial Reference'!$A$8:$W$8,1,MOD($A54-1,23)+1)&amp;TEXT(H$2+FLOOR((H$2-1)/9,1),"000"),"")</f>
        <v>CF007</v>
      </c>
      <c r="I54" s="22" t="str">
        <f>IF(INDEX('Shot Map'!$B$6:$V$26,CEILING($A54/5,1),CEILING(I$2/5,1))=1,INDEX('Serial Reference'!$A$8:$W$8,1,FLOOR(($A54-1)/23,1)+1)&amp;INDEX('Serial Reference'!$A$8:$W$8,1,MOD($A54-1,23)+1)&amp;TEXT(I$2+FLOOR((I$2-1)/9,1),"000"),"")</f>
        <v>CF008</v>
      </c>
      <c r="J54" s="22" t="str">
        <f>IF(INDEX('Shot Map'!$B$6:$V$26,CEILING($A54/5,1),CEILING(J$2/5,1))=1,INDEX('Serial Reference'!$A$8:$W$8,1,FLOOR(($A54-1)/23,1)+1)&amp;INDEX('Serial Reference'!$A$8:$W$8,1,MOD($A54-1,23)+1)&amp;TEXT(J$2+FLOOR((J$2-1)/9,1),"000"),"")</f>
        <v>CF009</v>
      </c>
      <c r="K54" s="23" t="str">
        <f>IF(INDEX('Shot Map'!$B$6:$V$26,CEILING($A54/5,1),CEILING(K$2/5,1))=1,INDEX('Serial Reference'!$A$8:$W$8,1,FLOOR(($A54-1)/23,1)+1)&amp;INDEX('Serial Reference'!$A$8:$W$8,1,MOD($A54-1,23)+1)&amp;TEXT(K$2+FLOOR((K$2-1)/9,1),"000"),"")</f>
        <v>CF011</v>
      </c>
      <c r="L54" s="21" t="str">
        <f>IF(INDEX('Shot Map'!$B$6:$V$26,CEILING($A54/5,1),CEILING(L$2/5,1))=1,INDEX('Serial Reference'!$A$8:$W$8,1,FLOOR(($A54-1)/23,1)+1)&amp;INDEX('Serial Reference'!$A$8:$W$8,1,MOD($A54-1,23)+1)&amp;TEXT(L$2+FLOOR((L$2-1)/9,1),"000"),"")</f>
        <v>CF012</v>
      </c>
      <c r="M54" s="22" t="str">
        <f>IF(INDEX('Shot Map'!$B$6:$V$26,CEILING($A54/5,1),CEILING(M$2/5,1))=1,INDEX('Serial Reference'!$A$8:$W$8,1,FLOOR(($A54-1)/23,1)+1)&amp;INDEX('Serial Reference'!$A$8:$W$8,1,MOD($A54-1,23)+1)&amp;TEXT(M$2+FLOOR((M$2-1)/9,1),"000"),"")</f>
        <v>CF013</v>
      </c>
      <c r="N54" s="22" t="str">
        <f>IF(INDEX('Shot Map'!$B$6:$V$26,CEILING($A54/5,1),CEILING(N$2/5,1))=1,INDEX('Serial Reference'!$A$8:$W$8,1,FLOOR(($A54-1)/23,1)+1)&amp;INDEX('Serial Reference'!$A$8:$W$8,1,MOD($A54-1,23)+1)&amp;TEXT(N$2+FLOOR((N$2-1)/9,1),"000"),"")</f>
        <v>CF014</v>
      </c>
      <c r="O54" s="22" t="str">
        <f>IF(INDEX('Shot Map'!$B$6:$V$26,CEILING($A54/5,1),CEILING(O$2/5,1))=1,INDEX('Serial Reference'!$A$8:$W$8,1,FLOOR(($A54-1)/23,1)+1)&amp;INDEX('Serial Reference'!$A$8:$W$8,1,MOD($A54-1,23)+1)&amp;TEXT(O$2+FLOOR((O$2-1)/9,1),"000"),"")</f>
        <v>CF015</v>
      </c>
      <c r="P54" s="23" t="str">
        <f>IF(INDEX('Shot Map'!$B$6:$V$26,CEILING($A54/5,1),CEILING(P$2/5,1))=1,INDEX('Serial Reference'!$A$8:$W$8,1,FLOOR(($A54-1)/23,1)+1)&amp;INDEX('Serial Reference'!$A$8:$W$8,1,MOD($A54-1,23)+1)&amp;TEXT(P$2+FLOOR((P$2-1)/9,1),"000"),"")</f>
        <v>CF016</v>
      </c>
      <c r="Q54" s="21" t="str">
        <f>IF(INDEX('Shot Map'!$B$6:$V$26,CEILING($A54/5,1),CEILING(Q$2/5,1))=1,INDEX('Serial Reference'!$A$8:$W$8,1,FLOOR(($A54-1)/23,1)+1)&amp;INDEX('Serial Reference'!$A$8:$W$8,1,MOD($A54-1,23)+1)&amp;TEXT(Q$2+FLOOR((Q$2-1)/9,1),"000"),"")</f>
        <v>CF017</v>
      </c>
      <c r="R54" s="22" t="str">
        <f>IF(INDEX('Shot Map'!$B$6:$V$26,CEILING($A54/5,1),CEILING(R$2/5,1))=1,INDEX('Serial Reference'!$A$8:$W$8,1,FLOOR(($A54-1)/23,1)+1)&amp;INDEX('Serial Reference'!$A$8:$W$8,1,MOD($A54-1,23)+1)&amp;TEXT(R$2+FLOOR((R$2-1)/9,1),"000"),"")</f>
        <v>CF018</v>
      </c>
      <c r="S54" s="22" t="str">
        <f>IF(INDEX('Shot Map'!$B$6:$V$26,CEILING($A54/5,1),CEILING(S$2/5,1))=1,INDEX('Serial Reference'!$A$8:$W$8,1,FLOOR(($A54-1)/23,1)+1)&amp;INDEX('Serial Reference'!$A$8:$W$8,1,MOD($A54-1,23)+1)&amp;TEXT(S$2+FLOOR((S$2-1)/9,1),"000"),"")</f>
        <v>CF019</v>
      </c>
      <c r="T54" s="22" t="str">
        <f>IF(INDEX('Shot Map'!$B$6:$V$26,CEILING($A54/5,1),CEILING(T$2/5,1))=1,INDEX('Serial Reference'!$A$8:$W$8,1,FLOOR(($A54-1)/23,1)+1)&amp;INDEX('Serial Reference'!$A$8:$W$8,1,MOD($A54-1,23)+1)&amp;TEXT(T$2+FLOOR((T$2-1)/9,1),"000"),"")</f>
        <v>CF021</v>
      </c>
      <c r="U54" s="23" t="str">
        <f>IF(INDEX('Shot Map'!$B$6:$V$26,CEILING($A54/5,1),CEILING(U$2/5,1))=1,INDEX('Serial Reference'!$A$8:$W$8,1,FLOOR(($A54-1)/23,1)+1)&amp;INDEX('Serial Reference'!$A$8:$W$8,1,MOD($A54-1,23)+1)&amp;TEXT(U$2+FLOOR((U$2-1)/9,1),"000"),"")</f>
        <v>CF022</v>
      </c>
      <c r="V54" s="21" t="str">
        <f>IF(INDEX('Shot Map'!$B$6:$V$26,CEILING($A54/5,1),CEILING(V$2/5,1))=1,INDEX('Serial Reference'!$A$8:$W$8,1,FLOOR(($A54-1)/23,1)+1)&amp;INDEX('Serial Reference'!$A$8:$W$8,1,MOD($A54-1,23)+1)&amp;TEXT(V$2+FLOOR((V$2-1)/9,1),"000"),"")</f>
        <v>CF023</v>
      </c>
      <c r="W54" s="22" t="str">
        <f>IF(INDEX('Shot Map'!$B$6:$V$26,CEILING($A54/5,1),CEILING(W$2/5,1))=1,INDEX('Serial Reference'!$A$8:$W$8,1,FLOOR(($A54-1)/23,1)+1)&amp;INDEX('Serial Reference'!$A$8:$W$8,1,MOD($A54-1,23)+1)&amp;TEXT(W$2+FLOOR((W$2-1)/9,1),"000"),"")</f>
        <v>CF024</v>
      </c>
      <c r="X54" s="22" t="str">
        <f>IF(INDEX('Shot Map'!$B$6:$V$26,CEILING($A54/5,1),CEILING(X$2/5,1))=1,INDEX('Serial Reference'!$A$8:$W$8,1,FLOOR(($A54-1)/23,1)+1)&amp;INDEX('Serial Reference'!$A$8:$W$8,1,MOD($A54-1,23)+1)&amp;TEXT(X$2+FLOOR((X$2-1)/9,1),"000"),"")</f>
        <v>CF025</v>
      </c>
      <c r="Y54" s="22" t="str">
        <f>IF(INDEX('Shot Map'!$B$6:$V$26,CEILING($A54/5,1),CEILING(Y$2/5,1))=1,INDEX('Serial Reference'!$A$8:$W$8,1,FLOOR(($A54-1)/23,1)+1)&amp;INDEX('Serial Reference'!$A$8:$W$8,1,MOD($A54-1,23)+1)&amp;TEXT(Y$2+FLOOR((Y$2-1)/9,1),"000"),"")</f>
        <v>CF026</v>
      </c>
      <c r="Z54" s="23" t="str">
        <f>IF(INDEX('Shot Map'!$B$6:$V$26,CEILING($A54/5,1),CEILING(Z$2/5,1))=1,INDEX('Serial Reference'!$A$8:$W$8,1,FLOOR(($A54-1)/23,1)+1)&amp;INDEX('Serial Reference'!$A$8:$W$8,1,MOD($A54-1,23)+1)&amp;TEXT(Z$2+FLOOR((Z$2-1)/9,1),"000"),"")</f>
        <v>CF027</v>
      </c>
      <c r="AA54" s="21" t="str">
        <f>IF(INDEX('Shot Map'!$B$6:$V$26,CEILING($A54/5,1),CEILING(AA$2/5,1))=1,INDEX('Serial Reference'!$A$8:$W$8,1,FLOOR(($A54-1)/23,1)+1)&amp;INDEX('Serial Reference'!$A$8:$W$8,1,MOD($A54-1,23)+1)&amp;TEXT(AA$2+FLOOR((AA$2-1)/9,1),"000"),"")</f>
        <v>CF028</v>
      </c>
      <c r="AB54" s="22" t="str">
        <f>IF(INDEX('Shot Map'!$B$6:$V$26,CEILING($A54/5,1),CEILING(AB$2/5,1))=1,INDEX('Serial Reference'!$A$8:$W$8,1,FLOOR(($A54-1)/23,1)+1)&amp;INDEX('Serial Reference'!$A$8:$W$8,1,MOD($A54-1,23)+1)&amp;TEXT(AB$2+FLOOR((AB$2-1)/9,1),"000"),"")</f>
        <v>CF029</v>
      </c>
      <c r="AC54" s="22" t="str">
        <f>IF(INDEX('Shot Map'!$B$6:$V$26,CEILING($A54/5,1),CEILING(AC$2/5,1))=1,INDEX('Serial Reference'!$A$8:$W$8,1,FLOOR(($A54-1)/23,1)+1)&amp;INDEX('Serial Reference'!$A$8:$W$8,1,MOD($A54-1,23)+1)&amp;TEXT(AC$2+FLOOR((AC$2-1)/9,1),"000"),"")</f>
        <v>CF031</v>
      </c>
      <c r="AD54" s="22" t="str">
        <f>IF(INDEX('Shot Map'!$B$6:$V$26,CEILING($A54/5,1),CEILING(AD$2/5,1))=1,INDEX('Serial Reference'!$A$8:$W$8,1,FLOOR(($A54-1)/23,1)+1)&amp;INDEX('Serial Reference'!$A$8:$W$8,1,MOD($A54-1,23)+1)&amp;TEXT(AD$2+FLOOR((AD$2-1)/9,1),"000"),"")</f>
        <v>CF032</v>
      </c>
      <c r="AE54" s="23" t="str">
        <f>IF(INDEX('Shot Map'!$B$6:$V$26,CEILING($A54/5,1),CEILING(AE$2/5,1))=1,INDEX('Serial Reference'!$A$8:$W$8,1,FLOOR(($A54-1)/23,1)+1)&amp;INDEX('Serial Reference'!$A$8:$W$8,1,MOD($A54-1,23)+1)&amp;TEXT(AE$2+FLOOR((AE$2-1)/9,1),"000"),"")</f>
        <v>CF033</v>
      </c>
      <c r="AF54" s="21" t="str">
        <f>IF(INDEX('Shot Map'!$B$6:$V$26,CEILING($A54/5,1),CEILING(AF$2/5,1))=1,INDEX('Serial Reference'!$A$8:$W$8,1,FLOOR(($A54-1)/23,1)+1)&amp;INDEX('Serial Reference'!$A$8:$W$8,1,MOD($A54-1,23)+1)&amp;TEXT(AF$2+FLOOR((AF$2-1)/9,1),"000"),"")</f>
        <v>CF034</v>
      </c>
      <c r="AG54" s="22" t="str">
        <f>IF(INDEX('Shot Map'!$B$6:$V$26,CEILING($A54/5,1),CEILING(AG$2/5,1))=1,INDEX('Serial Reference'!$A$8:$W$8,1,FLOOR(($A54-1)/23,1)+1)&amp;INDEX('Serial Reference'!$A$8:$W$8,1,MOD($A54-1,23)+1)&amp;TEXT(AG$2+FLOOR((AG$2-1)/9,1),"000"),"")</f>
        <v>CF035</v>
      </c>
      <c r="AH54" s="22" t="str">
        <f>IF(INDEX('Shot Map'!$B$6:$V$26,CEILING($A54/5,1),CEILING(AH$2/5,1))=1,INDEX('Serial Reference'!$A$8:$W$8,1,FLOOR(($A54-1)/23,1)+1)&amp;INDEX('Serial Reference'!$A$8:$W$8,1,MOD($A54-1,23)+1)&amp;TEXT(AH$2+FLOOR((AH$2-1)/9,1),"000"),"")</f>
        <v>CF036</v>
      </c>
      <c r="AI54" s="22" t="str">
        <f>IF(INDEX('Shot Map'!$B$6:$V$26,CEILING($A54/5,1),CEILING(AI$2/5,1))=1,INDEX('Serial Reference'!$A$8:$W$8,1,FLOOR(($A54-1)/23,1)+1)&amp;INDEX('Serial Reference'!$A$8:$W$8,1,MOD($A54-1,23)+1)&amp;TEXT(AI$2+FLOOR((AI$2-1)/9,1),"000"),"")</f>
        <v>CF037</v>
      </c>
      <c r="AJ54" s="23" t="str">
        <f>IF(INDEX('Shot Map'!$B$6:$V$26,CEILING($A54/5,1),CEILING(AJ$2/5,1))=1,INDEX('Serial Reference'!$A$8:$W$8,1,FLOOR(($A54-1)/23,1)+1)&amp;INDEX('Serial Reference'!$A$8:$W$8,1,MOD($A54-1,23)+1)&amp;TEXT(AJ$2+FLOOR((AJ$2-1)/9,1),"000"),"")</f>
        <v>CF038</v>
      </c>
      <c r="AK54" s="21" t="str">
        <f>IF(INDEX('Shot Map'!$B$6:$V$26,CEILING($A54/5,1),CEILING(AK$2/5,1))=1,INDEX('Serial Reference'!$A$8:$W$8,1,FLOOR(($A54-1)/23,1)+1)&amp;INDEX('Serial Reference'!$A$8:$W$8,1,MOD($A54-1,23)+1)&amp;TEXT(AK$2+FLOOR((AK$2-1)/9,1),"000"),"")</f>
        <v>CF039</v>
      </c>
      <c r="AL54" s="22" t="str">
        <f>IF(INDEX('Shot Map'!$B$6:$V$26,CEILING($A54/5,1),CEILING(AL$2/5,1))=1,INDEX('Serial Reference'!$A$8:$W$8,1,FLOOR(($A54-1)/23,1)+1)&amp;INDEX('Serial Reference'!$A$8:$W$8,1,MOD($A54-1,23)+1)&amp;TEXT(AL$2+FLOOR((AL$2-1)/9,1),"000"),"")</f>
        <v>CF041</v>
      </c>
      <c r="AM54" s="22" t="str">
        <f>IF(INDEX('Shot Map'!$B$6:$V$26,CEILING($A54/5,1),CEILING(AM$2/5,1))=1,INDEX('Serial Reference'!$A$8:$W$8,1,FLOOR(($A54-1)/23,1)+1)&amp;INDEX('Serial Reference'!$A$8:$W$8,1,MOD($A54-1,23)+1)&amp;TEXT(AM$2+FLOOR((AM$2-1)/9,1),"000"),"")</f>
        <v>CF042</v>
      </c>
      <c r="AN54" s="22" t="str">
        <f>IF(INDEX('Shot Map'!$B$6:$V$26,CEILING($A54/5,1),CEILING(AN$2/5,1))=1,INDEX('Serial Reference'!$A$8:$W$8,1,FLOOR(($A54-1)/23,1)+1)&amp;INDEX('Serial Reference'!$A$8:$W$8,1,MOD($A54-1,23)+1)&amp;TEXT(AN$2+FLOOR((AN$2-1)/9,1),"000"),"")</f>
        <v>CF043</v>
      </c>
      <c r="AO54" s="23" t="str">
        <f>IF(INDEX('Shot Map'!$B$6:$V$26,CEILING($A54/5,1),CEILING(AO$2/5,1))=1,INDEX('Serial Reference'!$A$8:$W$8,1,FLOOR(($A54-1)/23,1)+1)&amp;INDEX('Serial Reference'!$A$8:$W$8,1,MOD($A54-1,23)+1)&amp;TEXT(AO$2+FLOOR((AO$2-1)/9,1),"000"),"")</f>
        <v>CF044</v>
      </c>
      <c r="AP54" s="21" t="str">
        <f>IF(INDEX('Shot Map'!$B$6:$V$26,CEILING($A54/5,1),CEILING(AP$2/5,1))=1,INDEX('Serial Reference'!$A$8:$W$8,1,FLOOR(($A54-1)/23,1)+1)&amp;INDEX('Serial Reference'!$A$8:$W$8,1,MOD($A54-1,23)+1)&amp;TEXT(AP$2+FLOOR((AP$2-1)/9,1),"000"),"")</f>
        <v>CF045</v>
      </c>
      <c r="AQ54" s="22" t="str">
        <f>IF(INDEX('Shot Map'!$B$6:$V$26,CEILING($A54/5,1),CEILING(AQ$2/5,1))=1,INDEX('Serial Reference'!$A$8:$W$8,1,FLOOR(($A54-1)/23,1)+1)&amp;INDEX('Serial Reference'!$A$8:$W$8,1,MOD($A54-1,23)+1)&amp;TEXT(AQ$2+FLOOR((AQ$2-1)/9,1),"000"),"")</f>
        <v>CF046</v>
      </c>
      <c r="AR54" s="22" t="str">
        <f>IF(INDEX('Shot Map'!$B$6:$V$26,CEILING($A54/5,1),CEILING(AR$2/5,1))=1,INDEX('Serial Reference'!$A$8:$W$8,1,FLOOR(($A54-1)/23,1)+1)&amp;INDEX('Serial Reference'!$A$8:$W$8,1,MOD($A54-1,23)+1)&amp;TEXT(AR$2+FLOOR((AR$2-1)/9,1),"000"),"")</f>
        <v>CF047</v>
      </c>
      <c r="AS54" s="22" t="str">
        <f>IF(INDEX('Shot Map'!$B$6:$V$26,CEILING($A54/5,1),CEILING(AS$2/5,1))=1,INDEX('Serial Reference'!$A$8:$W$8,1,FLOOR(($A54-1)/23,1)+1)&amp;INDEX('Serial Reference'!$A$8:$W$8,1,MOD($A54-1,23)+1)&amp;TEXT(AS$2+FLOOR((AS$2-1)/9,1),"000"),"")</f>
        <v>CF048</v>
      </c>
      <c r="AT54" s="23" t="str">
        <f>IF(INDEX('Shot Map'!$B$6:$V$26,CEILING($A54/5,1),CEILING(AT$2/5,1))=1,INDEX('Serial Reference'!$A$8:$W$8,1,FLOOR(($A54-1)/23,1)+1)&amp;INDEX('Serial Reference'!$A$8:$W$8,1,MOD($A54-1,23)+1)&amp;TEXT(AT$2+FLOOR((AT$2-1)/9,1),"000"),"")</f>
        <v>CF049</v>
      </c>
      <c r="AU54" s="21" t="str">
        <f>IF(INDEX('Shot Map'!$B$6:$V$26,CEILING($A54/5,1),CEILING(AU$2/5,1))=1,INDEX('Serial Reference'!$A$8:$W$8,1,FLOOR(($A54-1)/23,1)+1)&amp;INDEX('Serial Reference'!$A$8:$W$8,1,MOD($A54-1,23)+1)&amp;TEXT(AU$2+FLOOR((AU$2-1)/9,1),"000"),"")</f>
        <v>CF051</v>
      </c>
      <c r="AV54" s="22" t="str">
        <f>IF(INDEX('Shot Map'!$B$6:$V$26,CEILING($A54/5,1),CEILING(AV$2/5,1))=1,INDEX('Serial Reference'!$A$8:$W$8,1,FLOOR(($A54-1)/23,1)+1)&amp;INDEX('Serial Reference'!$A$8:$W$8,1,MOD($A54-1,23)+1)&amp;TEXT(AV$2+FLOOR((AV$2-1)/9,1),"000"),"")</f>
        <v>CF052</v>
      </c>
      <c r="AW54" s="22" t="str">
        <f>IF(INDEX('Shot Map'!$B$6:$V$26,CEILING($A54/5,1),CEILING(AW$2/5,1))=1,INDEX('Serial Reference'!$A$8:$W$8,1,FLOOR(($A54-1)/23,1)+1)&amp;INDEX('Serial Reference'!$A$8:$W$8,1,MOD($A54-1,23)+1)&amp;TEXT(AW$2+FLOOR((AW$2-1)/9,1),"000"),"")</f>
        <v>CF053</v>
      </c>
      <c r="AX54" s="22" t="str">
        <f>IF(INDEX('Shot Map'!$B$6:$V$26,CEILING($A54/5,1),CEILING(AX$2/5,1))=1,INDEX('Serial Reference'!$A$8:$W$8,1,FLOOR(($A54-1)/23,1)+1)&amp;INDEX('Serial Reference'!$A$8:$W$8,1,MOD($A54-1,23)+1)&amp;TEXT(AX$2+FLOOR((AX$2-1)/9,1),"000"),"")</f>
        <v>CF054</v>
      </c>
      <c r="AY54" s="23" t="str">
        <f>IF(INDEX('Shot Map'!$B$6:$V$26,CEILING($A54/5,1),CEILING(AY$2/5,1))=1,INDEX('Serial Reference'!$A$8:$W$8,1,FLOOR(($A54-1)/23,1)+1)&amp;INDEX('Serial Reference'!$A$8:$W$8,1,MOD($A54-1,23)+1)&amp;TEXT(AY$2+FLOOR((AY$2-1)/9,1),"000"),"")</f>
        <v>CF055</v>
      </c>
      <c r="AZ54" s="21" t="str">
        <f>IF(INDEX('Shot Map'!$B$6:$V$26,CEILING($A54/5,1),CEILING(AZ$2/5,1))=1,INDEX('Serial Reference'!$A$8:$W$8,1,FLOOR(($A54-1)/23,1)+1)&amp;INDEX('Serial Reference'!$A$8:$W$8,1,MOD($A54-1,23)+1)&amp;TEXT(AZ$2+FLOOR((AZ$2-1)/9,1),"000"),"")</f>
        <v>CF056</v>
      </c>
      <c r="BA54" s="22" t="str">
        <f>IF(INDEX('Shot Map'!$B$6:$V$26,CEILING($A54/5,1),CEILING(BA$2/5,1))=1,INDEX('Serial Reference'!$A$8:$W$8,1,FLOOR(($A54-1)/23,1)+1)&amp;INDEX('Serial Reference'!$A$8:$W$8,1,MOD($A54-1,23)+1)&amp;TEXT(BA$2+FLOOR((BA$2-1)/9,1),"000"),"")</f>
        <v>CF057</v>
      </c>
      <c r="BB54" s="22" t="str">
        <f>IF(INDEX('Shot Map'!$B$6:$V$26,CEILING($A54/5,1),CEILING(BB$2/5,1))=1,INDEX('Serial Reference'!$A$8:$W$8,1,FLOOR(($A54-1)/23,1)+1)&amp;INDEX('Serial Reference'!$A$8:$W$8,1,MOD($A54-1,23)+1)&amp;TEXT(BB$2+FLOOR((BB$2-1)/9,1),"000"),"")</f>
        <v>CF058</v>
      </c>
      <c r="BC54" s="22" t="str">
        <f>IF(INDEX('Shot Map'!$B$6:$V$26,CEILING($A54/5,1),CEILING(BC$2/5,1))=1,INDEX('Serial Reference'!$A$8:$W$8,1,FLOOR(($A54-1)/23,1)+1)&amp;INDEX('Serial Reference'!$A$8:$W$8,1,MOD($A54-1,23)+1)&amp;TEXT(BC$2+FLOOR((BC$2-1)/9,1),"000"),"")</f>
        <v>CF059</v>
      </c>
      <c r="BD54" s="23" t="str">
        <f>IF(INDEX('Shot Map'!$B$6:$V$26,CEILING($A54/5,1),CEILING(BD$2/5,1))=1,INDEX('Serial Reference'!$A$8:$W$8,1,FLOOR(($A54-1)/23,1)+1)&amp;INDEX('Serial Reference'!$A$8:$W$8,1,MOD($A54-1,23)+1)&amp;TEXT(BD$2+FLOOR((BD$2-1)/9,1),"000"),"")</f>
        <v>CF061</v>
      </c>
      <c r="BE54" s="21" t="str">
        <f>IF(INDEX('Shot Map'!$B$6:$V$26,CEILING($A54/5,1),CEILING(BE$2/5,1))=1,INDEX('Serial Reference'!$A$8:$W$8,1,FLOOR(($A54-1)/23,1)+1)&amp;INDEX('Serial Reference'!$A$8:$W$8,1,MOD($A54-1,23)+1)&amp;TEXT(BE$2+FLOOR((BE$2-1)/9,1),"000"),"")</f>
        <v>CF062</v>
      </c>
      <c r="BF54" s="22" t="str">
        <f>IF(INDEX('Shot Map'!$B$6:$V$26,CEILING($A54/5,1),CEILING(BF$2/5,1))=1,INDEX('Serial Reference'!$A$8:$W$8,1,FLOOR(($A54-1)/23,1)+1)&amp;INDEX('Serial Reference'!$A$8:$W$8,1,MOD($A54-1,23)+1)&amp;TEXT(BF$2+FLOOR((BF$2-1)/9,1),"000"),"")</f>
        <v>CF063</v>
      </c>
      <c r="BG54" s="22" t="str">
        <f>IF(INDEX('Shot Map'!$B$6:$V$26,CEILING($A54/5,1),CEILING(BG$2/5,1))=1,INDEX('Serial Reference'!$A$8:$W$8,1,FLOOR(($A54-1)/23,1)+1)&amp;INDEX('Serial Reference'!$A$8:$W$8,1,MOD($A54-1,23)+1)&amp;TEXT(BG$2+FLOOR((BG$2-1)/9,1),"000"),"")</f>
        <v>CF064</v>
      </c>
      <c r="BH54" s="22" t="str">
        <f>IF(INDEX('Shot Map'!$B$6:$V$26,CEILING($A54/5,1),CEILING(BH$2/5,1))=1,INDEX('Serial Reference'!$A$8:$W$8,1,FLOOR(($A54-1)/23,1)+1)&amp;INDEX('Serial Reference'!$A$8:$W$8,1,MOD($A54-1,23)+1)&amp;TEXT(BH$2+FLOOR((BH$2-1)/9,1),"000"),"")</f>
        <v>CF065</v>
      </c>
      <c r="BI54" s="23" t="str">
        <f>IF(INDEX('Shot Map'!$B$6:$V$26,CEILING($A54/5,1),CEILING(BI$2/5,1))=1,INDEX('Serial Reference'!$A$8:$W$8,1,FLOOR(($A54-1)/23,1)+1)&amp;INDEX('Serial Reference'!$A$8:$W$8,1,MOD($A54-1,23)+1)&amp;TEXT(BI$2+FLOOR((BI$2-1)/9,1),"000"),"")</f>
        <v>CF066</v>
      </c>
      <c r="BJ54" s="21" t="str">
        <f>IF(INDEX('Shot Map'!$B$6:$V$26,CEILING($A54/5,1),CEILING(BJ$2/5,1))=1,INDEX('Serial Reference'!$A$8:$W$8,1,FLOOR(($A54-1)/23,1)+1)&amp;INDEX('Serial Reference'!$A$8:$W$8,1,MOD($A54-1,23)+1)&amp;TEXT(BJ$2+FLOOR((BJ$2-1)/9,1),"000"),"")</f>
        <v>CF067</v>
      </c>
      <c r="BK54" s="22" t="str">
        <f>IF(INDEX('Shot Map'!$B$6:$V$26,CEILING($A54/5,1),CEILING(BK$2/5,1))=1,INDEX('Serial Reference'!$A$8:$W$8,1,FLOOR(($A54-1)/23,1)+1)&amp;INDEX('Serial Reference'!$A$8:$W$8,1,MOD($A54-1,23)+1)&amp;TEXT(BK$2+FLOOR((BK$2-1)/9,1),"000"),"")</f>
        <v>CF068</v>
      </c>
      <c r="BL54" s="22" t="str">
        <f>IF(INDEX('Shot Map'!$B$6:$V$26,CEILING($A54/5,1),CEILING(BL$2/5,1))=1,INDEX('Serial Reference'!$A$8:$W$8,1,FLOOR(($A54-1)/23,1)+1)&amp;INDEX('Serial Reference'!$A$8:$W$8,1,MOD($A54-1,23)+1)&amp;TEXT(BL$2+FLOOR((BL$2-1)/9,1),"000"),"")</f>
        <v>CF069</v>
      </c>
      <c r="BM54" s="22" t="str">
        <f>IF(INDEX('Shot Map'!$B$6:$V$26,CEILING($A54/5,1),CEILING(BM$2/5,1))=1,INDEX('Serial Reference'!$A$8:$W$8,1,FLOOR(($A54-1)/23,1)+1)&amp;INDEX('Serial Reference'!$A$8:$W$8,1,MOD($A54-1,23)+1)&amp;TEXT(BM$2+FLOOR((BM$2-1)/9,1),"000"),"")</f>
        <v>CF071</v>
      </c>
      <c r="BN54" s="23" t="str">
        <f>IF(INDEX('Shot Map'!$B$6:$V$26,CEILING($A54/5,1),CEILING(BN$2/5,1))=1,INDEX('Serial Reference'!$A$8:$W$8,1,FLOOR(($A54-1)/23,1)+1)&amp;INDEX('Serial Reference'!$A$8:$W$8,1,MOD($A54-1,23)+1)&amp;TEXT(BN$2+FLOOR((BN$2-1)/9,1),"000"),"")</f>
        <v>CF072</v>
      </c>
      <c r="BO54" s="21" t="str">
        <f>IF(INDEX('Shot Map'!$B$6:$V$26,CEILING($A54/5,1),CEILING(BO$2/5,1))=1,INDEX('Serial Reference'!$A$8:$W$8,1,FLOOR(($A54-1)/23,1)+1)&amp;INDEX('Serial Reference'!$A$8:$W$8,1,MOD($A54-1,23)+1)&amp;TEXT(BO$2+FLOOR((BO$2-1)/9,1),"000"),"")</f>
        <v>CF073</v>
      </c>
      <c r="BP54" s="22" t="str">
        <f>IF(INDEX('Shot Map'!$B$6:$V$26,CEILING($A54/5,1),CEILING(BP$2/5,1))=1,INDEX('Serial Reference'!$A$8:$W$8,1,FLOOR(($A54-1)/23,1)+1)&amp;INDEX('Serial Reference'!$A$8:$W$8,1,MOD($A54-1,23)+1)&amp;TEXT(BP$2+FLOOR((BP$2-1)/9,1),"000"),"")</f>
        <v>CF074</v>
      </c>
      <c r="BQ54" s="22" t="str">
        <f>IF(INDEX('Shot Map'!$B$6:$V$26,CEILING($A54/5,1),CEILING(BQ$2/5,1))=1,INDEX('Serial Reference'!$A$8:$W$8,1,FLOOR(($A54-1)/23,1)+1)&amp;INDEX('Serial Reference'!$A$8:$W$8,1,MOD($A54-1,23)+1)&amp;TEXT(BQ$2+FLOOR((BQ$2-1)/9,1),"000"),"")</f>
        <v>CF075</v>
      </c>
      <c r="BR54" s="22" t="str">
        <f>IF(INDEX('Shot Map'!$B$6:$V$26,CEILING($A54/5,1),CEILING(BR$2/5,1))=1,INDEX('Serial Reference'!$A$8:$W$8,1,FLOOR(($A54-1)/23,1)+1)&amp;INDEX('Serial Reference'!$A$8:$W$8,1,MOD($A54-1,23)+1)&amp;TEXT(BR$2+FLOOR((BR$2-1)/9,1),"000"),"")</f>
        <v>CF076</v>
      </c>
      <c r="BS54" s="23" t="str">
        <f>IF(INDEX('Shot Map'!$B$6:$V$26,CEILING($A54/5,1),CEILING(BS$2/5,1))=1,INDEX('Serial Reference'!$A$8:$W$8,1,FLOOR(($A54-1)/23,1)+1)&amp;INDEX('Serial Reference'!$A$8:$W$8,1,MOD($A54-1,23)+1)&amp;TEXT(BS$2+FLOOR((BS$2-1)/9,1),"000"),"")</f>
        <v>CF077</v>
      </c>
      <c r="BT54" s="21" t="str">
        <f>IF(INDEX('Shot Map'!$B$6:$V$26,CEILING($A54/5,1),CEILING(BT$2/5,1))=1,INDEX('Serial Reference'!$A$8:$W$8,1,FLOOR(($A54-1)/23,1)+1)&amp;INDEX('Serial Reference'!$A$8:$W$8,1,MOD($A54-1,23)+1)&amp;TEXT(BT$2+FLOOR((BT$2-1)/9,1),"000"),"")</f>
        <v>CF078</v>
      </c>
      <c r="BU54" s="22" t="str">
        <f>IF(INDEX('Shot Map'!$B$6:$V$26,CEILING($A54/5,1),CEILING(BU$2/5,1))=1,INDEX('Serial Reference'!$A$8:$W$8,1,FLOOR(($A54-1)/23,1)+1)&amp;INDEX('Serial Reference'!$A$8:$W$8,1,MOD($A54-1,23)+1)&amp;TEXT(BU$2+FLOOR((BU$2-1)/9,1),"000"),"")</f>
        <v>CF079</v>
      </c>
      <c r="BV54" s="22" t="str">
        <f>IF(INDEX('Shot Map'!$B$6:$V$26,CEILING($A54/5,1),CEILING(BV$2/5,1))=1,INDEX('Serial Reference'!$A$8:$W$8,1,FLOOR(($A54-1)/23,1)+1)&amp;INDEX('Serial Reference'!$A$8:$W$8,1,MOD($A54-1,23)+1)&amp;TEXT(BV$2+FLOOR((BV$2-1)/9,1),"000"),"")</f>
        <v>CF081</v>
      </c>
      <c r="BW54" s="22" t="str">
        <f>IF(INDEX('Shot Map'!$B$6:$V$26,CEILING($A54/5,1),CEILING(BW$2/5,1))=1,INDEX('Serial Reference'!$A$8:$W$8,1,FLOOR(($A54-1)/23,1)+1)&amp;INDEX('Serial Reference'!$A$8:$W$8,1,MOD($A54-1,23)+1)&amp;TEXT(BW$2+FLOOR((BW$2-1)/9,1),"000"),"")</f>
        <v>CF082</v>
      </c>
      <c r="BX54" s="23" t="str">
        <f>IF(INDEX('Shot Map'!$B$6:$V$26,CEILING($A54/5,1),CEILING(BX$2/5,1))=1,INDEX('Serial Reference'!$A$8:$W$8,1,FLOOR(($A54-1)/23,1)+1)&amp;INDEX('Serial Reference'!$A$8:$W$8,1,MOD($A54-1,23)+1)&amp;TEXT(BX$2+FLOOR((BX$2-1)/9,1),"000"),"")</f>
        <v>CF083</v>
      </c>
      <c r="BY54" s="21" t="str">
        <f>IF(INDEX('Shot Map'!$B$6:$V$26,CEILING($A54/5,1),CEILING(BY$2/5,1))=1,INDEX('Serial Reference'!$A$8:$W$8,1,FLOOR(($A54-1)/23,1)+1)&amp;INDEX('Serial Reference'!$A$8:$W$8,1,MOD($A54-1,23)+1)&amp;TEXT(BY$2+FLOOR((BY$2-1)/9,1),"000"),"")</f>
        <v>CF084</v>
      </c>
      <c r="BZ54" s="22" t="str">
        <f>IF(INDEX('Shot Map'!$B$6:$V$26,CEILING($A54/5,1),CEILING(BZ$2/5,1))=1,INDEX('Serial Reference'!$A$8:$W$8,1,FLOOR(($A54-1)/23,1)+1)&amp;INDEX('Serial Reference'!$A$8:$W$8,1,MOD($A54-1,23)+1)&amp;TEXT(BZ$2+FLOOR((BZ$2-1)/9,1),"000"),"")</f>
        <v>CF085</v>
      </c>
      <c r="CA54" s="22" t="str">
        <f>IF(INDEX('Shot Map'!$B$6:$V$26,CEILING($A54/5,1),CEILING(CA$2/5,1))=1,INDEX('Serial Reference'!$A$8:$W$8,1,FLOOR(($A54-1)/23,1)+1)&amp;INDEX('Serial Reference'!$A$8:$W$8,1,MOD($A54-1,23)+1)&amp;TEXT(CA$2+FLOOR((CA$2-1)/9,1),"000"),"")</f>
        <v>CF086</v>
      </c>
      <c r="CB54" s="22" t="str">
        <f>IF(INDEX('Shot Map'!$B$6:$V$26,CEILING($A54/5,1),CEILING(CB$2/5,1))=1,INDEX('Serial Reference'!$A$8:$W$8,1,FLOOR(($A54-1)/23,1)+1)&amp;INDEX('Serial Reference'!$A$8:$W$8,1,MOD($A54-1,23)+1)&amp;TEXT(CB$2+FLOOR((CB$2-1)/9,1),"000"),"")</f>
        <v>CF087</v>
      </c>
      <c r="CC54" s="23" t="str">
        <f>IF(INDEX('Shot Map'!$B$6:$V$26,CEILING($A54/5,1),CEILING(CC$2/5,1))=1,INDEX('Serial Reference'!$A$8:$W$8,1,FLOOR(($A54-1)/23,1)+1)&amp;INDEX('Serial Reference'!$A$8:$W$8,1,MOD($A54-1,23)+1)&amp;TEXT(CC$2+FLOOR((CC$2-1)/9,1),"000"),"")</f>
        <v>CF088</v>
      </c>
      <c r="CD54" s="21" t="str">
        <f>IF(INDEX('Shot Map'!$B$6:$V$26,CEILING($A54/5,1),CEILING(CD$2/5,1))=1,INDEX('Serial Reference'!$A$8:$W$8,1,FLOOR(($A54-1)/23,1)+1)&amp;INDEX('Serial Reference'!$A$8:$W$8,1,MOD($A54-1,23)+1)&amp;TEXT(CD$2+FLOOR((CD$2-1)/9,1),"000"),"")</f>
        <v>CF089</v>
      </c>
      <c r="CE54" s="22" t="str">
        <f>IF(INDEX('Shot Map'!$B$6:$V$26,CEILING($A54/5,1),CEILING(CE$2/5,1))=1,INDEX('Serial Reference'!$A$8:$W$8,1,FLOOR(($A54-1)/23,1)+1)&amp;INDEX('Serial Reference'!$A$8:$W$8,1,MOD($A54-1,23)+1)&amp;TEXT(CE$2+FLOOR((CE$2-1)/9,1),"000"),"")</f>
        <v>CF091</v>
      </c>
      <c r="CF54" s="22" t="str">
        <f>IF(INDEX('Shot Map'!$B$6:$V$26,CEILING($A54/5,1),CEILING(CF$2/5,1))=1,INDEX('Serial Reference'!$A$8:$W$8,1,FLOOR(($A54-1)/23,1)+1)&amp;INDEX('Serial Reference'!$A$8:$W$8,1,MOD($A54-1,23)+1)&amp;TEXT(CF$2+FLOOR((CF$2-1)/9,1),"000"),"")</f>
        <v>CF092</v>
      </c>
      <c r="CG54" s="22" t="str">
        <f>IF(INDEX('Shot Map'!$B$6:$V$26,CEILING($A54/5,1),CEILING(CG$2/5,1))=1,INDEX('Serial Reference'!$A$8:$W$8,1,FLOOR(($A54-1)/23,1)+1)&amp;INDEX('Serial Reference'!$A$8:$W$8,1,MOD($A54-1,23)+1)&amp;TEXT(CG$2+FLOOR((CG$2-1)/9,1),"000"),"")</f>
        <v>CF093</v>
      </c>
      <c r="CH54" s="23" t="str">
        <f>IF(INDEX('Shot Map'!$B$6:$V$26,CEILING($A54/5,1),CEILING(CH$2/5,1))=1,INDEX('Serial Reference'!$A$8:$W$8,1,FLOOR(($A54-1)/23,1)+1)&amp;INDEX('Serial Reference'!$A$8:$W$8,1,MOD($A54-1,23)+1)&amp;TEXT(CH$2+FLOOR((CH$2-1)/9,1),"000"),"")</f>
        <v>CF094</v>
      </c>
      <c r="CI54" s="21" t="str">
        <f>IF(INDEX('Shot Map'!$B$6:$V$26,CEILING($A54/5,1),CEILING(CI$2/5,1))=1,INDEX('Serial Reference'!$A$8:$W$8,1,FLOOR(($A54-1)/23,1)+1)&amp;INDEX('Serial Reference'!$A$8:$W$8,1,MOD($A54-1,23)+1)&amp;TEXT(CI$2+FLOOR((CI$2-1)/9,1),"000"),"")</f>
        <v>CF095</v>
      </c>
      <c r="CJ54" s="22" t="str">
        <f>IF(INDEX('Shot Map'!$B$6:$V$26,CEILING($A54/5,1),CEILING(CJ$2/5,1))=1,INDEX('Serial Reference'!$A$8:$W$8,1,FLOOR(($A54-1)/23,1)+1)&amp;INDEX('Serial Reference'!$A$8:$W$8,1,MOD($A54-1,23)+1)&amp;TEXT(CJ$2+FLOOR((CJ$2-1)/9,1),"000"),"")</f>
        <v>CF096</v>
      </c>
      <c r="CK54" s="22" t="str">
        <f>IF(INDEX('Shot Map'!$B$6:$V$26,CEILING($A54/5,1),CEILING(CK$2/5,1))=1,INDEX('Serial Reference'!$A$8:$W$8,1,FLOOR(($A54-1)/23,1)+1)&amp;INDEX('Serial Reference'!$A$8:$W$8,1,MOD($A54-1,23)+1)&amp;TEXT(CK$2+FLOOR((CK$2-1)/9,1),"000"),"")</f>
        <v>CF097</v>
      </c>
      <c r="CL54" s="22" t="str">
        <f>IF(INDEX('Shot Map'!$B$6:$V$26,CEILING($A54/5,1),CEILING(CL$2/5,1))=1,INDEX('Serial Reference'!$A$8:$W$8,1,FLOOR(($A54-1)/23,1)+1)&amp;INDEX('Serial Reference'!$A$8:$W$8,1,MOD($A54-1,23)+1)&amp;TEXT(CL$2+FLOOR((CL$2-1)/9,1),"000"),"")</f>
        <v>CF098</v>
      </c>
      <c r="CM54" s="23" t="str">
        <f>IF(INDEX('Shot Map'!$B$6:$V$26,CEILING($A54/5,1),CEILING(CM$2/5,1))=1,INDEX('Serial Reference'!$A$8:$W$8,1,FLOOR(($A54-1)/23,1)+1)&amp;INDEX('Serial Reference'!$A$8:$W$8,1,MOD($A54-1,23)+1)&amp;TEXT(CM$2+FLOOR((CM$2-1)/9,1),"000"),"")</f>
        <v>CF099</v>
      </c>
      <c r="CN54" s="21" t="str">
        <f>IF(INDEX('Shot Map'!$B$6:$V$26,CEILING($A54/5,1),CEILING(CN$2/5,1))=1,INDEX('Serial Reference'!$A$8:$W$8,1,FLOOR(($A54-1)/23,1)+1)&amp;INDEX('Serial Reference'!$A$8:$W$8,1,MOD($A54-1,23)+1)&amp;TEXT(CN$2+FLOOR((CN$2-1)/9,1),"000"),"")</f>
        <v>CF101</v>
      </c>
      <c r="CO54" s="22" t="str">
        <f>IF(INDEX('Shot Map'!$B$6:$V$26,CEILING($A54/5,1),CEILING(CO$2/5,1))=1,INDEX('Serial Reference'!$A$8:$W$8,1,FLOOR(($A54-1)/23,1)+1)&amp;INDEX('Serial Reference'!$A$8:$W$8,1,MOD($A54-1,23)+1)&amp;TEXT(CO$2+FLOOR((CO$2-1)/9,1),"000"),"")</f>
        <v>CF102</v>
      </c>
      <c r="CP54" s="22" t="str">
        <f>IF(INDEX('Shot Map'!$B$6:$V$26,CEILING($A54/5,1),CEILING(CP$2/5,1))=1,INDEX('Serial Reference'!$A$8:$W$8,1,FLOOR(($A54-1)/23,1)+1)&amp;INDEX('Serial Reference'!$A$8:$W$8,1,MOD($A54-1,23)+1)&amp;TEXT(CP$2+FLOOR((CP$2-1)/9,1),"000"),"")</f>
        <v>CF103</v>
      </c>
      <c r="CQ54" s="22" t="str">
        <f>IF(INDEX('Shot Map'!$B$6:$V$26,CEILING($A54/5,1),CEILING(CQ$2/5,1))=1,INDEX('Serial Reference'!$A$8:$W$8,1,FLOOR(($A54-1)/23,1)+1)&amp;INDEX('Serial Reference'!$A$8:$W$8,1,MOD($A54-1,23)+1)&amp;TEXT(CQ$2+FLOOR((CQ$2-1)/9,1),"000"),"")</f>
        <v>CF104</v>
      </c>
      <c r="CR54" s="23" t="str">
        <f>IF(INDEX('Shot Map'!$B$6:$V$26,CEILING($A54/5,1),CEILING(CR$2/5,1))=1,INDEX('Serial Reference'!$A$8:$W$8,1,FLOOR(($A54-1)/23,1)+1)&amp;INDEX('Serial Reference'!$A$8:$W$8,1,MOD($A54-1,23)+1)&amp;TEXT(CR$2+FLOOR((CR$2-1)/9,1),"000"),"")</f>
        <v>CF105</v>
      </c>
      <c r="CS54" s="21" t="str">
        <f>IF(INDEX('Shot Map'!$B$6:$V$26,CEILING($A54/5,1),CEILING(CS$2/5,1))=1,INDEX('Serial Reference'!$A$8:$W$8,1,FLOOR(($A54-1)/23,1)+1)&amp;INDEX('Serial Reference'!$A$8:$W$8,1,MOD($A54-1,23)+1)&amp;TEXT(CS$2+FLOOR((CS$2-1)/9,1),"000"),"")</f>
        <v>CF106</v>
      </c>
      <c r="CT54" s="22" t="str">
        <f>IF(INDEX('Shot Map'!$B$6:$V$26,CEILING($A54/5,1),CEILING(CT$2/5,1))=1,INDEX('Serial Reference'!$A$8:$W$8,1,FLOOR(($A54-1)/23,1)+1)&amp;INDEX('Serial Reference'!$A$8:$W$8,1,MOD($A54-1,23)+1)&amp;TEXT(CT$2+FLOOR((CT$2-1)/9,1),"000"),"")</f>
        <v>CF107</v>
      </c>
      <c r="CU54" s="22" t="str">
        <f>IF(INDEX('Shot Map'!$B$6:$V$26,CEILING($A54/5,1),CEILING(CU$2/5,1))=1,INDEX('Serial Reference'!$A$8:$W$8,1,FLOOR(($A54-1)/23,1)+1)&amp;INDEX('Serial Reference'!$A$8:$W$8,1,MOD($A54-1,23)+1)&amp;TEXT(CU$2+FLOOR((CU$2-1)/9,1),"000"),"")</f>
        <v>CF108</v>
      </c>
      <c r="CV54" s="22" t="str">
        <f>IF(INDEX('Shot Map'!$B$6:$V$26,CEILING($A54/5,1),CEILING(CV$2/5,1))=1,INDEX('Serial Reference'!$A$8:$W$8,1,FLOOR(($A54-1)/23,1)+1)&amp;INDEX('Serial Reference'!$A$8:$W$8,1,MOD($A54-1,23)+1)&amp;TEXT(CV$2+FLOOR((CV$2-1)/9,1),"000"),"")</f>
        <v>CF109</v>
      </c>
      <c r="CW54" s="23" t="str">
        <f>IF(INDEX('Shot Map'!$B$6:$V$26,CEILING($A54/5,1),CEILING(CW$2/5,1))=1,INDEX('Serial Reference'!$A$8:$W$8,1,FLOOR(($A54-1)/23,1)+1)&amp;INDEX('Serial Reference'!$A$8:$W$8,1,MOD($A54-1,23)+1)&amp;TEXT(CW$2+FLOOR((CW$2-1)/9,1),"000"),"")</f>
        <v>CF111</v>
      </c>
      <c r="CX54" s="21" t="str">
        <f>IF(INDEX('Shot Map'!$B$6:$V$26,CEILING($A54/5,1),CEILING(CX$2/5,1))=1,INDEX('Serial Reference'!$A$8:$W$8,1,FLOOR(($A54-1)/23,1)+1)&amp;INDEX('Serial Reference'!$A$8:$W$8,1,MOD($A54-1,23)+1)&amp;TEXT(CX$2+FLOOR((CX$2-1)/9,1),"000"),"")</f>
        <v>CF112</v>
      </c>
      <c r="CY54" s="22" t="str">
        <f>IF(INDEX('Shot Map'!$B$6:$V$26,CEILING($A54/5,1),CEILING(CY$2/5,1))=1,INDEX('Serial Reference'!$A$8:$W$8,1,FLOOR(($A54-1)/23,1)+1)&amp;INDEX('Serial Reference'!$A$8:$W$8,1,MOD($A54-1,23)+1)&amp;TEXT(CY$2+FLOOR((CY$2-1)/9,1),"000"),"")</f>
        <v>CF113</v>
      </c>
      <c r="CZ54" s="22" t="str">
        <f>IF(INDEX('Shot Map'!$B$6:$V$26,CEILING($A54/5,1),CEILING(CZ$2/5,1))=1,INDEX('Serial Reference'!$A$8:$W$8,1,FLOOR(($A54-1)/23,1)+1)&amp;INDEX('Serial Reference'!$A$8:$W$8,1,MOD($A54-1,23)+1)&amp;TEXT(CZ$2+FLOOR((CZ$2-1)/9,1),"000"),"")</f>
        <v>CF114</v>
      </c>
      <c r="DA54" s="22" t="str">
        <f>IF(INDEX('Shot Map'!$B$6:$V$26,CEILING($A54/5,1),CEILING(DA$2/5,1))=1,INDEX('Serial Reference'!$A$8:$W$8,1,FLOOR(($A54-1)/23,1)+1)&amp;INDEX('Serial Reference'!$A$8:$W$8,1,MOD($A54-1,23)+1)&amp;TEXT(DA$2+FLOOR((DA$2-1)/9,1),"000"),"")</f>
        <v>CF115</v>
      </c>
      <c r="DB54" s="23" t="str">
        <f>IF(INDEX('Shot Map'!$B$6:$V$26,CEILING($A54/5,1),CEILING(DB$2/5,1))=1,INDEX('Serial Reference'!$A$8:$W$8,1,FLOOR(($A54-1)/23,1)+1)&amp;INDEX('Serial Reference'!$A$8:$W$8,1,MOD($A54-1,23)+1)&amp;TEXT(DB$2+FLOOR((DB$2-1)/9,1),"000"),"")</f>
        <v>CF116</v>
      </c>
    </row>
    <row r="55" spans="1:106" ht="12.75" customHeight="1" x14ac:dyDescent="0.25">
      <c r="A55" s="17">
        <v>53</v>
      </c>
      <c r="B55" s="21" t="str">
        <f>IF(INDEX('Shot Map'!$B$6:$V$26,CEILING($A55/5,1),CEILING(B$2/5,1))=1,INDEX('Serial Reference'!$A$8:$W$8,1,FLOOR(($A55-1)/23,1)+1)&amp;INDEX('Serial Reference'!$A$8:$W$8,1,MOD($A55-1,23)+1)&amp;TEXT(B$2+FLOOR((B$2-1)/9,1),"000"),"")</f>
        <v>CG001</v>
      </c>
      <c r="C55" s="22" t="str">
        <f>IF(INDEX('Shot Map'!$B$6:$V$26,CEILING($A55/5,1),CEILING(C$2/5,1))=1,INDEX('Serial Reference'!$A$8:$W$8,1,FLOOR(($A55-1)/23,1)+1)&amp;INDEX('Serial Reference'!$A$8:$W$8,1,MOD($A55-1,23)+1)&amp;TEXT(C$2+FLOOR((C$2-1)/9,1),"000"),"")</f>
        <v>CG002</v>
      </c>
      <c r="D55" s="22" t="str">
        <f>IF(INDEX('Shot Map'!$B$6:$V$26,CEILING($A55/5,1),CEILING(D$2/5,1))=1,INDEX('Serial Reference'!$A$8:$W$8,1,FLOOR(($A55-1)/23,1)+1)&amp;INDEX('Serial Reference'!$A$8:$W$8,1,MOD($A55-1,23)+1)&amp;TEXT(D$2+FLOOR((D$2-1)/9,1),"000"),"")</f>
        <v>CG003</v>
      </c>
      <c r="E55" s="22" t="str">
        <f>IF(INDEX('Shot Map'!$B$6:$V$26,CEILING($A55/5,1),CEILING(E$2/5,1))=1,INDEX('Serial Reference'!$A$8:$W$8,1,FLOOR(($A55-1)/23,1)+1)&amp;INDEX('Serial Reference'!$A$8:$W$8,1,MOD($A55-1,23)+1)&amp;TEXT(E$2+FLOOR((E$2-1)/9,1),"000"),"")</f>
        <v>CG004</v>
      </c>
      <c r="F55" s="23" t="str">
        <f>IF(INDEX('Shot Map'!$B$6:$V$26,CEILING($A55/5,1),CEILING(F$2/5,1))=1,INDEX('Serial Reference'!$A$8:$W$8,1,FLOOR(($A55-1)/23,1)+1)&amp;INDEX('Serial Reference'!$A$8:$W$8,1,MOD($A55-1,23)+1)&amp;TEXT(F$2+FLOOR((F$2-1)/9,1),"000"),"")</f>
        <v>CG005</v>
      </c>
      <c r="G55" s="21" t="str">
        <f>IF(INDEX('Shot Map'!$B$6:$V$26,CEILING($A55/5,1),CEILING(G$2/5,1))=1,INDEX('Serial Reference'!$A$8:$W$8,1,FLOOR(($A55-1)/23,1)+1)&amp;INDEX('Serial Reference'!$A$8:$W$8,1,MOD($A55-1,23)+1)&amp;TEXT(G$2+FLOOR((G$2-1)/9,1),"000"),"")</f>
        <v>CG006</v>
      </c>
      <c r="H55" s="22" t="str">
        <f>IF(INDEX('Shot Map'!$B$6:$V$26,CEILING($A55/5,1),CEILING(H$2/5,1))=1,INDEX('Serial Reference'!$A$8:$W$8,1,FLOOR(($A55-1)/23,1)+1)&amp;INDEX('Serial Reference'!$A$8:$W$8,1,MOD($A55-1,23)+1)&amp;TEXT(H$2+FLOOR((H$2-1)/9,1),"000"),"")</f>
        <v>CG007</v>
      </c>
      <c r="I55" s="22" t="str">
        <f>IF(INDEX('Shot Map'!$B$6:$V$26,CEILING($A55/5,1),CEILING(I$2/5,1))=1,INDEX('Serial Reference'!$A$8:$W$8,1,FLOOR(($A55-1)/23,1)+1)&amp;INDEX('Serial Reference'!$A$8:$W$8,1,MOD($A55-1,23)+1)&amp;TEXT(I$2+FLOOR((I$2-1)/9,1),"000"),"")</f>
        <v>CG008</v>
      </c>
      <c r="J55" s="22" t="str">
        <f>IF(INDEX('Shot Map'!$B$6:$V$26,CEILING($A55/5,1),CEILING(J$2/5,1))=1,INDEX('Serial Reference'!$A$8:$W$8,1,FLOOR(($A55-1)/23,1)+1)&amp;INDEX('Serial Reference'!$A$8:$W$8,1,MOD($A55-1,23)+1)&amp;TEXT(J$2+FLOOR((J$2-1)/9,1),"000"),"")</f>
        <v>CG009</v>
      </c>
      <c r="K55" s="23" t="str">
        <f>IF(INDEX('Shot Map'!$B$6:$V$26,CEILING($A55/5,1),CEILING(K$2/5,1))=1,INDEX('Serial Reference'!$A$8:$W$8,1,FLOOR(($A55-1)/23,1)+1)&amp;INDEX('Serial Reference'!$A$8:$W$8,1,MOD($A55-1,23)+1)&amp;TEXT(K$2+FLOOR((K$2-1)/9,1),"000"),"")</f>
        <v>CG011</v>
      </c>
      <c r="L55" s="21" t="str">
        <f>IF(INDEX('Shot Map'!$B$6:$V$26,CEILING($A55/5,1),CEILING(L$2/5,1))=1,INDEX('Serial Reference'!$A$8:$W$8,1,FLOOR(($A55-1)/23,1)+1)&amp;INDEX('Serial Reference'!$A$8:$W$8,1,MOD($A55-1,23)+1)&amp;TEXT(L$2+FLOOR((L$2-1)/9,1),"000"),"")</f>
        <v>CG012</v>
      </c>
      <c r="M55" s="22" t="str">
        <f>IF(INDEX('Shot Map'!$B$6:$V$26,CEILING($A55/5,1),CEILING(M$2/5,1))=1,INDEX('Serial Reference'!$A$8:$W$8,1,FLOOR(($A55-1)/23,1)+1)&amp;INDEX('Serial Reference'!$A$8:$W$8,1,MOD($A55-1,23)+1)&amp;TEXT(M$2+FLOOR((M$2-1)/9,1),"000"),"")</f>
        <v>CG013</v>
      </c>
      <c r="N55" s="22" t="str">
        <f>IF(INDEX('Shot Map'!$B$6:$V$26,CEILING($A55/5,1),CEILING(N$2/5,1))=1,INDEX('Serial Reference'!$A$8:$W$8,1,FLOOR(($A55-1)/23,1)+1)&amp;INDEX('Serial Reference'!$A$8:$W$8,1,MOD($A55-1,23)+1)&amp;TEXT(N$2+FLOOR((N$2-1)/9,1),"000"),"")</f>
        <v>CG014</v>
      </c>
      <c r="O55" s="22" t="str">
        <f>IF(INDEX('Shot Map'!$B$6:$V$26,CEILING($A55/5,1),CEILING(O$2/5,1))=1,INDEX('Serial Reference'!$A$8:$W$8,1,FLOOR(($A55-1)/23,1)+1)&amp;INDEX('Serial Reference'!$A$8:$W$8,1,MOD($A55-1,23)+1)&amp;TEXT(O$2+FLOOR((O$2-1)/9,1),"000"),"")</f>
        <v>CG015</v>
      </c>
      <c r="P55" s="23" t="str">
        <f>IF(INDEX('Shot Map'!$B$6:$V$26,CEILING($A55/5,1),CEILING(P$2/5,1))=1,INDEX('Serial Reference'!$A$8:$W$8,1,FLOOR(($A55-1)/23,1)+1)&amp;INDEX('Serial Reference'!$A$8:$W$8,1,MOD($A55-1,23)+1)&amp;TEXT(P$2+FLOOR((P$2-1)/9,1),"000"),"")</f>
        <v>CG016</v>
      </c>
      <c r="Q55" s="21" t="str">
        <f>IF(INDEX('Shot Map'!$B$6:$V$26,CEILING($A55/5,1),CEILING(Q$2/5,1))=1,INDEX('Serial Reference'!$A$8:$W$8,1,FLOOR(($A55-1)/23,1)+1)&amp;INDEX('Serial Reference'!$A$8:$W$8,1,MOD($A55-1,23)+1)&amp;TEXT(Q$2+FLOOR((Q$2-1)/9,1),"000"),"")</f>
        <v>CG017</v>
      </c>
      <c r="R55" s="22" t="str">
        <f>IF(INDEX('Shot Map'!$B$6:$V$26,CEILING($A55/5,1),CEILING(R$2/5,1))=1,INDEX('Serial Reference'!$A$8:$W$8,1,FLOOR(($A55-1)/23,1)+1)&amp;INDEX('Serial Reference'!$A$8:$W$8,1,MOD($A55-1,23)+1)&amp;TEXT(R$2+FLOOR((R$2-1)/9,1),"000"),"")</f>
        <v>CG018</v>
      </c>
      <c r="S55" s="22" t="str">
        <f>IF(INDEX('Shot Map'!$B$6:$V$26,CEILING($A55/5,1),CEILING(S$2/5,1))=1,INDEX('Serial Reference'!$A$8:$W$8,1,FLOOR(($A55-1)/23,1)+1)&amp;INDEX('Serial Reference'!$A$8:$W$8,1,MOD($A55-1,23)+1)&amp;TEXT(S$2+FLOOR((S$2-1)/9,1),"000"),"")</f>
        <v>CG019</v>
      </c>
      <c r="T55" s="22" t="str">
        <f>IF(INDEX('Shot Map'!$B$6:$V$26,CEILING($A55/5,1),CEILING(T$2/5,1))=1,INDEX('Serial Reference'!$A$8:$W$8,1,FLOOR(($A55-1)/23,1)+1)&amp;INDEX('Serial Reference'!$A$8:$W$8,1,MOD($A55-1,23)+1)&amp;TEXT(T$2+FLOOR((T$2-1)/9,1),"000"),"")</f>
        <v>CG021</v>
      </c>
      <c r="U55" s="23" t="str">
        <f>IF(INDEX('Shot Map'!$B$6:$V$26,CEILING($A55/5,1),CEILING(U$2/5,1))=1,INDEX('Serial Reference'!$A$8:$W$8,1,FLOOR(($A55-1)/23,1)+1)&amp;INDEX('Serial Reference'!$A$8:$W$8,1,MOD($A55-1,23)+1)&amp;TEXT(U$2+FLOOR((U$2-1)/9,1),"000"),"")</f>
        <v>CG022</v>
      </c>
      <c r="V55" s="21" t="str">
        <f>IF(INDEX('Shot Map'!$B$6:$V$26,CEILING($A55/5,1),CEILING(V$2/5,1))=1,INDEX('Serial Reference'!$A$8:$W$8,1,FLOOR(($A55-1)/23,1)+1)&amp;INDEX('Serial Reference'!$A$8:$W$8,1,MOD($A55-1,23)+1)&amp;TEXT(V$2+FLOOR((V$2-1)/9,1),"000"),"")</f>
        <v>CG023</v>
      </c>
      <c r="W55" s="22" t="str">
        <f>IF(INDEX('Shot Map'!$B$6:$V$26,CEILING($A55/5,1),CEILING(W$2/5,1))=1,INDEX('Serial Reference'!$A$8:$W$8,1,FLOOR(($A55-1)/23,1)+1)&amp;INDEX('Serial Reference'!$A$8:$W$8,1,MOD($A55-1,23)+1)&amp;TEXT(W$2+FLOOR((W$2-1)/9,1),"000"),"")</f>
        <v>CG024</v>
      </c>
      <c r="X55" s="22" t="str">
        <f>IF(INDEX('Shot Map'!$B$6:$V$26,CEILING($A55/5,1),CEILING(X$2/5,1))=1,INDEX('Serial Reference'!$A$8:$W$8,1,FLOOR(($A55-1)/23,1)+1)&amp;INDEX('Serial Reference'!$A$8:$W$8,1,MOD($A55-1,23)+1)&amp;TEXT(X$2+FLOOR((X$2-1)/9,1),"000"),"")</f>
        <v>CG025</v>
      </c>
      <c r="Y55" s="22" t="str">
        <f>IF(INDEX('Shot Map'!$B$6:$V$26,CEILING($A55/5,1),CEILING(Y$2/5,1))=1,INDEX('Serial Reference'!$A$8:$W$8,1,FLOOR(($A55-1)/23,1)+1)&amp;INDEX('Serial Reference'!$A$8:$W$8,1,MOD($A55-1,23)+1)&amp;TEXT(Y$2+FLOOR((Y$2-1)/9,1),"000"),"")</f>
        <v>CG026</v>
      </c>
      <c r="Z55" s="23" t="str">
        <f>IF(INDEX('Shot Map'!$B$6:$V$26,CEILING($A55/5,1),CEILING(Z$2/5,1))=1,INDEX('Serial Reference'!$A$8:$W$8,1,FLOOR(($A55-1)/23,1)+1)&amp;INDEX('Serial Reference'!$A$8:$W$8,1,MOD($A55-1,23)+1)&amp;TEXT(Z$2+FLOOR((Z$2-1)/9,1),"000"),"")</f>
        <v>CG027</v>
      </c>
      <c r="AA55" s="21" t="str">
        <f>IF(INDEX('Shot Map'!$B$6:$V$26,CEILING($A55/5,1),CEILING(AA$2/5,1))=1,INDEX('Serial Reference'!$A$8:$W$8,1,FLOOR(($A55-1)/23,1)+1)&amp;INDEX('Serial Reference'!$A$8:$W$8,1,MOD($A55-1,23)+1)&amp;TEXT(AA$2+FLOOR((AA$2-1)/9,1),"000"),"")</f>
        <v>CG028</v>
      </c>
      <c r="AB55" s="22" t="str">
        <f>IF(INDEX('Shot Map'!$B$6:$V$26,CEILING($A55/5,1),CEILING(AB$2/5,1))=1,INDEX('Serial Reference'!$A$8:$W$8,1,FLOOR(($A55-1)/23,1)+1)&amp;INDEX('Serial Reference'!$A$8:$W$8,1,MOD($A55-1,23)+1)&amp;TEXT(AB$2+FLOOR((AB$2-1)/9,1),"000"),"")</f>
        <v>CG029</v>
      </c>
      <c r="AC55" s="22" t="str">
        <f>IF(INDEX('Shot Map'!$B$6:$V$26,CEILING($A55/5,1),CEILING(AC$2/5,1))=1,INDEX('Serial Reference'!$A$8:$W$8,1,FLOOR(($A55-1)/23,1)+1)&amp;INDEX('Serial Reference'!$A$8:$W$8,1,MOD($A55-1,23)+1)&amp;TEXT(AC$2+FLOOR((AC$2-1)/9,1),"000"),"")</f>
        <v>CG031</v>
      </c>
      <c r="AD55" s="22" t="str">
        <f>IF(INDEX('Shot Map'!$B$6:$V$26,CEILING($A55/5,1),CEILING(AD$2/5,1))=1,INDEX('Serial Reference'!$A$8:$W$8,1,FLOOR(($A55-1)/23,1)+1)&amp;INDEX('Serial Reference'!$A$8:$W$8,1,MOD($A55-1,23)+1)&amp;TEXT(AD$2+FLOOR((AD$2-1)/9,1),"000"),"")</f>
        <v>CG032</v>
      </c>
      <c r="AE55" s="23" t="str">
        <f>IF(INDEX('Shot Map'!$B$6:$V$26,CEILING($A55/5,1),CEILING(AE$2/5,1))=1,INDEX('Serial Reference'!$A$8:$W$8,1,FLOOR(($A55-1)/23,1)+1)&amp;INDEX('Serial Reference'!$A$8:$W$8,1,MOD($A55-1,23)+1)&amp;TEXT(AE$2+FLOOR((AE$2-1)/9,1),"000"),"")</f>
        <v>CG033</v>
      </c>
      <c r="AF55" s="21" t="str">
        <f>IF(INDEX('Shot Map'!$B$6:$V$26,CEILING($A55/5,1),CEILING(AF$2/5,1))=1,INDEX('Serial Reference'!$A$8:$W$8,1,FLOOR(($A55-1)/23,1)+1)&amp;INDEX('Serial Reference'!$A$8:$W$8,1,MOD($A55-1,23)+1)&amp;TEXT(AF$2+FLOOR((AF$2-1)/9,1),"000"),"")</f>
        <v>CG034</v>
      </c>
      <c r="AG55" s="22" t="str">
        <f>IF(INDEX('Shot Map'!$B$6:$V$26,CEILING($A55/5,1),CEILING(AG$2/5,1))=1,INDEX('Serial Reference'!$A$8:$W$8,1,FLOOR(($A55-1)/23,1)+1)&amp;INDEX('Serial Reference'!$A$8:$W$8,1,MOD($A55-1,23)+1)&amp;TEXT(AG$2+FLOOR((AG$2-1)/9,1),"000"),"")</f>
        <v>CG035</v>
      </c>
      <c r="AH55" s="22" t="str">
        <f>IF(INDEX('Shot Map'!$B$6:$V$26,CEILING($A55/5,1),CEILING(AH$2/5,1))=1,INDEX('Serial Reference'!$A$8:$W$8,1,FLOOR(($A55-1)/23,1)+1)&amp;INDEX('Serial Reference'!$A$8:$W$8,1,MOD($A55-1,23)+1)&amp;TEXT(AH$2+FLOOR((AH$2-1)/9,1),"000"),"")</f>
        <v>CG036</v>
      </c>
      <c r="AI55" s="22" t="str">
        <f>IF(INDEX('Shot Map'!$B$6:$V$26,CEILING($A55/5,1),CEILING(AI$2/5,1))=1,INDEX('Serial Reference'!$A$8:$W$8,1,FLOOR(($A55-1)/23,1)+1)&amp;INDEX('Serial Reference'!$A$8:$W$8,1,MOD($A55-1,23)+1)&amp;TEXT(AI$2+FLOOR((AI$2-1)/9,1),"000"),"")</f>
        <v>CG037</v>
      </c>
      <c r="AJ55" s="23" t="str">
        <f>IF(INDEX('Shot Map'!$B$6:$V$26,CEILING($A55/5,1),CEILING(AJ$2/5,1))=1,INDEX('Serial Reference'!$A$8:$W$8,1,FLOOR(($A55-1)/23,1)+1)&amp;INDEX('Serial Reference'!$A$8:$W$8,1,MOD($A55-1,23)+1)&amp;TEXT(AJ$2+FLOOR((AJ$2-1)/9,1),"000"),"")</f>
        <v>CG038</v>
      </c>
      <c r="AK55" s="21" t="str">
        <f>IF(INDEX('Shot Map'!$B$6:$V$26,CEILING($A55/5,1),CEILING(AK$2/5,1))=1,INDEX('Serial Reference'!$A$8:$W$8,1,FLOOR(($A55-1)/23,1)+1)&amp;INDEX('Serial Reference'!$A$8:$W$8,1,MOD($A55-1,23)+1)&amp;TEXT(AK$2+FLOOR((AK$2-1)/9,1),"000"),"")</f>
        <v>CG039</v>
      </c>
      <c r="AL55" s="22" t="str">
        <f>IF(INDEX('Shot Map'!$B$6:$V$26,CEILING($A55/5,1),CEILING(AL$2/5,1))=1,INDEX('Serial Reference'!$A$8:$W$8,1,FLOOR(($A55-1)/23,1)+1)&amp;INDEX('Serial Reference'!$A$8:$W$8,1,MOD($A55-1,23)+1)&amp;TEXT(AL$2+FLOOR((AL$2-1)/9,1),"000"),"")</f>
        <v>CG041</v>
      </c>
      <c r="AM55" s="22" t="str">
        <f>IF(INDEX('Shot Map'!$B$6:$V$26,CEILING($A55/5,1),CEILING(AM$2/5,1))=1,INDEX('Serial Reference'!$A$8:$W$8,1,FLOOR(($A55-1)/23,1)+1)&amp;INDEX('Serial Reference'!$A$8:$W$8,1,MOD($A55-1,23)+1)&amp;TEXT(AM$2+FLOOR((AM$2-1)/9,1),"000"),"")</f>
        <v>CG042</v>
      </c>
      <c r="AN55" s="22" t="str">
        <f>IF(INDEX('Shot Map'!$B$6:$V$26,CEILING($A55/5,1),CEILING(AN$2/5,1))=1,INDEX('Serial Reference'!$A$8:$W$8,1,FLOOR(($A55-1)/23,1)+1)&amp;INDEX('Serial Reference'!$A$8:$W$8,1,MOD($A55-1,23)+1)&amp;TEXT(AN$2+FLOOR((AN$2-1)/9,1),"000"),"")</f>
        <v>CG043</v>
      </c>
      <c r="AO55" s="23" t="str">
        <f>IF(INDEX('Shot Map'!$B$6:$V$26,CEILING($A55/5,1),CEILING(AO$2/5,1))=1,INDEX('Serial Reference'!$A$8:$W$8,1,FLOOR(($A55-1)/23,1)+1)&amp;INDEX('Serial Reference'!$A$8:$W$8,1,MOD($A55-1,23)+1)&amp;TEXT(AO$2+FLOOR((AO$2-1)/9,1),"000"),"")</f>
        <v>CG044</v>
      </c>
      <c r="AP55" s="21" t="str">
        <f>IF(INDEX('Shot Map'!$B$6:$V$26,CEILING($A55/5,1),CEILING(AP$2/5,1))=1,INDEX('Serial Reference'!$A$8:$W$8,1,FLOOR(($A55-1)/23,1)+1)&amp;INDEX('Serial Reference'!$A$8:$W$8,1,MOD($A55-1,23)+1)&amp;TEXT(AP$2+FLOOR((AP$2-1)/9,1),"000"),"")</f>
        <v>CG045</v>
      </c>
      <c r="AQ55" s="22" t="str">
        <f>IF(INDEX('Shot Map'!$B$6:$V$26,CEILING($A55/5,1),CEILING(AQ$2/5,1))=1,INDEX('Serial Reference'!$A$8:$W$8,1,FLOOR(($A55-1)/23,1)+1)&amp;INDEX('Serial Reference'!$A$8:$W$8,1,MOD($A55-1,23)+1)&amp;TEXT(AQ$2+FLOOR((AQ$2-1)/9,1),"000"),"")</f>
        <v>CG046</v>
      </c>
      <c r="AR55" s="22" t="str">
        <f>IF(INDEX('Shot Map'!$B$6:$V$26,CEILING($A55/5,1),CEILING(AR$2/5,1))=1,INDEX('Serial Reference'!$A$8:$W$8,1,FLOOR(($A55-1)/23,1)+1)&amp;INDEX('Serial Reference'!$A$8:$W$8,1,MOD($A55-1,23)+1)&amp;TEXT(AR$2+FLOOR((AR$2-1)/9,1),"000"),"")</f>
        <v>CG047</v>
      </c>
      <c r="AS55" s="22" t="str">
        <f>IF(INDEX('Shot Map'!$B$6:$V$26,CEILING($A55/5,1),CEILING(AS$2/5,1))=1,INDEX('Serial Reference'!$A$8:$W$8,1,FLOOR(($A55-1)/23,1)+1)&amp;INDEX('Serial Reference'!$A$8:$W$8,1,MOD($A55-1,23)+1)&amp;TEXT(AS$2+FLOOR((AS$2-1)/9,1),"000"),"")</f>
        <v>CG048</v>
      </c>
      <c r="AT55" s="23" t="str">
        <f>IF(INDEX('Shot Map'!$B$6:$V$26,CEILING($A55/5,1),CEILING(AT$2/5,1))=1,INDEX('Serial Reference'!$A$8:$W$8,1,FLOOR(($A55-1)/23,1)+1)&amp;INDEX('Serial Reference'!$A$8:$W$8,1,MOD($A55-1,23)+1)&amp;TEXT(AT$2+FLOOR((AT$2-1)/9,1),"000"),"")</f>
        <v>CG049</v>
      </c>
      <c r="AU55" s="21" t="str">
        <f>IF(INDEX('Shot Map'!$B$6:$V$26,CEILING($A55/5,1),CEILING(AU$2/5,1))=1,INDEX('Serial Reference'!$A$8:$W$8,1,FLOOR(($A55-1)/23,1)+1)&amp;INDEX('Serial Reference'!$A$8:$W$8,1,MOD($A55-1,23)+1)&amp;TEXT(AU$2+FLOOR((AU$2-1)/9,1),"000"),"")</f>
        <v>CG051</v>
      </c>
      <c r="AV55" s="22" t="str">
        <f>IF(INDEX('Shot Map'!$B$6:$V$26,CEILING($A55/5,1),CEILING(AV$2/5,1))=1,INDEX('Serial Reference'!$A$8:$W$8,1,FLOOR(($A55-1)/23,1)+1)&amp;INDEX('Serial Reference'!$A$8:$W$8,1,MOD($A55-1,23)+1)&amp;TEXT(AV$2+FLOOR((AV$2-1)/9,1),"000"),"")</f>
        <v>CG052</v>
      </c>
      <c r="AW55" s="22" t="str">
        <f>IF(INDEX('Shot Map'!$B$6:$V$26,CEILING($A55/5,1),CEILING(AW$2/5,1))=1,INDEX('Serial Reference'!$A$8:$W$8,1,FLOOR(($A55-1)/23,1)+1)&amp;INDEX('Serial Reference'!$A$8:$W$8,1,MOD($A55-1,23)+1)&amp;TEXT(AW$2+FLOOR((AW$2-1)/9,1),"000"),"")</f>
        <v>CG053</v>
      </c>
      <c r="AX55" s="22" t="str">
        <f>IF(INDEX('Shot Map'!$B$6:$V$26,CEILING($A55/5,1),CEILING(AX$2/5,1))=1,INDEX('Serial Reference'!$A$8:$W$8,1,FLOOR(($A55-1)/23,1)+1)&amp;INDEX('Serial Reference'!$A$8:$W$8,1,MOD($A55-1,23)+1)&amp;TEXT(AX$2+FLOOR((AX$2-1)/9,1),"000"),"")</f>
        <v>CG054</v>
      </c>
      <c r="AY55" s="23" t="str">
        <f>IF(INDEX('Shot Map'!$B$6:$V$26,CEILING($A55/5,1),CEILING(AY$2/5,1))=1,INDEX('Serial Reference'!$A$8:$W$8,1,FLOOR(($A55-1)/23,1)+1)&amp;INDEX('Serial Reference'!$A$8:$W$8,1,MOD($A55-1,23)+1)&amp;TEXT(AY$2+FLOOR((AY$2-1)/9,1),"000"),"")</f>
        <v>CG055</v>
      </c>
      <c r="AZ55" s="21" t="str">
        <f>IF(INDEX('Shot Map'!$B$6:$V$26,CEILING($A55/5,1),CEILING(AZ$2/5,1))=1,INDEX('Serial Reference'!$A$8:$W$8,1,FLOOR(($A55-1)/23,1)+1)&amp;INDEX('Serial Reference'!$A$8:$W$8,1,MOD($A55-1,23)+1)&amp;TEXT(AZ$2+FLOOR((AZ$2-1)/9,1),"000"),"")</f>
        <v>CG056</v>
      </c>
      <c r="BA55" s="22" t="str">
        <f>IF(INDEX('Shot Map'!$B$6:$V$26,CEILING($A55/5,1),CEILING(BA$2/5,1))=1,INDEX('Serial Reference'!$A$8:$W$8,1,FLOOR(($A55-1)/23,1)+1)&amp;INDEX('Serial Reference'!$A$8:$W$8,1,MOD($A55-1,23)+1)&amp;TEXT(BA$2+FLOOR((BA$2-1)/9,1),"000"),"")</f>
        <v>CG057</v>
      </c>
      <c r="BB55" s="22" t="str">
        <f>IF(INDEX('Shot Map'!$B$6:$V$26,CEILING($A55/5,1),CEILING(BB$2/5,1))=1,INDEX('Serial Reference'!$A$8:$W$8,1,FLOOR(($A55-1)/23,1)+1)&amp;INDEX('Serial Reference'!$A$8:$W$8,1,MOD($A55-1,23)+1)&amp;TEXT(BB$2+FLOOR((BB$2-1)/9,1),"000"),"")</f>
        <v>CG058</v>
      </c>
      <c r="BC55" s="22" t="str">
        <f>IF(INDEX('Shot Map'!$B$6:$V$26,CEILING($A55/5,1),CEILING(BC$2/5,1))=1,INDEX('Serial Reference'!$A$8:$W$8,1,FLOOR(($A55-1)/23,1)+1)&amp;INDEX('Serial Reference'!$A$8:$W$8,1,MOD($A55-1,23)+1)&amp;TEXT(BC$2+FLOOR((BC$2-1)/9,1),"000"),"")</f>
        <v>CG059</v>
      </c>
      <c r="BD55" s="23" t="str">
        <f>IF(INDEX('Shot Map'!$B$6:$V$26,CEILING($A55/5,1),CEILING(BD$2/5,1))=1,INDEX('Serial Reference'!$A$8:$W$8,1,FLOOR(($A55-1)/23,1)+1)&amp;INDEX('Serial Reference'!$A$8:$W$8,1,MOD($A55-1,23)+1)&amp;TEXT(BD$2+FLOOR((BD$2-1)/9,1),"000"),"")</f>
        <v>CG061</v>
      </c>
      <c r="BE55" s="21" t="str">
        <f>IF(INDEX('Shot Map'!$B$6:$V$26,CEILING($A55/5,1),CEILING(BE$2/5,1))=1,INDEX('Serial Reference'!$A$8:$W$8,1,FLOOR(($A55-1)/23,1)+1)&amp;INDEX('Serial Reference'!$A$8:$W$8,1,MOD($A55-1,23)+1)&amp;TEXT(BE$2+FLOOR((BE$2-1)/9,1),"000"),"")</f>
        <v>CG062</v>
      </c>
      <c r="BF55" s="22" t="str">
        <f>IF(INDEX('Shot Map'!$B$6:$V$26,CEILING($A55/5,1),CEILING(BF$2/5,1))=1,INDEX('Serial Reference'!$A$8:$W$8,1,FLOOR(($A55-1)/23,1)+1)&amp;INDEX('Serial Reference'!$A$8:$W$8,1,MOD($A55-1,23)+1)&amp;TEXT(BF$2+FLOOR((BF$2-1)/9,1),"000"),"")</f>
        <v>CG063</v>
      </c>
      <c r="BG55" s="22" t="str">
        <f>IF(INDEX('Shot Map'!$B$6:$V$26,CEILING($A55/5,1),CEILING(BG$2/5,1))=1,INDEX('Serial Reference'!$A$8:$W$8,1,FLOOR(($A55-1)/23,1)+1)&amp;INDEX('Serial Reference'!$A$8:$W$8,1,MOD($A55-1,23)+1)&amp;TEXT(BG$2+FLOOR((BG$2-1)/9,1),"000"),"")</f>
        <v>CG064</v>
      </c>
      <c r="BH55" s="22" t="str">
        <f>IF(INDEX('Shot Map'!$B$6:$V$26,CEILING($A55/5,1),CEILING(BH$2/5,1))=1,INDEX('Serial Reference'!$A$8:$W$8,1,FLOOR(($A55-1)/23,1)+1)&amp;INDEX('Serial Reference'!$A$8:$W$8,1,MOD($A55-1,23)+1)&amp;TEXT(BH$2+FLOOR((BH$2-1)/9,1),"000"),"")</f>
        <v>CG065</v>
      </c>
      <c r="BI55" s="23" t="str">
        <f>IF(INDEX('Shot Map'!$B$6:$V$26,CEILING($A55/5,1),CEILING(BI$2/5,1))=1,INDEX('Serial Reference'!$A$8:$W$8,1,FLOOR(($A55-1)/23,1)+1)&amp;INDEX('Serial Reference'!$A$8:$W$8,1,MOD($A55-1,23)+1)&amp;TEXT(BI$2+FLOOR((BI$2-1)/9,1),"000"),"")</f>
        <v>CG066</v>
      </c>
      <c r="BJ55" s="21" t="str">
        <f>IF(INDEX('Shot Map'!$B$6:$V$26,CEILING($A55/5,1),CEILING(BJ$2/5,1))=1,INDEX('Serial Reference'!$A$8:$W$8,1,FLOOR(($A55-1)/23,1)+1)&amp;INDEX('Serial Reference'!$A$8:$W$8,1,MOD($A55-1,23)+1)&amp;TEXT(BJ$2+FLOOR((BJ$2-1)/9,1),"000"),"")</f>
        <v>CG067</v>
      </c>
      <c r="BK55" s="22" t="str">
        <f>IF(INDEX('Shot Map'!$B$6:$V$26,CEILING($A55/5,1),CEILING(BK$2/5,1))=1,INDEX('Serial Reference'!$A$8:$W$8,1,FLOOR(($A55-1)/23,1)+1)&amp;INDEX('Serial Reference'!$A$8:$W$8,1,MOD($A55-1,23)+1)&amp;TEXT(BK$2+FLOOR((BK$2-1)/9,1),"000"),"")</f>
        <v>CG068</v>
      </c>
      <c r="BL55" s="22" t="str">
        <f>IF(INDEX('Shot Map'!$B$6:$V$26,CEILING($A55/5,1),CEILING(BL$2/5,1))=1,INDEX('Serial Reference'!$A$8:$W$8,1,FLOOR(($A55-1)/23,1)+1)&amp;INDEX('Serial Reference'!$A$8:$W$8,1,MOD($A55-1,23)+1)&amp;TEXT(BL$2+FLOOR((BL$2-1)/9,1),"000"),"")</f>
        <v>CG069</v>
      </c>
      <c r="BM55" s="22" t="str">
        <f>IF(INDEX('Shot Map'!$B$6:$V$26,CEILING($A55/5,1),CEILING(BM$2/5,1))=1,INDEX('Serial Reference'!$A$8:$W$8,1,FLOOR(($A55-1)/23,1)+1)&amp;INDEX('Serial Reference'!$A$8:$W$8,1,MOD($A55-1,23)+1)&amp;TEXT(BM$2+FLOOR((BM$2-1)/9,1),"000"),"")</f>
        <v>CG071</v>
      </c>
      <c r="BN55" s="23" t="str">
        <f>IF(INDEX('Shot Map'!$B$6:$V$26,CEILING($A55/5,1),CEILING(BN$2/5,1))=1,INDEX('Serial Reference'!$A$8:$W$8,1,FLOOR(($A55-1)/23,1)+1)&amp;INDEX('Serial Reference'!$A$8:$W$8,1,MOD($A55-1,23)+1)&amp;TEXT(BN$2+FLOOR((BN$2-1)/9,1),"000"),"")</f>
        <v>CG072</v>
      </c>
      <c r="BO55" s="21" t="str">
        <f>IF(INDEX('Shot Map'!$B$6:$V$26,CEILING($A55/5,1),CEILING(BO$2/5,1))=1,INDEX('Serial Reference'!$A$8:$W$8,1,FLOOR(($A55-1)/23,1)+1)&amp;INDEX('Serial Reference'!$A$8:$W$8,1,MOD($A55-1,23)+1)&amp;TEXT(BO$2+FLOOR((BO$2-1)/9,1),"000"),"")</f>
        <v>CG073</v>
      </c>
      <c r="BP55" s="22" t="str">
        <f>IF(INDEX('Shot Map'!$B$6:$V$26,CEILING($A55/5,1),CEILING(BP$2/5,1))=1,INDEX('Serial Reference'!$A$8:$W$8,1,FLOOR(($A55-1)/23,1)+1)&amp;INDEX('Serial Reference'!$A$8:$W$8,1,MOD($A55-1,23)+1)&amp;TEXT(BP$2+FLOOR((BP$2-1)/9,1),"000"),"")</f>
        <v>CG074</v>
      </c>
      <c r="BQ55" s="22" t="str">
        <f>IF(INDEX('Shot Map'!$B$6:$V$26,CEILING($A55/5,1),CEILING(BQ$2/5,1))=1,INDEX('Serial Reference'!$A$8:$W$8,1,FLOOR(($A55-1)/23,1)+1)&amp;INDEX('Serial Reference'!$A$8:$W$8,1,MOD($A55-1,23)+1)&amp;TEXT(BQ$2+FLOOR((BQ$2-1)/9,1),"000"),"")</f>
        <v>CG075</v>
      </c>
      <c r="BR55" s="22" t="str">
        <f>IF(INDEX('Shot Map'!$B$6:$V$26,CEILING($A55/5,1),CEILING(BR$2/5,1))=1,INDEX('Serial Reference'!$A$8:$W$8,1,FLOOR(($A55-1)/23,1)+1)&amp;INDEX('Serial Reference'!$A$8:$W$8,1,MOD($A55-1,23)+1)&amp;TEXT(BR$2+FLOOR((BR$2-1)/9,1),"000"),"")</f>
        <v>CG076</v>
      </c>
      <c r="BS55" s="23" t="str">
        <f>IF(INDEX('Shot Map'!$B$6:$V$26,CEILING($A55/5,1),CEILING(BS$2/5,1))=1,INDEX('Serial Reference'!$A$8:$W$8,1,FLOOR(($A55-1)/23,1)+1)&amp;INDEX('Serial Reference'!$A$8:$W$8,1,MOD($A55-1,23)+1)&amp;TEXT(BS$2+FLOOR((BS$2-1)/9,1),"000"),"")</f>
        <v>CG077</v>
      </c>
      <c r="BT55" s="21" t="str">
        <f>IF(INDEX('Shot Map'!$B$6:$V$26,CEILING($A55/5,1),CEILING(BT$2/5,1))=1,INDEX('Serial Reference'!$A$8:$W$8,1,FLOOR(($A55-1)/23,1)+1)&amp;INDEX('Serial Reference'!$A$8:$W$8,1,MOD($A55-1,23)+1)&amp;TEXT(BT$2+FLOOR((BT$2-1)/9,1),"000"),"")</f>
        <v>CG078</v>
      </c>
      <c r="BU55" s="22" t="str">
        <f>IF(INDEX('Shot Map'!$B$6:$V$26,CEILING($A55/5,1),CEILING(BU$2/5,1))=1,INDEX('Serial Reference'!$A$8:$W$8,1,FLOOR(($A55-1)/23,1)+1)&amp;INDEX('Serial Reference'!$A$8:$W$8,1,MOD($A55-1,23)+1)&amp;TEXT(BU$2+FLOOR((BU$2-1)/9,1),"000"),"")</f>
        <v>CG079</v>
      </c>
      <c r="BV55" s="22" t="str">
        <f>IF(INDEX('Shot Map'!$B$6:$V$26,CEILING($A55/5,1),CEILING(BV$2/5,1))=1,INDEX('Serial Reference'!$A$8:$W$8,1,FLOOR(($A55-1)/23,1)+1)&amp;INDEX('Serial Reference'!$A$8:$W$8,1,MOD($A55-1,23)+1)&amp;TEXT(BV$2+FLOOR((BV$2-1)/9,1),"000"),"")</f>
        <v>CG081</v>
      </c>
      <c r="BW55" s="22" t="str">
        <f>IF(INDEX('Shot Map'!$B$6:$V$26,CEILING($A55/5,1),CEILING(BW$2/5,1))=1,INDEX('Serial Reference'!$A$8:$W$8,1,FLOOR(($A55-1)/23,1)+1)&amp;INDEX('Serial Reference'!$A$8:$W$8,1,MOD($A55-1,23)+1)&amp;TEXT(BW$2+FLOOR((BW$2-1)/9,1),"000"),"")</f>
        <v>CG082</v>
      </c>
      <c r="BX55" s="23" t="str">
        <f>IF(INDEX('Shot Map'!$B$6:$V$26,CEILING($A55/5,1),CEILING(BX$2/5,1))=1,INDEX('Serial Reference'!$A$8:$W$8,1,FLOOR(($A55-1)/23,1)+1)&amp;INDEX('Serial Reference'!$A$8:$W$8,1,MOD($A55-1,23)+1)&amp;TEXT(BX$2+FLOOR((BX$2-1)/9,1),"000"),"")</f>
        <v>CG083</v>
      </c>
      <c r="BY55" s="21" t="str">
        <f>IF(INDEX('Shot Map'!$B$6:$V$26,CEILING($A55/5,1),CEILING(BY$2/5,1))=1,INDEX('Serial Reference'!$A$8:$W$8,1,FLOOR(($A55-1)/23,1)+1)&amp;INDEX('Serial Reference'!$A$8:$W$8,1,MOD($A55-1,23)+1)&amp;TEXT(BY$2+FLOOR((BY$2-1)/9,1),"000"),"")</f>
        <v>CG084</v>
      </c>
      <c r="BZ55" s="22" t="str">
        <f>IF(INDEX('Shot Map'!$B$6:$V$26,CEILING($A55/5,1),CEILING(BZ$2/5,1))=1,INDEX('Serial Reference'!$A$8:$W$8,1,FLOOR(($A55-1)/23,1)+1)&amp;INDEX('Serial Reference'!$A$8:$W$8,1,MOD($A55-1,23)+1)&amp;TEXT(BZ$2+FLOOR((BZ$2-1)/9,1),"000"),"")</f>
        <v>CG085</v>
      </c>
      <c r="CA55" s="22" t="str">
        <f>IF(INDEX('Shot Map'!$B$6:$V$26,CEILING($A55/5,1),CEILING(CA$2/5,1))=1,INDEX('Serial Reference'!$A$8:$W$8,1,FLOOR(($A55-1)/23,1)+1)&amp;INDEX('Serial Reference'!$A$8:$W$8,1,MOD($A55-1,23)+1)&amp;TEXT(CA$2+FLOOR((CA$2-1)/9,1),"000"),"")</f>
        <v>CG086</v>
      </c>
      <c r="CB55" s="22" t="str">
        <f>IF(INDEX('Shot Map'!$B$6:$V$26,CEILING($A55/5,1),CEILING(CB$2/5,1))=1,INDEX('Serial Reference'!$A$8:$W$8,1,FLOOR(($A55-1)/23,1)+1)&amp;INDEX('Serial Reference'!$A$8:$W$8,1,MOD($A55-1,23)+1)&amp;TEXT(CB$2+FLOOR((CB$2-1)/9,1),"000"),"")</f>
        <v>CG087</v>
      </c>
      <c r="CC55" s="23" t="str">
        <f>IF(INDEX('Shot Map'!$B$6:$V$26,CEILING($A55/5,1),CEILING(CC$2/5,1))=1,INDEX('Serial Reference'!$A$8:$W$8,1,FLOOR(($A55-1)/23,1)+1)&amp;INDEX('Serial Reference'!$A$8:$W$8,1,MOD($A55-1,23)+1)&amp;TEXT(CC$2+FLOOR((CC$2-1)/9,1),"000"),"")</f>
        <v>CG088</v>
      </c>
      <c r="CD55" s="21" t="str">
        <f>IF(INDEX('Shot Map'!$B$6:$V$26,CEILING($A55/5,1),CEILING(CD$2/5,1))=1,INDEX('Serial Reference'!$A$8:$W$8,1,FLOOR(($A55-1)/23,1)+1)&amp;INDEX('Serial Reference'!$A$8:$W$8,1,MOD($A55-1,23)+1)&amp;TEXT(CD$2+FLOOR((CD$2-1)/9,1),"000"),"")</f>
        <v>CG089</v>
      </c>
      <c r="CE55" s="22" t="str">
        <f>IF(INDEX('Shot Map'!$B$6:$V$26,CEILING($A55/5,1),CEILING(CE$2/5,1))=1,INDEX('Serial Reference'!$A$8:$W$8,1,FLOOR(($A55-1)/23,1)+1)&amp;INDEX('Serial Reference'!$A$8:$W$8,1,MOD($A55-1,23)+1)&amp;TEXT(CE$2+FLOOR((CE$2-1)/9,1),"000"),"")</f>
        <v>CG091</v>
      </c>
      <c r="CF55" s="22" t="str">
        <f>IF(INDEX('Shot Map'!$B$6:$V$26,CEILING($A55/5,1),CEILING(CF$2/5,1))=1,INDEX('Serial Reference'!$A$8:$W$8,1,FLOOR(($A55-1)/23,1)+1)&amp;INDEX('Serial Reference'!$A$8:$W$8,1,MOD($A55-1,23)+1)&amp;TEXT(CF$2+FLOOR((CF$2-1)/9,1),"000"),"")</f>
        <v>CG092</v>
      </c>
      <c r="CG55" s="22" t="str">
        <f>IF(INDEX('Shot Map'!$B$6:$V$26,CEILING($A55/5,1),CEILING(CG$2/5,1))=1,INDEX('Serial Reference'!$A$8:$W$8,1,FLOOR(($A55-1)/23,1)+1)&amp;INDEX('Serial Reference'!$A$8:$W$8,1,MOD($A55-1,23)+1)&amp;TEXT(CG$2+FLOOR((CG$2-1)/9,1),"000"),"")</f>
        <v>CG093</v>
      </c>
      <c r="CH55" s="23" t="str">
        <f>IF(INDEX('Shot Map'!$B$6:$V$26,CEILING($A55/5,1),CEILING(CH$2/5,1))=1,INDEX('Serial Reference'!$A$8:$W$8,1,FLOOR(($A55-1)/23,1)+1)&amp;INDEX('Serial Reference'!$A$8:$W$8,1,MOD($A55-1,23)+1)&amp;TEXT(CH$2+FLOOR((CH$2-1)/9,1),"000"),"")</f>
        <v>CG094</v>
      </c>
      <c r="CI55" s="21" t="str">
        <f>IF(INDEX('Shot Map'!$B$6:$V$26,CEILING($A55/5,1),CEILING(CI$2/5,1))=1,INDEX('Serial Reference'!$A$8:$W$8,1,FLOOR(($A55-1)/23,1)+1)&amp;INDEX('Serial Reference'!$A$8:$W$8,1,MOD($A55-1,23)+1)&amp;TEXT(CI$2+FLOOR((CI$2-1)/9,1),"000"),"")</f>
        <v>CG095</v>
      </c>
      <c r="CJ55" s="22" t="str">
        <f>IF(INDEX('Shot Map'!$B$6:$V$26,CEILING($A55/5,1),CEILING(CJ$2/5,1))=1,INDEX('Serial Reference'!$A$8:$W$8,1,FLOOR(($A55-1)/23,1)+1)&amp;INDEX('Serial Reference'!$A$8:$W$8,1,MOD($A55-1,23)+1)&amp;TEXT(CJ$2+FLOOR((CJ$2-1)/9,1),"000"),"")</f>
        <v>CG096</v>
      </c>
      <c r="CK55" s="22" t="str">
        <f>IF(INDEX('Shot Map'!$B$6:$V$26,CEILING($A55/5,1),CEILING(CK$2/5,1))=1,INDEX('Serial Reference'!$A$8:$W$8,1,FLOOR(($A55-1)/23,1)+1)&amp;INDEX('Serial Reference'!$A$8:$W$8,1,MOD($A55-1,23)+1)&amp;TEXT(CK$2+FLOOR((CK$2-1)/9,1),"000"),"")</f>
        <v>CG097</v>
      </c>
      <c r="CL55" s="22" t="str">
        <f>IF(INDEX('Shot Map'!$B$6:$V$26,CEILING($A55/5,1),CEILING(CL$2/5,1))=1,INDEX('Serial Reference'!$A$8:$W$8,1,FLOOR(($A55-1)/23,1)+1)&amp;INDEX('Serial Reference'!$A$8:$W$8,1,MOD($A55-1,23)+1)&amp;TEXT(CL$2+FLOOR((CL$2-1)/9,1),"000"),"")</f>
        <v>CG098</v>
      </c>
      <c r="CM55" s="23" t="str">
        <f>IF(INDEX('Shot Map'!$B$6:$V$26,CEILING($A55/5,1),CEILING(CM$2/5,1))=1,INDEX('Serial Reference'!$A$8:$W$8,1,FLOOR(($A55-1)/23,1)+1)&amp;INDEX('Serial Reference'!$A$8:$W$8,1,MOD($A55-1,23)+1)&amp;TEXT(CM$2+FLOOR((CM$2-1)/9,1),"000"),"")</f>
        <v>CG099</v>
      </c>
      <c r="CN55" s="21" t="str">
        <f>IF(INDEX('Shot Map'!$B$6:$V$26,CEILING($A55/5,1),CEILING(CN$2/5,1))=1,INDEX('Serial Reference'!$A$8:$W$8,1,FLOOR(($A55-1)/23,1)+1)&amp;INDEX('Serial Reference'!$A$8:$W$8,1,MOD($A55-1,23)+1)&amp;TEXT(CN$2+FLOOR((CN$2-1)/9,1),"000"),"")</f>
        <v>CG101</v>
      </c>
      <c r="CO55" s="22" t="str">
        <f>IF(INDEX('Shot Map'!$B$6:$V$26,CEILING($A55/5,1),CEILING(CO$2/5,1))=1,INDEX('Serial Reference'!$A$8:$W$8,1,FLOOR(($A55-1)/23,1)+1)&amp;INDEX('Serial Reference'!$A$8:$W$8,1,MOD($A55-1,23)+1)&amp;TEXT(CO$2+FLOOR((CO$2-1)/9,1),"000"),"")</f>
        <v>CG102</v>
      </c>
      <c r="CP55" s="22" t="str">
        <f>IF(INDEX('Shot Map'!$B$6:$V$26,CEILING($A55/5,1),CEILING(CP$2/5,1))=1,INDEX('Serial Reference'!$A$8:$W$8,1,FLOOR(($A55-1)/23,1)+1)&amp;INDEX('Serial Reference'!$A$8:$W$8,1,MOD($A55-1,23)+1)&amp;TEXT(CP$2+FLOOR((CP$2-1)/9,1),"000"),"")</f>
        <v>CG103</v>
      </c>
      <c r="CQ55" s="22" t="str">
        <f>IF(INDEX('Shot Map'!$B$6:$V$26,CEILING($A55/5,1),CEILING(CQ$2/5,1))=1,INDEX('Serial Reference'!$A$8:$W$8,1,FLOOR(($A55-1)/23,1)+1)&amp;INDEX('Serial Reference'!$A$8:$W$8,1,MOD($A55-1,23)+1)&amp;TEXT(CQ$2+FLOOR((CQ$2-1)/9,1),"000"),"")</f>
        <v>CG104</v>
      </c>
      <c r="CR55" s="23" t="str">
        <f>IF(INDEX('Shot Map'!$B$6:$V$26,CEILING($A55/5,1),CEILING(CR$2/5,1))=1,INDEX('Serial Reference'!$A$8:$W$8,1,FLOOR(($A55-1)/23,1)+1)&amp;INDEX('Serial Reference'!$A$8:$W$8,1,MOD($A55-1,23)+1)&amp;TEXT(CR$2+FLOOR((CR$2-1)/9,1),"000"),"")</f>
        <v>CG105</v>
      </c>
      <c r="CS55" s="21" t="str">
        <f>IF(INDEX('Shot Map'!$B$6:$V$26,CEILING($A55/5,1),CEILING(CS$2/5,1))=1,INDEX('Serial Reference'!$A$8:$W$8,1,FLOOR(($A55-1)/23,1)+1)&amp;INDEX('Serial Reference'!$A$8:$W$8,1,MOD($A55-1,23)+1)&amp;TEXT(CS$2+FLOOR((CS$2-1)/9,1),"000"),"")</f>
        <v>CG106</v>
      </c>
      <c r="CT55" s="22" t="str">
        <f>IF(INDEX('Shot Map'!$B$6:$V$26,CEILING($A55/5,1),CEILING(CT$2/5,1))=1,INDEX('Serial Reference'!$A$8:$W$8,1,FLOOR(($A55-1)/23,1)+1)&amp;INDEX('Serial Reference'!$A$8:$W$8,1,MOD($A55-1,23)+1)&amp;TEXT(CT$2+FLOOR((CT$2-1)/9,1),"000"),"")</f>
        <v>CG107</v>
      </c>
      <c r="CU55" s="22" t="str">
        <f>IF(INDEX('Shot Map'!$B$6:$V$26,CEILING($A55/5,1),CEILING(CU$2/5,1))=1,INDEX('Serial Reference'!$A$8:$W$8,1,FLOOR(($A55-1)/23,1)+1)&amp;INDEX('Serial Reference'!$A$8:$W$8,1,MOD($A55-1,23)+1)&amp;TEXT(CU$2+FLOOR((CU$2-1)/9,1),"000"),"")</f>
        <v>CG108</v>
      </c>
      <c r="CV55" s="22" t="str">
        <f>IF(INDEX('Shot Map'!$B$6:$V$26,CEILING($A55/5,1),CEILING(CV$2/5,1))=1,INDEX('Serial Reference'!$A$8:$W$8,1,FLOOR(($A55-1)/23,1)+1)&amp;INDEX('Serial Reference'!$A$8:$W$8,1,MOD($A55-1,23)+1)&amp;TEXT(CV$2+FLOOR((CV$2-1)/9,1),"000"),"")</f>
        <v>CG109</v>
      </c>
      <c r="CW55" s="23" t="str">
        <f>IF(INDEX('Shot Map'!$B$6:$V$26,CEILING($A55/5,1),CEILING(CW$2/5,1))=1,INDEX('Serial Reference'!$A$8:$W$8,1,FLOOR(($A55-1)/23,1)+1)&amp;INDEX('Serial Reference'!$A$8:$W$8,1,MOD($A55-1,23)+1)&amp;TEXT(CW$2+FLOOR((CW$2-1)/9,1),"000"),"")</f>
        <v>CG111</v>
      </c>
      <c r="CX55" s="21" t="str">
        <f>IF(INDEX('Shot Map'!$B$6:$V$26,CEILING($A55/5,1),CEILING(CX$2/5,1))=1,INDEX('Serial Reference'!$A$8:$W$8,1,FLOOR(($A55-1)/23,1)+1)&amp;INDEX('Serial Reference'!$A$8:$W$8,1,MOD($A55-1,23)+1)&amp;TEXT(CX$2+FLOOR((CX$2-1)/9,1),"000"),"")</f>
        <v>CG112</v>
      </c>
      <c r="CY55" s="22" t="str">
        <f>IF(INDEX('Shot Map'!$B$6:$V$26,CEILING($A55/5,1),CEILING(CY$2/5,1))=1,INDEX('Serial Reference'!$A$8:$W$8,1,FLOOR(($A55-1)/23,1)+1)&amp;INDEX('Serial Reference'!$A$8:$W$8,1,MOD($A55-1,23)+1)&amp;TEXT(CY$2+FLOOR((CY$2-1)/9,1),"000"),"")</f>
        <v>CG113</v>
      </c>
      <c r="CZ55" s="22" t="str">
        <f>IF(INDEX('Shot Map'!$B$6:$V$26,CEILING($A55/5,1),CEILING(CZ$2/5,1))=1,INDEX('Serial Reference'!$A$8:$W$8,1,FLOOR(($A55-1)/23,1)+1)&amp;INDEX('Serial Reference'!$A$8:$W$8,1,MOD($A55-1,23)+1)&amp;TEXT(CZ$2+FLOOR((CZ$2-1)/9,1),"000"),"")</f>
        <v>CG114</v>
      </c>
      <c r="DA55" s="22" t="str">
        <f>IF(INDEX('Shot Map'!$B$6:$V$26,CEILING($A55/5,1),CEILING(DA$2/5,1))=1,INDEX('Serial Reference'!$A$8:$W$8,1,FLOOR(($A55-1)/23,1)+1)&amp;INDEX('Serial Reference'!$A$8:$W$8,1,MOD($A55-1,23)+1)&amp;TEXT(DA$2+FLOOR((DA$2-1)/9,1),"000"),"")</f>
        <v>CG115</v>
      </c>
      <c r="DB55" s="23" t="str">
        <f>IF(INDEX('Shot Map'!$B$6:$V$26,CEILING($A55/5,1),CEILING(DB$2/5,1))=1,INDEX('Serial Reference'!$A$8:$W$8,1,FLOOR(($A55-1)/23,1)+1)&amp;INDEX('Serial Reference'!$A$8:$W$8,1,MOD($A55-1,23)+1)&amp;TEXT(DB$2+FLOOR((DB$2-1)/9,1),"000"),"")</f>
        <v>CG116</v>
      </c>
    </row>
    <row r="56" spans="1:106" ht="12.75" customHeight="1" x14ac:dyDescent="0.25">
      <c r="A56" s="17">
        <v>54</v>
      </c>
      <c r="B56" s="21" t="str">
        <f>IF(INDEX('Shot Map'!$B$6:$V$26,CEILING($A56/5,1),CEILING(B$2/5,1))=1,INDEX('Serial Reference'!$A$8:$W$8,1,FLOOR(($A56-1)/23,1)+1)&amp;INDEX('Serial Reference'!$A$8:$W$8,1,MOD($A56-1,23)+1)&amp;TEXT(B$2+FLOOR((B$2-1)/9,1),"000"),"")</f>
        <v>CH001</v>
      </c>
      <c r="C56" s="22" t="str">
        <f>IF(INDEX('Shot Map'!$B$6:$V$26,CEILING($A56/5,1),CEILING(C$2/5,1))=1,INDEX('Serial Reference'!$A$8:$W$8,1,FLOOR(($A56-1)/23,1)+1)&amp;INDEX('Serial Reference'!$A$8:$W$8,1,MOD($A56-1,23)+1)&amp;TEXT(C$2+FLOOR((C$2-1)/9,1),"000"),"")</f>
        <v>CH002</v>
      </c>
      <c r="D56" s="22" t="str">
        <f>IF(INDEX('Shot Map'!$B$6:$V$26,CEILING($A56/5,1),CEILING(D$2/5,1))=1,INDEX('Serial Reference'!$A$8:$W$8,1,FLOOR(($A56-1)/23,1)+1)&amp;INDEX('Serial Reference'!$A$8:$W$8,1,MOD($A56-1,23)+1)&amp;TEXT(D$2+FLOOR((D$2-1)/9,1),"000"),"")</f>
        <v>CH003</v>
      </c>
      <c r="E56" s="22" t="str">
        <f>IF(INDEX('Shot Map'!$B$6:$V$26,CEILING($A56/5,1),CEILING(E$2/5,1))=1,INDEX('Serial Reference'!$A$8:$W$8,1,FLOOR(($A56-1)/23,1)+1)&amp;INDEX('Serial Reference'!$A$8:$W$8,1,MOD($A56-1,23)+1)&amp;TEXT(E$2+FLOOR((E$2-1)/9,1),"000"),"")</f>
        <v>CH004</v>
      </c>
      <c r="F56" s="23" t="str">
        <f>IF(INDEX('Shot Map'!$B$6:$V$26,CEILING($A56/5,1),CEILING(F$2/5,1))=1,INDEX('Serial Reference'!$A$8:$W$8,1,FLOOR(($A56-1)/23,1)+1)&amp;INDEX('Serial Reference'!$A$8:$W$8,1,MOD($A56-1,23)+1)&amp;TEXT(F$2+FLOOR((F$2-1)/9,1),"000"),"")</f>
        <v>CH005</v>
      </c>
      <c r="G56" s="21" t="str">
        <f>IF(INDEX('Shot Map'!$B$6:$V$26,CEILING($A56/5,1),CEILING(G$2/5,1))=1,INDEX('Serial Reference'!$A$8:$W$8,1,FLOOR(($A56-1)/23,1)+1)&amp;INDEX('Serial Reference'!$A$8:$W$8,1,MOD($A56-1,23)+1)&amp;TEXT(G$2+FLOOR((G$2-1)/9,1),"000"),"")</f>
        <v>CH006</v>
      </c>
      <c r="H56" s="22" t="str">
        <f>IF(INDEX('Shot Map'!$B$6:$V$26,CEILING($A56/5,1),CEILING(H$2/5,1))=1,INDEX('Serial Reference'!$A$8:$W$8,1,FLOOR(($A56-1)/23,1)+1)&amp;INDEX('Serial Reference'!$A$8:$W$8,1,MOD($A56-1,23)+1)&amp;TEXT(H$2+FLOOR((H$2-1)/9,1),"000"),"")</f>
        <v>CH007</v>
      </c>
      <c r="I56" s="22" t="str">
        <f>IF(INDEX('Shot Map'!$B$6:$V$26,CEILING($A56/5,1),CEILING(I$2/5,1))=1,INDEX('Serial Reference'!$A$8:$W$8,1,FLOOR(($A56-1)/23,1)+1)&amp;INDEX('Serial Reference'!$A$8:$W$8,1,MOD($A56-1,23)+1)&amp;TEXT(I$2+FLOOR((I$2-1)/9,1),"000"),"")</f>
        <v>CH008</v>
      </c>
      <c r="J56" s="22" t="str">
        <f>IF(INDEX('Shot Map'!$B$6:$V$26,CEILING($A56/5,1),CEILING(J$2/5,1))=1,INDEX('Serial Reference'!$A$8:$W$8,1,FLOOR(($A56-1)/23,1)+1)&amp;INDEX('Serial Reference'!$A$8:$W$8,1,MOD($A56-1,23)+1)&amp;TEXT(J$2+FLOOR((J$2-1)/9,1),"000"),"")</f>
        <v>CH009</v>
      </c>
      <c r="K56" s="23" t="str">
        <f>IF(INDEX('Shot Map'!$B$6:$V$26,CEILING($A56/5,1),CEILING(K$2/5,1))=1,INDEX('Serial Reference'!$A$8:$W$8,1,FLOOR(($A56-1)/23,1)+1)&amp;INDEX('Serial Reference'!$A$8:$W$8,1,MOD($A56-1,23)+1)&amp;TEXT(K$2+FLOOR((K$2-1)/9,1),"000"),"")</f>
        <v>CH011</v>
      </c>
      <c r="L56" s="21" t="str">
        <f>IF(INDEX('Shot Map'!$B$6:$V$26,CEILING($A56/5,1),CEILING(L$2/5,1))=1,INDEX('Serial Reference'!$A$8:$W$8,1,FLOOR(($A56-1)/23,1)+1)&amp;INDEX('Serial Reference'!$A$8:$W$8,1,MOD($A56-1,23)+1)&amp;TEXT(L$2+FLOOR((L$2-1)/9,1),"000"),"")</f>
        <v>CH012</v>
      </c>
      <c r="M56" s="22" t="str">
        <f>IF(INDEX('Shot Map'!$B$6:$V$26,CEILING($A56/5,1),CEILING(M$2/5,1))=1,INDEX('Serial Reference'!$A$8:$W$8,1,FLOOR(($A56-1)/23,1)+1)&amp;INDEX('Serial Reference'!$A$8:$W$8,1,MOD($A56-1,23)+1)&amp;TEXT(M$2+FLOOR((M$2-1)/9,1),"000"),"")</f>
        <v>CH013</v>
      </c>
      <c r="N56" s="22" t="str">
        <f>IF(INDEX('Shot Map'!$B$6:$V$26,CEILING($A56/5,1),CEILING(N$2/5,1))=1,INDEX('Serial Reference'!$A$8:$W$8,1,FLOOR(($A56-1)/23,1)+1)&amp;INDEX('Serial Reference'!$A$8:$W$8,1,MOD($A56-1,23)+1)&amp;TEXT(N$2+FLOOR((N$2-1)/9,1),"000"),"")</f>
        <v>CH014</v>
      </c>
      <c r="O56" s="22" t="str">
        <f>IF(INDEX('Shot Map'!$B$6:$V$26,CEILING($A56/5,1),CEILING(O$2/5,1))=1,INDEX('Serial Reference'!$A$8:$W$8,1,FLOOR(($A56-1)/23,1)+1)&amp;INDEX('Serial Reference'!$A$8:$W$8,1,MOD($A56-1,23)+1)&amp;TEXT(O$2+FLOOR((O$2-1)/9,1),"000"),"")</f>
        <v>CH015</v>
      </c>
      <c r="P56" s="23" t="str">
        <f>IF(INDEX('Shot Map'!$B$6:$V$26,CEILING($A56/5,1),CEILING(P$2/5,1))=1,INDEX('Serial Reference'!$A$8:$W$8,1,FLOOR(($A56-1)/23,1)+1)&amp;INDEX('Serial Reference'!$A$8:$W$8,1,MOD($A56-1,23)+1)&amp;TEXT(P$2+FLOOR((P$2-1)/9,1),"000"),"")</f>
        <v>CH016</v>
      </c>
      <c r="Q56" s="21" t="str">
        <f>IF(INDEX('Shot Map'!$B$6:$V$26,CEILING($A56/5,1),CEILING(Q$2/5,1))=1,INDEX('Serial Reference'!$A$8:$W$8,1,FLOOR(($A56-1)/23,1)+1)&amp;INDEX('Serial Reference'!$A$8:$W$8,1,MOD($A56-1,23)+1)&amp;TEXT(Q$2+FLOOR((Q$2-1)/9,1),"000"),"")</f>
        <v>CH017</v>
      </c>
      <c r="R56" s="22" t="str">
        <f>IF(INDEX('Shot Map'!$B$6:$V$26,CEILING($A56/5,1),CEILING(R$2/5,1))=1,INDEX('Serial Reference'!$A$8:$W$8,1,FLOOR(($A56-1)/23,1)+1)&amp;INDEX('Serial Reference'!$A$8:$W$8,1,MOD($A56-1,23)+1)&amp;TEXT(R$2+FLOOR((R$2-1)/9,1),"000"),"")</f>
        <v>CH018</v>
      </c>
      <c r="S56" s="22" t="str">
        <f>IF(INDEX('Shot Map'!$B$6:$V$26,CEILING($A56/5,1),CEILING(S$2/5,1))=1,INDEX('Serial Reference'!$A$8:$W$8,1,FLOOR(($A56-1)/23,1)+1)&amp;INDEX('Serial Reference'!$A$8:$W$8,1,MOD($A56-1,23)+1)&amp;TEXT(S$2+FLOOR((S$2-1)/9,1),"000"),"")</f>
        <v>CH019</v>
      </c>
      <c r="T56" s="22" t="str">
        <f>IF(INDEX('Shot Map'!$B$6:$V$26,CEILING($A56/5,1),CEILING(T$2/5,1))=1,INDEX('Serial Reference'!$A$8:$W$8,1,FLOOR(($A56-1)/23,1)+1)&amp;INDEX('Serial Reference'!$A$8:$W$8,1,MOD($A56-1,23)+1)&amp;TEXT(T$2+FLOOR((T$2-1)/9,1),"000"),"")</f>
        <v>CH021</v>
      </c>
      <c r="U56" s="23" t="str">
        <f>IF(INDEX('Shot Map'!$B$6:$V$26,CEILING($A56/5,1),CEILING(U$2/5,1))=1,INDEX('Serial Reference'!$A$8:$W$8,1,FLOOR(($A56-1)/23,1)+1)&amp;INDEX('Serial Reference'!$A$8:$W$8,1,MOD($A56-1,23)+1)&amp;TEXT(U$2+FLOOR((U$2-1)/9,1),"000"),"")</f>
        <v>CH022</v>
      </c>
      <c r="V56" s="21" t="str">
        <f>IF(INDEX('Shot Map'!$B$6:$V$26,CEILING($A56/5,1),CEILING(V$2/5,1))=1,INDEX('Serial Reference'!$A$8:$W$8,1,FLOOR(($A56-1)/23,1)+1)&amp;INDEX('Serial Reference'!$A$8:$W$8,1,MOD($A56-1,23)+1)&amp;TEXT(V$2+FLOOR((V$2-1)/9,1),"000"),"")</f>
        <v>CH023</v>
      </c>
      <c r="W56" s="22" t="str">
        <f>IF(INDEX('Shot Map'!$B$6:$V$26,CEILING($A56/5,1),CEILING(W$2/5,1))=1,INDEX('Serial Reference'!$A$8:$W$8,1,FLOOR(($A56-1)/23,1)+1)&amp;INDEX('Serial Reference'!$A$8:$W$8,1,MOD($A56-1,23)+1)&amp;TEXT(W$2+FLOOR((W$2-1)/9,1),"000"),"")</f>
        <v>CH024</v>
      </c>
      <c r="X56" s="22" t="str">
        <f>IF(INDEX('Shot Map'!$B$6:$V$26,CEILING($A56/5,1),CEILING(X$2/5,1))=1,INDEX('Serial Reference'!$A$8:$W$8,1,FLOOR(($A56-1)/23,1)+1)&amp;INDEX('Serial Reference'!$A$8:$W$8,1,MOD($A56-1,23)+1)&amp;TEXT(X$2+FLOOR((X$2-1)/9,1),"000"),"")</f>
        <v>CH025</v>
      </c>
      <c r="Y56" s="22" t="str">
        <f>IF(INDEX('Shot Map'!$B$6:$V$26,CEILING($A56/5,1),CEILING(Y$2/5,1))=1,INDEX('Serial Reference'!$A$8:$W$8,1,FLOOR(($A56-1)/23,1)+1)&amp;INDEX('Serial Reference'!$A$8:$W$8,1,MOD($A56-1,23)+1)&amp;TEXT(Y$2+FLOOR((Y$2-1)/9,1),"000"),"")</f>
        <v>CH026</v>
      </c>
      <c r="Z56" s="23" t="str">
        <f>IF(INDEX('Shot Map'!$B$6:$V$26,CEILING($A56/5,1),CEILING(Z$2/5,1))=1,INDEX('Serial Reference'!$A$8:$W$8,1,FLOOR(($A56-1)/23,1)+1)&amp;INDEX('Serial Reference'!$A$8:$W$8,1,MOD($A56-1,23)+1)&amp;TEXT(Z$2+FLOOR((Z$2-1)/9,1),"000"),"")</f>
        <v>CH027</v>
      </c>
      <c r="AA56" s="21" t="str">
        <f>IF(INDEX('Shot Map'!$B$6:$V$26,CEILING($A56/5,1),CEILING(AA$2/5,1))=1,INDEX('Serial Reference'!$A$8:$W$8,1,FLOOR(($A56-1)/23,1)+1)&amp;INDEX('Serial Reference'!$A$8:$W$8,1,MOD($A56-1,23)+1)&amp;TEXT(AA$2+FLOOR((AA$2-1)/9,1),"000"),"")</f>
        <v>CH028</v>
      </c>
      <c r="AB56" s="22" t="str">
        <f>IF(INDEX('Shot Map'!$B$6:$V$26,CEILING($A56/5,1),CEILING(AB$2/5,1))=1,INDEX('Serial Reference'!$A$8:$W$8,1,FLOOR(($A56-1)/23,1)+1)&amp;INDEX('Serial Reference'!$A$8:$W$8,1,MOD($A56-1,23)+1)&amp;TEXT(AB$2+FLOOR((AB$2-1)/9,1),"000"),"")</f>
        <v>CH029</v>
      </c>
      <c r="AC56" s="22" t="str">
        <f>IF(INDEX('Shot Map'!$B$6:$V$26,CEILING($A56/5,1),CEILING(AC$2/5,1))=1,INDEX('Serial Reference'!$A$8:$W$8,1,FLOOR(($A56-1)/23,1)+1)&amp;INDEX('Serial Reference'!$A$8:$W$8,1,MOD($A56-1,23)+1)&amp;TEXT(AC$2+FLOOR((AC$2-1)/9,1),"000"),"")</f>
        <v>CH031</v>
      </c>
      <c r="AD56" s="22" t="str">
        <f>IF(INDEX('Shot Map'!$B$6:$V$26,CEILING($A56/5,1),CEILING(AD$2/5,1))=1,INDEX('Serial Reference'!$A$8:$W$8,1,FLOOR(($A56-1)/23,1)+1)&amp;INDEX('Serial Reference'!$A$8:$W$8,1,MOD($A56-1,23)+1)&amp;TEXT(AD$2+FLOOR((AD$2-1)/9,1),"000"),"")</f>
        <v>CH032</v>
      </c>
      <c r="AE56" s="23" t="str">
        <f>IF(INDEX('Shot Map'!$B$6:$V$26,CEILING($A56/5,1),CEILING(AE$2/5,1))=1,INDEX('Serial Reference'!$A$8:$W$8,1,FLOOR(($A56-1)/23,1)+1)&amp;INDEX('Serial Reference'!$A$8:$W$8,1,MOD($A56-1,23)+1)&amp;TEXT(AE$2+FLOOR((AE$2-1)/9,1),"000"),"")</f>
        <v>CH033</v>
      </c>
      <c r="AF56" s="21" t="str">
        <f>IF(INDEX('Shot Map'!$B$6:$V$26,CEILING($A56/5,1),CEILING(AF$2/5,1))=1,INDEX('Serial Reference'!$A$8:$W$8,1,FLOOR(($A56-1)/23,1)+1)&amp;INDEX('Serial Reference'!$A$8:$W$8,1,MOD($A56-1,23)+1)&amp;TEXT(AF$2+FLOOR((AF$2-1)/9,1),"000"),"")</f>
        <v>CH034</v>
      </c>
      <c r="AG56" s="22" t="str">
        <f>IF(INDEX('Shot Map'!$B$6:$V$26,CEILING($A56/5,1),CEILING(AG$2/5,1))=1,INDEX('Serial Reference'!$A$8:$W$8,1,FLOOR(($A56-1)/23,1)+1)&amp;INDEX('Serial Reference'!$A$8:$W$8,1,MOD($A56-1,23)+1)&amp;TEXT(AG$2+FLOOR((AG$2-1)/9,1),"000"),"")</f>
        <v>CH035</v>
      </c>
      <c r="AH56" s="22" t="str">
        <f>IF(INDEX('Shot Map'!$B$6:$V$26,CEILING($A56/5,1),CEILING(AH$2/5,1))=1,INDEX('Serial Reference'!$A$8:$W$8,1,FLOOR(($A56-1)/23,1)+1)&amp;INDEX('Serial Reference'!$A$8:$W$8,1,MOD($A56-1,23)+1)&amp;TEXT(AH$2+FLOOR((AH$2-1)/9,1),"000"),"")</f>
        <v>CH036</v>
      </c>
      <c r="AI56" s="22" t="str">
        <f>IF(INDEX('Shot Map'!$B$6:$V$26,CEILING($A56/5,1),CEILING(AI$2/5,1))=1,INDEX('Serial Reference'!$A$8:$W$8,1,FLOOR(($A56-1)/23,1)+1)&amp;INDEX('Serial Reference'!$A$8:$W$8,1,MOD($A56-1,23)+1)&amp;TEXT(AI$2+FLOOR((AI$2-1)/9,1),"000"),"")</f>
        <v>CH037</v>
      </c>
      <c r="AJ56" s="23" t="str">
        <f>IF(INDEX('Shot Map'!$B$6:$V$26,CEILING($A56/5,1),CEILING(AJ$2/5,1))=1,INDEX('Serial Reference'!$A$8:$W$8,1,FLOOR(($A56-1)/23,1)+1)&amp;INDEX('Serial Reference'!$A$8:$W$8,1,MOD($A56-1,23)+1)&amp;TEXT(AJ$2+FLOOR((AJ$2-1)/9,1),"000"),"")</f>
        <v>CH038</v>
      </c>
      <c r="AK56" s="21" t="str">
        <f>IF(INDEX('Shot Map'!$B$6:$V$26,CEILING($A56/5,1),CEILING(AK$2/5,1))=1,INDEX('Serial Reference'!$A$8:$W$8,1,FLOOR(($A56-1)/23,1)+1)&amp;INDEX('Serial Reference'!$A$8:$W$8,1,MOD($A56-1,23)+1)&amp;TEXT(AK$2+FLOOR((AK$2-1)/9,1),"000"),"")</f>
        <v>CH039</v>
      </c>
      <c r="AL56" s="22" t="str">
        <f>IF(INDEX('Shot Map'!$B$6:$V$26,CEILING($A56/5,1),CEILING(AL$2/5,1))=1,INDEX('Serial Reference'!$A$8:$W$8,1,FLOOR(($A56-1)/23,1)+1)&amp;INDEX('Serial Reference'!$A$8:$W$8,1,MOD($A56-1,23)+1)&amp;TEXT(AL$2+FLOOR((AL$2-1)/9,1),"000"),"")</f>
        <v>CH041</v>
      </c>
      <c r="AM56" s="22" t="str">
        <f>IF(INDEX('Shot Map'!$B$6:$V$26,CEILING($A56/5,1),CEILING(AM$2/5,1))=1,INDEX('Serial Reference'!$A$8:$W$8,1,FLOOR(($A56-1)/23,1)+1)&amp;INDEX('Serial Reference'!$A$8:$W$8,1,MOD($A56-1,23)+1)&amp;TEXT(AM$2+FLOOR((AM$2-1)/9,1),"000"),"")</f>
        <v>CH042</v>
      </c>
      <c r="AN56" s="22" t="str">
        <f>IF(INDEX('Shot Map'!$B$6:$V$26,CEILING($A56/5,1),CEILING(AN$2/5,1))=1,INDEX('Serial Reference'!$A$8:$W$8,1,FLOOR(($A56-1)/23,1)+1)&amp;INDEX('Serial Reference'!$A$8:$W$8,1,MOD($A56-1,23)+1)&amp;TEXT(AN$2+FLOOR((AN$2-1)/9,1),"000"),"")</f>
        <v>CH043</v>
      </c>
      <c r="AO56" s="23" t="str">
        <f>IF(INDEX('Shot Map'!$B$6:$V$26,CEILING($A56/5,1),CEILING(AO$2/5,1))=1,INDEX('Serial Reference'!$A$8:$W$8,1,FLOOR(($A56-1)/23,1)+1)&amp;INDEX('Serial Reference'!$A$8:$W$8,1,MOD($A56-1,23)+1)&amp;TEXT(AO$2+FLOOR((AO$2-1)/9,1),"000"),"")</f>
        <v>CH044</v>
      </c>
      <c r="AP56" s="21" t="str">
        <f>IF(INDEX('Shot Map'!$B$6:$V$26,CEILING($A56/5,1),CEILING(AP$2/5,1))=1,INDEX('Serial Reference'!$A$8:$W$8,1,FLOOR(($A56-1)/23,1)+1)&amp;INDEX('Serial Reference'!$A$8:$W$8,1,MOD($A56-1,23)+1)&amp;TEXT(AP$2+FLOOR((AP$2-1)/9,1),"000"),"")</f>
        <v>CH045</v>
      </c>
      <c r="AQ56" s="22" t="str">
        <f>IF(INDEX('Shot Map'!$B$6:$V$26,CEILING($A56/5,1),CEILING(AQ$2/5,1))=1,INDEX('Serial Reference'!$A$8:$W$8,1,FLOOR(($A56-1)/23,1)+1)&amp;INDEX('Serial Reference'!$A$8:$W$8,1,MOD($A56-1,23)+1)&amp;TEXT(AQ$2+FLOOR((AQ$2-1)/9,1),"000"),"")</f>
        <v>CH046</v>
      </c>
      <c r="AR56" s="22" t="str">
        <f>IF(INDEX('Shot Map'!$B$6:$V$26,CEILING($A56/5,1),CEILING(AR$2/5,1))=1,INDEX('Serial Reference'!$A$8:$W$8,1,FLOOR(($A56-1)/23,1)+1)&amp;INDEX('Serial Reference'!$A$8:$W$8,1,MOD($A56-1,23)+1)&amp;TEXT(AR$2+FLOOR((AR$2-1)/9,1),"000"),"")</f>
        <v>CH047</v>
      </c>
      <c r="AS56" s="22" t="str">
        <f>IF(INDEX('Shot Map'!$B$6:$V$26,CEILING($A56/5,1),CEILING(AS$2/5,1))=1,INDEX('Serial Reference'!$A$8:$W$8,1,FLOOR(($A56-1)/23,1)+1)&amp;INDEX('Serial Reference'!$A$8:$W$8,1,MOD($A56-1,23)+1)&amp;TEXT(AS$2+FLOOR((AS$2-1)/9,1),"000"),"")</f>
        <v>CH048</v>
      </c>
      <c r="AT56" s="23" t="str">
        <f>IF(INDEX('Shot Map'!$B$6:$V$26,CEILING($A56/5,1),CEILING(AT$2/5,1))=1,INDEX('Serial Reference'!$A$8:$W$8,1,FLOOR(($A56-1)/23,1)+1)&amp;INDEX('Serial Reference'!$A$8:$W$8,1,MOD($A56-1,23)+1)&amp;TEXT(AT$2+FLOOR((AT$2-1)/9,1),"000"),"")</f>
        <v>CH049</v>
      </c>
      <c r="AU56" s="21" t="str">
        <f>IF(INDEX('Shot Map'!$B$6:$V$26,CEILING($A56/5,1),CEILING(AU$2/5,1))=1,INDEX('Serial Reference'!$A$8:$W$8,1,FLOOR(($A56-1)/23,1)+1)&amp;INDEX('Serial Reference'!$A$8:$W$8,1,MOD($A56-1,23)+1)&amp;TEXT(AU$2+FLOOR((AU$2-1)/9,1),"000"),"")</f>
        <v>CH051</v>
      </c>
      <c r="AV56" s="22" t="str">
        <f>IF(INDEX('Shot Map'!$B$6:$V$26,CEILING($A56/5,1),CEILING(AV$2/5,1))=1,INDEX('Serial Reference'!$A$8:$W$8,1,FLOOR(($A56-1)/23,1)+1)&amp;INDEX('Serial Reference'!$A$8:$W$8,1,MOD($A56-1,23)+1)&amp;TEXT(AV$2+FLOOR((AV$2-1)/9,1),"000"),"")</f>
        <v>CH052</v>
      </c>
      <c r="AW56" s="22" t="str">
        <f>IF(INDEX('Shot Map'!$B$6:$V$26,CEILING($A56/5,1),CEILING(AW$2/5,1))=1,INDEX('Serial Reference'!$A$8:$W$8,1,FLOOR(($A56-1)/23,1)+1)&amp;INDEX('Serial Reference'!$A$8:$W$8,1,MOD($A56-1,23)+1)&amp;TEXT(AW$2+FLOOR((AW$2-1)/9,1),"000"),"")</f>
        <v>CH053</v>
      </c>
      <c r="AX56" s="22" t="str">
        <f>IF(INDEX('Shot Map'!$B$6:$V$26,CEILING($A56/5,1),CEILING(AX$2/5,1))=1,INDEX('Serial Reference'!$A$8:$W$8,1,FLOOR(($A56-1)/23,1)+1)&amp;INDEX('Serial Reference'!$A$8:$W$8,1,MOD($A56-1,23)+1)&amp;TEXT(AX$2+FLOOR((AX$2-1)/9,1),"000"),"")</f>
        <v>CH054</v>
      </c>
      <c r="AY56" s="23" t="str">
        <f>IF(INDEX('Shot Map'!$B$6:$V$26,CEILING($A56/5,1),CEILING(AY$2/5,1))=1,INDEX('Serial Reference'!$A$8:$W$8,1,FLOOR(($A56-1)/23,1)+1)&amp;INDEX('Serial Reference'!$A$8:$W$8,1,MOD($A56-1,23)+1)&amp;TEXT(AY$2+FLOOR((AY$2-1)/9,1),"000"),"")</f>
        <v>CH055</v>
      </c>
      <c r="AZ56" s="21" t="str">
        <f>IF(INDEX('Shot Map'!$B$6:$V$26,CEILING($A56/5,1),CEILING(AZ$2/5,1))=1,INDEX('Serial Reference'!$A$8:$W$8,1,FLOOR(($A56-1)/23,1)+1)&amp;INDEX('Serial Reference'!$A$8:$W$8,1,MOD($A56-1,23)+1)&amp;TEXT(AZ$2+FLOOR((AZ$2-1)/9,1),"000"),"")</f>
        <v>CH056</v>
      </c>
      <c r="BA56" s="22" t="str">
        <f>IF(INDEX('Shot Map'!$B$6:$V$26,CEILING($A56/5,1),CEILING(BA$2/5,1))=1,INDEX('Serial Reference'!$A$8:$W$8,1,FLOOR(($A56-1)/23,1)+1)&amp;INDEX('Serial Reference'!$A$8:$W$8,1,MOD($A56-1,23)+1)&amp;TEXT(BA$2+FLOOR((BA$2-1)/9,1),"000"),"")</f>
        <v>CH057</v>
      </c>
      <c r="BB56" s="22" t="str">
        <f>IF(INDEX('Shot Map'!$B$6:$V$26,CEILING($A56/5,1),CEILING(BB$2/5,1))=1,INDEX('Serial Reference'!$A$8:$W$8,1,FLOOR(($A56-1)/23,1)+1)&amp;INDEX('Serial Reference'!$A$8:$W$8,1,MOD($A56-1,23)+1)&amp;TEXT(BB$2+FLOOR((BB$2-1)/9,1),"000"),"")</f>
        <v>CH058</v>
      </c>
      <c r="BC56" s="22" t="str">
        <f>IF(INDEX('Shot Map'!$B$6:$V$26,CEILING($A56/5,1),CEILING(BC$2/5,1))=1,INDEX('Serial Reference'!$A$8:$W$8,1,FLOOR(($A56-1)/23,1)+1)&amp;INDEX('Serial Reference'!$A$8:$W$8,1,MOD($A56-1,23)+1)&amp;TEXT(BC$2+FLOOR((BC$2-1)/9,1),"000"),"")</f>
        <v>CH059</v>
      </c>
      <c r="BD56" s="23" t="str">
        <f>IF(INDEX('Shot Map'!$B$6:$V$26,CEILING($A56/5,1),CEILING(BD$2/5,1))=1,INDEX('Serial Reference'!$A$8:$W$8,1,FLOOR(($A56-1)/23,1)+1)&amp;INDEX('Serial Reference'!$A$8:$W$8,1,MOD($A56-1,23)+1)&amp;TEXT(BD$2+FLOOR((BD$2-1)/9,1),"000"),"")</f>
        <v>CH061</v>
      </c>
      <c r="BE56" s="21" t="str">
        <f>IF(INDEX('Shot Map'!$B$6:$V$26,CEILING($A56/5,1),CEILING(BE$2/5,1))=1,INDEX('Serial Reference'!$A$8:$W$8,1,FLOOR(($A56-1)/23,1)+1)&amp;INDEX('Serial Reference'!$A$8:$W$8,1,MOD($A56-1,23)+1)&amp;TEXT(BE$2+FLOOR((BE$2-1)/9,1),"000"),"")</f>
        <v>CH062</v>
      </c>
      <c r="BF56" s="22" t="str">
        <f>IF(INDEX('Shot Map'!$B$6:$V$26,CEILING($A56/5,1),CEILING(BF$2/5,1))=1,INDEX('Serial Reference'!$A$8:$W$8,1,FLOOR(($A56-1)/23,1)+1)&amp;INDEX('Serial Reference'!$A$8:$W$8,1,MOD($A56-1,23)+1)&amp;TEXT(BF$2+FLOOR((BF$2-1)/9,1),"000"),"")</f>
        <v>CH063</v>
      </c>
      <c r="BG56" s="22" t="str">
        <f>IF(INDEX('Shot Map'!$B$6:$V$26,CEILING($A56/5,1),CEILING(BG$2/5,1))=1,INDEX('Serial Reference'!$A$8:$W$8,1,FLOOR(($A56-1)/23,1)+1)&amp;INDEX('Serial Reference'!$A$8:$W$8,1,MOD($A56-1,23)+1)&amp;TEXT(BG$2+FLOOR((BG$2-1)/9,1),"000"),"")</f>
        <v>CH064</v>
      </c>
      <c r="BH56" s="22" t="str">
        <f>IF(INDEX('Shot Map'!$B$6:$V$26,CEILING($A56/5,1),CEILING(BH$2/5,1))=1,INDEX('Serial Reference'!$A$8:$W$8,1,FLOOR(($A56-1)/23,1)+1)&amp;INDEX('Serial Reference'!$A$8:$W$8,1,MOD($A56-1,23)+1)&amp;TEXT(BH$2+FLOOR((BH$2-1)/9,1),"000"),"")</f>
        <v>CH065</v>
      </c>
      <c r="BI56" s="23" t="str">
        <f>IF(INDEX('Shot Map'!$B$6:$V$26,CEILING($A56/5,1),CEILING(BI$2/5,1))=1,INDEX('Serial Reference'!$A$8:$W$8,1,FLOOR(($A56-1)/23,1)+1)&amp;INDEX('Serial Reference'!$A$8:$W$8,1,MOD($A56-1,23)+1)&amp;TEXT(BI$2+FLOOR((BI$2-1)/9,1),"000"),"")</f>
        <v>CH066</v>
      </c>
      <c r="BJ56" s="21" t="str">
        <f>IF(INDEX('Shot Map'!$B$6:$V$26,CEILING($A56/5,1),CEILING(BJ$2/5,1))=1,INDEX('Serial Reference'!$A$8:$W$8,1,FLOOR(($A56-1)/23,1)+1)&amp;INDEX('Serial Reference'!$A$8:$W$8,1,MOD($A56-1,23)+1)&amp;TEXT(BJ$2+FLOOR((BJ$2-1)/9,1),"000"),"")</f>
        <v>CH067</v>
      </c>
      <c r="BK56" s="22" t="str">
        <f>IF(INDEX('Shot Map'!$B$6:$V$26,CEILING($A56/5,1),CEILING(BK$2/5,1))=1,INDEX('Serial Reference'!$A$8:$W$8,1,FLOOR(($A56-1)/23,1)+1)&amp;INDEX('Serial Reference'!$A$8:$W$8,1,MOD($A56-1,23)+1)&amp;TEXT(BK$2+FLOOR((BK$2-1)/9,1),"000"),"")</f>
        <v>CH068</v>
      </c>
      <c r="BL56" s="22" t="str">
        <f>IF(INDEX('Shot Map'!$B$6:$V$26,CEILING($A56/5,1),CEILING(BL$2/5,1))=1,INDEX('Serial Reference'!$A$8:$W$8,1,FLOOR(($A56-1)/23,1)+1)&amp;INDEX('Serial Reference'!$A$8:$W$8,1,MOD($A56-1,23)+1)&amp;TEXT(BL$2+FLOOR((BL$2-1)/9,1),"000"),"")</f>
        <v>CH069</v>
      </c>
      <c r="BM56" s="22" t="str">
        <f>IF(INDEX('Shot Map'!$B$6:$V$26,CEILING($A56/5,1),CEILING(BM$2/5,1))=1,INDEX('Serial Reference'!$A$8:$W$8,1,FLOOR(($A56-1)/23,1)+1)&amp;INDEX('Serial Reference'!$A$8:$W$8,1,MOD($A56-1,23)+1)&amp;TEXT(BM$2+FLOOR((BM$2-1)/9,1),"000"),"")</f>
        <v>CH071</v>
      </c>
      <c r="BN56" s="23" t="str">
        <f>IF(INDEX('Shot Map'!$B$6:$V$26,CEILING($A56/5,1),CEILING(BN$2/5,1))=1,INDEX('Serial Reference'!$A$8:$W$8,1,FLOOR(($A56-1)/23,1)+1)&amp;INDEX('Serial Reference'!$A$8:$W$8,1,MOD($A56-1,23)+1)&amp;TEXT(BN$2+FLOOR((BN$2-1)/9,1),"000"),"")</f>
        <v>CH072</v>
      </c>
      <c r="BO56" s="21" t="str">
        <f>IF(INDEX('Shot Map'!$B$6:$V$26,CEILING($A56/5,1),CEILING(BO$2/5,1))=1,INDEX('Serial Reference'!$A$8:$W$8,1,FLOOR(($A56-1)/23,1)+1)&amp;INDEX('Serial Reference'!$A$8:$W$8,1,MOD($A56-1,23)+1)&amp;TEXT(BO$2+FLOOR((BO$2-1)/9,1),"000"),"")</f>
        <v>CH073</v>
      </c>
      <c r="BP56" s="22" t="str">
        <f>IF(INDEX('Shot Map'!$B$6:$V$26,CEILING($A56/5,1),CEILING(BP$2/5,1))=1,INDEX('Serial Reference'!$A$8:$W$8,1,FLOOR(($A56-1)/23,1)+1)&amp;INDEX('Serial Reference'!$A$8:$W$8,1,MOD($A56-1,23)+1)&amp;TEXT(BP$2+FLOOR((BP$2-1)/9,1),"000"),"")</f>
        <v>CH074</v>
      </c>
      <c r="BQ56" s="22" t="str">
        <f>IF(INDEX('Shot Map'!$B$6:$V$26,CEILING($A56/5,1),CEILING(BQ$2/5,1))=1,INDEX('Serial Reference'!$A$8:$W$8,1,FLOOR(($A56-1)/23,1)+1)&amp;INDEX('Serial Reference'!$A$8:$W$8,1,MOD($A56-1,23)+1)&amp;TEXT(BQ$2+FLOOR((BQ$2-1)/9,1),"000"),"")</f>
        <v>CH075</v>
      </c>
      <c r="BR56" s="22" t="str">
        <f>IF(INDEX('Shot Map'!$B$6:$V$26,CEILING($A56/5,1),CEILING(BR$2/5,1))=1,INDEX('Serial Reference'!$A$8:$W$8,1,FLOOR(($A56-1)/23,1)+1)&amp;INDEX('Serial Reference'!$A$8:$W$8,1,MOD($A56-1,23)+1)&amp;TEXT(BR$2+FLOOR((BR$2-1)/9,1),"000"),"")</f>
        <v>CH076</v>
      </c>
      <c r="BS56" s="23" t="str">
        <f>IF(INDEX('Shot Map'!$B$6:$V$26,CEILING($A56/5,1),CEILING(BS$2/5,1))=1,INDEX('Serial Reference'!$A$8:$W$8,1,FLOOR(($A56-1)/23,1)+1)&amp;INDEX('Serial Reference'!$A$8:$W$8,1,MOD($A56-1,23)+1)&amp;TEXT(BS$2+FLOOR((BS$2-1)/9,1),"000"),"")</f>
        <v>CH077</v>
      </c>
      <c r="BT56" s="21" t="str">
        <f>IF(INDEX('Shot Map'!$B$6:$V$26,CEILING($A56/5,1),CEILING(BT$2/5,1))=1,INDEX('Serial Reference'!$A$8:$W$8,1,FLOOR(($A56-1)/23,1)+1)&amp;INDEX('Serial Reference'!$A$8:$W$8,1,MOD($A56-1,23)+1)&amp;TEXT(BT$2+FLOOR((BT$2-1)/9,1),"000"),"")</f>
        <v>CH078</v>
      </c>
      <c r="BU56" s="22" t="str">
        <f>IF(INDEX('Shot Map'!$B$6:$V$26,CEILING($A56/5,1),CEILING(BU$2/5,1))=1,INDEX('Serial Reference'!$A$8:$W$8,1,FLOOR(($A56-1)/23,1)+1)&amp;INDEX('Serial Reference'!$A$8:$W$8,1,MOD($A56-1,23)+1)&amp;TEXT(BU$2+FLOOR((BU$2-1)/9,1),"000"),"")</f>
        <v>CH079</v>
      </c>
      <c r="BV56" s="22" t="str">
        <f>IF(INDEX('Shot Map'!$B$6:$V$26,CEILING($A56/5,1),CEILING(BV$2/5,1))=1,INDEX('Serial Reference'!$A$8:$W$8,1,FLOOR(($A56-1)/23,1)+1)&amp;INDEX('Serial Reference'!$A$8:$W$8,1,MOD($A56-1,23)+1)&amp;TEXT(BV$2+FLOOR((BV$2-1)/9,1),"000"),"")</f>
        <v>CH081</v>
      </c>
      <c r="BW56" s="22" t="str">
        <f>IF(INDEX('Shot Map'!$B$6:$V$26,CEILING($A56/5,1),CEILING(BW$2/5,1))=1,INDEX('Serial Reference'!$A$8:$W$8,1,FLOOR(($A56-1)/23,1)+1)&amp;INDEX('Serial Reference'!$A$8:$W$8,1,MOD($A56-1,23)+1)&amp;TEXT(BW$2+FLOOR((BW$2-1)/9,1),"000"),"")</f>
        <v>CH082</v>
      </c>
      <c r="BX56" s="23" t="str">
        <f>IF(INDEX('Shot Map'!$B$6:$V$26,CEILING($A56/5,1),CEILING(BX$2/5,1))=1,INDEX('Serial Reference'!$A$8:$W$8,1,FLOOR(($A56-1)/23,1)+1)&amp;INDEX('Serial Reference'!$A$8:$W$8,1,MOD($A56-1,23)+1)&amp;TEXT(BX$2+FLOOR((BX$2-1)/9,1),"000"),"")</f>
        <v>CH083</v>
      </c>
      <c r="BY56" s="21" t="str">
        <f>IF(INDEX('Shot Map'!$B$6:$V$26,CEILING($A56/5,1),CEILING(BY$2/5,1))=1,INDEX('Serial Reference'!$A$8:$W$8,1,FLOOR(($A56-1)/23,1)+1)&amp;INDEX('Serial Reference'!$A$8:$W$8,1,MOD($A56-1,23)+1)&amp;TEXT(BY$2+FLOOR((BY$2-1)/9,1),"000"),"")</f>
        <v>CH084</v>
      </c>
      <c r="BZ56" s="22" t="str">
        <f>IF(INDEX('Shot Map'!$B$6:$V$26,CEILING($A56/5,1),CEILING(BZ$2/5,1))=1,INDEX('Serial Reference'!$A$8:$W$8,1,FLOOR(($A56-1)/23,1)+1)&amp;INDEX('Serial Reference'!$A$8:$W$8,1,MOD($A56-1,23)+1)&amp;TEXT(BZ$2+FLOOR((BZ$2-1)/9,1),"000"),"")</f>
        <v>CH085</v>
      </c>
      <c r="CA56" s="22" t="str">
        <f>IF(INDEX('Shot Map'!$B$6:$V$26,CEILING($A56/5,1),CEILING(CA$2/5,1))=1,INDEX('Serial Reference'!$A$8:$W$8,1,FLOOR(($A56-1)/23,1)+1)&amp;INDEX('Serial Reference'!$A$8:$W$8,1,MOD($A56-1,23)+1)&amp;TEXT(CA$2+FLOOR((CA$2-1)/9,1),"000"),"")</f>
        <v>CH086</v>
      </c>
      <c r="CB56" s="22" t="str">
        <f>IF(INDEX('Shot Map'!$B$6:$V$26,CEILING($A56/5,1),CEILING(CB$2/5,1))=1,INDEX('Serial Reference'!$A$8:$W$8,1,FLOOR(($A56-1)/23,1)+1)&amp;INDEX('Serial Reference'!$A$8:$W$8,1,MOD($A56-1,23)+1)&amp;TEXT(CB$2+FLOOR((CB$2-1)/9,1),"000"),"")</f>
        <v>CH087</v>
      </c>
      <c r="CC56" s="23" t="str">
        <f>IF(INDEX('Shot Map'!$B$6:$V$26,CEILING($A56/5,1),CEILING(CC$2/5,1))=1,INDEX('Serial Reference'!$A$8:$W$8,1,FLOOR(($A56-1)/23,1)+1)&amp;INDEX('Serial Reference'!$A$8:$W$8,1,MOD($A56-1,23)+1)&amp;TEXT(CC$2+FLOOR((CC$2-1)/9,1),"000"),"")</f>
        <v>CH088</v>
      </c>
      <c r="CD56" s="21" t="str">
        <f>IF(INDEX('Shot Map'!$B$6:$V$26,CEILING($A56/5,1),CEILING(CD$2/5,1))=1,INDEX('Serial Reference'!$A$8:$W$8,1,FLOOR(($A56-1)/23,1)+1)&amp;INDEX('Serial Reference'!$A$8:$W$8,1,MOD($A56-1,23)+1)&amp;TEXT(CD$2+FLOOR((CD$2-1)/9,1),"000"),"")</f>
        <v>CH089</v>
      </c>
      <c r="CE56" s="22" t="str">
        <f>IF(INDEX('Shot Map'!$B$6:$V$26,CEILING($A56/5,1),CEILING(CE$2/5,1))=1,INDEX('Serial Reference'!$A$8:$W$8,1,FLOOR(($A56-1)/23,1)+1)&amp;INDEX('Serial Reference'!$A$8:$W$8,1,MOD($A56-1,23)+1)&amp;TEXT(CE$2+FLOOR((CE$2-1)/9,1),"000"),"")</f>
        <v>CH091</v>
      </c>
      <c r="CF56" s="22" t="str">
        <f>IF(INDEX('Shot Map'!$B$6:$V$26,CEILING($A56/5,1),CEILING(CF$2/5,1))=1,INDEX('Serial Reference'!$A$8:$W$8,1,FLOOR(($A56-1)/23,1)+1)&amp;INDEX('Serial Reference'!$A$8:$W$8,1,MOD($A56-1,23)+1)&amp;TEXT(CF$2+FLOOR((CF$2-1)/9,1),"000"),"")</f>
        <v>CH092</v>
      </c>
      <c r="CG56" s="22" t="str">
        <f>IF(INDEX('Shot Map'!$B$6:$V$26,CEILING($A56/5,1),CEILING(CG$2/5,1))=1,INDEX('Serial Reference'!$A$8:$W$8,1,FLOOR(($A56-1)/23,1)+1)&amp;INDEX('Serial Reference'!$A$8:$W$8,1,MOD($A56-1,23)+1)&amp;TEXT(CG$2+FLOOR((CG$2-1)/9,1),"000"),"")</f>
        <v>CH093</v>
      </c>
      <c r="CH56" s="23" t="str">
        <f>IF(INDEX('Shot Map'!$B$6:$V$26,CEILING($A56/5,1),CEILING(CH$2/5,1))=1,INDEX('Serial Reference'!$A$8:$W$8,1,FLOOR(($A56-1)/23,1)+1)&amp;INDEX('Serial Reference'!$A$8:$W$8,1,MOD($A56-1,23)+1)&amp;TEXT(CH$2+FLOOR((CH$2-1)/9,1),"000"),"")</f>
        <v>CH094</v>
      </c>
      <c r="CI56" s="21" t="str">
        <f>IF(INDEX('Shot Map'!$B$6:$V$26,CEILING($A56/5,1),CEILING(CI$2/5,1))=1,INDEX('Serial Reference'!$A$8:$W$8,1,FLOOR(($A56-1)/23,1)+1)&amp;INDEX('Serial Reference'!$A$8:$W$8,1,MOD($A56-1,23)+1)&amp;TEXT(CI$2+FLOOR((CI$2-1)/9,1),"000"),"")</f>
        <v>CH095</v>
      </c>
      <c r="CJ56" s="22" t="str">
        <f>IF(INDEX('Shot Map'!$B$6:$V$26,CEILING($A56/5,1),CEILING(CJ$2/5,1))=1,INDEX('Serial Reference'!$A$8:$W$8,1,FLOOR(($A56-1)/23,1)+1)&amp;INDEX('Serial Reference'!$A$8:$W$8,1,MOD($A56-1,23)+1)&amp;TEXT(CJ$2+FLOOR((CJ$2-1)/9,1),"000"),"")</f>
        <v>CH096</v>
      </c>
      <c r="CK56" s="22" t="str">
        <f>IF(INDEX('Shot Map'!$B$6:$V$26,CEILING($A56/5,1),CEILING(CK$2/5,1))=1,INDEX('Serial Reference'!$A$8:$W$8,1,FLOOR(($A56-1)/23,1)+1)&amp;INDEX('Serial Reference'!$A$8:$W$8,1,MOD($A56-1,23)+1)&amp;TEXT(CK$2+FLOOR((CK$2-1)/9,1),"000"),"")</f>
        <v>CH097</v>
      </c>
      <c r="CL56" s="22" t="str">
        <f>IF(INDEX('Shot Map'!$B$6:$V$26,CEILING($A56/5,1),CEILING(CL$2/5,1))=1,INDEX('Serial Reference'!$A$8:$W$8,1,FLOOR(($A56-1)/23,1)+1)&amp;INDEX('Serial Reference'!$A$8:$W$8,1,MOD($A56-1,23)+1)&amp;TEXT(CL$2+FLOOR((CL$2-1)/9,1),"000"),"")</f>
        <v>CH098</v>
      </c>
      <c r="CM56" s="23" t="str">
        <f>IF(INDEX('Shot Map'!$B$6:$V$26,CEILING($A56/5,1),CEILING(CM$2/5,1))=1,INDEX('Serial Reference'!$A$8:$W$8,1,FLOOR(($A56-1)/23,1)+1)&amp;INDEX('Serial Reference'!$A$8:$W$8,1,MOD($A56-1,23)+1)&amp;TEXT(CM$2+FLOOR((CM$2-1)/9,1),"000"),"")</f>
        <v>CH099</v>
      </c>
      <c r="CN56" s="21" t="str">
        <f>IF(INDEX('Shot Map'!$B$6:$V$26,CEILING($A56/5,1),CEILING(CN$2/5,1))=1,INDEX('Serial Reference'!$A$8:$W$8,1,FLOOR(($A56-1)/23,1)+1)&amp;INDEX('Serial Reference'!$A$8:$W$8,1,MOD($A56-1,23)+1)&amp;TEXT(CN$2+FLOOR((CN$2-1)/9,1),"000"),"")</f>
        <v>CH101</v>
      </c>
      <c r="CO56" s="22" t="str">
        <f>IF(INDEX('Shot Map'!$B$6:$V$26,CEILING($A56/5,1),CEILING(CO$2/5,1))=1,INDEX('Serial Reference'!$A$8:$W$8,1,FLOOR(($A56-1)/23,1)+1)&amp;INDEX('Serial Reference'!$A$8:$W$8,1,MOD($A56-1,23)+1)&amp;TEXT(CO$2+FLOOR((CO$2-1)/9,1),"000"),"")</f>
        <v>CH102</v>
      </c>
      <c r="CP56" s="22" t="str">
        <f>IF(INDEX('Shot Map'!$B$6:$V$26,CEILING($A56/5,1),CEILING(CP$2/5,1))=1,INDEX('Serial Reference'!$A$8:$W$8,1,FLOOR(($A56-1)/23,1)+1)&amp;INDEX('Serial Reference'!$A$8:$W$8,1,MOD($A56-1,23)+1)&amp;TEXT(CP$2+FLOOR((CP$2-1)/9,1),"000"),"")</f>
        <v>CH103</v>
      </c>
      <c r="CQ56" s="22" t="str">
        <f>IF(INDEX('Shot Map'!$B$6:$V$26,CEILING($A56/5,1),CEILING(CQ$2/5,1))=1,INDEX('Serial Reference'!$A$8:$W$8,1,FLOOR(($A56-1)/23,1)+1)&amp;INDEX('Serial Reference'!$A$8:$W$8,1,MOD($A56-1,23)+1)&amp;TEXT(CQ$2+FLOOR((CQ$2-1)/9,1),"000"),"")</f>
        <v>CH104</v>
      </c>
      <c r="CR56" s="23" t="str">
        <f>IF(INDEX('Shot Map'!$B$6:$V$26,CEILING($A56/5,1),CEILING(CR$2/5,1))=1,INDEX('Serial Reference'!$A$8:$W$8,1,FLOOR(($A56-1)/23,1)+1)&amp;INDEX('Serial Reference'!$A$8:$W$8,1,MOD($A56-1,23)+1)&amp;TEXT(CR$2+FLOOR((CR$2-1)/9,1),"000"),"")</f>
        <v>CH105</v>
      </c>
      <c r="CS56" s="21" t="str">
        <f>IF(INDEX('Shot Map'!$B$6:$V$26,CEILING($A56/5,1),CEILING(CS$2/5,1))=1,INDEX('Serial Reference'!$A$8:$W$8,1,FLOOR(($A56-1)/23,1)+1)&amp;INDEX('Serial Reference'!$A$8:$W$8,1,MOD($A56-1,23)+1)&amp;TEXT(CS$2+FLOOR((CS$2-1)/9,1),"000"),"")</f>
        <v>CH106</v>
      </c>
      <c r="CT56" s="22" t="str">
        <f>IF(INDEX('Shot Map'!$B$6:$V$26,CEILING($A56/5,1),CEILING(CT$2/5,1))=1,INDEX('Serial Reference'!$A$8:$W$8,1,FLOOR(($A56-1)/23,1)+1)&amp;INDEX('Serial Reference'!$A$8:$W$8,1,MOD($A56-1,23)+1)&amp;TEXT(CT$2+FLOOR((CT$2-1)/9,1),"000"),"")</f>
        <v>CH107</v>
      </c>
      <c r="CU56" s="22" t="str">
        <f>IF(INDEX('Shot Map'!$B$6:$V$26,CEILING($A56/5,1),CEILING(CU$2/5,1))=1,INDEX('Serial Reference'!$A$8:$W$8,1,FLOOR(($A56-1)/23,1)+1)&amp;INDEX('Serial Reference'!$A$8:$W$8,1,MOD($A56-1,23)+1)&amp;TEXT(CU$2+FLOOR((CU$2-1)/9,1),"000"),"")</f>
        <v>CH108</v>
      </c>
      <c r="CV56" s="22" t="str">
        <f>IF(INDEX('Shot Map'!$B$6:$V$26,CEILING($A56/5,1),CEILING(CV$2/5,1))=1,INDEX('Serial Reference'!$A$8:$W$8,1,FLOOR(($A56-1)/23,1)+1)&amp;INDEX('Serial Reference'!$A$8:$W$8,1,MOD($A56-1,23)+1)&amp;TEXT(CV$2+FLOOR((CV$2-1)/9,1),"000"),"")</f>
        <v>CH109</v>
      </c>
      <c r="CW56" s="23" t="str">
        <f>IF(INDEX('Shot Map'!$B$6:$V$26,CEILING($A56/5,1),CEILING(CW$2/5,1))=1,INDEX('Serial Reference'!$A$8:$W$8,1,FLOOR(($A56-1)/23,1)+1)&amp;INDEX('Serial Reference'!$A$8:$W$8,1,MOD($A56-1,23)+1)&amp;TEXT(CW$2+FLOOR((CW$2-1)/9,1),"000"),"")</f>
        <v>CH111</v>
      </c>
      <c r="CX56" s="21" t="str">
        <f>IF(INDEX('Shot Map'!$B$6:$V$26,CEILING($A56/5,1),CEILING(CX$2/5,1))=1,INDEX('Serial Reference'!$A$8:$W$8,1,FLOOR(($A56-1)/23,1)+1)&amp;INDEX('Serial Reference'!$A$8:$W$8,1,MOD($A56-1,23)+1)&amp;TEXT(CX$2+FLOOR((CX$2-1)/9,1),"000"),"")</f>
        <v>CH112</v>
      </c>
      <c r="CY56" s="22" t="str">
        <f>IF(INDEX('Shot Map'!$B$6:$V$26,CEILING($A56/5,1),CEILING(CY$2/5,1))=1,INDEX('Serial Reference'!$A$8:$W$8,1,FLOOR(($A56-1)/23,1)+1)&amp;INDEX('Serial Reference'!$A$8:$W$8,1,MOD($A56-1,23)+1)&amp;TEXT(CY$2+FLOOR((CY$2-1)/9,1),"000"),"")</f>
        <v>CH113</v>
      </c>
      <c r="CZ56" s="22" t="str">
        <f>IF(INDEX('Shot Map'!$B$6:$V$26,CEILING($A56/5,1),CEILING(CZ$2/5,1))=1,INDEX('Serial Reference'!$A$8:$W$8,1,FLOOR(($A56-1)/23,1)+1)&amp;INDEX('Serial Reference'!$A$8:$W$8,1,MOD($A56-1,23)+1)&amp;TEXT(CZ$2+FLOOR((CZ$2-1)/9,1),"000"),"")</f>
        <v>CH114</v>
      </c>
      <c r="DA56" s="22" t="str">
        <f>IF(INDEX('Shot Map'!$B$6:$V$26,CEILING($A56/5,1),CEILING(DA$2/5,1))=1,INDEX('Serial Reference'!$A$8:$W$8,1,FLOOR(($A56-1)/23,1)+1)&amp;INDEX('Serial Reference'!$A$8:$W$8,1,MOD($A56-1,23)+1)&amp;TEXT(DA$2+FLOOR((DA$2-1)/9,1),"000"),"")</f>
        <v>CH115</v>
      </c>
      <c r="DB56" s="23" t="str">
        <f>IF(INDEX('Shot Map'!$B$6:$V$26,CEILING($A56/5,1),CEILING(DB$2/5,1))=1,INDEX('Serial Reference'!$A$8:$W$8,1,FLOOR(($A56-1)/23,1)+1)&amp;INDEX('Serial Reference'!$A$8:$W$8,1,MOD($A56-1,23)+1)&amp;TEXT(DB$2+FLOOR((DB$2-1)/9,1),"000"),"")</f>
        <v>CH116</v>
      </c>
    </row>
    <row r="57" spans="1:106" ht="12.75" customHeight="1" x14ac:dyDescent="0.25">
      <c r="A57" s="17">
        <v>55</v>
      </c>
      <c r="B57" s="24" t="str">
        <f>IF(INDEX('Shot Map'!$B$6:$V$26,CEILING($A57/5,1),CEILING(B$2/5,1))=1,INDEX('Serial Reference'!$A$8:$W$8,1,FLOOR(($A57-1)/23,1)+1)&amp;INDEX('Serial Reference'!$A$8:$W$8,1,MOD($A57-1,23)+1)&amp;TEXT(B$2+FLOOR((B$2-1)/9,1),"000"),"")</f>
        <v>CJ001</v>
      </c>
      <c r="C57" s="25" t="str">
        <f>IF(INDEX('Shot Map'!$B$6:$V$26,CEILING($A57/5,1),CEILING(C$2/5,1))=1,INDEX('Serial Reference'!$A$8:$W$8,1,FLOOR(($A57-1)/23,1)+1)&amp;INDEX('Serial Reference'!$A$8:$W$8,1,MOD($A57-1,23)+1)&amp;TEXT(C$2+FLOOR((C$2-1)/9,1),"000"),"")</f>
        <v>CJ002</v>
      </c>
      <c r="D57" s="25" t="str">
        <f>IF(INDEX('Shot Map'!$B$6:$V$26,CEILING($A57/5,1),CEILING(D$2/5,1))=1,INDEX('Serial Reference'!$A$8:$W$8,1,FLOOR(($A57-1)/23,1)+1)&amp;INDEX('Serial Reference'!$A$8:$W$8,1,MOD($A57-1,23)+1)&amp;TEXT(D$2+FLOOR((D$2-1)/9,1),"000"),"")</f>
        <v>CJ003</v>
      </c>
      <c r="E57" s="25" t="str">
        <f>IF(INDEX('Shot Map'!$B$6:$V$26,CEILING($A57/5,1),CEILING(E$2/5,1))=1,INDEX('Serial Reference'!$A$8:$W$8,1,FLOOR(($A57-1)/23,1)+1)&amp;INDEX('Serial Reference'!$A$8:$W$8,1,MOD($A57-1,23)+1)&amp;TEXT(E$2+FLOOR((E$2-1)/9,1),"000"),"")</f>
        <v>CJ004</v>
      </c>
      <c r="F57" s="26" t="str">
        <f>IF(INDEX('Shot Map'!$B$6:$V$26,CEILING($A57/5,1),CEILING(F$2/5,1))=1,INDEX('Serial Reference'!$A$8:$W$8,1,FLOOR(($A57-1)/23,1)+1)&amp;INDEX('Serial Reference'!$A$8:$W$8,1,MOD($A57-1,23)+1)&amp;TEXT(F$2+FLOOR((F$2-1)/9,1),"000"),"")</f>
        <v>CJ005</v>
      </c>
      <c r="G57" s="24" t="str">
        <f>IF(INDEX('Shot Map'!$B$6:$V$26,CEILING($A57/5,1),CEILING(G$2/5,1))=1,INDEX('Serial Reference'!$A$8:$W$8,1,FLOOR(($A57-1)/23,1)+1)&amp;INDEX('Serial Reference'!$A$8:$W$8,1,MOD($A57-1,23)+1)&amp;TEXT(G$2+FLOOR((G$2-1)/9,1),"000"),"")</f>
        <v>CJ006</v>
      </c>
      <c r="H57" s="25" t="str">
        <f>IF(INDEX('Shot Map'!$B$6:$V$26,CEILING($A57/5,1),CEILING(H$2/5,1))=1,INDEX('Serial Reference'!$A$8:$W$8,1,FLOOR(($A57-1)/23,1)+1)&amp;INDEX('Serial Reference'!$A$8:$W$8,1,MOD($A57-1,23)+1)&amp;TEXT(H$2+FLOOR((H$2-1)/9,1),"000"),"")</f>
        <v>CJ007</v>
      </c>
      <c r="I57" s="25" t="str">
        <f>IF(INDEX('Shot Map'!$B$6:$V$26,CEILING($A57/5,1),CEILING(I$2/5,1))=1,INDEX('Serial Reference'!$A$8:$W$8,1,FLOOR(($A57-1)/23,1)+1)&amp;INDEX('Serial Reference'!$A$8:$W$8,1,MOD($A57-1,23)+1)&amp;TEXT(I$2+FLOOR((I$2-1)/9,1),"000"),"")</f>
        <v>CJ008</v>
      </c>
      <c r="J57" s="25" t="str">
        <f>IF(INDEX('Shot Map'!$B$6:$V$26,CEILING($A57/5,1),CEILING(J$2/5,1))=1,INDEX('Serial Reference'!$A$8:$W$8,1,FLOOR(($A57-1)/23,1)+1)&amp;INDEX('Serial Reference'!$A$8:$W$8,1,MOD($A57-1,23)+1)&amp;TEXT(J$2+FLOOR((J$2-1)/9,1),"000"),"")</f>
        <v>CJ009</v>
      </c>
      <c r="K57" s="26" t="str">
        <f>IF(INDEX('Shot Map'!$B$6:$V$26,CEILING($A57/5,1),CEILING(K$2/5,1))=1,INDEX('Serial Reference'!$A$8:$W$8,1,FLOOR(($A57-1)/23,1)+1)&amp;INDEX('Serial Reference'!$A$8:$W$8,1,MOD($A57-1,23)+1)&amp;TEXT(K$2+FLOOR((K$2-1)/9,1),"000"),"")</f>
        <v>CJ011</v>
      </c>
      <c r="L57" s="24" t="str">
        <f>IF(INDEX('Shot Map'!$B$6:$V$26,CEILING($A57/5,1),CEILING(L$2/5,1))=1,INDEX('Serial Reference'!$A$8:$W$8,1,FLOOR(($A57-1)/23,1)+1)&amp;INDEX('Serial Reference'!$A$8:$W$8,1,MOD($A57-1,23)+1)&amp;TEXT(L$2+FLOOR((L$2-1)/9,1),"000"),"")</f>
        <v>CJ012</v>
      </c>
      <c r="M57" s="25" t="str">
        <f>IF(INDEX('Shot Map'!$B$6:$V$26,CEILING($A57/5,1),CEILING(M$2/5,1))=1,INDEX('Serial Reference'!$A$8:$W$8,1,FLOOR(($A57-1)/23,1)+1)&amp;INDEX('Serial Reference'!$A$8:$W$8,1,MOD($A57-1,23)+1)&amp;TEXT(M$2+FLOOR((M$2-1)/9,1),"000"),"")</f>
        <v>CJ013</v>
      </c>
      <c r="N57" s="25" t="str">
        <f>IF(INDEX('Shot Map'!$B$6:$V$26,CEILING($A57/5,1),CEILING(N$2/5,1))=1,INDEX('Serial Reference'!$A$8:$W$8,1,FLOOR(($A57-1)/23,1)+1)&amp;INDEX('Serial Reference'!$A$8:$W$8,1,MOD($A57-1,23)+1)&amp;TEXT(N$2+FLOOR((N$2-1)/9,1),"000"),"")</f>
        <v>CJ014</v>
      </c>
      <c r="O57" s="25" t="str">
        <f>IF(INDEX('Shot Map'!$B$6:$V$26,CEILING($A57/5,1),CEILING(O$2/5,1))=1,INDEX('Serial Reference'!$A$8:$W$8,1,FLOOR(($A57-1)/23,1)+1)&amp;INDEX('Serial Reference'!$A$8:$W$8,1,MOD($A57-1,23)+1)&amp;TEXT(O$2+FLOOR((O$2-1)/9,1),"000"),"")</f>
        <v>CJ015</v>
      </c>
      <c r="P57" s="26" t="str">
        <f>IF(INDEX('Shot Map'!$B$6:$V$26,CEILING($A57/5,1),CEILING(P$2/5,1))=1,INDEX('Serial Reference'!$A$8:$W$8,1,FLOOR(($A57-1)/23,1)+1)&amp;INDEX('Serial Reference'!$A$8:$W$8,1,MOD($A57-1,23)+1)&amp;TEXT(P$2+FLOOR((P$2-1)/9,1),"000"),"")</f>
        <v>CJ016</v>
      </c>
      <c r="Q57" s="24" t="str">
        <f>IF(INDEX('Shot Map'!$B$6:$V$26,CEILING($A57/5,1),CEILING(Q$2/5,1))=1,INDEX('Serial Reference'!$A$8:$W$8,1,FLOOR(($A57-1)/23,1)+1)&amp;INDEX('Serial Reference'!$A$8:$W$8,1,MOD($A57-1,23)+1)&amp;TEXT(Q$2+FLOOR((Q$2-1)/9,1),"000"),"")</f>
        <v>CJ017</v>
      </c>
      <c r="R57" s="25" t="str">
        <f>IF(INDEX('Shot Map'!$B$6:$V$26,CEILING($A57/5,1),CEILING(R$2/5,1))=1,INDEX('Serial Reference'!$A$8:$W$8,1,FLOOR(($A57-1)/23,1)+1)&amp;INDEX('Serial Reference'!$A$8:$W$8,1,MOD($A57-1,23)+1)&amp;TEXT(R$2+FLOOR((R$2-1)/9,1),"000"),"")</f>
        <v>CJ018</v>
      </c>
      <c r="S57" s="25" t="str">
        <f>IF(INDEX('Shot Map'!$B$6:$V$26,CEILING($A57/5,1),CEILING(S$2/5,1))=1,INDEX('Serial Reference'!$A$8:$W$8,1,FLOOR(($A57-1)/23,1)+1)&amp;INDEX('Serial Reference'!$A$8:$W$8,1,MOD($A57-1,23)+1)&amp;TEXT(S$2+FLOOR((S$2-1)/9,1),"000"),"")</f>
        <v>CJ019</v>
      </c>
      <c r="T57" s="25" t="str">
        <f>IF(INDEX('Shot Map'!$B$6:$V$26,CEILING($A57/5,1),CEILING(T$2/5,1))=1,INDEX('Serial Reference'!$A$8:$W$8,1,FLOOR(($A57-1)/23,1)+1)&amp;INDEX('Serial Reference'!$A$8:$W$8,1,MOD($A57-1,23)+1)&amp;TEXT(T$2+FLOOR((T$2-1)/9,1),"000"),"")</f>
        <v>CJ021</v>
      </c>
      <c r="U57" s="26" t="str">
        <f>IF(INDEX('Shot Map'!$B$6:$V$26,CEILING($A57/5,1),CEILING(U$2/5,1))=1,INDEX('Serial Reference'!$A$8:$W$8,1,FLOOR(($A57-1)/23,1)+1)&amp;INDEX('Serial Reference'!$A$8:$W$8,1,MOD($A57-1,23)+1)&amp;TEXT(U$2+FLOOR((U$2-1)/9,1),"000"),"")</f>
        <v>CJ022</v>
      </c>
      <c r="V57" s="24" t="str">
        <f>IF(INDEX('Shot Map'!$B$6:$V$26,CEILING($A57/5,1),CEILING(V$2/5,1))=1,INDEX('Serial Reference'!$A$8:$W$8,1,FLOOR(($A57-1)/23,1)+1)&amp;INDEX('Serial Reference'!$A$8:$W$8,1,MOD($A57-1,23)+1)&amp;TEXT(V$2+FLOOR((V$2-1)/9,1),"000"),"")</f>
        <v>CJ023</v>
      </c>
      <c r="W57" s="25" t="str">
        <f>IF(INDEX('Shot Map'!$B$6:$V$26,CEILING($A57/5,1),CEILING(W$2/5,1))=1,INDEX('Serial Reference'!$A$8:$W$8,1,FLOOR(($A57-1)/23,1)+1)&amp;INDEX('Serial Reference'!$A$8:$W$8,1,MOD($A57-1,23)+1)&amp;TEXT(W$2+FLOOR((W$2-1)/9,1),"000"),"")</f>
        <v>CJ024</v>
      </c>
      <c r="X57" s="25" t="str">
        <f>IF(INDEX('Shot Map'!$B$6:$V$26,CEILING($A57/5,1),CEILING(X$2/5,1))=1,INDEX('Serial Reference'!$A$8:$W$8,1,FLOOR(($A57-1)/23,1)+1)&amp;INDEX('Serial Reference'!$A$8:$W$8,1,MOD($A57-1,23)+1)&amp;TEXT(X$2+FLOOR((X$2-1)/9,1),"000"),"")</f>
        <v>CJ025</v>
      </c>
      <c r="Y57" s="25" t="str">
        <f>IF(INDEX('Shot Map'!$B$6:$V$26,CEILING($A57/5,1),CEILING(Y$2/5,1))=1,INDEX('Serial Reference'!$A$8:$W$8,1,FLOOR(($A57-1)/23,1)+1)&amp;INDEX('Serial Reference'!$A$8:$W$8,1,MOD($A57-1,23)+1)&amp;TEXT(Y$2+FLOOR((Y$2-1)/9,1),"000"),"")</f>
        <v>CJ026</v>
      </c>
      <c r="Z57" s="26" t="str">
        <f>IF(INDEX('Shot Map'!$B$6:$V$26,CEILING($A57/5,1),CEILING(Z$2/5,1))=1,INDEX('Serial Reference'!$A$8:$W$8,1,FLOOR(($A57-1)/23,1)+1)&amp;INDEX('Serial Reference'!$A$8:$W$8,1,MOD($A57-1,23)+1)&amp;TEXT(Z$2+FLOOR((Z$2-1)/9,1),"000"),"")</f>
        <v>CJ027</v>
      </c>
      <c r="AA57" s="24" t="str">
        <f>IF(INDEX('Shot Map'!$B$6:$V$26,CEILING($A57/5,1),CEILING(AA$2/5,1))=1,INDEX('Serial Reference'!$A$8:$W$8,1,FLOOR(($A57-1)/23,1)+1)&amp;INDEX('Serial Reference'!$A$8:$W$8,1,MOD($A57-1,23)+1)&amp;TEXT(AA$2+FLOOR((AA$2-1)/9,1),"000"),"")</f>
        <v>CJ028</v>
      </c>
      <c r="AB57" s="25" t="str">
        <f>IF(INDEX('Shot Map'!$B$6:$V$26,CEILING($A57/5,1),CEILING(AB$2/5,1))=1,INDEX('Serial Reference'!$A$8:$W$8,1,FLOOR(($A57-1)/23,1)+1)&amp;INDEX('Serial Reference'!$A$8:$W$8,1,MOD($A57-1,23)+1)&amp;TEXT(AB$2+FLOOR((AB$2-1)/9,1),"000"),"")</f>
        <v>CJ029</v>
      </c>
      <c r="AC57" s="25" t="str">
        <f>IF(INDEX('Shot Map'!$B$6:$V$26,CEILING($A57/5,1),CEILING(AC$2/5,1))=1,INDEX('Serial Reference'!$A$8:$W$8,1,FLOOR(($A57-1)/23,1)+1)&amp;INDEX('Serial Reference'!$A$8:$W$8,1,MOD($A57-1,23)+1)&amp;TEXT(AC$2+FLOOR((AC$2-1)/9,1),"000"),"")</f>
        <v>CJ031</v>
      </c>
      <c r="AD57" s="25" t="str">
        <f>IF(INDEX('Shot Map'!$B$6:$V$26,CEILING($A57/5,1),CEILING(AD$2/5,1))=1,INDEX('Serial Reference'!$A$8:$W$8,1,FLOOR(($A57-1)/23,1)+1)&amp;INDEX('Serial Reference'!$A$8:$W$8,1,MOD($A57-1,23)+1)&amp;TEXT(AD$2+FLOOR((AD$2-1)/9,1),"000"),"")</f>
        <v>CJ032</v>
      </c>
      <c r="AE57" s="26" t="str">
        <f>IF(INDEX('Shot Map'!$B$6:$V$26,CEILING($A57/5,1),CEILING(AE$2/5,1))=1,INDEX('Serial Reference'!$A$8:$W$8,1,FLOOR(($A57-1)/23,1)+1)&amp;INDEX('Serial Reference'!$A$8:$W$8,1,MOD($A57-1,23)+1)&amp;TEXT(AE$2+FLOOR((AE$2-1)/9,1),"000"),"")</f>
        <v>CJ033</v>
      </c>
      <c r="AF57" s="24" t="str">
        <f>IF(INDEX('Shot Map'!$B$6:$V$26,CEILING($A57/5,1),CEILING(AF$2/5,1))=1,INDEX('Serial Reference'!$A$8:$W$8,1,FLOOR(($A57-1)/23,1)+1)&amp;INDEX('Serial Reference'!$A$8:$W$8,1,MOD($A57-1,23)+1)&amp;TEXT(AF$2+FLOOR((AF$2-1)/9,1),"000"),"")</f>
        <v>CJ034</v>
      </c>
      <c r="AG57" s="25" t="str">
        <f>IF(INDEX('Shot Map'!$B$6:$V$26,CEILING($A57/5,1),CEILING(AG$2/5,1))=1,INDEX('Serial Reference'!$A$8:$W$8,1,FLOOR(($A57-1)/23,1)+1)&amp;INDEX('Serial Reference'!$A$8:$W$8,1,MOD($A57-1,23)+1)&amp;TEXT(AG$2+FLOOR((AG$2-1)/9,1),"000"),"")</f>
        <v>CJ035</v>
      </c>
      <c r="AH57" s="25" t="str">
        <f>IF(INDEX('Shot Map'!$B$6:$V$26,CEILING($A57/5,1),CEILING(AH$2/5,1))=1,INDEX('Serial Reference'!$A$8:$W$8,1,FLOOR(($A57-1)/23,1)+1)&amp;INDEX('Serial Reference'!$A$8:$W$8,1,MOD($A57-1,23)+1)&amp;TEXT(AH$2+FLOOR((AH$2-1)/9,1),"000"),"")</f>
        <v>CJ036</v>
      </c>
      <c r="AI57" s="25" t="str">
        <f>IF(INDEX('Shot Map'!$B$6:$V$26,CEILING($A57/5,1),CEILING(AI$2/5,1))=1,INDEX('Serial Reference'!$A$8:$W$8,1,FLOOR(($A57-1)/23,1)+1)&amp;INDEX('Serial Reference'!$A$8:$W$8,1,MOD($A57-1,23)+1)&amp;TEXT(AI$2+FLOOR((AI$2-1)/9,1),"000"),"")</f>
        <v>CJ037</v>
      </c>
      <c r="AJ57" s="26" t="str">
        <f>IF(INDEX('Shot Map'!$B$6:$V$26,CEILING($A57/5,1),CEILING(AJ$2/5,1))=1,INDEX('Serial Reference'!$A$8:$W$8,1,FLOOR(($A57-1)/23,1)+1)&amp;INDEX('Serial Reference'!$A$8:$W$8,1,MOD($A57-1,23)+1)&amp;TEXT(AJ$2+FLOOR((AJ$2-1)/9,1),"000"),"")</f>
        <v>CJ038</v>
      </c>
      <c r="AK57" s="24" t="str">
        <f>IF(INDEX('Shot Map'!$B$6:$V$26,CEILING($A57/5,1),CEILING(AK$2/5,1))=1,INDEX('Serial Reference'!$A$8:$W$8,1,FLOOR(($A57-1)/23,1)+1)&amp;INDEX('Serial Reference'!$A$8:$W$8,1,MOD($A57-1,23)+1)&amp;TEXT(AK$2+FLOOR((AK$2-1)/9,1),"000"),"")</f>
        <v>CJ039</v>
      </c>
      <c r="AL57" s="25" t="str">
        <f>IF(INDEX('Shot Map'!$B$6:$V$26,CEILING($A57/5,1),CEILING(AL$2/5,1))=1,INDEX('Serial Reference'!$A$8:$W$8,1,FLOOR(($A57-1)/23,1)+1)&amp;INDEX('Serial Reference'!$A$8:$W$8,1,MOD($A57-1,23)+1)&amp;TEXT(AL$2+FLOOR((AL$2-1)/9,1),"000"),"")</f>
        <v>CJ041</v>
      </c>
      <c r="AM57" s="25" t="str">
        <f>IF(INDEX('Shot Map'!$B$6:$V$26,CEILING($A57/5,1),CEILING(AM$2/5,1))=1,INDEX('Serial Reference'!$A$8:$W$8,1,FLOOR(($A57-1)/23,1)+1)&amp;INDEX('Serial Reference'!$A$8:$W$8,1,MOD($A57-1,23)+1)&amp;TEXT(AM$2+FLOOR((AM$2-1)/9,1),"000"),"")</f>
        <v>CJ042</v>
      </c>
      <c r="AN57" s="25" t="str">
        <f>IF(INDEX('Shot Map'!$B$6:$V$26,CEILING($A57/5,1),CEILING(AN$2/5,1))=1,INDEX('Serial Reference'!$A$8:$W$8,1,FLOOR(($A57-1)/23,1)+1)&amp;INDEX('Serial Reference'!$A$8:$W$8,1,MOD($A57-1,23)+1)&amp;TEXT(AN$2+FLOOR((AN$2-1)/9,1),"000"),"")</f>
        <v>CJ043</v>
      </c>
      <c r="AO57" s="26" t="str">
        <f>IF(INDEX('Shot Map'!$B$6:$V$26,CEILING($A57/5,1),CEILING(AO$2/5,1))=1,INDEX('Serial Reference'!$A$8:$W$8,1,FLOOR(($A57-1)/23,1)+1)&amp;INDEX('Serial Reference'!$A$8:$W$8,1,MOD($A57-1,23)+1)&amp;TEXT(AO$2+FLOOR((AO$2-1)/9,1),"000"),"")</f>
        <v>CJ044</v>
      </c>
      <c r="AP57" s="24" t="str">
        <f>IF(INDEX('Shot Map'!$B$6:$V$26,CEILING($A57/5,1),CEILING(AP$2/5,1))=1,INDEX('Serial Reference'!$A$8:$W$8,1,FLOOR(($A57-1)/23,1)+1)&amp;INDEX('Serial Reference'!$A$8:$W$8,1,MOD($A57-1,23)+1)&amp;TEXT(AP$2+FLOOR((AP$2-1)/9,1),"000"),"")</f>
        <v>CJ045</v>
      </c>
      <c r="AQ57" s="25" t="str">
        <f>IF(INDEX('Shot Map'!$B$6:$V$26,CEILING($A57/5,1),CEILING(AQ$2/5,1))=1,INDEX('Serial Reference'!$A$8:$W$8,1,FLOOR(($A57-1)/23,1)+1)&amp;INDEX('Serial Reference'!$A$8:$W$8,1,MOD($A57-1,23)+1)&amp;TEXT(AQ$2+FLOOR((AQ$2-1)/9,1),"000"),"")</f>
        <v>CJ046</v>
      </c>
      <c r="AR57" s="25" t="str">
        <f>IF(INDEX('Shot Map'!$B$6:$V$26,CEILING($A57/5,1),CEILING(AR$2/5,1))=1,INDEX('Serial Reference'!$A$8:$W$8,1,FLOOR(($A57-1)/23,1)+1)&amp;INDEX('Serial Reference'!$A$8:$W$8,1,MOD($A57-1,23)+1)&amp;TEXT(AR$2+FLOOR((AR$2-1)/9,1),"000"),"")</f>
        <v>CJ047</v>
      </c>
      <c r="AS57" s="25" t="str">
        <f>IF(INDEX('Shot Map'!$B$6:$V$26,CEILING($A57/5,1),CEILING(AS$2/5,1))=1,INDEX('Serial Reference'!$A$8:$W$8,1,FLOOR(($A57-1)/23,1)+1)&amp;INDEX('Serial Reference'!$A$8:$W$8,1,MOD($A57-1,23)+1)&amp;TEXT(AS$2+FLOOR((AS$2-1)/9,1),"000"),"")</f>
        <v>CJ048</v>
      </c>
      <c r="AT57" s="26" t="str">
        <f>IF(INDEX('Shot Map'!$B$6:$V$26,CEILING($A57/5,1),CEILING(AT$2/5,1))=1,INDEX('Serial Reference'!$A$8:$W$8,1,FLOOR(($A57-1)/23,1)+1)&amp;INDEX('Serial Reference'!$A$8:$W$8,1,MOD($A57-1,23)+1)&amp;TEXT(AT$2+FLOOR((AT$2-1)/9,1),"000"),"")</f>
        <v>CJ049</v>
      </c>
      <c r="AU57" s="24" t="str">
        <f>IF(INDEX('Shot Map'!$B$6:$V$26,CEILING($A57/5,1),CEILING(AU$2/5,1))=1,INDEX('Serial Reference'!$A$8:$W$8,1,FLOOR(($A57-1)/23,1)+1)&amp;INDEX('Serial Reference'!$A$8:$W$8,1,MOD($A57-1,23)+1)&amp;TEXT(AU$2+FLOOR((AU$2-1)/9,1),"000"),"")</f>
        <v>CJ051</v>
      </c>
      <c r="AV57" s="25" t="str">
        <f>IF(INDEX('Shot Map'!$B$6:$V$26,CEILING($A57/5,1),CEILING(AV$2/5,1))=1,INDEX('Serial Reference'!$A$8:$W$8,1,FLOOR(($A57-1)/23,1)+1)&amp;INDEX('Serial Reference'!$A$8:$W$8,1,MOD($A57-1,23)+1)&amp;TEXT(AV$2+FLOOR((AV$2-1)/9,1),"000"),"")</f>
        <v>CJ052</v>
      </c>
      <c r="AW57" s="25" t="str">
        <f>IF(INDEX('Shot Map'!$B$6:$V$26,CEILING($A57/5,1),CEILING(AW$2/5,1))=1,INDEX('Serial Reference'!$A$8:$W$8,1,FLOOR(($A57-1)/23,1)+1)&amp;INDEX('Serial Reference'!$A$8:$W$8,1,MOD($A57-1,23)+1)&amp;TEXT(AW$2+FLOOR((AW$2-1)/9,1),"000"),"")</f>
        <v>CJ053</v>
      </c>
      <c r="AX57" s="25" t="str">
        <f>IF(INDEX('Shot Map'!$B$6:$V$26,CEILING($A57/5,1),CEILING(AX$2/5,1))=1,INDEX('Serial Reference'!$A$8:$W$8,1,FLOOR(($A57-1)/23,1)+1)&amp;INDEX('Serial Reference'!$A$8:$W$8,1,MOD($A57-1,23)+1)&amp;TEXT(AX$2+FLOOR((AX$2-1)/9,1),"000"),"")</f>
        <v>CJ054</v>
      </c>
      <c r="AY57" s="26" t="str">
        <f>IF(INDEX('Shot Map'!$B$6:$V$26,CEILING($A57/5,1),CEILING(AY$2/5,1))=1,INDEX('Serial Reference'!$A$8:$W$8,1,FLOOR(($A57-1)/23,1)+1)&amp;INDEX('Serial Reference'!$A$8:$W$8,1,MOD($A57-1,23)+1)&amp;TEXT(AY$2+FLOOR((AY$2-1)/9,1),"000"),"")</f>
        <v>CJ055</v>
      </c>
      <c r="AZ57" s="24" t="str">
        <f>IF(INDEX('Shot Map'!$B$6:$V$26,CEILING($A57/5,1),CEILING(AZ$2/5,1))=1,INDEX('Serial Reference'!$A$8:$W$8,1,FLOOR(($A57-1)/23,1)+1)&amp;INDEX('Serial Reference'!$A$8:$W$8,1,MOD($A57-1,23)+1)&amp;TEXT(AZ$2+FLOOR((AZ$2-1)/9,1),"000"),"")</f>
        <v>CJ056</v>
      </c>
      <c r="BA57" s="25" t="str">
        <f>IF(INDEX('Shot Map'!$B$6:$V$26,CEILING($A57/5,1),CEILING(BA$2/5,1))=1,INDEX('Serial Reference'!$A$8:$W$8,1,FLOOR(($A57-1)/23,1)+1)&amp;INDEX('Serial Reference'!$A$8:$W$8,1,MOD($A57-1,23)+1)&amp;TEXT(BA$2+FLOOR((BA$2-1)/9,1),"000"),"")</f>
        <v>CJ057</v>
      </c>
      <c r="BB57" s="25" t="str">
        <f>IF(INDEX('Shot Map'!$B$6:$V$26,CEILING($A57/5,1),CEILING(BB$2/5,1))=1,INDEX('Serial Reference'!$A$8:$W$8,1,FLOOR(($A57-1)/23,1)+1)&amp;INDEX('Serial Reference'!$A$8:$W$8,1,MOD($A57-1,23)+1)&amp;TEXT(BB$2+FLOOR((BB$2-1)/9,1),"000"),"")</f>
        <v>CJ058</v>
      </c>
      <c r="BC57" s="25" t="str">
        <f>IF(INDEX('Shot Map'!$B$6:$V$26,CEILING($A57/5,1),CEILING(BC$2/5,1))=1,INDEX('Serial Reference'!$A$8:$W$8,1,FLOOR(($A57-1)/23,1)+1)&amp;INDEX('Serial Reference'!$A$8:$W$8,1,MOD($A57-1,23)+1)&amp;TEXT(BC$2+FLOOR((BC$2-1)/9,1),"000"),"")</f>
        <v>CJ059</v>
      </c>
      <c r="BD57" s="26" t="str">
        <f>IF(INDEX('Shot Map'!$B$6:$V$26,CEILING($A57/5,1),CEILING(BD$2/5,1))=1,INDEX('Serial Reference'!$A$8:$W$8,1,FLOOR(($A57-1)/23,1)+1)&amp;INDEX('Serial Reference'!$A$8:$W$8,1,MOD($A57-1,23)+1)&amp;TEXT(BD$2+FLOOR((BD$2-1)/9,1),"000"),"")</f>
        <v>CJ061</v>
      </c>
      <c r="BE57" s="24" t="str">
        <f>IF(INDEX('Shot Map'!$B$6:$V$26,CEILING($A57/5,1),CEILING(BE$2/5,1))=1,INDEX('Serial Reference'!$A$8:$W$8,1,FLOOR(($A57-1)/23,1)+1)&amp;INDEX('Serial Reference'!$A$8:$W$8,1,MOD($A57-1,23)+1)&amp;TEXT(BE$2+FLOOR((BE$2-1)/9,1),"000"),"")</f>
        <v>CJ062</v>
      </c>
      <c r="BF57" s="25" t="str">
        <f>IF(INDEX('Shot Map'!$B$6:$V$26,CEILING($A57/5,1),CEILING(BF$2/5,1))=1,INDEX('Serial Reference'!$A$8:$W$8,1,FLOOR(($A57-1)/23,1)+1)&amp;INDEX('Serial Reference'!$A$8:$W$8,1,MOD($A57-1,23)+1)&amp;TEXT(BF$2+FLOOR((BF$2-1)/9,1),"000"),"")</f>
        <v>CJ063</v>
      </c>
      <c r="BG57" s="25" t="str">
        <f>IF(INDEX('Shot Map'!$B$6:$V$26,CEILING($A57/5,1),CEILING(BG$2/5,1))=1,INDEX('Serial Reference'!$A$8:$W$8,1,FLOOR(($A57-1)/23,1)+1)&amp;INDEX('Serial Reference'!$A$8:$W$8,1,MOD($A57-1,23)+1)&amp;TEXT(BG$2+FLOOR((BG$2-1)/9,1),"000"),"")</f>
        <v>CJ064</v>
      </c>
      <c r="BH57" s="25" t="str">
        <f>IF(INDEX('Shot Map'!$B$6:$V$26,CEILING($A57/5,1),CEILING(BH$2/5,1))=1,INDEX('Serial Reference'!$A$8:$W$8,1,FLOOR(($A57-1)/23,1)+1)&amp;INDEX('Serial Reference'!$A$8:$W$8,1,MOD($A57-1,23)+1)&amp;TEXT(BH$2+FLOOR((BH$2-1)/9,1),"000"),"")</f>
        <v>CJ065</v>
      </c>
      <c r="BI57" s="26" t="str">
        <f>IF(INDEX('Shot Map'!$B$6:$V$26,CEILING($A57/5,1),CEILING(BI$2/5,1))=1,INDEX('Serial Reference'!$A$8:$W$8,1,FLOOR(($A57-1)/23,1)+1)&amp;INDEX('Serial Reference'!$A$8:$W$8,1,MOD($A57-1,23)+1)&amp;TEXT(BI$2+FLOOR((BI$2-1)/9,1),"000"),"")</f>
        <v>CJ066</v>
      </c>
      <c r="BJ57" s="24" t="str">
        <f>IF(INDEX('Shot Map'!$B$6:$V$26,CEILING($A57/5,1),CEILING(BJ$2/5,1))=1,INDEX('Serial Reference'!$A$8:$W$8,1,FLOOR(($A57-1)/23,1)+1)&amp;INDEX('Serial Reference'!$A$8:$W$8,1,MOD($A57-1,23)+1)&amp;TEXT(BJ$2+FLOOR((BJ$2-1)/9,1),"000"),"")</f>
        <v>CJ067</v>
      </c>
      <c r="BK57" s="25" t="str">
        <f>IF(INDEX('Shot Map'!$B$6:$V$26,CEILING($A57/5,1),CEILING(BK$2/5,1))=1,INDEX('Serial Reference'!$A$8:$W$8,1,FLOOR(($A57-1)/23,1)+1)&amp;INDEX('Serial Reference'!$A$8:$W$8,1,MOD($A57-1,23)+1)&amp;TEXT(BK$2+FLOOR((BK$2-1)/9,1),"000"),"")</f>
        <v>CJ068</v>
      </c>
      <c r="BL57" s="25" t="str">
        <f>IF(INDEX('Shot Map'!$B$6:$V$26,CEILING($A57/5,1),CEILING(BL$2/5,1))=1,INDEX('Serial Reference'!$A$8:$W$8,1,FLOOR(($A57-1)/23,1)+1)&amp;INDEX('Serial Reference'!$A$8:$W$8,1,MOD($A57-1,23)+1)&amp;TEXT(BL$2+FLOOR((BL$2-1)/9,1),"000"),"")</f>
        <v>CJ069</v>
      </c>
      <c r="BM57" s="25" t="str">
        <f>IF(INDEX('Shot Map'!$B$6:$V$26,CEILING($A57/5,1),CEILING(BM$2/5,1))=1,INDEX('Serial Reference'!$A$8:$W$8,1,FLOOR(($A57-1)/23,1)+1)&amp;INDEX('Serial Reference'!$A$8:$W$8,1,MOD($A57-1,23)+1)&amp;TEXT(BM$2+FLOOR((BM$2-1)/9,1),"000"),"")</f>
        <v>CJ071</v>
      </c>
      <c r="BN57" s="26" t="str">
        <f>IF(INDEX('Shot Map'!$B$6:$V$26,CEILING($A57/5,1),CEILING(BN$2/5,1))=1,INDEX('Serial Reference'!$A$8:$W$8,1,FLOOR(($A57-1)/23,1)+1)&amp;INDEX('Serial Reference'!$A$8:$W$8,1,MOD($A57-1,23)+1)&amp;TEXT(BN$2+FLOOR((BN$2-1)/9,1),"000"),"")</f>
        <v>CJ072</v>
      </c>
      <c r="BO57" s="24" t="str">
        <f>IF(INDEX('Shot Map'!$B$6:$V$26,CEILING($A57/5,1),CEILING(BO$2/5,1))=1,INDEX('Serial Reference'!$A$8:$W$8,1,FLOOR(($A57-1)/23,1)+1)&amp;INDEX('Serial Reference'!$A$8:$W$8,1,MOD($A57-1,23)+1)&amp;TEXT(BO$2+FLOOR((BO$2-1)/9,1),"000"),"")</f>
        <v>CJ073</v>
      </c>
      <c r="BP57" s="25" t="str">
        <f>IF(INDEX('Shot Map'!$B$6:$V$26,CEILING($A57/5,1),CEILING(BP$2/5,1))=1,INDEX('Serial Reference'!$A$8:$W$8,1,FLOOR(($A57-1)/23,1)+1)&amp;INDEX('Serial Reference'!$A$8:$W$8,1,MOD($A57-1,23)+1)&amp;TEXT(BP$2+FLOOR((BP$2-1)/9,1),"000"),"")</f>
        <v>CJ074</v>
      </c>
      <c r="BQ57" s="25" t="str">
        <f>IF(INDEX('Shot Map'!$B$6:$V$26,CEILING($A57/5,1),CEILING(BQ$2/5,1))=1,INDEX('Serial Reference'!$A$8:$W$8,1,FLOOR(($A57-1)/23,1)+1)&amp;INDEX('Serial Reference'!$A$8:$W$8,1,MOD($A57-1,23)+1)&amp;TEXT(BQ$2+FLOOR((BQ$2-1)/9,1),"000"),"")</f>
        <v>CJ075</v>
      </c>
      <c r="BR57" s="25" t="str">
        <f>IF(INDEX('Shot Map'!$B$6:$V$26,CEILING($A57/5,1),CEILING(BR$2/5,1))=1,INDEX('Serial Reference'!$A$8:$W$8,1,FLOOR(($A57-1)/23,1)+1)&amp;INDEX('Serial Reference'!$A$8:$W$8,1,MOD($A57-1,23)+1)&amp;TEXT(BR$2+FLOOR((BR$2-1)/9,1),"000"),"")</f>
        <v>CJ076</v>
      </c>
      <c r="BS57" s="26" t="str">
        <f>IF(INDEX('Shot Map'!$B$6:$V$26,CEILING($A57/5,1),CEILING(BS$2/5,1))=1,INDEX('Serial Reference'!$A$8:$W$8,1,FLOOR(($A57-1)/23,1)+1)&amp;INDEX('Serial Reference'!$A$8:$W$8,1,MOD($A57-1,23)+1)&amp;TEXT(BS$2+FLOOR((BS$2-1)/9,1),"000"),"")</f>
        <v>CJ077</v>
      </c>
      <c r="BT57" s="24" t="str">
        <f>IF(INDEX('Shot Map'!$B$6:$V$26,CEILING($A57/5,1),CEILING(BT$2/5,1))=1,INDEX('Serial Reference'!$A$8:$W$8,1,FLOOR(($A57-1)/23,1)+1)&amp;INDEX('Serial Reference'!$A$8:$W$8,1,MOD($A57-1,23)+1)&amp;TEXT(BT$2+FLOOR((BT$2-1)/9,1),"000"),"")</f>
        <v>CJ078</v>
      </c>
      <c r="BU57" s="25" t="str">
        <f>IF(INDEX('Shot Map'!$B$6:$V$26,CEILING($A57/5,1),CEILING(BU$2/5,1))=1,INDEX('Serial Reference'!$A$8:$W$8,1,FLOOR(($A57-1)/23,1)+1)&amp;INDEX('Serial Reference'!$A$8:$W$8,1,MOD($A57-1,23)+1)&amp;TEXT(BU$2+FLOOR((BU$2-1)/9,1),"000"),"")</f>
        <v>CJ079</v>
      </c>
      <c r="BV57" s="25" t="str">
        <f>IF(INDEX('Shot Map'!$B$6:$V$26,CEILING($A57/5,1),CEILING(BV$2/5,1))=1,INDEX('Serial Reference'!$A$8:$W$8,1,FLOOR(($A57-1)/23,1)+1)&amp;INDEX('Serial Reference'!$A$8:$W$8,1,MOD($A57-1,23)+1)&amp;TEXT(BV$2+FLOOR((BV$2-1)/9,1),"000"),"")</f>
        <v>CJ081</v>
      </c>
      <c r="BW57" s="25" t="str">
        <f>IF(INDEX('Shot Map'!$B$6:$V$26,CEILING($A57/5,1),CEILING(BW$2/5,1))=1,INDEX('Serial Reference'!$A$8:$W$8,1,FLOOR(($A57-1)/23,1)+1)&amp;INDEX('Serial Reference'!$A$8:$W$8,1,MOD($A57-1,23)+1)&amp;TEXT(BW$2+FLOOR((BW$2-1)/9,1),"000"),"")</f>
        <v>CJ082</v>
      </c>
      <c r="BX57" s="26" t="str">
        <f>IF(INDEX('Shot Map'!$B$6:$V$26,CEILING($A57/5,1),CEILING(BX$2/5,1))=1,INDEX('Serial Reference'!$A$8:$W$8,1,FLOOR(($A57-1)/23,1)+1)&amp;INDEX('Serial Reference'!$A$8:$W$8,1,MOD($A57-1,23)+1)&amp;TEXT(BX$2+FLOOR((BX$2-1)/9,1),"000"),"")</f>
        <v>CJ083</v>
      </c>
      <c r="BY57" s="24" t="str">
        <f>IF(INDEX('Shot Map'!$B$6:$V$26,CEILING($A57/5,1),CEILING(BY$2/5,1))=1,INDEX('Serial Reference'!$A$8:$W$8,1,FLOOR(($A57-1)/23,1)+1)&amp;INDEX('Serial Reference'!$A$8:$W$8,1,MOD($A57-1,23)+1)&amp;TEXT(BY$2+FLOOR((BY$2-1)/9,1),"000"),"")</f>
        <v>CJ084</v>
      </c>
      <c r="BZ57" s="25" t="str">
        <f>IF(INDEX('Shot Map'!$B$6:$V$26,CEILING($A57/5,1),CEILING(BZ$2/5,1))=1,INDEX('Serial Reference'!$A$8:$W$8,1,FLOOR(($A57-1)/23,1)+1)&amp;INDEX('Serial Reference'!$A$8:$W$8,1,MOD($A57-1,23)+1)&amp;TEXT(BZ$2+FLOOR((BZ$2-1)/9,1),"000"),"")</f>
        <v>CJ085</v>
      </c>
      <c r="CA57" s="25" t="str">
        <f>IF(INDEX('Shot Map'!$B$6:$V$26,CEILING($A57/5,1),CEILING(CA$2/5,1))=1,INDEX('Serial Reference'!$A$8:$W$8,1,FLOOR(($A57-1)/23,1)+1)&amp;INDEX('Serial Reference'!$A$8:$W$8,1,MOD($A57-1,23)+1)&amp;TEXT(CA$2+FLOOR((CA$2-1)/9,1),"000"),"")</f>
        <v>CJ086</v>
      </c>
      <c r="CB57" s="25" t="str">
        <f>IF(INDEX('Shot Map'!$B$6:$V$26,CEILING($A57/5,1),CEILING(CB$2/5,1))=1,INDEX('Serial Reference'!$A$8:$W$8,1,FLOOR(($A57-1)/23,1)+1)&amp;INDEX('Serial Reference'!$A$8:$W$8,1,MOD($A57-1,23)+1)&amp;TEXT(CB$2+FLOOR((CB$2-1)/9,1),"000"),"")</f>
        <v>CJ087</v>
      </c>
      <c r="CC57" s="26" t="str">
        <f>IF(INDEX('Shot Map'!$B$6:$V$26,CEILING($A57/5,1),CEILING(CC$2/5,1))=1,INDEX('Serial Reference'!$A$8:$W$8,1,FLOOR(($A57-1)/23,1)+1)&amp;INDEX('Serial Reference'!$A$8:$W$8,1,MOD($A57-1,23)+1)&amp;TEXT(CC$2+FLOOR((CC$2-1)/9,1),"000"),"")</f>
        <v>CJ088</v>
      </c>
      <c r="CD57" s="24" t="str">
        <f>IF(INDEX('Shot Map'!$B$6:$V$26,CEILING($A57/5,1),CEILING(CD$2/5,1))=1,INDEX('Serial Reference'!$A$8:$W$8,1,FLOOR(($A57-1)/23,1)+1)&amp;INDEX('Serial Reference'!$A$8:$W$8,1,MOD($A57-1,23)+1)&amp;TEXT(CD$2+FLOOR((CD$2-1)/9,1),"000"),"")</f>
        <v>CJ089</v>
      </c>
      <c r="CE57" s="25" t="str">
        <f>IF(INDEX('Shot Map'!$B$6:$V$26,CEILING($A57/5,1),CEILING(CE$2/5,1))=1,INDEX('Serial Reference'!$A$8:$W$8,1,FLOOR(($A57-1)/23,1)+1)&amp;INDEX('Serial Reference'!$A$8:$W$8,1,MOD($A57-1,23)+1)&amp;TEXT(CE$2+FLOOR((CE$2-1)/9,1),"000"),"")</f>
        <v>CJ091</v>
      </c>
      <c r="CF57" s="25" t="str">
        <f>IF(INDEX('Shot Map'!$B$6:$V$26,CEILING($A57/5,1),CEILING(CF$2/5,1))=1,INDEX('Serial Reference'!$A$8:$W$8,1,FLOOR(($A57-1)/23,1)+1)&amp;INDEX('Serial Reference'!$A$8:$W$8,1,MOD($A57-1,23)+1)&amp;TEXT(CF$2+FLOOR((CF$2-1)/9,1),"000"),"")</f>
        <v>CJ092</v>
      </c>
      <c r="CG57" s="25" t="str">
        <f>IF(INDEX('Shot Map'!$B$6:$V$26,CEILING($A57/5,1),CEILING(CG$2/5,1))=1,INDEX('Serial Reference'!$A$8:$W$8,1,FLOOR(($A57-1)/23,1)+1)&amp;INDEX('Serial Reference'!$A$8:$W$8,1,MOD($A57-1,23)+1)&amp;TEXT(CG$2+FLOOR((CG$2-1)/9,1),"000"),"")</f>
        <v>CJ093</v>
      </c>
      <c r="CH57" s="26" t="str">
        <f>IF(INDEX('Shot Map'!$B$6:$V$26,CEILING($A57/5,1),CEILING(CH$2/5,1))=1,INDEX('Serial Reference'!$A$8:$W$8,1,FLOOR(($A57-1)/23,1)+1)&amp;INDEX('Serial Reference'!$A$8:$W$8,1,MOD($A57-1,23)+1)&amp;TEXT(CH$2+FLOOR((CH$2-1)/9,1),"000"),"")</f>
        <v>CJ094</v>
      </c>
      <c r="CI57" s="24" t="str">
        <f>IF(INDEX('Shot Map'!$B$6:$V$26,CEILING($A57/5,1),CEILING(CI$2/5,1))=1,INDEX('Serial Reference'!$A$8:$W$8,1,FLOOR(($A57-1)/23,1)+1)&amp;INDEX('Serial Reference'!$A$8:$W$8,1,MOD($A57-1,23)+1)&amp;TEXT(CI$2+FLOOR((CI$2-1)/9,1),"000"),"")</f>
        <v>CJ095</v>
      </c>
      <c r="CJ57" s="25" t="str">
        <f>IF(INDEX('Shot Map'!$B$6:$V$26,CEILING($A57/5,1),CEILING(CJ$2/5,1))=1,INDEX('Serial Reference'!$A$8:$W$8,1,FLOOR(($A57-1)/23,1)+1)&amp;INDEX('Serial Reference'!$A$8:$W$8,1,MOD($A57-1,23)+1)&amp;TEXT(CJ$2+FLOOR((CJ$2-1)/9,1),"000"),"")</f>
        <v>CJ096</v>
      </c>
      <c r="CK57" s="25" t="str">
        <f>IF(INDEX('Shot Map'!$B$6:$V$26,CEILING($A57/5,1),CEILING(CK$2/5,1))=1,INDEX('Serial Reference'!$A$8:$W$8,1,FLOOR(($A57-1)/23,1)+1)&amp;INDEX('Serial Reference'!$A$8:$W$8,1,MOD($A57-1,23)+1)&amp;TEXT(CK$2+FLOOR((CK$2-1)/9,1),"000"),"")</f>
        <v>CJ097</v>
      </c>
      <c r="CL57" s="25" t="str">
        <f>IF(INDEX('Shot Map'!$B$6:$V$26,CEILING($A57/5,1),CEILING(CL$2/5,1))=1,INDEX('Serial Reference'!$A$8:$W$8,1,FLOOR(($A57-1)/23,1)+1)&amp;INDEX('Serial Reference'!$A$8:$W$8,1,MOD($A57-1,23)+1)&amp;TEXT(CL$2+FLOOR((CL$2-1)/9,1),"000"),"")</f>
        <v>CJ098</v>
      </c>
      <c r="CM57" s="26" t="str">
        <f>IF(INDEX('Shot Map'!$B$6:$V$26,CEILING($A57/5,1),CEILING(CM$2/5,1))=1,INDEX('Serial Reference'!$A$8:$W$8,1,FLOOR(($A57-1)/23,1)+1)&amp;INDEX('Serial Reference'!$A$8:$W$8,1,MOD($A57-1,23)+1)&amp;TEXT(CM$2+FLOOR((CM$2-1)/9,1),"000"),"")</f>
        <v>CJ099</v>
      </c>
      <c r="CN57" s="24" t="str">
        <f>IF(INDEX('Shot Map'!$B$6:$V$26,CEILING($A57/5,1),CEILING(CN$2/5,1))=1,INDEX('Serial Reference'!$A$8:$W$8,1,FLOOR(($A57-1)/23,1)+1)&amp;INDEX('Serial Reference'!$A$8:$W$8,1,MOD($A57-1,23)+1)&amp;TEXT(CN$2+FLOOR((CN$2-1)/9,1),"000"),"")</f>
        <v>CJ101</v>
      </c>
      <c r="CO57" s="25" t="str">
        <f>IF(INDEX('Shot Map'!$B$6:$V$26,CEILING($A57/5,1),CEILING(CO$2/5,1))=1,INDEX('Serial Reference'!$A$8:$W$8,1,FLOOR(($A57-1)/23,1)+1)&amp;INDEX('Serial Reference'!$A$8:$W$8,1,MOD($A57-1,23)+1)&amp;TEXT(CO$2+FLOOR((CO$2-1)/9,1),"000"),"")</f>
        <v>CJ102</v>
      </c>
      <c r="CP57" s="25" t="str">
        <f>IF(INDEX('Shot Map'!$B$6:$V$26,CEILING($A57/5,1),CEILING(CP$2/5,1))=1,INDEX('Serial Reference'!$A$8:$W$8,1,FLOOR(($A57-1)/23,1)+1)&amp;INDEX('Serial Reference'!$A$8:$W$8,1,MOD($A57-1,23)+1)&amp;TEXT(CP$2+FLOOR((CP$2-1)/9,1),"000"),"")</f>
        <v>CJ103</v>
      </c>
      <c r="CQ57" s="25" t="str">
        <f>IF(INDEX('Shot Map'!$B$6:$V$26,CEILING($A57/5,1),CEILING(CQ$2/5,1))=1,INDEX('Serial Reference'!$A$8:$W$8,1,FLOOR(($A57-1)/23,1)+1)&amp;INDEX('Serial Reference'!$A$8:$W$8,1,MOD($A57-1,23)+1)&amp;TEXT(CQ$2+FLOOR((CQ$2-1)/9,1),"000"),"")</f>
        <v>CJ104</v>
      </c>
      <c r="CR57" s="26" t="str">
        <f>IF(INDEX('Shot Map'!$B$6:$V$26,CEILING($A57/5,1),CEILING(CR$2/5,1))=1,INDEX('Serial Reference'!$A$8:$W$8,1,FLOOR(($A57-1)/23,1)+1)&amp;INDEX('Serial Reference'!$A$8:$W$8,1,MOD($A57-1,23)+1)&amp;TEXT(CR$2+FLOOR((CR$2-1)/9,1),"000"),"")</f>
        <v>CJ105</v>
      </c>
      <c r="CS57" s="24" t="str">
        <f>IF(INDEX('Shot Map'!$B$6:$V$26,CEILING($A57/5,1),CEILING(CS$2/5,1))=1,INDEX('Serial Reference'!$A$8:$W$8,1,FLOOR(($A57-1)/23,1)+1)&amp;INDEX('Serial Reference'!$A$8:$W$8,1,MOD($A57-1,23)+1)&amp;TEXT(CS$2+FLOOR((CS$2-1)/9,1),"000"),"")</f>
        <v>CJ106</v>
      </c>
      <c r="CT57" s="25" t="str">
        <f>IF(INDEX('Shot Map'!$B$6:$V$26,CEILING($A57/5,1),CEILING(CT$2/5,1))=1,INDEX('Serial Reference'!$A$8:$W$8,1,FLOOR(($A57-1)/23,1)+1)&amp;INDEX('Serial Reference'!$A$8:$W$8,1,MOD($A57-1,23)+1)&amp;TEXT(CT$2+FLOOR((CT$2-1)/9,1),"000"),"")</f>
        <v>CJ107</v>
      </c>
      <c r="CU57" s="25" t="str">
        <f>IF(INDEX('Shot Map'!$B$6:$V$26,CEILING($A57/5,1),CEILING(CU$2/5,1))=1,INDEX('Serial Reference'!$A$8:$W$8,1,FLOOR(($A57-1)/23,1)+1)&amp;INDEX('Serial Reference'!$A$8:$W$8,1,MOD($A57-1,23)+1)&amp;TEXT(CU$2+FLOOR((CU$2-1)/9,1),"000"),"")</f>
        <v>CJ108</v>
      </c>
      <c r="CV57" s="25" t="str">
        <f>IF(INDEX('Shot Map'!$B$6:$V$26,CEILING($A57/5,1),CEILING(CV$2/5,1))=1,INDEX('Serial Reference'!$A$8:$W$8,1,FLOOR(($A57-1)/23,1)+1)&amp;INDEX('Serial Reference'!$A$8:$W$8,1,MOD($A57-1,23)+1)&amp;TEXT(CV$2+FLOOR((CV$2-1)/9,1),"000"),"")</f>
        <v>CJ109</v>
      </c>
      <c r="CW57" s="26" t="str">
        <f>IF(INDEX('Shot Map'!$B$6:$V$26,CEILING($A57/5,1),CEILING(CW$2/5,1))=1,INDEX('Serial Reference'!$A$8:$W$8,1,FLOOR(($A57-1)/23,1)+1)&amp;INDEX('Serial Reference'!$A$8:$W$8,1,MOD($A57-1,23)+1)&amp;TEXT(CW$2+FLOOR((CW$2-1)/9,1),"000"),"")</f>
        <v>CJ111</v>
      </c>
      <c r="CX57" s="24" t="str">
        <f>IF(INDEX('Shot Map'!$B$6:$V$26,CEILING($A57/5,1),CEILING(CX$2/5,1))=1,INDEX('Serial Reference'!$A$8:$W$8,1,FLOOR(($A57-1)/23,1)+1)&amp;INDEX('Serial Reference'!$A$8:$W$8,1,MOD($A57-1,23)+1)&amp;TEXT(CX$2+FLOOR((CX$2-1)/9,1),"000"),"")</f>
        <v>CJ112</v>
      </c>
      <c r="CY57" s="25" t="str">
        <f>IF(INDEX('Shot Map'!$B$6:$V$26,CEILING($A57/5,1),CEILING(CY$2/5,1))=1,INDEX('Serial Reference'!$A$8:$W$8,1,FLOOR(($A57-1)/23,1)+1)&amp;INDEX('Serial Reference'!$A$8:$W$8,1,MOD($A57-1,23)+1)&amp;TEXT(CY$2+FLOOR((CY$2-1)/9,1),"000"),"")</f>
        <v>CJ113</v>
      </c>
      <c r="CZ57" s="25" t="str">
        <f>IF(INDEX('Shot Map'!$B$6:$V$26,CEILING($A57/5,1),CEILING(CZ$2/5,1))=1,INDEX('Serial Reference'!$A$8:$W$8,1,FLOOR(($A57-1)/23,1)+1)&amp;INDEX('Serial Reference'!$A$8:$W$8,1,MOD($A57-1,23)+1)&amp;TEXT(CZ$2+FLOOR((CZ$2-1)/9,1),"000"),"")</f>
        <v>CJ114</v>
      </c>
      <c r="DA57" s="25" t="str">
        <f>IF(INDEX('Shot Map'!$B$6:$V$26,CEILING($A57/5,1),CEILING(DA$2/5,1))=1,INDEX('Serial Reference'!$A$8:$W$8,1,FLOOR(($A57-1)/23,1)+1)&amp;INDEX('Serial Reference'!$A$8:$W$8,1,MOD($A57-1,23)+1)&amp;TEXT(DA$2+FLOOR((DA$2-1)/9,1),"000"),"")</f>
        <v>CJ115</v>
      </c>
      <c r="DB57" s="26" t="str">
        <f>IF(INDEX('Shot Map'!$B$6:$V$26,CEILING($A57/5,1),CEILING(DB$2/5,1))=1,INDEX('Serial Reference'!$A$8:$W$8,1,FLOOR(($A57-1)/23,1)+1)&amp;INDEX('Serial Reference'!$A$8:$W$8,1,MOD($A57-1,23)+1)&amp;TEXT(DB$2+FLOOR((DB$2-1)/9,1),"000"),"")</f>
        <v>CJ116</v>
      </c>
    </row>
    <row r="58" spans="1:106" ht="12.75" customHeight="1" x14ac:dyDescent="0.25">
      <c r="A58" s="17">
        <v>56</v>
      </c>
      <c r="B58" s="18" t="str">
        <f>IF(INDEX('Shot Map'!$B$6:$V$26,CEILING($A58/5,1),CEILING(B$2/5,1))=1,INDEX('Serial Reference'!$A$8:$W$8,1,FLOOR(($A58-1)/23,1)+1)&amp;INDEX('Serial Reference'!$A$8:$W$8,1,MOD($A58-1,23)+1)&amp;TEXT(B$2+FLOOR((B$2-1)/9,1),"000"),"")</f>
        <v>CK001</v>
      </c>
      <c r="C58" s="19" t="str">
        <f>IF(INDEX('Shot Map'!$B$6:$V$26,CEILING($A58/5,1),CEILING(C$2/5,1))=1,INDEX('Serial Reference'!$A$8:$W$8,1,FLOOR(($A58-1)/23,1)+1)&amp;INDEX('Serial Reference'!$A$8:$W$8,1,MOD($A58-1,23)+1)&amp;TEXT(C$2+FLOOR((C$2-1)/9,1),"000"),"")</f>
        <v>CK002</v>
      </c>
      <c r="D58" s="19" t="str">
        <f>IF(INDEX('Shot Map'!$B$6:$V$26,CEILING($A58/5,1),CEILING(D$2/5,1))=1,INDEX('Serial Reference'!$A$8:$W$8,1,FLOOR(($A58-1)/23,1)+1)&amp;INDEX('Serial Reference'!$A$8:$W$8,1,MOD($A58-1,23)+1)&amp;TEXT(D$2+FLOOR((D$2-1)/9,1),"000"),"")</f>
        <v>CK003</v>
      </c>
      <c r="E58" s="19" t="str">
        <f>IF(INDEX('Shot Map'!$B$6:$V$26,CEILING($A58/5,1),CEILING(E$2/5,1))=1,INDEX('Serial Reference'!$A$8:$W$8,1,FLOOR(($A58-1)/23,1)+1)&amp;INDEX('Serial Reference'!$A$8:$W$8,1,MOD($A58-1,23)+1)&amp;TEXT(E$2+FLOOR((E$2-1)/9,1),"000"),"")</f>
        <v>CK004</v>
      </c>
      <c r="F58" s="20" t="str">
        <f>IF(INDEX('Shot Map'!$B$6:$V$26,CEILING($A58/5,1),CEILING(F$2/5,1))=1,INDEX('Serial Reference'!$A$8:$W$8,1,FLOOR(($A58-1)/23,1)+1)&amp;INDEX('Serial Reference'!$A$8:$W$8,1,MOD($A58-1,23)+1)&amp;TEXT(F$2+FLOOR((F$2-1)/9,1),"000"),"")</f>
        <v>CK005</v>
      </c>
      <c r="G58" s="18" t="str">
        <f>IF(INDEX('Shot Map'!$B$6:$V$26,CEILING($A58/5,1),CEILING(G$2/5,1))=1,INDEX('Serial Reference'!$A$8:$W$8,1,FLOOR(($A58-1)/23,1)+1)&amp;INDEX('Serial Reference'!$A$8:$W$8,1,MOD($A58-1,23)+1)&amp;TEXT(G$2+FLOOR((G$2-1)/9,1),"000"),"")</f>
        <v>CK006</v>
      </c>
      <c r="H58" s="19" t="str">
        <f>IF(INDEX('Shot Map'!$B$6:$V$26,CEILING($A58/5,1),CEILING(H$2/5,1))=1,INDEX('Serial Reference'!$A$8:$W$8,1,FLOOR(($A58-1)/23,1)+1)&amp;INDEX('Serial Reference'!$A$8:$W$8,1,MOD($A58-1,23)+1)&amp;TEXT(H$2+FLOOR((H$2-1)/9,1),"000"),"")</f>
        <v>CK007</v>
      </c>
      <c r="I58" s="19" t="str">
        <f>IF(INDEX('Shot Map'!$B$6:$V$26,CEILING($A58/5,1),CEILING(I$2/5,1))=1,INDEX('Serial Reference'!$A$8:$W$8,1,FLOOR(($A58-1)/23,1)+1)&amp;INDEX('Serial Reference'!$A$8:$W$8,1,MOD($A58-1,23)+1)&amp;TEXT(I$2+FLOOR((I$2-1)/9,1),"000"),"")</f>
        <v>CK008</v>
      </c>
      <c r="J58" s="19" t="str">
        <f>IF(INDEX('Shot Map'!$B$6:$V$26,CEILING($A58/5,1),CEILING(J$2/5,1))=1,INDEX('Serial Reference'!$A$8:$W$8,1,FLOOR(($A58-1)/23,1)+1)&amp;INDEX('Serial Reference'!$A$8:$W$8,1,MOD($A58-1,23)+1)&amp;TEXT(J$2+FLOOR((J$2-1)/9,1),"000"),"")</f>
        <v>CK009</v>
      </c>
      <c r="K58" s="20" t="str">
        <f>IF(INDEX('Shot Map'!$B$6:$V$26,CEILING($A58/5,1),CEILING(K$2/5,1))=1,INDEX('Serial Reference'!$A$8:$W$8,1,FLOOR(($A58-1)/23,1)+1)&amp;INDEX('Serial Reference'!$A$8:$W$8,1,MOD($A58-1,23)+1)&amp;TEXT(K$2+FLOOR((K$2-1)/9,1),"000"),"")</f>
        <v>CK011</v>
      </c>
      <c r="L58" s="18" t="str">
        <f>IF(INDEX('Shot Map'!$B$6:$V$26,CEILING($A58/5,1),CEILING(L$2/5,1))=1,INDEX('Serial Reference'!$A$8:$W$8,1,FLOOR(($A58-1)/23,1)+1)&amp;INDEX('Serial Reference'!$A$8:$W$8,1,MOD($A58-1,23)+1)&amp;TEXT(L$2+FLOOR((L$2-1)/9,1),"000"),"")</f>
        <v>CK012</v>
      </c>
      <c r="M58" s="19" t="str">
        <f>IF(INDEX('Shot Map'!$B$6:$V$26,CEILING($A58/5,1),CEILING(M$2/5,1))=1,INDEX('Serial Reference'!$A$8:$W$8,1,FLOOR(($A58-1)/23,1)+1)&amp;INDEX('Serial Reference'!$A$8:$W$8,1,MOD($A58-1,23)+1)&amp;TEXT(M$2+FLOOR((M$2-1)/9,1),"000"),"")</f>
        <v>CK013</v>
      </c>
      <c r="N58" s="19" t="str">
        <f>IF(INDEX('Shot Map'!$B$6:$V$26,CEILING($A58/5,1),CEILING(N$2/5,1))=1,INDEX('Serial Reference'!$A$8:$W$8,1,FLOOR(($A58-1)/23,1)+1)&amp;INDEX('Serial Reference'!$A$8:$W$8,1,MOD($A58-1,23)+1)&amp;TEXT(N$2+FLOOR((N$2-1)/9,1),"000"),"")</f>
        <v>CK014</v>
      </c>
      <c r="O58" s="19" t="str">
        <f>IF(INDEX('Shot Map'!$B$6:$V$26,CEILING($A58/5,1),CEILING(O$2/5,1))=1,INDEX('Serial Reference'!$A$8:$W$8,1,FLOOR(($A58-1)/23,1)+1)&amp;INDEX('Serial Reference'!$A$8:$W$8,1,MOD($A58-1,23)+1)&amp;TEXT(O$2+FLOOR((O$2-1)/9,1),"000"),"")</f>
        <v>CK015</v>
      </c>
      <c r="P58" s="20" t="str">
        <f>IF(INDEX('Shot Map'!$B$6:$V$26,CEILING($A58/5,1),CEILING(P$2/5,1))=1,INDEX('Serial Reference'!$A$8:$W$8,1,FLOOR(($A58-1)/23,1)+1)&amp;INDEX('Serial Reference'!$A$8:$W$8,1,MOD($A58-1,23)+1)&amp;TEXT(P$2+FLOOR((P$2-1)/9,1),"000"),"")</f>
        <v>CK016</v>
      </c>
      <c r="Q58" s="18" t="str">
        <f>IF(INDEX('Shot Map'!$B$6:$V$26,CEILING($A58/5,1),CEILING(Q$2/5,1))=1,INDEX('Serial Reference'!$A$8:$W$8,1,FLOOR(($A58-1)/23,1)+1)&amp;INDEX('Serial Reference'!$A$8:$W$8,1,MOD($A58-1,23)+1)&amp;TEXT(Q$2+FLOOR((Q$2-1)/9,1),"000"),"")</f>
        <v>CK017</v>
      </c>
      <c r="R58" s="19" t="str">
        <f>IF(INDEX('Shot Map'!$B$6:$V$26,CEILING($A58/5,1),CEILING(R$2/5,1))=1,INDEX('Serial Reference'!$A$8:$W$8,1,FLOOR(($A58-1)/23,1)+1)&amp;INDEX('Serial Reference'!$A$8:$W$8,1,MOD($A58-1,23)+1)&amp;TEXT(R$2+FLOOR((R$2-1)/9,1),"000"),"")</f>
        <v>CK018</v>
      </c>
      <c r="S58" s="19" t="str">
        <f>IF(INDEX('Shot Map'!$B$6:$V$26,CEILING($A58/5,1),CEILING(S$2/5,1))=1,INDEX('Serial Reference'!$A$8:$W$8,1,FLOOR(($A58-1)/23,1)+1)&amp;INDEX('Serial Reference'!$A$8:$W$8,1,MOD($A58-1,23)+1)&amp;TEXT(S$2+FLOOR((S$2-1)/9,1),"000"),"")</f>
        <v>CK019</v>
      </c>
      <c r="T58" s="19" t="str">
        <f>IF(INDEX('Shot Map'!$B$6:$V$26,CEILING($A58/5,1),CEILING(T$2/5,1))=1,INDEX('Serial Reference'!$A$8:$W$8,1,FLOOR(($A58-1)/23,1)+1)&amp;INDEX('Serial Reference'!$A$8:$W$8,1,MOD($A58-1,23)+1)&amp;TEXT(T$2+FLOOR((T$2-1)/9,1),"000"),"")</f>
        <v>CK021</v>
      </c>
      <c r="U58" s="20" t="str">
        <f>IF(INDEX('Shot Map'!$B$6:$V$26,CEILING($A58/5,1),CEILING(U$2/5,1))=1,INDEX('Serial Reference'!$A$8:$W$8,1,FLOOR(($A58-1)/23,1)+1)&amp;INDEX('Serial Reference'!$A$8:$W$8,1,MOD($A58-1,23)+1)&amp;TEXT(U$2+FLOOR((U$2-1)/9,1),"000"),"")</f>
        <v>CK022</v>
      </c>
      <c r="V58" s="18" t="str">
        <f>IF(INDEX('Shot Map'!$B$6:$V$26,CEILING($A58/5,1),CEILING(V$2/5,1))=1,INDEX('Serial Reference'!$A$8:$W$8,1,FLOOR(($A58-1)/23,1)+1)&amp;INDEX('Serial Reference'!$A$8:$W$8,1,MOD($A58-1,23)+1)&amp;TEXT(V$2+FLOOR((V$2-1)/9,1),"000"),"")</f>
        <v>CK023</v>
      </c>
      <c r="W58" s="19" t="str">
        <f>IF(INDEX('Shot Map'!$B$6:$V$26,CEILING($A58/5,1),CEILING(W$2/5,1))=1,INDEX('Serial Reference'!$A$8:$W$8,1,FLOOR(($A58-1)/23,1)+1)&amp;INDEX('Serial Reference'!$A$8:$W$8,1,MOD($A58-1,23)+1)&amp;TEXT(W$2+FLOOR((W$2-1)/9,1),"000"),"")</f>
        <v>CK024</v>
      </c>
      <c r="X58" s="19" t="str">
        <f>IF(INDEX('Shot Map'!$B$6:$V$26,CEILING($A58/5,1),CEILING(X$2/5,1))=1,INDEX('Serial Reference'!$A$8:$W$8,1,FLOOR(($A58-1)/23,1)+1)&amp;INDEX('Serial Reference'!$A$8:$W$8,1,MOD($A58-1,23)+1)&amp;TEXT(X$2+FLOOR((X$2-1)/9,1),"000"),"")</f>
        <v>CK025</v>
      </c>
      <c r="Y58" s="19" t="str">
        <f>IF(INDEX('Shot Map'!$B$6:$V$26,CEILING($A58/5,1),CEILING(Y$2/5,1))=1,INDEX('Serial Reference'!$A$8:$W$8,1,FLOOR(($A58-1)/23,1)+1)&amp;INDEX('Serial Reference'!$A$8:$W$8,1,MOD($A58-1,23)+1)&amp;TEXT(Y$2+FLOOR((Y$2-1)/9,1),"000"),"")</f>
        <v>CK026</v>
      </c>
      <c r="Z58" s="20" t="str">
        <f>IF(INDEX('Shot Map'!$B$6:$V$26,CEILING($A58/5,1),CEILING(Z$2/5,1))=1,INDEX('Serial Reference'!$A$8:$W$8,1,FLOOR(($A58-1)/23,1)+1)&amp;INDEX('Serial Reference'!$A$8:$W$8,1,MOD($A58-1,23)+1)&amp;TEXT(Z$2+FLOOR((Z$2-1)/9,1),"000"),"")</f>
        <v>CK027</v>
      </c>
      <c r="AA58" s="18" t="str">
        <f>IF(INDEX('Shot Map'!$B$6:$V$26,CEILING($A58/5,1),CEILING(AA$2/5,1))=1,INDEX('Serial Reference'!$A$8:$W$8,1,FLOOR(($A58-1)/23,1)+1)&amp;INDEX('Serial Reference'!$A$8:$W$8,1,MOD($A58-1,23)+1)&amp;TEXT(AA$2+FLOOR((AA$2-1)/9,1),"000"),"")</f>
        <v>CK028</v>
      </c>
      <c r="AB58" s="19" t="str">
        <f>IF(INDEX('Shot Map'!$B$6:$V$26,CEILING($A58/5,1),CEILING(AB$2/5,1))=1,INDEX('Serial Reference'!$A$8:$W$8,1,FLOOR(($A58-1)/23,1)+1)&amp;INDEX('Serial Reference'!$A$8:$W$8,1,MOD($A58-1,23)+1)&amp;TEXT(AB$2+FLOOR((AB$2-1)/9,1),"000"),"")</f>
        <v>CK029</v>
      </c>
      <c r="AC58" s="19" t="str">
        <f>IF(INDEX('Shot Map'!$B$6:$V$26,CEILING($A58/5,1),CEILING(AC$2/5,1))=1,INDEX('Serial Reference'!$A$8:$W$8,1,FLOOR(($A58-1)/23,1)+1)&amp;INDEX('Serial Reference'!$A$8:$W$8,1,MOD($A58-1,23)+1)&amp;TEXT(AC$2+FLOOR((AC$2-1)/9,1),"000"),"")</f>
        <v>CK031</v>
      </c>
      <c r="AD58" s="19" t="str">
        <f>IF(INDEX('Shot Map'!$B$6:$V$26,CEILING($A58/5,1),CEILING(AD$2/5,1))=1,INDEX('Serial Reference'!$A$8:$W$8,1,FLOOR(($A58-1)/23,1)+1)&amp;INDEX('Serial Reference'!$A$8:$W$8,1,MOD($A58-1,23)+1)&amp;TEXT(AD$2+FLOOR((AD$2-1)/9,1),"000"),"")</f>
        <v>CK032</v>
      </c>
      <c r="AE58" s="20" t="str">
        <f>IF(INDEX('Shot Map'!$B$6:$V$26,CEILING($A58/5,1),CEILING(AE$2/5,1))=1,INDEX('Serial Reference'!$A$8:$W$8,1,FLOOR(($A58-1)/23,1)+1)&amp;INDEX('Serial Reference'!$A$8:$W$8,1,MOD($A58-1,23)+1)&amp;TEXT(AE$2+FLOOR((AE$2-1)/9,1),"000"),"")</f>
        <v>CK033</v>
      </c>
      <c r="AF58" s="18" t="str">
        <f>IF(INDEX('Shot Map'!$B$6:$V$26,CEILING($A58/5,1),CEILING(AF$2/5,1))=1,INDEX('Serial Reference'!$A$8:$W$8,1,FLOOR(($A58-1)/23,1)+1)&amp;INDEX('Serial Reference'!$A$8:$W$8,1,MOD($A58-1,23)+1)&amp;TEXT(AF$2+FLOOR((AF$2-1)/9,1),"000"),"")</f>
        <v>CK034</v>
      </c>
      <c r="AG58" s="19" t="str">
        <f>IF(INDEX('Shot Map'!$B$6:$V$26,CEILING($A58/5,1),CEILING(AG$2/5,1))=1,INDEX('Serial Reference'!$A$8:$W$8,1,FLOOR(($A58-1)/23,1)+1)&amp;INDEX('Serial Reference'!$A$8:$W$8,1,MOD($A58-1,23)+1)&amp;TEXT(AG$2+FLOOR((AG$2-1)/9,1),"000"),"")</f>
        <v>CK035</v>
      </c>
      <c r="AH58" s="19" t="str">
        <f>IF(INDEX('Shot Map'!$B$6:$V$26,CEILING($A58/5,1),CEILING(AH$2/5,1))=1,INDEX('Serial Reference'!$A$8:$W$8,1,FLOOR(($A58-1)/23,1)+1)&amp;INDEX('Serial Reference'!$A$8:$W$8,1,MOD($A58-1,23)+1)&amp;TEXT(AH$2+FLOOR((AH$2-1)/9,1),"000"),"")</f>
        <v>CK036</v>
      </c>
      <c r="AI58" s="19" t="str">
        <f>IF(INDEX('Shot Map'!$B$6:$V$26,CEILING($A58/5,1),CEILING(AI$2/5,1))=1,INDEX('Serial Reference'!$A$8:$W$8,1,FLOOR(($A58-1)/23,1)+1)&amp;INDEX('Serial Reference'!$A$8:$W$8,1,MOD($A58-1,23)+1)&amp;TEXT(AI$2+FLOOR((AI$2-1)/9,1),"000"),"")</f>
        <v>CK037</v>
      </c>
      <c r="AJ58" s="20" t="str">
        <f>IF(INDEX('Shot Map'!$B$6:$V$26,CEILING($A58/5,1),CEILING(AJ$2/5,1))=1,INDEX('Serial Reference'!$A$8:$W$8,1,FLOOR(($A58-1)/23,1)+1)&amp;INDEX('Serial Reference'!$A$8:$W$8,1,MOD($A58-1,23)+1)&amp;TEXT(AJ$2+FLOOR((AJ$2-1)/9,1),"000"),"")</f>
        <v>CK038</v>
      </c>
      <c r="AK58" s="18" t="str">
        <f>IF(INDEX('Shot Map'!$B$6:$V$26,CEILING($A58/5,1),CEILING(AK$2/5,1))=1,INDEX('Serial Reference'!$A$8:$W$8,1,FLOOR(($A58-1)/23,1)+1)&amp;INDEX('Serial Reference'!$A$8:$W$8,1,MOD($A58-1,23)+1)&amp;TEXT(AK$2+FLOOR((AK$2-1)/9,1),"000"),"")</f>
        <v>CK039</v>
      </c>
      <c r="AL58" s="19" t="str">
        <f>IF(INDEX('Shot Map'!$B$6:$V$26,CEILING($A58/5,1),CEILING(AL$2/5,1))=1,INDEX('Serial Reference'!$A$8:$W$8,1,FLOOR(($A58-1)/23,1)+1)&amp;INDEX('Serial Reference'!$A$8:$W$8,1,MOD($A58-1,23)+1)&amp;TEXT(AL$2+FLOOR((AL$2-1)/9,1),"000"),"")</f>
        <v>CK041</v>
      </c>
      <c r="AM58" s="19" t="str">
        <f>IF(INDEX('Shot Map'!$B$6:$V$26,CEILING($A58/5,1),CEILING(AM$2/5,1))=1,INDEX('Serial Reference'!$A$8:$W$8,1,FLOOR(($A58-1)/23,1)+1)&amp;INDEX('Serial Reference'!$A$8:$W$8,1,MOD($A58-1,23)+1)&amp;TEXT(AM$2+FLOOR((AM$2-1)/9,1),"000"),"")</f>
        <v>CK042</v>
      </c>
      <c r="AN58" s="19" t="str">
        <f>IF(INDEX('Shot Map'!$B$6:$V$26,CEILING($A58/5,1),CEILING(AN$2/5,1))=1,INDEX('Serial Reference'!$A$8:$W$8,1,FLOOR(($A58-1)/23,1)+1)&amp;INDEX('Serial Reference'!$A$8:$W$8,1,MOD($A58-1,23)+1)&amp;TEXT(AN$2+FLOOR((AN$2-1)/9,1),"000"),"")</f>
        <v>CK043</v>
      </c>
      <c r="AO58" s="20" t="str">
        <f>IF(INDEX('Shot Map'!$B$6:$V$26,CEILING($A58/5,1),CEILING(AO$2/5,1))=1,INDEX('Serial Reference'!$A$8:$W$8,1,FLOOR(($A58-1)/23,1)+1)&amp;INDEX('Serial Reference'!$A$8:$W$8,1,MOD($A58-1,23)+1)&amp;TEXT(AO$2+FLOOR((AO$2-1)/9,1),"000"),"")</f>
        <v>CK044</v>
      </c>
      <c r="AP58" s="18" t="str">
        <f>IF(INDEX('Shot Map'!$B$6:$V$26,CEILING($A58/5,1),CEILING(AP$2/5,1))=1,INDEX('Serial Reference'!$A$8:$W$8,1,FLOOR(($A58-1)/23,1)+1)&amp;INDEX('Serial Reference'!$A$8:$W$8,1,MOD($A58-1,23)+1)&amp;TEXT(AP$2+FLOOR((AP$2-1)/9,1),"000"),"")</f>
        <v>CK045</v>
      </c>
      <c r="AQ58" s="19" t="str">
        <f>IF(INDEX('Shot Map'!$B$6:$V$26,CEILING($A58/5,1),CEILING(AQ$2/5,1))=1,INDEX('Serial Reference'!$A$8:$W$8,1,FLOOR(($A58-1)/23,1)+1)&amp;INDEX('Serial Reference'!$A$8:$W$8,1,MOD($A58-1,23)+1)&amp;TEXT(AQ$2+FLOOR((AQ$2-1)/9,1),"000"),"")</f>
        <v>CK046</v>
      </c>
      <c r="AR58" s="19" t="str">
        <f>IF(INDEX('Shot Map'!$B$6:$V$26,CEILING($A58/5,1),CEILING(AR$2/5,1))=1,INDEX('Serial Reference'!$A$8:$W$8,1,FLOOR(($A58-1)/23,1)+1)&amp;INDEX('Serial Reference'!$A$8:$W$8,1,MOD($A58-1,23)+1)&amp;TEXT(AR$2+FLOOR((AR$2-1)/9,1),"000"),"")</f>
        <v>CK047</v>
      </c>
      <c r="AS58" s="19" t="str">
        <f>IF(INDEX('Shot Map'!$B$6:$V$26,CEILING($A58/5,1),CEILING(AS$2/5,1))=1,INDEX('Serial Reference'!$A$8:$W$8,1,FLOOR(($A58-1)/23,1)+1)&amp;INDEX('Serial Reference'!$A$8:$W$8,1,MOD($A58-1,23)+1)&amp;TEXT(AS$2+FLOOR((AS$2-1)/9,1),"000"),"")</f>
        <v>CK048</v>
      </c>
      <c r="AT58" s="20" t="str">
        <f>IF(INDEX('Shot Map'!$B$6:$V$26,CEILING($A58/5,1),CEILING(AT$2/5,1))=1,INDEX('Serial Reference'!$A$8:$W$8,1,FLOOR(($A58-1)/23,1)+1)&amp;INDEX('Serial Reference'!$A$8:$W$8,1,MOD($A58-1,23)+1)&amp;TEXT(AT$2+FLOOR((AT$2-1)/9,1),"000"),"")</f>
        <v>CK049</v>
      </c>
      <c r="AU58" s="18" t="str">
        <f>IF(INDEX('Shot Map'!$B$6:$V$26,CEILING($A58/5,1),CEILING(AU$2/5,1))=1,INDEX('Serial Reference'!$A$8:$W$8,1,FLOOR(($A58-1)/23,1)+1)&amp;INDEX('Serial Reference'!$A$8:$W$8,1,MOD($A58-1,23)+1)&amp;TEXT(AU$2+FLOOR((AU$2-1)/9,1),"000"),"")</f>
        <v>CK051</v>
      </c>
      <c r="AV58" s="19" t="str">
        <f>IF(INDEX('Shot Map'!$B$6:$V$26,CEILING($A58/5,1),CEILING(AV$2/5,1))=1,INDEX('Serial Reference'!$A$8:$W$8,1,FLOOR(($A58-1)/23,1)+1)&amp;INDEX('Serial Reference'!$A$8:$W$8,1,MOD($A58-1,23)+1)&amp;TEXT(AV$2+FLOOR((AV$2-1)/9,1),"000"),"")</f>
        <v>CK052</v>
      </c>
      <c r="AW58" s="19" t="str">
        <f>IF(INDEX('Shot Map'!$B$6:$V$26,CEILING($A58/5,1),CEILING(AW$2/5,1))=1,INDEX('Serial Reference'!$A$8:$W$8,1,FLOOR(($A58-1)/23,1)+1)&amp;INDEX('Serial Reference'!$A$8:$W$8,1,MOD($A58-1,23)+1)&amp;TEXT(AW$2+FLOOR((AW$2-1)/9,1),"000"),"")</f>
        <v>CK053</v>
      </c>
      <c r="AX58" s="19" t="str">
        <f>IF(INDEX('Shot Map'!$B$6:$V$26,CEILING($A58/5,1),CEILING(AX$2/5,1))=1,INDEX('Serial Reference'!$A$8:$W$8,1,FLOOR(($A58-1)/23,1)+1)&amp;INDEX('Serial Reference'!$A$8:$W$8,1,MOD($A58-1,23)+1)&amp;TEXT(AX$2+FLOOR((AX$2-1)/9,1),"000"),"")</f>
        <v>CK054</v>
      </c>
      <c r="AY58" s="20" t="str">
        <f>IF(INDEX('Shot Map'!$B$6:$V$26,CEILING($A58/5,1),CEILING(AY$2/5,1))=1,INDEX('Serial Reference'!$A$8:$W$8,1,FLOOR(($A58-1)/23,1)+1)&amp;INDEX('Serial Reference'!$A$8:$W$8,1,MOD($A58-1,23)+1)&amp;TEXT(AY$2+FLOOR((AY$2-1)/9,1),"000"),"")</f>
        <v>CK055</v>
      </c>
      <c r="AZ58" s="18" t="str">
        <f>IF(INDEX('Shot Map'!$B$6:$V$26,CEILING($A58/5,1),CEILING(AZ$2/5,1))=1,INDEX('Serial Reference'!$A$8:$W$8,1,FLOOR(($A58-1)/23,1)+1)&amp;INDEX('Serial Reference'!$A$8:$W$8,1,MOD($A58-1,23)+1)&amp;TEXT(AZ$2+FLOOR((AZ$2-1)/9,1),"000"),"")</f>
        <v>CK056</v>
      </c>
      <c r="BA58" s="19" t="str">
        <f>IF(INDEX('Shot Map'!$B$6:$V$26,CEILING($A58/5,1),CEILING(BA$2/5,1))=1,INDEX('Serial Reference'!$A$8:$W$8,1,FLOOR(($A58-1)/23,1)+1)&amp;INDEX('Serial Reference'!$A$8:$W$8,1,MOD($A58-1,23)+1)&amp;TEXT(BA$2+FLOOR((BA$2-1)/9,1),"000"),"")</f>
        <v>CK057</v>
      </c>
      <c r="BB58" s="19" t="str">
        <f>IF(INDEX('Shot Map'!$B$6:$V$26,CEILING($A58/5,1),CEILING(BB$2/5,1))=1,INDEX('Serial Reference'!$A$8:$W$8,1,FLOOR(($A58-1)/23,1)+1)&amp;INDEX('Serial Reference'!$A$8:$W$8,1,MOD($A58-1,23)+1)&amp;TEXT(BB$2+FLOOR((BB$2-1)/9,1),"000"),"")</f>
        <v>CK058</v>
      </c>
      <c r="BC58" s="19" t="str">
        <f>IF(INDEX('Shot Map'!$B$6:$V$26,CEILING($A58/5,1),CEILING(BC$2/5,1))=1,INDEX('Serial Reference'!$A$8:$W$8,1,FLOOR(($A58-1)/23,1)+1)&amp;INDEX('Serial Reference'!$A$8:$W$8,1,MOD($A58-1,23)+1)&amp;TEXT(BC$2+FLOOR((BC$2-1)/9,1),"000"),"")</f>
        <v>CK059</v>
      </c>
      <c r="BD58" s="20" t="str">
        <f>IF(INDEX('Shot Map'!$B$6:$V$26,CEILING($A58/5,1),CEILING(BD$2/5,1))=1,INDEX('Serial Reference'!$A$8:$W$8,1,FLOOR(($A58-1)/23,1)+1)&amp;INDEX('Serial Reference'!$A$8:$W$8,1,MOD($A58-1,23)+1)&amp;TEXT(BD$2+FLOOR((BD$2-1)/9,1),"000"),"")</f>
        <v>CK061</v>
      </c>
      <c r="BE58" s="18" t="str">
        <f>IF(INDEX('Shot Map'!$B$6:$V$26,CEILING($A58/5,1),CEILING(BE$2/5,1))=1,INDEX('Serial Reference'!$A$8:$W$8,1,FLOOR(($A58-1)/23,1)+1)&amp;INDEX('Serial Reference'!$A$8:$W$8,1,MOD($A58-1,23)+1)&amp;TEXT(BE$2+FLOOR((BE$2-1)/9,1),"000"),"")</f>
        <v>CK062</v>
      </c>
      <c r="BF58" s="19" t="str">
        <f>IF(INDEX('Shot Map'!$B$6:$V$26,CEILING($A58/5,1),CEILING(BF$2/5,1))=1,INDEX('Serial Reference'!$A$8:$W$8,1,FLOOR(($A58-1)/23,1)+1)&amp;INDEX('Serial Reference'!$A$8:$W$8,1,MOD($A58-1,23)+1)&amp;TEXT(BF$2+FLOOR((BF$2-1)/9,1),"000"),"")</f>
        <v>CK063</v>
      </c>
      <c r="BG58" s="19" t="str">
        <f>IF(INDEX('Shot Map'!$B$6:$V$26,CEILING($A58/5,1),CEILING(BG$2/5,1))=1,INDEX('Serial Reference'!$A$8:$W$8,1,FLOOR(($A58-1)/23,1)+1)&amp;INDEX('Serial Reference'!$A$8:$W$8,1,MOD($A58-1,23)+1)&amp;TEXT(BG$2+FLOOR((BG$2-1)/9,1),"000"),"")</f>
        <v>CK064</v>
      </c>
      <c r="BH58" s="19" t="str">
        <f>IF(INDEX('Shot Map'!$B$6:$V$26,CEILING($A58/5,1),CEILING(BH$2/5,1))=1,INDEX('Serial Reference'!$A$8:$W$8,1,FLOOR(($A58-1)/23,1)+1)&amp;INDEX('Serial Reference'!$A$8:$W$8,1,MOD($A58-1,23)+1)&amp;TEXT(BH$2+FLOOR((BH$2-1)/9,1),"000"),"")</f>
        <v>CK065</v>
      </c>
      <c r="BI58" s="20" t="str">
        <f>IF(INDEX('Shot Map'!$B$6:$V$26,CEILING($A58/5,1),CEILING(BI$2/5,1))=1,INDEX('Serial Reference'!$A$8:$W$8,1,FLOOR(($A58-1)/23,1)+1)&amp;INDEX('Serial Reference'!$A$8:$W$8,1,MOD($A58-1,23)+1)&amp;TEXT(BI$2+FLOOR((BI$2-1)/9,1),"000"),"")</f>
        <v>CK066</v>
      </c>
      <c r="BJ58" s="18" t="str">
        <f>IF(INDEX('Shot Map'!$B$6:$V$26,CEILING($A58/5,1),CEILING(BJ$2/5,1))=1,INDEX('Serial Reference'!$A$8:$W$8,1,FLOOR(($A58-1)/23,1)+1)&amp;INDEX('Serial Reference'!$A$8:$W$8,1,MOD($A58-1,23)+1)&amp;TEXT(BJ$2+FLOOR((BJ$2-1)/9,1),"000"),"")</f>
        <v>CK067</v>
      </c>
      <c r="BK58" s="19" t="str">
        <f>IF(INDEX('Shot Map'!$B$6:$V$26,CEILING($A58/5,1),CEILING(BK$2/5,1))=1,INDEX('Serial Reference'!$A$8:$W$8,1,FLOOR(($A58-1)/23,1)+1)&amp;INDEX('Serial Reference'!$A$8:$W$8,1,MOD($A58-1,23)+1)&amp;TEXT(BK$2+FLOOR((BK$2-1)/9,1),"000"),"")</f>
        <v>CK068</v>
      </c>
      <c r="BL58" s="19" t="str">
        <f>IF(INDEX('Shot Map'!$B$6:$V$26,CEILING($A58/5,1),CEILING(BL$2/5,1))=1,INDEX('Serial Reference'!$A$8:$W$8,1,FLOOR(($A58-1)/23,1)+1)&amp;INDEX('Serial Reference'!$A$8:$W$8,1,MOD($A58-1,23)+1)&amp;TEXT(BL$2+FLOOR((BL$2-1)/9,1),"000"),"")</f>
        <v>CK069</v>
      </c>
      <c r="BM58" s="19" t="str">
        <f>IF(INDEX('Shot Map'!$B$6:$V$26,CEILING($A58/5,1),CEILING(BM$2/5,1))=1,INDEX('Serial Reference'!$A$8:$W$8,1,FLOOR(($A58-1)/23,1)+1)&amp;INDEX('Serial Reference'!$A$8:$W$8,1,MOD($A58-1,23)+1)&amp;TEXT(BM$2+FLOOR((BM$2-1)/9,1),"000"),"")</f>
        <v>CK071</v>
      </c>
      <c r="BN58" s="20" t="str">
        <f>IF(INDEX('Shot Map'!$B$6:$V$26,CEILING($A58/5,1),CEILING(BN$2/5,1))=1,INDEX('Serial Reference'!$A$8:$W$8,1,FLOOR(($A58-1)/23,1)+1)&amp;INDEX('Serial Reference'!$A$8:$W$8,1,MOD($A58-1,23)+1)&amp;TEXT(BN$2+FLOOR((BN$2-1)/9,1),"000"),"")</f>
        <v>CK072</v>
      </c>
      <c r="BO58" s="18" t="str">
        <f>IF(INDEX('Shot Map'!$B$6:$V$26,CEILING($A58/5,1),CEILING(BO$2/5,1))=1,INDEX('Serial Reference'!$A$8:$W$8,1,FLOOR(($A58-1)/23,1)+1)&amp;INDEX('Serial Reference'!$A$8:$W$8,1,MOD($A58-1,23)+1)&amp;TEXT(BO$2+FLOOR((BO$2-1)/9,1),"000"),"")</f>
        <v>CK073</v>
      </c>
      <c r="BP58" s="19" t="str">
        <f>IF(INDEX('Shot Map'!$B$6:$V$26,CEILING($A58/5,1),CEILING(BP$2/5,1))=1,INDEX('Serial Reference'!$A$8:$W$8,1,FLOOR(($A58-1)/23,1)+1)&amp;INDEX('Serial Reference'!$A$8:$W$8,1,MOD($A58-1,23)+1)&amp;TEXT(BP$2+FLOOR((BP$2-1)/9,1),"000"),"")</f>
        <v>CK074</v>
      </c>
      <c r="BQ58" s="19" t="str">
        <f>IF(INDEX('Shot Map'!$B$6:$V$26,CEILING($A58/5,1),CEILING(BQ$2/5,1))=1,INDEX('Serial Reference'!$A$8:$W$8,1,FLOOR(($A58-1)/23,1)+1)&amp;INDEX('Serial Reference'!$A$8:$W$8,1,MOD($A58-1,23)+1)&amp;TEXT(BQ$2+FLOOR((BQ$2-1)/9,1),"000"),"")</f>
        <v>CK075</v>
      </c>
      <c r="BR58" s="19" t="str">
        <f>IF(INDEX('Shot Map'!$B$6:$V$26,CEILING($A58/5,1),CEILING(BR$2/5,1))=1,INDEX('Serial Reference'!$A$8:$W$8,1,FLOOR(($A58-1)/23,1)+1)&amp;INDEX('Serial Reference'!$A$8:$W$8,1,MOD($A58-1,23)+1)&amp;TEXT(BR$2+FLOOR((BR$2-1)/9,1),"000"),"")</f>
        <v>CK076</v>
      </c>
      <c r="BS58" s="20" t="str">
        <f>IF(INDEX('Shot Map'!$B$6:$V$26,CEILING($A58/5,1),CEILING(BS$2/5,1))=1,INDEX('Serial Reference'!$A$8:$W$8,1,FLOOR(($A58-1)/23,1)+1)&amp;INDEX('Serial Reference'!$A$8:$W$8,1,MOD($A58-1,23)+1)&amp;TEXT(BS$2+FLOOR((BS$2-1)/9,1),"000"),"")</f>
        <v>CK077</v>
      </c>
      <c r="BT58" s="18" t="str">
        <f>IF(INDEX('Shot Map'!$B$6:$V$26,CEILING($A58/5,1),CEILING(BT$2/5,1))=1,INDEX('Serial Reference'!$A$8:$W$8,1,FLOOR(($A58-1)/23,1)+1)&amp;INDEX('Serial Reference'!$A$8:$W$8,1,MOD($A58-1,23)+1)&amp;TEXT(BT$2+FLOOR((BT$2-1)/9,1),"000"),"")</f>
        <v>CK078</v>
      </c>
      <c r="BU58" s="19" t="str">
        <f>IF(INDEX('Shot Map'!$B$6:$V$26,CEILING($A58/5,1),CEILING(BU$2/5,1))=1,INDEX('Serial Reference'!$A$8:$W$8,1,FLOOR(($A58-1)/23,1)+1)&amp;INDEX('Serial Reference'!$A$8:$W$8,1,MOD($A58-1,23)+1)&amp;TEXT(BU$2+FLOOR((BU$2-1)/9,1),"000"),"")</f>
        <v>CK079</v>
      </c>
      <c r="BV58" s="19" t="str">
        <f>IF(INDEX('Shot Map'!$B$6:$V$26,CEILING($A58/5,1),CEILING(BV$2/5,1))=1,INDEX('Serial Reference'!$A$8:$W$8,1,FLOOR(($A58-1)/23,1)+1)&amp;INDEX('Serial Reference'!$A$8:$W$8,1,MOD($A58-1,23)+1)&amp;TEXT(BV$2+FLOOR((BV$2-1)/9,1),"000"),"")</f>
        <v>CK081</v>
      </c>
      <c r="BW58" s="19" t="str">
        <f>IF(INDEX('Shot Map'!$B$6:$V$26,CEILING($A58/5,1),CEILING(BW$2/5,1))=1,INDEX('Serial Reference'!$A$8:$W$8,1,FLOOR(($A58-1)/23,1)+1)&amp;INDEX('Serial Reference'!$A$8:$W$8,1,MOD($A58-1,23)+1)&amp;TEXT(BW$2+FLOOR((BW$2-1)/9,1),"000"),"")</f>
        <v>CK082</v>
      </c>
      <c r="BX58" s="20" t="str">
        <f>IF(INDEX('Shot Map'!$B$6:$V$26,CEILING($A58/5,1),CEILING(BX$2/5,1))=1,INDEX('Serial Reference'!$A$8:$W$8,1,FLOOR(($A58-1)/23,1)+1)&amp;INDEX('Serial Reference'!$A$8:$W$8,1,MOD($A58-1,23)+1)&amp;TEXT(BX$2+FLOOR((BX$2-1)/9,1),"000"),"")</f>
        <v>CK083</v>
      </c>
      <c r="BY58" s="18" t="str">
        <f>IF(INDEX('Shot Map'!$B$6:$V$26,CEILING($A58/5,1),CEILING(BY$2/5,1))=1,INDEX('Serial Reference'!$A$8:$W$8,1,FLOOR(($A58-1)/23,1)+1)&amp;INDEX('Serial Reference'!$A$8:$W$8,1,MOD($A58-1,23)+1)&amp;TEXT(BY$2+FLOOR((BY$2-1)/9,1),"000"),"")</f>
        <v>CK084</v>
      </c>
      <c r="BZ58" s="19" t="str">
        <f>IF(INDEX('Shot Map'!$B$6:$V$26,CEILING($A58/5,1),CEILING(BZ$2/5,1))=1,INDEX('Serial Reference'!$A$8:$W$8,1,FLOOR(($A58-1)/23,1)+1)&amp;INDEX('Serial Reference'!$A$8:$W$8,1,MOD($A58-1,23)+1)&amp;TEXT(BZ$2+FLOOR((BZ$2-1)/9,1),"000"),"")</f>
        <v>CK085</v>
      </c>
      <c r="CA58" s="19" t="str">
        <f>IF(INDEX('Shot Map'!$B$6:$V$26,CEILING($A58/5,1),CEILING(CA$2/5,1))=1,INDEX('Serial Reference'!$A$8:$W$8,1,FLOOR(($A58-1)/23,1)+1)&amp;INDEX('Serial Reference'!$A$8:$W$8,1,MOD($A58-1,23)+1)&amp;TEXT(CA$2+FLOOR((CA$2-1)/9,1),"000"),"")</f>
        <v>CK086</v>
      </c>
      <c r="CB58" s="19" t="str">
        <f>IF(INDEX('Shot Map'!$B$6:$V$26,CEILING($A58/5,1),CEILING(CB$2/5,1))=1,INDEX('Serial Reference'!$A$8:$W$8,1,FLOOR(($A58-1)/23,1)+1)&amp;INDEX('Serial Reference'!$A$8:$W$8,1,MOD($A58-1,23)+1)&amp;TEXT(CB$2+FLOOR((CB$2-1)/9,1),"000"),"")</f>
        <v>CK087</v>
      </c>
      <c r="CC58" s="20" t="str">
        <f>IF(INDEX('Shot Map'!$B$6:$V$26,CEILING($A58/5,1),CEILING(CC$2/5,1))=1,INDEX('Serial Reference'!$A$8:$W$8,1,FLOOR(($A58-1)/23,1)+1)&amp;INDEX('Serial Reference'!$A$8:$W$8,1,MOD($A58-1,23)+1)&amp;TEXT(CC$2+FLOOR((CC$2-1)/9,1),"000"),"")</f>
        <v>CK088</v>
      </c>
      <c r="CD58" s="18" t="str">
        <f>IF(INDEX('Shot Map'!$B$6:$V$26,CEILING($A58/5,1),CEILING(CD$2/5,1))=1,INDEX('Serial Reference'!$A$8:$W$8,1,FLOOR(($A58-1)/23,1)+1)&amp;INDEX('Serial Reference'!$A$8:$W$8,1,MOD($A58-1,23)+1)&amp;TEXT(CD$2+FLOOR((CD$2-1)/9,1),"000"),"")</f>
        <v>CK089</v>
      </c>
      <c r="CE58" s="19" t="str">
        <f>IF(INDEX('Shot Map'!$B$6:$V$26,CEILING($A58/5,1),CEILING(CE$2/5,1))=1,INDEX('Serial Reference'!$A$8:$W$8,1,FLOOR(($A58-1)/23,1)+1)&amp;INDEX('Serial Reference'!$A$8:$W$8,1,MOD($A58-1,23)+1)&amp;TEXT(CE$2+FLOOR((CE$2-1)/9,1),"000"),"")</f>
        <v>CK091</v>
      </c>
      <c r="CF58" s="19" t="str">
        <f>IF(INDEX('Shot Map'!$B$6:$V$26,CEILING($A58/5,1),CEILING(CF$2/5,1))=1,INDEX('Serial Reference'!$A$8:$W$8,1,FLOOR(($A58-1)/23,1)+1)&amp;INDEX('Serial Reference'!$A$8:$W$8,1,MOD($A58-1,23)+1)&amp;TEXT(CF$2+FLOOR((CF$2-1)/9,1),"000"),"")</f>
        <v>CK092</v>
      </c>
      <c r="CG58" s="19" t="str">
        <f>IF(INDEX('Shot Map'!$B$6:$V$26,CEILING($A58/5,1),CEILING(CG$2/5,1))=1,INDEX('Serial Reference'!$A$8:$W$8,1,FLOOR(($A58-1)/23,1)+1)&amp;INDEX('Serial Reference'!$A$8:$W$8,1,MOD($A58-1,23)+1)&amp;TEXT(CG$2+FLOOR((CG$2-1)/9,1),"000"),"")</f>
        <v>CK093</v>
      </c>
      <c r="CH58" s="20" t="str">
        <f>IF(INDEX('Shot Map'!$B$6:$V$26,CEILING($A58/5,1),CEILING(CH$2/5,1))=1,INDEX('Serial Reference'!$A$8:$W$8,1,FLOOR(($A58-1)/23,1)+1)&amp;INDEX('Serial Reference'!$A$8:$W$8,1,MOD($A58-1,23)+1)&amp;TEXT(CH$2+FLOOR((CH$2-1)/9,1),"000"),"")</f>
        <v>CK094</v>
      </c>
      <c r="CI58" s="18" t="str">
        <f>IF(INDEX('Shot Map'!$B$6:$V$26,CEILING($A58/5,1),CEILING(CI$2/5,1))=1,INDEX('Serial Reference'!$A$8:$W$8,1,FLOOR(($A58-1)/23,1)+1)&amp;INDEX('Serial Reference'!$A$8:$W$8,1,MOD($A58-1,23)+1)&amp;TEXT(CI$2+FLOOR((CI$2-1)/9,1),"000"),"")</f>
        <v>CK095</v>
      </c>
      <c r="CJ58" s="19" t="str">
        <f>IF(INDEX('Shot Map'!$B$6:$V$26,CEILING($A58/5,1),CEILING(CJ$2/5,1))=1,INDEX('Serial Reference'!$A$8:$W$8,1,FLOOR(($A58-1)/23,1)+1)&amp;INDEX('Serial Reference'!$A$8:$W$8,1,MOD($A58-1,23)+1)&amp;TEXT(CJ$2+FLOOR((CJ$2-1)/9,1),"000"),"")</f>
        <v>CK096</v>
      </c>
      <c r="CK58" s="19" t="str">
        <f>IF(INDEX('Shot Map'!$B$6:$V$26,CEILING($A58/5,1),CEILING(CK$2/5,1))=1,INDEX('Serial Reference'!$A$8:$W$8,1,FLOOR(($A58-1)/23,1)+1)&amp;INDEX('Serial Reference'!$A$8:$W$8,1,MOD($A58-1,23)+1)&amp;TEXT(CK$2+FLOOR((CK$2-1)/9,1),"000"),"")</f>
        <v>CK097</v>
      </c>
      <c r="CL58" s="19" t="str">
        <f>IF(INDEX('Shot Map'!$B$6:$V$26,CEILING($A58/5,1),CEILING(CL$2/5,1))=1,INDEX('Serial Reference'!$A$8:$W$8,1,FLOOR(($A58-1)/23,1)+1)&amp;INDEX('Serial Reference'!$A$8:$W$8,1,MOD($A58-1,23)+1)&amp;TEXT(CL$2+FLOOR((CL$2-1)/9,1),"000"),"")</f>
        <v>CK098</v>
      </c>
      <c r="CM58" s="20" t="str">
        <f>IF(INDEX('Shot Map'!$B$6:$V$26,CEILING($A58/5,1),CEILING(CM$2/5,1))=1,INDEX('Serial Reference'!$A$8:$W$8,1,FLOOR(($A58-1)/23,1)+1)&amp;INDEX('Serial Reference'!$A$8:$W$8,1,MOD($A58-1,23)+1)&amp;TEXT(CM$2+FLOOR((CM$2-1)/9,1),"000"),"")</f>
        <v>CK099</v>
      </c>
      <c r="CN58" s="18" t="str">
        <f>IF(INDEX('Shot Map'!$B$6:$V$26,CEILING($A58/5,1),CEILING(CN$2/5,1))=1,INDEX('Serial Reference'!$A$8:$W$8,1,FLOOR(($A58-1)/23,1)+1)&amp;INDEX('Serial Reference'!$A$8:$W$8,1,MOD($A58-1,23)+1)&amp;TEXT(CN$2+FLOOR((CN$2-1)/9,1),"000"),"")</f>
        <v>CK101</v>
      </c>
      <c r="CO58" s="19" t="str">
        <f>IF(INDEX('Shot Map'!$B$6:$V$26,CEILING($A58/5,1),CEILING(CO$2/5,1))=1,INDEX('Serial Reference'!$A$8:$W$8,1,FLOOR(($A58-1)/23,1)+1)&amp;INDEX('Serial Reference'!$A$8:$W$8,1,MOD($A58-1,23)+1)&amp;TEXT(CO$2+FLOOR((CO$2-1)/9,1),"000"),"")</f>
        <v>CK102</v>
      </c>
      <c r="CP58" s="19" t="str">
        <f>IF(INDEX('Shot Map'!$B$6:$V$26,CEILING($A58/5,1),CEILING(CP$2/5,1))=1,INDEX('Serial Reference'!$A$8:$W$8,1,FLOOR(($A58-1)/23,1)+1)&amp;INDEX('Serial Reference'!$A$8:$W$8,1,MOD($A58-1,23)+1)&amp;TEXT(CP$2+FLOOR((CP$2-1)/9,1),"000"),"")</f>
        <v>CK103</v>
      </c>
      <c r="CQ58" s="19" t="str">
        <f>IF(INDEX('Shot Map'!$B$6:$V$26,CEILING($A58/5,1),CEILING(CQ$2/5,1))=1,INDEX('Serial Reference'!$A$8:$W$8,1,FLOOR(($A58-1)/23,1)+1)&amp;INDEX('Serial Reference'!$A$8:$W$8,1,MOD($A58-1,23)+1)&amp;TEXT(CQ$2+FLOOR((CQ$2-1)/9,1),"000"),"")</f>
        <v>CK104</v>
      </c>
      <c r="CR58" s="20" t="str">
        <f>IF(INDEX('Shot Map'!$B$6:$V$26,CEILING($A58/5,1),CEILING(CR$2/5,1))=1,INDEX('Serial Reference'!$A$8:$W$8,1,FLOOR(($A58-1)/23,1)+1)&amp;INDEX('Serial Reference'!$A$8:$W$8,1,MOD($A58-1,23)+1)&amp;TEXT(CR$2+FLOOR((CR$2-1)/9,1),"000"),"")</f>
        <v>CK105</v>
      </c>
      <c r="CS58" s="18" t="str">
        <f>IF(INDEX('Shot Map'!$B$6:$V$26,CEILING($A58/5,1),CEILING(CS$2/5,1))=1,INDEX('Serial Reference'!$A$8:$W$8,1,FLOOR(($A58-1)/23,1)+1)&amp;INDEX('Serial Reference'!$A$8:$W$8,1,MOD($A58-1,23)+1)&amp;TEXT(CS$2+FLOOR((CS$2-1)/9,1),"000"),"")</f>
        <v>CK106</v>
      </c>
      <c r="CT58" s="19" t="str">
        <f>IF(INDEX('Shot Map'!$B$6:$V$26,CEILING($A58/5,1),CEILING(CT$2/5,1))=1,INDEX('Serial Reference'!$A$8:$W$8,1,FLOOR(($A58-1)/23,1)+1)&amp;INDEX('Serial Reference'!$A$8:$W$8,1,MOD($A58-1,23)+1)&amp;TEXT(CT$2+FLOOR((CT$2-1)/9,1),"000"),"")</f>
        <v>CK107</v>
      </c>
      <c r="CU58" s="19" t="str">
        <f>IF(INDEX('Shot Map'!$B$6:$V$26,CEILING($A58/5,1),CEILING(CU$2/5,1))=1,INDEX('Serial Reference'!$A$8:$W$8,1,FLOOR(($A58-1)/23,1)+1)&amp;INDEX('Serial Reference'!$A$8:$W$8,1,MOD($A58-1,23)+1)&amp;TEXT(CU$2+FLOOR((CU$2-1)/9,1),"000"),"")</f>
        <v>CK108</v>
      </c>
      <c r="CV58" s="19" t="str">
        <f>IF(INDEX('Shot Map'!$B$6:$V$26,CEILING($A58/5,1),CEILING(CV$2/5,1))=1,INDEX('Serial Reference'!$A$8:$W$8,1,FLOOR(($A58-1)/23,1)+1)&amp;INDEX('Serial Reference'!$A$8:$W$8,1,MOD($A58-1,23)+1)&amp;TEXT(CV$2+FLOOR((CV$2-1)/9,1),"000"),"")</f>
        <v>CK109</v>
      </c>
      <c r="CW58" s="20" t="str">
        <f>IF(INDEX('Shot Map'!$B$6:$V$26,CEILING($A58/5,1),CEILING(CW$2/5,1))=1,INDEX('Serial Reference'!$A$8:$W$8,1,FLOOR(($A58-1)/23,1)+1)&amp;INDEX('Serial Reference'!$A$8:$W$8,1,MOD($A58-1,23)+1)&amp;TEXT(CW$2+FLOOR((CW$2-1)/9,1),"000"),"")</f>
        <v>CK111</v>
      </c>
      <c r="CX58" s="18" t="str">
        <f>IF(INDEX('Shot Map'!$B$6:$V$26,CEILING($A58/5,1),CEILING(CX$2/5,1))=1,INDEX('Serial Reference'!$A$8:$W$8,1,FLOOR(($A58-1)/23,1)+1)&amp;INDEX('Serial Reference'!$A$8:$W$8,1,MOD($A58-1,23)+1)&amp;TEXT(CX$2+FLOOR((CX$2-1)/9,1),"000"),"")</f>
        <v>CK112</v>
      </c>
      <c r="CY58" s="19" t="str">
        <f>IF(INDEX('Shot Map'!$B$6:$V$26,CEILING($A58/5,1),CEILING(CY$2/5,1))=1,INDEX('Serial Reference'!$A$8:$W$8,1,FLOOR(($A58-1)/23,1)+1)&amp;INDEX('Serial Reference'!$A$8:$W$8,1,MOD($A58-1,23)+1)&amp;TEXT(CY$2+FLOOR((CY$2-1)/9,1),"000"),"")</f>
        <v>CK113</v>
      </c>
      <c r="CZ58" s="19" t="str">
        <f>IF(INDEX('Shot Map'!$B$6:$V$26,CEILING($A58/5,1),CEILING(CZ$2/5,1))=1,INDEX('Serial Reference'!$A$8:$W$8,1,FLOOR(($A58-1)/23,1)+1)&amp;INDEX('Serial Reference'!$A$8:$W$8,1,MOD($A58-1,23)+1)&amp;TEXT(CZ$2+FLOOR((CZ$2-1)/9,1),"000"),"")</f>
        <v>CK114</v>
      </c>
      <c r="DA58" s="19" t="str">
        <f>IF(INDEX('Shot Map'!$B$6:$V$26,CEILING($A58/5,1),CEILING(DA$2/5,1))=1,INDEX('Serial Reference'!$A$8:$W$8,1,FLOOR(($A58-1)/23,1)+1)&amp;INDEX('Serial Reference'!$A$8:$W$8,1,MOD($A58-1,23)+1)&amp;TEXT(DA$2+FLOOR((DA$2-1)/9,1),"000"),"")</f>
        <v>CK115</v>
      </c>
      <c r="DB58" s="20" t="str">
        <f>IF(INDEX('Shot Map'!$B$6:$V$26,CEILING($A58/5,1),CEILING(DB$2/5,1))=1,INDEX('Serial Reference'!$A$8:$W$8,1,FLOOR(($A58-1)/23,1)+1)&amp;INDEX('Serial Reference'!$A$8:$W$8,1,MOD($A58-1,23)+1)&amp;TEXT(DB$2+FLOOR((DB$2-1)/9,1),"000"),"")</f>
        <v>CK116</v>
      </c>
    </row>
    <row r="59" spans="1:106" ht="12.75" customHeight="1" x14ac:dyDescent="0.25">
      <c r="A59" s="17">
        <v>57</v>
      </c>
      <c r="B59" s="21" t="str">
        <f>IF(INDEX('Shot Map'!$B$6:$V$26,CEILING($A59/5,1),CEILING(B$2/5,1))=1,INDEX('Serial Reference'!$A$8:$W$8,1,FLOOR(($A59-1)/23,1)+1)&amp;INDEX('Serial Reference'!$A$8:$W$8,1,MOD($A59-1,23)+1)&amp;TEXT(B$2+FLOOR((B$2-1)/9,1),"000"),"")</f>
        <v>CL001</v>
      </c>
      <c r="C59" s="22" t="str">
        <f>IF(INDEX('Shot Map'!$B$6:$V$26,CEILING($A59/5,1),CEILING(C$2/5,1))=1,INDEX('Serial Reference'!$A$8:$W$8,1,FLOOR(($A59-1)/23,1)+1)&amp;INDEX('Serial Reference'!$A$8:$W$8,1,MOD($A59-1,23)+1)&amp;TEXT(C$2+FLOOR((C$2-1)/9,1),"000"),"")</f>
        <v>CL002</v>
      </c>
      <c r="D59" s="22" t="str">
        <f>IF(INDEX('Shot Map'!$B$6:$V$26,CEILING($A59/5,1),CEILING(D$2/5,1))=1,INDEX('Serial Reference'!$A$8:$W$8,1,FLOOR(($A59-1)/23,1)+1)&amp;INDEX('Serial Reference'!$A$8:$W$8,1,MOD($A59-1,23)+1)&amp;TEXT(D$2+FLOOR((D$2-1)/9,1),"000"),"")</f>
        <v>CL003</v>
      </c>
      <c r="E59" s="22" t="str">
        <f>IF(INDEX('Shot Map'!$B$6:$V$26,CEILING($A59/5,1),CEILING(E$2/5,1))=1,INDEX('Serial Reference'!$A$8:$W$8,1,FLOOR(($A59-1)/23,1)+1)&amp;INDEX('Serial Reference'!$A$8:$W$8,1,MOD($A59-1,23)+1)&amp;TEXT(E$2+FLOOR((E$2-1)/9,1),"000"),"")</f>
        <v>CL004</v>
      </c>
      <c r="F59" s="23" t="str">
        <f>IF(INDEX('Shot Map'!$B$6:$V$26,CEILING($A59/5,1),CEILING(F$2/5,1))=1,INDEX('Serial Reference'!$A$8:$W$8,1,FLOOR(($A59-1)/23,1)+1)&amp;INDEX('Serial Reference'!$A$8:$W$8,1,MOD($A59-1,23)+1)&amp;TEXT(F$2+FLOOR((F$2-1)/9,1),"000"),"")</f>
        <v>CL005</v>
      </c>
      <c r="G59" s="21" t="str">
        <f>IF(INDEX('Shot Map'!$B$6:$V$26,CEILING($A59/5,1),CEILING(G$2/5,1))=1,INDEX('Serial Reference'!$A$8:$W$8,1,FLOOR(($A59-1)/23,1)+1)&amp;INDEX('Serial Reference'!$A$8:$W$8,1,MOD($A59-1,23)+1)&amp;TEXT(G$2+FLOOR((G$2-1)/9,1),"000"),"")</f>
        <v>CL006</v>
      </c>
      <c r="H59" s="22" t="str">
        <f>IF(INDEX('Shot Map'!$B$6:$V$26,CEILING($A59/5,1),CEILING(H$2/5,1))=1,INDEX('Serial Reference'!$A$8:$W$8,1,FLOOR(($A59-1)/23,1)+1)&amp;INDEX('Serial Reference'!$A$8:$W$8,1,MOD($A59-1,23)+1)&amp;TEXT(H$2+FLOOR((H$2-1)/9,1),"000"),"")</f>
        <v>CL007</v>
      </c>
      <c r="I59" s="22" t="str">
        <f>IF(INDEX('Shot Map'!$B$6:$V$26,CEILING($A59/5,1),CEILING(I$2/5,1))=1,INDEX('Serial Reference'!$A$8:$W$8,1,FLOOR(($A59-1)/23,1)+1)&amp;INDEX('Serial Reference'!$A$8:$W$8,1,MOD($A59-1,23)+1)&amp;TEXT(I$2+FLOOR((I$2-1)/9,1),"000"),"")</f>
        <v>CL008</v>
      </c>
      <c r="J59" s="22" t="str">
        <f>IF(INDEX('Shot Map'!$B$6:$V$26,CEILING($A59/5,1),CEILING(J$2/5,1))=1,INDEX('Serial Reference'!$A$8:$W$8,1,FLOOR(($A59-1)/23,1)+1)&amp;INDEX('Serial Reference'!$A$8:$W$8,1,MOD($A59-1,23)+1)&amp;TEXT(J$2+FLOOR((J$2-1)/9,1),"000"),"")</f>
        <v>CL009</v>
      </c>
      <c r="K59" s="23" t="str">
        <f>IF(INDEX('Shot Map'!$B$6:$V$26,CEILING($A59/5,1),CEILING(K$2/5,1))=1,INDEX('Serial Reference'!$A$8:$W$8,1,FLOOR(($A59-1)/23,1)+1)&amp;INDEX('Serial Reference'!$A$8:$W$8,1,MOD($A59-1,23)+1)&amp;TEXT(K$2+FLOOR((K$2-1)/9,1),"000"),"")</f>
        <v>CL011</v>
      </c>
      <c r="L59" s="21" t="str">
        <f>IF(INDEX('Shot Map'!$B$6:$V$26,CEILING($A59/5,1),CEILING(L$2/5,1))=1,INDEX('Serial Reference'!$A$8:$W$8,1,FLOOR(($A59-1)/23,1)+1)&amp;INDEX('Serial Reference'!$A$8:$W$8,1,MOD($A59-1,23)+1)&amp;TEXT(L$2+FLOOR((L$2-1)/9,1),"000"),"")</f>
        <v>CL012</v>
      </c>
      <c r="M59" s="22" t="str">
        <f>IF(INDEX('Shot Map'!$B$6:$V$26,CEILING($A59/5,1),CEILING(M$2/5,1))=1,INDEX('Serial Reference'!$A$8:$W$8,1,FLOOR(($A59-1)/23,1)+1)&amp;INDEX('Serial Reference'!$A$8:$W$8,1,MOD($A59-1,23)+1)&amp;TEXT(M$2+FLOOR((M$2-1)/9,1),"000"),"")</f>
        <v>CL013</v>
      </c>
      <c r="N59" s="22" t="str">
        <f>IF(INDEX('Shot Map'!$B$6:$V$26,CEILING($A59/5,1),CEILING(N$2/5,1))=1,INDEX('Serial Reference'!$A$8:$W$8,1,FLOOR(($A59-1)/23,1)+1)&amp;INDEX('Serial Reference'!$A$8:$W$8,1,MOD($A59-1,23)+1)&amp;TEXT(N$2+FLOOR((N$2-1)/9,1),"000"),"")</f>
        <v>CL014</v>
      </c>
      <c r="O59" s="22" t="str">
        <f>IF(INDEX('Shot Map'!$B$6:$V$26,CEILING($A59/5,1),CEILING(O$2/5,1))=1,INDEX('Serial Reference'!$A$8:$W$8,1,FLOOR(($A59-1)/23,1)+1)&amp;INDEX('Serial Reference'!$A$8:$W$8,1,MOD($A59-1,23)+1)&amp;TEXT(O$2+FLOOR((O$2-1)/9,1),"000"),"")</f>
        <v>CL015</v>
      </c>
      <c r="P59" s="23" t="str">
        <f>IF(INDEX('Shot Map'!$B$6:$V$26,CEILING($A59/5,1),CEILING(P$2/5,1))=1,INDEX('Serial Reference'!$A$8:$W$8,1,FLOOR(($A59-1)/23,1)+1)&amp;INDEX('Serial Reference'!$A$8:$W$8,1,MOD($A59-1,23)+1)&amp;TEXT(P$2+FLOOR((P$2-1)/9,1),"000"),"")</f>
        <v>CL016</v>
      </c>
      <c r="Q59" s="21" t="str">
        <f>IF(INDEX('Shot Map'!$B$6:$V$26,CEILING($A59/5,1),CEILING(Q$2/5,1))=1,INDEX('Serial Reference'!$A$8:$W$8,1,FLOOR(($A59-1)/23,1)+1)&amp;INDEX('Serial Reference'!$A$8:$W$8,1,MOD($A59-1,23)+1)&amp;TEXT(Q$2+FLOOR((Q$2-1)/9,1),"000"),"")</f>
        <v>CL017</v>
      </c>
      <c r="R59" s="22" t="str">
        <f>IF(INDEX('Shot Map'!$B$6:$V$26,CEILING($A59/5,1),CEILING(R$2/5,1))=1,INDEX('Serial Reference'!$A$8:$W$8,1,FLOOR(($A59-1)/23,1)+1)&amp;INDEX('Serial Reference'!$A$8:$W$8,1,MOD($A59-1,23)+1)&amp;TEXT(R$2+FLOOR((R$2-1)/9,1),"000"),"")</f>
        <v>CL018</v>
      </c>
      <c r="S59" s="22" t="str">
        <f>IF(INDEX('Shot Map'!$B$6:$V$26,CEILING($A59/5,1),CEILING(S$2/5,1))=1,INDEX('Serial Reference'!$A$8:$W$8,1,FLOOR(($A59-1)/23,1)+1)&amp;INDEX('Serial Reference'!$A$8:$W$8,1,MOD($A59-1,23)+1)&amp;TEXT(S$2+FLOOR((S$2-1)/9,1),"000"),"")</f>
        <v>CL019</v>
      </c>
      <c r="T59" s="22" t="str">
        <f>IF(INDEX('Shot Map'!$B$6:$V$26,CEILING($A59/5,1),CEILING(T$2/5,1))=1,INDEX('Serial Reference'!$A$8:$W$8,1,FLOOR(($A59-1)/23,1)+1)&amp;INDEX('Serial Reference'!$A$8:$W$8,1,MOD($A59-1,23)+1)&amp;TEXT(T$2+FLOOR((T$2-1)/9,1),"000"),"")</f>
        <v>CL021</v>
      </c>
      <c r="U59" s="23" t="str">
        <f>IF(INDEX('Shot Map'!$B$6:$V$26,CEILING($A59/5,1),CEILING(U$2/5,1))=1,INDEX('Serial Reference'!$A$8:$W$8,1,FLOOR(($A59-1)/23,1)+1)&amp;INDEX('Serial Reference'!$A$8:$W$8,1,MOD($A59-1,23)+1)&amp;TEXT(U$2+FLOOR((U$2-1)/9,1),"000"),"")</f>
        <v>CL022</v>
      </c>
      <c r="V59" s="21" t="str">
        <f>IF(INDEX('Shot Map'!$B$6:$V$26,CEILING($A59/5,1),CEILING(V$2/5,1))=1,INDEX('Serial Reference'!$A$8:$W$8,1,FLOOR(($A59-1)/23,1)+1)&amp;INDEX('Serial Reference'!$A$8:$W$8,1,MOD($A59-1,23)+1)&amp;TEXT(V$2+FLOOR((V$2-1)/9,1),"000"),"")</f>
        <v>CL023</v>
      </c>
      <c r="W59" s="22" t="str">
        <f>IF(INDEX('Shot Map'!$B$6:$V$26,CEILING($A59/5,1),CEILING(W$2/5,1))=1,INDEX('Serial Reference'!$A$8:$W$8,1,FLOOR(($A59-1)/23,1)+1)&amp;INDEX('Serial Reference'!$A$8:$W$8,1,MOD($A59-1,23)+1)&amp;TEXT(W$2+FLOOR((W$2-1)/9,1),"000"),"")</f>
        <v>CL024</v>
      </c>
      <c r="X59" s="22" t="str">
        <f>IF(INDEX('Shot Map'!$B$6:$V$26,CEILING($A59/5,1),CEILING(X$2/5,1))=1,INDEX('Serial Reference'!$A$8:$W$8,1,FLOOR(($A59-1)/23,1)+1)&amp;INDEX('Serial Reference'!$A$8:$W$8,1,MOD($A59-1,23)+1)&amp;TEXT(X$2+FLOOR((X$2-1)/9,1),"000"),"")</f>
        <v>CL025</v>
      </c>
      <c r="Y59" s="22" t="str">
        <f>IF(INDEX('Shot Map'!$B$6:$V$26,CEILING($A59/5,1),CEILING(Y$2/5,1))=1,INDEX('Serial Reference'!$A$8:$W$8,1,FLOOR(($A59-1)/23,1)+1)&amp;INDEX('Serial Reference'!$A$8:$W$8,1,MOD($A59-1,23)+1)&amp;TEXT(Y$2+FLOOR((Y$2-1)/9,1),"000"),"")</f>
        <v>CL026</v>
      </c>
      <c r="Z59" s="23" t="str">
        <f>IF(INDEX('Shot Map'!$B$6:$V$26,CEILING($A59/5,1),CEILING(Z$2/5,1))=1,INDEX('Serial Reference'!$A$8:$W$8,1,FLOOR(($A59-1)/23,1)+1)&amp;INDEX('Serial Reference'!$A$8:$W$8,1,MOD($A59-1,23)+1)&amp;TEXT(Z$2+FLOOR((Z$2-1)/9,1),"000"),"")</f>
        <v>CL027</v>
      </c>
      <c r="AA59" s="21" t="str">
        <f>IF(INDEX('Shot Map'!$B$6:$V$26,CEILING($A59/5,1),CEILING(AA$2/5,1))=1,INDEX('Serial Reference'!$A$8:$W$8,1,FLOOR(($A59-1)/23,1)+1)&amp;INDEX('Serial Reference'!$A$8:$W$8,1,MOD($A59-1,23)+1)&amp;TEXT(AA$2+FLOOR((AA$2-1)/9,1),"000"),"")</f>
        <v>CL028</v>
      </c>
      <c r="AB59" s="22" t="str">
        <f>IF(INDEX('Shot Map'!$B$6:$V$26,CEILING($A59/5,1),CEILING(AB$2/5,1))=1,INDEX('Serial Reference'!$A$8:$W$8,1,FLOOR(($A59-1)/23,1)+1)&amp;INDEX('Serial Reference'!$A$8:$W$8,1,MOD($A59-1,23)+1)&amp;TEXT(AB$2+FLOOR((AB$2-1)/9,1),"000"),"")</f>
        <v>CL029</v>
      </c>
      <c r="AC59" s="22" t="str">
        <f>IF(INDEX('Shot Map'!$B$6:$V$26,CEILING($A59/5,1),CEILING(AC$2/5,1))=1,INDEX('Serial Reference'!$A$8:$W$8,1,FLOOR(($A59-1)/23,1)+1)&amp;INDEX('Serial Reference'!$A$8:$W$8,1,MOD($A59-1,23)+1)&amp;TEXT(AC$2+FLOOR((AC$2-1)/9,1),"000"),"")</f>
        <v>CL031</v>
      </c>
      <c r="AD59" s="22" t="str">
        <f>IF(INDEX('Shot Map'!$B$6:$V$26,CEILING($A59/5,1),CEILING(AD$2/5,1))=1,INDEX('Serial Reference'!$A$8:$W$8,1,FLOOR(($A59-1)/23,1)+1)&amp;INDEX('Serial Reference'!$A$8:$W$8,1,MOD($A59-1,23)+1)&amp;TEXT(AD$2+FLOOR((AD$2-1)/9,1),"000"),"")</f>
        <v>CL032</v>
      </c>
      <c r="AE59" s="23" t="str">
        <f>IF(INDEX('Shot Map'!$B$6:$V$26,CEILING($A59/5,1),CEILING(AE$2/5,1))=1,INDEX('Serial Reference'!$A$8:$W$8,1,FLOOR(($A59-1)/23,1)+1)&amp;INDEX('Serial Reference'!$A$8:$W$8,1,MOD($A59-1,23)+1)&amp;TEXT(AE$2+FLOOR((AE$2-1)/9,1),"000"),"")</f>
        <v>CL033</v>
      </c>
      <c r="AF59" s="21" t="str">
        <f>IF(INDEX('Shot Map'!$B$6:$V$26,CEILING($A59/5,1),CEILING(AF$2/5,1))=1,INDEX('Serial Reference'!$A$8:$W$8,1,FLOOR(($A59-1)/23,1)+1)&amp;INDEX('Serial Reference'!$A$8:$W$8,1,MOD($A59-1,23)+1)&amp;TEXT(AF$2+FLOOR((AF$2-1)/9,1),"000"),"")</f>
        <v>CL034</v>
      </c>
      <c r="AG59" s="22" t="str">
        <f>IF(INDEX('Shot Map'!$B$6:$V$26,CEILING($A59/5,1),CEILING(AG$2/5,1))=1,INDEX('Serial Reference'!$A$8:$W$8,1,FLOOR(($A59-1)/23,1)+1)&amp;INDEX('Serial Reference'!$A$8:$W$8,1,MOD($A59-1,23)+1)&amp;TEXT(AG$2+FLOOR((AG$2-1)/9,1),"000"),"")</f>
        <v>CL035</v>
      </c>
      <c r="AH59" s="22" t="str">
        <f>IF(INDEX('Shot Map'!$B$6:$V$26,CEILING($A59/5,1),CEILING(AH$2/5,1))=1,INDEX('Serial Reference'!$A$8:$W$8,1,FLOOR(($A59-1)/23,1)+1)&amp;INDEX('Serial Reference'!$A$8:$W$8,1,MOD($A59-1,23)+1)&amp;TEXT(AH$2+FLOOR((AH$2-1)/9,1),"000"),"")</f>
        <v>CL036</v>
      </c>
      <c r="AI59" s="22" t="str">
        <f>IF(INDEX('Shot Map'!$B$6:$V$26,CEILING($A59/5,1),CEILING(AI$2/5,1))=1,INDEX('Serial Reference'!$A$8:$W$8,1,FLOOR(($A59-1)/23,1)+1)&amp;INDEX('Serial Reference'!$A$8:$W$8,1,MOD($A59-1,23)+1)&amp;TEXT(AI$2+FLOOR((AI$2-1)/9,1),"000"),"")</f>
        <v>CL037</v>
      </c>
      <c r="AJ59" s="23" t="str">
        <f>IF(INDEX('Shot Map'!$B$6:$V$26,CEILING($A59/5,1),CEILING(AJ$2/5,1))=1,INDEX('Serial Reference'!$A$8:$W$8,1,FLOOR(($A59-1)/23,1)+1)&amp;INDEX('Serial Reference'!$A$8:$W$8,1,MOD($A59-1,23)+1)&amp;TEXT(AJ$2+FLOOR((AJ$2-1)/9,1),"000"),"")</f>
        <v>CL038</v>
      </c>
      <c r="AK59" s="21" t="str">
        <f>IF(INDEX('Shot Map'!$B$6:$V$26,CEILING($A59/5,1),CEILING(AK$2/5,1))=1,INDEX('Serial Reference'!$A$8:$W$8,1,FLOOR(($A59-1)/23,1)+1)&amp;INDEX('Serial Reference'!$A$8:$W$8,1,MOD($A59-1,23)+1)&amp;TEXT(AK$2+FLOOR((AK$2-1)/9,1),"000"),"")</f>
        <v>CL039</v>
      </c>
      <c r="AL59" s="22" t="str">
        <f>IF(INDEX('Shot Map'!$B$6:$V$26,CEILING($A59/5,1),CEILING(AL$2/5,1))=1,INDEX('Serial Reference'!$A$8:$W$8,1,FLOOR(($A59-1)/23,1)+1)&amp;INDEX('Serial Reference'!$A$8:$W$8,1,MOD($A59-1,23)+1)&amp;TEXT(AL$2+FLOOR((AL$2-1)/9,1),"000"),"")</f>
        <v>CL041</v>
      </c>
      <c r="AM59" s="22" t="str">
        <f>IF(INDEX('Shot Map'!$B$6:$V$26,CEILING($A59/5,1),CEILING(AM$2/5,1))=1,INDEX('Serial Reference'!$A$8:$W$8,1,FLOOR(($A59-1)/23,1)+1)&amp;INDEX('Serial Reference'!$A$8:$W$8,1,MOD($A59-1,23)+1)&amp;TEXT(AM$2+FLOOR((AM$2-1)/9,1),"000"),"")</f>
        <v>CL042</v>
      </c>
      <c r="AN59" s="22" t="str">
        <f>IF(INDEX('Shot Map'!$B$6:$V$26,CEILING($A59/5,1),CEILING(AN$2/5,1))=1,INDEX('Serial Reference'!$A$8:$W$8,1,FLOOR(($A59-1)/23,1)+1)&amp;INDEX('Serial Reference'!$A$8:$W$8,1,MOD($A59-1,23)+1)&amp;TEXT(AN$2+FLOOR((AN$2-1)/9,1),"000"),"")</f>
        <v>CL043</v>
      </c>
      <c r="AO59" s="23" t="str">
        <f>IF(INDEX('Shot Map'!$B$6:$V$26,CEILING($A59/5,1),CEILING(AO$2/5,1))=1,INDEX('Serial Reference'!$A$8:$W$8,1,FLOOR(($A59-1)/23,1)+1)&amp;INDEX('Serial Reference'!$A$8:$W$8,1,MOD($A59-1,23)+1)&amp;TEXT(AO$2+FLOOR((AO$2-1)/9,1),"000"),"")</f>
        <v>CL044</v>
      </c>
      <c r="AP59" s="21" t="str">
        <f>IF(INDEX('Shot Map'!$B$6:$V$26,CEILING($A59/5,1),CEILING(AP$2/5,1))=1,INDEX('Serial Reference'!$A$8:$W$8,1,FLOOR(($A59-1)/23,1)+1)&amp;INDEX('Serial Reference'!$A$8:$W$8,1,MOD($A59-1,23)+1)&amp;TEXT(AP$2+FLOOR((AP$2-1)/9,1),"000"),"")</f>
        <v>CL045</v>
      </c>
      <c r="AQ59" s="22" t="str">
        <f>IF(INDEX('Shot Map'!$B$6:$V$26,CEILING($A59/5,1),CEILING(AQ$2/5,1))=1,INDEX('Serial Reference'!$A$8:$W$8,1,FLOOR(($A59-1)/23,1)+1)&amp;INDEX('Serial Reference'!$A$8:$W$8,1,MOD($A59-1,23)+1)&amp;TEXT(AQ$2+FLOOR((AQ$2-1)/9,1),"000"),"")</f>
        <v>CL046</v>
      </c>
      <c r="AR59" s="22" t="str">
        <f>IF(INDEX('Shot Map'!$B$6:$V$26,CEILING($A59/5,1),CEILING(AR$2/5,1))=1,INDEX('Serial Reference'!$A$8:$W$8,1,FLOOR(($A59-1)/23,1)+1)&amp;INDEX('Serial Reference'!$A$8:$W$8,1,MOD($A59-1,23)+1)&amp;TEXT(AR$2+FLOOR((AR$2-1)/9,1),"000"),"")</f>
        <v>CL047</v>
      </c>
      <c r="AS59" s="22" t="str">
        <f>IF(INDEX('Shot Map'!$B$6:$V$26,CEILING($A59/5,1),CEILING(AS$2/5,1))=1,INDEX('Serial Reference'!$A$8:$W$8,1,FLOOR(($A59-1)/23,1)+1)&amp;INDEX('Serial Reference'!$A$8:$W$8,1,MOD($A59-1,23)+1)&amp;TEXT(AS$2+FLOOR((AS$2-1)/9,1),"000"),"")</f>
        <v>CL048</v>
      </c>
      <c r="AT59" s="23" t="str">
        <f>IF(INDEX('Shot Map'!$B$6:$V$26,CEILING($A59/5,1),CEILING(AT$2/5,1))=1,INDEX('Serial Reference'!$A$8:$W$8,1,FLOOR(($A59-1)/23,1)+1)&amp;INDEX('Serial Reference'!$A$8:$W$8,1,MOD($A59-1,23)+1)&amp;TEXT(AT$2+FLOOR((AT$2-1)/9,1),"000"),"")</f>
        <v>CL049</v>
      </c>
      <c r="AU59" s="21" t="str">
        <f>IF(INDEX('Shot Map'!$B$6:$V$26,CEILING($A59/5,1),CEILING(AU$2/5,1))=1,INDEX('Serial Reference'!$A$8:$W$8,1,FLOOR(($A59-1)/23,1)+1)&amp;INDEX('Serial Reference'!$A$8:$W$8,1,MOD($A59-1,23)+1)&amp;TEXT(AU$2+FLOOR((AU$2-1)/9,1),"000"),"")</f>
        <v>CL051</v>
      </c>
      <c r="AV59" s="22" t="str">
        <f>IF(INDEX('Shot Map'!$B$6:$V$26,CEILING($A59/5,1),CEILING(AV$2/5,1))=1,INDEX('Serial Reference'!$A$8:$W$8,1,FLOOR(($A59-1)/23,1)+1)&amp;INDEX('Serial Reference'!$A$8:$W$8,1,MOD($A59-1,23)+1)&amp;TEXT(AV$2+FLOOR((AV$2-1)/9,1),"000"),"")</f>
        <v>CL052</v>
      </c>
      <c r="AW59" s="22" t="str">
        <f>IF(INDEX('Shot Map'!$B$6:$V$26,CEILING($A59/5,1),CEILING(AW$2/5,1))=1,INDEX('Serial Reference'!$A$8:$W$8,1,FLOOR(($A59-1)/23,1)+1)&amp;INDEX('Serial Reference'!$A$8:$W$8,1,MOD($A59-1,23)+1)&amp;TEXT(AW$2+FLOOR((AW$2-1)/9,1),"000"),"")</f>
        <v>CL053</v>
      </c>
      <c r="AX59" s="22" t="str">
        <f>IF(INDEX('Shot Map'!$B$6:$V$26,CEILING($A59/5,1),CEILING(AX$2/5,1))=1,INDEX('Serial Reference'!$A$8:$W$8,1,FLOOR(($A59-1)/23,1)+1)&amp;INDEX('Serial Reference'!$A$8:$W$8,1,MOD($A59-1,23)+1)&amp;TEXT(AX$2+FLOOR((AX$2-1)/9,1),"000"),"")</f>
        <v>CL054</v>
      </c>
      <c r="AY59" s="23" t="str">
        <f>IF(INDEX('Shot Map'!$B$6:$V$26,CEILING($A59/5,1),CEILING(AY$2/5,1))=1,INDEX('Serial Reference'!$A$8:$W$8,1,FLOOR(($A59-1)/23,1)+1)&amp;INDEX('Serial Reference'!$A$8:$W$8,1,MOD($A59-1,23)+1)&amp;TEXT(AY$2+FLOOR((AY$2-1)/9,1),"000"),"")</f>
        <v>CL055</v>
      </c>
      <c r="AZ59" s="21" t="str">
        <f>IF(INDEX('Shot Map'!$B$6:$V$26,CEILING($A59/5,1),CEILING(AZ$2/5,1))=1,INDEX('Serial Reference'!$A$8:$W$8,1,FLOOR(($A59-1)/23,1)+1)&amp;INDEX('Serial Reference'!$A$8:$W$8,1,MOD($A59-1,23)+1)&amp;TEXT(AZ$2+FLOOR((AZ$2-1)/9,1),"000"),"")</f>
        <v>CL056</v>
      </c>
      <c r="BA59" s="22" t="str">
        <f>IF(INDEX('Shot Map'!$B$6:$V$26,CEILING($A59/5,1),CEILING(BA$2/5,1))=1,INDEX('Serial Reference'!$A$8:$W$8,1,FLOOR(($A59-1)/23,1)+1)&amp;INDEX('Serial Reference'!$A$8:$W$8,1,MOD($A59-1,23)+1)&amp;TEXT(BA$2+FLOOR((BA$2-1)/9,1),"000"),"")</f>
        <v>CL057</v>
      </c>
      <c r="BB59" s="22" t="str">
        <f>IF(INDEX('Shot Map'!$B$6:$V$26,CEILING($A59/5,1),CEILING(BB$2/5,1))=1,INDEX('Serial Reference'!$A$8:$W$8,1,FLOOR(($A59-1)/23,1)+1)&amp;INDEX('Serial Reference'!$A$8:$W$8,1,MOD($A59-1,23)+1)&amp;TEXT(BB$2+FLOOR((BB$2-1)/9,1),"000"),"")</f>
        <v>CL058</v>
      </c>
      <c r="BC59" s="22" t="str">
        <f>IF(INDEX('Shot Map'!$B$6:$V$26,CEILING($A59/5,1),CEILING(BC$2/5,1))=1,INDEX('Serial Reference'!$A$8:$W$8,1,FLOOR(($A59-1)/23,1)+1)&amp;INDEX('Serial Reference'!$A$8:$W$8,1,MOD($A59-1,23)+1)&amp;TEXT(BC$2+FLOOR((BC$2-1)/9,1),"000"),"")</f>
        <v>CL059</v>
      </c>
      <c r="BD59" s="23" t="str">
        <f>IF(INDEX('Shot Map'!$B$6:$V$26,CEILING($A59/5,1),CEILING(BD$2/5,1))=1,INDEX('Serial Reference'!$A$8:$W$8,1,FLOOR(($A59-1)/23,1)+1)&amp;INDEX('Serial Reference'!$A$8:$W$8,1,MOD($A59-1,23)+1)&amp;TEXT(BD$2+FLOOR((BD$2-1)/9,1),"000"),"")</f>
        <v>CL061</v>
      </c>
      <c r="BE59" s="21" t="str">
        <f>IF(INDEX('Shot Map'!$B$6:$V$26,CEILING($A59/5,1),CEILING(BE$2/5,1))=1,INDEX('Serial Reference'!$A$8:$W$8,1,FLOOR(($A59-1)/23,1)+1)&amp;INDEX('Serial Reference'!$A$8:$W$8,1,MOD($A59-1,23)+1)&amp;TEXT(BE$2+FLOOR((BE$2-1)/9,1),"000"),"")</f>
        <v>CL062</v>
      </c>
      <c r="BF59" s="22" t="str">
        <f>IF(INDEX('Shot Map'!$B$6:$V$26,CEILING($A59/5,1),CEILING(BF$2/5,1))=1,INDEX('Serial Reference'!$A$8:$W$8,1,FLOOR(($A59-1)/23,1)+1)&amp;INDEX('Serial Reference'!$A$8:$W$8,1,MOD($A59-1,23)+1)&amp;TEXT(BF$2+FLOOR((BF$2-1)/9,1),"000"),"")</f>
        <v>CL063</v>
      </c>
      <c r="BG59" s="22" t="str">
        <f>IF(INDEX('Shot Map'!$B$6:$V$26,CEILING($A59/5,1),CEILING(BG$2/5,1))=1,INDEX('Serial Reference'!$A$8:$W$8,1,FLOOR(($A59-1)/23,1)+1)&amp;INDEX('Serial Reference'!$A$8:$W$8,1,MOD($A59-1,23)+1)&amp;TEXT(BG$2+FLOOR((BG$2-1)/9,1),"000"),"")</f>
        <v>CL064</v>
      </c>
      <c r="BH59" s="22" t="str">
        <f>IF(INDEX('Shot Map'!$B$6:$V$26,CEILING($A59/5,1),CEILING(BH$2/5,1))=1,INDEX('Serial Reference'!$A$8:$W$8,1,FLOOR(($A59-1)/23,1)+1)&amp;INDEX('Serial Reference'!$A$8:$W$8,1,MOD($A59-1,23)+1)&amp;TEXT(BH$2+FLOOR((BH$2-1)/9,1),"000"),"")</f>
        <v>CL065</v>
      </c>
      <c r="BI59" s="23" t="str">
        <f>IF(INDEX('Shot Map'!$B$6:$V$26,CEILING($A59/5,1),CEILING(BI$2/5,1))=1,INDEX('Serial Reference'!$A$8:$W$8,1,FLOOR(($A59-1)/23,1)+1)&amp;INDEX('Serial Reference'!$A$8:$W$8,1,MOD($A59-1,23)+1)&amp;TEXT(BI$2+FLOOR((BI$2-1)/9,1),"000"),"")</f>
        <v>CL066</v>
      </c>
      <c r="BJ59" s="21" t="str">
        <f>IF(INDEX('Shot Map'!$B$6:$V$26,CEILING($A59/5,1),CEILING(BJ$2/5,1))=1,INDEX('Serial Reference'!$A$8:$W$8,1,FLOOR(($A59-1)/23,1)+1)&amp;INDEX('Serial Reference'!$A$8:$W$8,1,MOD($A59-1,23)+1)&amp;TEXT(BJ$2+FLOOR((BJ$2-1)/9,1),"000"),"")</f>
        <v>CL067</v>
      </c>
      <c r="BK59" s="22" t="str">
        <f>IF(INDEX('Shot Map'!$B$6:$V$26,CEILING($A59/5,1),CEILING(BK$2/5,1))=1,INDEX('Serial Reference'!$A$8:$W$8,1,FLOOR(($A59-1)/23,1)+1)&amp;INDEX('Serial Reference'!$A$8:$W$8,1,MOD($A59-1,23)+1)&amp;TEXT(BK$2+FLOOR((BK$2-1)/9,1),"000"),"")</f>
        <v>CL068</v>
      </c>
      <c r="BL59" s="22" t="str">
        <f>IF(INDEX('Shot Map'!$B$6:$V$26,CEILING($A59/5,1),CEILING(BL$2/5,1))=1,INDEX('Serial Reference'!$A$8:$W$8,1,FLOOR(($A59-1)/23,1)+1)&amp;INDEX('Serial Reference'!$A$8:$W$8,1,MOD($A59-1,23)+1)&amp;TEXT(BL$2+FLOOR((BL$2-1)/9,1),"000"),"")</f>
        <v>CL069</v>
      </c>
      <c r="BM59" s="22" t="str">
        <f>IF(INDEX('Shot Map'!$B$6:$V$26,CEILING($A59/5,1),CEILING(BM$2/5,1))=1,INDEX('Serial Reference'!$A$8:$W$8,1,FLOOR(($A59-1)/23,1)+1)&amp;INDEX('Serial Reference'!$A$8:$W$8,1,MOD($A59-1,23)+1)&amp;TEXT(BM$2+FLOOR((BM$2-1)/9,1),"000"),"")</f>
        <v>CL071</v>
      </c>
      <c r="BN59" s="23" t="str">
        <f>IF(INDEX('Shot Map'!$B$6:$V$26,CEILING($A59/5,1),CEILING(BN$2/5,1))=1,INDEX('Serial Reference'!$A$8:$W$8,1,FLOOR(($A59-1)/23,1)+1)&amp;INDEX('Serial Reference'!$A$8:$W$8,1,MOD($A59-1,23)+1)&amp;TEXT(BN$2+FLOOR((BN$2-1)/9,1),"000"),"")</f>
        <v>CL072</v>
      </c>
      <c r="BO59" s="21" t="str">
        <f>IF(INDEX('Shot Map'!$B$6:$V$26,CEILING($A59/5,1),CEILING(BO$2/5,1))=1,INDEX('Serial Reference'!$A$8:$W$8,1,FLOOR(($A59-1)/23,1)+1)&amp;INDEX('Serial Reference'!$A$8:$W$8,1,MOD($A59-1,23)+1)&amp;TEXT(BO$2+FLOOR((BO$2-1)/9,1),"000"),"")</f>
        <v>CL073</v>
      </c>
      <c r="BP59" s="22" t="str">
        <f>IF(INDEX('Shot Map'!$B$6:$V$26,CEILING($A59/5,1),CEILING(BP$2/5,1))=1,INDEX('Serial Reference'!$A$8:$W$8,1,FLOOR(($A59-1)/23,1)+1)&amp;INDEX('Serial Reference'!$A$8:$W$8,1,MOD($A59-1,23)+1)&amp;TEXT(BP$2+FLOOR((BP$2-1)/9,1),"000"),"")</f>
        <v>CL074</v>
      </c>
      <c r="BQ59" s="22" t="str">
        <f>IF(INDEX('Shot Map'!$B$6:$V$26,CEILING($A59/5,1),CEILING(BQ$2/5,1))=1,INDEX('Serial Reference'!$A$8:$W$8,1,FLOOR(($A59-1)/23,1)+1)&amp;INDEX('Serial Reference'!$A$8:$W$8,1,MOD($A59-1,23)+1)&amp;TEXT(BQ$2+FLOOR((BQ$2-1)/9,1),"000"),"")</f>
        <v>CL075</v>
      </c>
      <c r="BR59" s="22" t="str">
        <f>IF(INDEX('Shot Map'!$B$6:$V$26,CEILING($A59/5,1),CEILING(BR$2/5,1))=1,INDEX('Serial Reference'!$A$8:$W$8,1,FLOOR(($A59-1)/23,1)+1)&amp;INDEX('Serial Reference'!$A$8:$W$8,1,MOD($A59-1,23)+1)&amp;TEXT(BR$2+FLOOR((BR$2-1)/9,1),"000"),"")</f>
        <v>CL076</v>
      </c>
      <c r="BS59" s="23" t="str">
        <f>IF(INDEX('Shot Map'!$B$6:$V$26,CEILING($A59/5,1),CEILING(BS$2/5,1))=1,INDEX('Serial Reference'!$A$8:$W$8,1,FLOOR(($A59-1)/23,1)+1)&amp;INDEX('Serial Reference'!$A$8:$W$8,1,MOD($A59-1,23)+1)&amp;TEXT(BS$2+FLOOR((BS$2-1)/9,1),"000"),"")</f>
        <v>CL077</v>
      </c>
      <c r="BT59" s="21" t="str">
        <f>IF(INDEX('Shot Map'!$B$6:$V$26,CEILING($A59/5,1),CEILING(BT$2/5,1))=1,INDEX('Serial Reference'!$A$8:$W$8,1,FLOOR(($A59-1)/23,1)+1)&amp;INDEX('Serial Reference'!$A$8:$W$8,1,MOD($A59-1,23)+1)&amp;TEXT(BT$2+FLOOR((BT$2-1)/9,1),"000"),"")</f>
        <v>CL078</v>
      </c>
      <c r="BU59" s="22" t="str">
        <f>IF(INDEX('Shot Map'!$B$6:$V$26,CEILING($A59/5,1),CEILING(BU$2/5,1))=1,INDEX('Serial Reference'!$A$8:$W$8,1,FLOOR(($A59-1)/23,1)+1)&amp;INDEX('Serial Reference'!$A$8:$W$8,1,MOD($A59-1,23)+1)&amp;TEXT(BU$2+FLOOR((BU$2-1)/9,1),"000"),"")</f>
        <v>CL079</v>
      </c>
      <c r="BV59" s="22" t="str">
        <f>IF(INDEX('Shot Map'!$B$6:$V$26,CEILING($A59/5,1),CEILING(BV$2/5,1))=1,INDEX('Serial Reference'!$A$8:$W$8,1,FLOOR(($A59-1)/23,1)+1)&amp;INDEX('Serial Reference'!$A$8:$W$8,1,MOD($A59-1,23)+1)&amp;TEXT(BV$2+FLOOR((BV$2-1)/9,1),"000"),"")</f>
        <v>CL081</v>
      </c>
      <c r="BW59" s="22" t="str">
        <f>IF(INDEX('Shot Map'!$B$6:$V$26,CEILING($A59/5,1),CEILING(BW$2/5,1))=1,INDEX('Serial Reference'!$A$8:$W$8,1,FLOOR(($A59-1)/23,1)+1)&amp;INDEX('Serial Reference'!$A$8:$W$8,1,MOD($A59-1,23)+1)&amp;TEXT(BW$2+FLOOR((BW$2-1)/9,1),"000"),"")</f>
        <v>CL082</v>
      </c>
      <c r="BX59" s="23" t="str">
        <f>IF(INDEX('Shot Map'!$B$6:$V$26,CEILING($A59/5,1),CEILING(BX$2/5,1))=1,INDEX('Serial Reference'!$A$8:$W$8,1,FLOOR(($A59-1)/23,1)+1)&amp;INDEX('Serial Reference'!$A$8:$W$8,1,MOD($A59-1,23)+1)&amp;TEXT(BX$2+FLOOR((BX$2-1)/9,1),"000"),"")</f>
        <v>CL083</v>
      </c>
      <c r="BY59" s="21" t="str">
        <f>IF(INDEX('Shot Map'!$B$6:$V$26,CEILING($A59/5,1),CEILING(BY$2/5,1))=1,INDEX('Serial Reference'!$A$8:$W$8,1,FLOOR(($A59-1)/23,1)+1)&amp;INDEX('Serial Reference'!$A$8:$W$8,1,MOD($A59-1,23)+1)&amp;TEXT(BY$2+FLOOR((BY$2-1)/9,1),"000"),"")</f>
        <v>CL084</v>
      </c>
      <c r="BZ59" s="22" t="str">
        <f>IF(INDEX('Shot Map'!$B$6:$V$26,CEILING($A59/5,1),CEILING(BZ$2/5,1))=1,INDEX('Serial Reference'!$A$8:$W$8,1,FLOOR(($A59-1)/23,1)+1)&amp;INDEX('Serial Reference'!$A$8:$W$8,1,MOD($A59-1,23)+1)&amp;TEXT(BZ$2+FLOOR((BZ$2-1)/9,1),"000"),"")</f>
        <v>CL085</v>
      </c>
      <c r="CA59" s="22" t="str">
        <f>IF(INDEX('Shot Map'!$B$6:$V$26,CEILING($A59/5,1),CEILING(CA$2/5,1))=1,INDEX('Serial Reference'!$A$8:$W$8,1,FLOOR(($A59-1)/23,1)+1)&amp;INDEX('Serial Reference'!$A$8:$W$8,1,MOD($A59-1,23)+1)&amp;TEXT(CA$2+FLOOR((CA$2-1)/9,1),"000"),"")</f>
        <v>CL086</v>
      </c>
      <c r="CB59" s="22" t="str">
        <f>IF(INDEX('Shot Map'!$B$6:$V$26,CEILING($A59/5,1),CEILING(CB$2/5,1))=1,INDEX('Serial Reference'!$A$8:$W$8,1,FLOOR(($A59-1)/23,1)+1)&amp;INDEX('Serial Reference'!$A$8:$W$8,1,MOD($A59-1,23)+1)&amp;TEXT(CB$2+FLOOR((CB$2-1)/9,1),"000"),"")</f>
        <v>CL087</v>
      </c>
      <c r="CC59" s="23" t="str">
        <f>IF(INDEX('Shot Map'!$B$6:$V$26,CEILING($A59/5,1),CEILING(CC$2/5,1))=1,INDEX('Serial Reference'!$A$8:$W$8,1,FLOOR(($A59-1)/23,1)+1)&amp;INDEX('Serial Reference'!$A$8:$W$8,1,MOD($A59-1,23)+1)&amp;TEXT(CC$2+FLOOR((CC$2-1)/9,1),"000"),"")</f>
        <v>CL088</v>
      </c>
      <c r="CD59" s="21" t="str">
        <f>IF(INDEX('Shot Map'!$B$6:$V$26,CEILING($A59/5,1),CEILING(CD$2/5,1))=1,INDEX('Serial Reference'!$A$8:$W$8,1,FLOOR(($A59-1)/23,1)+1)&amp;INDEX('Serial Reference'!$A$8:$W$8,1,MOD($A59-1,23)+1)&amp;TEXT(CD$2+FLOOR((CD$2-1)/9,1),"000"),"")</f>
        <v>CL089</v>
      </c>
      <c r="CE59" s="22" t="str">
        <f>IF(INDEX('Shot Map'!$B$6:$V$26,CEILING($A59/5,1),CEILING(CE$2/5,1))=1,INDEX('Serial Reference'!$A$8:$W$8,1,FLOOR(($A59-1)/23,1)+1)&amp;INDEX('Serial Reference'!$A$8:$W$8,1,MOD($A59-1,23)+1)&amp;TEXT(CE$2+FLOOR((CE$2-1)/9,1),"000"),"")</f>
        <v>CL091</v>
      </c>
      <c r="CF59" s="22" t="str">
        <f>IF(INDEX('Shot Map'!$B$6:$V$26,CEILING($A59/5,1),CEILING(CF$2/5,1))=1,INDEX('Serial Reference'!$A$8:$W$8,1,FLOOR(($A59-1)/23,1)+1)&amp;INDEX('Serial Reference'!$A$8:$W$8,1,MOD($A59-1,23)+1)&amp;TEXT(CF$2+FLOOR((CF$2-1)/9,1),"000"),"")</f>
        <v>CL092</v>
      </c>
      <c r="CG59" s="22" t="str">
        <f>IF(INDEX('Shot Map'!$B$6:$V$26,CEILING($A59/5,1),CEILING(CG$2/5,1))=1,INDEX('Serial Reference'!$A$8:$W$8,1,FLOOR(($A59-1)/23,1)+1)&amp;INDEX('Serial Reference'!$A$8:$W$8,1,MOD($A59-1,23)+1)&amp;TEXT(CG$2+FLOOR((CG$2-1)/9,1),"000"),"")</f>
        <v>CL093</v>
      </c>
      <c r="CH59" s="23" t="str">
        <f>IF(INDEX('Shot Map'!$B$6:$V$26,CEILING($A59/5,1),CEILING(CH$2/5,1))=1,INDEX('Serial Reference'!$A$8:$W$8,1,FLOOR(($A59-1)/23,1)+1)&amp;INDEX('Serial Reference'!$A$8:$W$8,1,MOD($A59-1,23)+1)&amp;TEXT(CH$2+FLOOR((CH$2-1)/9,1),"000"),"")</f>
        <v>CL094</v>
      </c>
      <c r="CI59" s="21" t="str">
        <f>IF(INDEX('Shot Map'!$B$6:$V$26,CEILING($A59/5,1),CEILING(CI$2/5,1))=1,INDEX('Serial Reference'!$A$8:$W$8,1,FLOOR(($A59-1)/23,1)+1)&amp;INDEX('Serial Reference'!$A$8:$W$8,1,MOD($A59-1,23)+1)&amp;TEXT(CI$2+FLOOR((CI$2-1)/9,1),"000"),"")</f>
        <v>CL095</v>
      </c>
      <c r="CJ59" s="22" t="str">
        <f>IF(INDEX('Shot Map'!$B$6:$V$26,CEILING($A59/5,1),CEILING(CJ$2/5,1))=1,INDEX('Serial Reference'!$A$8:$W$8,1,FLOOR(($A59-1)/23,1)+1)&amp;INDEX('Serial Reference'!$A$8:$W$8,1,MOD($A59-1,23)+1)&amp;TEXT(CJ$2+FLOOR((CJ$2-1)/9,1),"000"),"")</f>
        <v>CL096</v>
      </c>
      <c r="CK59" s="22" t="str">
        <f>IF(INDEX('Shot Map'!$B$6:$V$26,CEILING($A59/5,1),CEILING(CK$2/5,1))=1,INDEX('Serial Reference'!$A$8:$W$8,1,FLOOR(($A59-1)/23,1)+1)&amp;INDEX('Serial Reference'!$A$8:$W$8,1,MOD($A59-1,23)+1)&amp;TEXT(CK$2+FLOOR((CK$2-1)/9,1),"000"),"")</f>
        <v>CL097</v>
      </c>
      <c r="CL59" s="22" t="str">
        <f>IF(INDEX('Shot Map'!$B$6:$V$26,CEILING($A59/5,1),CEILING(CL$2/5,1))=1,INDEX('Serial Reference'!$A$8:$W$8,1,FLOOR(($A59-1)/23,1)+1)&amp;INDEX('Serial Reference'!$A$8:$W$8,1,MOD($A59-1,23)+1)&amp;TEXT(CL$2+FLOOR((CL$2-1)/9,1),"000"),"")</f>
        <v>CL098</v>
      </c>
      <c r="CM59" s="23" t="str">
        <f>IF(INDEX('Shot Map'!$B$6:$V$26,CEILING($A59/5,1),CEILING(CM$2/5,1))=1,INDEX('Serial Reference'!$A$8:$W$8,1,FLOOR(($A59-1)/23,1)+1)&amp;INDEX('Serial Reference'!$A$8:$W$8,1,MOD($A59-1,23)+1)&amp;TEXT(CM$2+FLOOR((CM$2-1)/9,1),"000"),"")</f>
        <v>CL099</v>
      </c>
      <c r="CN59" s="21" t="str">
        <f>IF(INDEX('Shot Map'!$B$6:$V$26,CEILING($A59/5,1),CEILING(CN$2/5,1))=1,INDEX('Serial Reference'!$A$8:$W$8,1,FLOOR(($A59-1)/23,1)+1)&amp;INDEX('Serial Reference'!$A$8:$W$8,1,MOD($A59-1,23)+1)&amp;TEXT(CN$2+FLOOR((CN$2-1)/9,1),"000"),"")</f>
        <v>CL101</v>
      </c>
      <c r="CO59" s="22" t="str">
        <f>IF(INDEX('Shot Map'!$B$6:$V$26,CEILING($A59/5,1),CEILING(CO$2/5,1))=1,INDEX('Serial Reference'!$A$8:$W$8,1,FLOOR(($A59-1)/23,1)+1)&amp;INDEX('Serial Reference'!$A$8:$W$8,1,MOD($A59-1,23)+1)&amp;TEXT(CO$2+FLOOR((CO$2-1)/9,1),"000"),"")</f>
        <v>CL102</v>
      </c>
      <c r="CP59" s="22" t="str">
        <f>IF(INDEX('Shot Map'!$B$6:$V$26,CEILING($A59/5,1),CEILING(CP$2/5,1))=1,INDEX('Serial Reference'!$A$8:$W$8,1,FLOOR(($A59-1)/23,1)+1)&amp;INDEX('Serial Reference'!$A$8:$W$8,1,MOD($A59-1,23)+1)&amp;TEXT(CP$2+FLOOR((CP$2-1)/9,1),"000"),"")</f>
        <v>CL103</v>
      </c>
      <c r="CQ59" s="22" t="str">
        <f>IF(INDEX('Shot Map'!$B$6:$V$26,CEILING($A59/5,1),CEILING(CQ$2/5,1))=1,INDEX('Serial Reference'!$A$8:$W$8,1,FLOOR(($A59-1)/23,1)+1)&amp;INDEX('Serial Reference'!$A$8:$W$8,1,MOD($A59-1,23)+1)&amp;TEXT(CQ$2+FLOOR((CQ$2-1)/9,1),"000"),"")</f>
        <v>CL104</v>
      </c>
      <c r="CR59" s="23" t="str">
        <f>IF(INDEX('Shot Map'!$B$6:$V$26,CEILING($A59/5,1),CEILING(CR$2/5,1))=1,INDEX('Serial Reference'!$A$8:$W$8,1,FLOOR(($A59-1)/23,1)+1)&amp;INDEX('Serial Reference'!$A$8:$W$8,1,MOD($A59-1,23)+1)&amp;TEXT(CR$2+FLOOR((CR$2-1)/9,1),"000"),"")</f>
        <v>CL105</v>
      </c>
      <c r="CS59" s="21" t="str">
        <f>IF(INDEX('Shot Map'!$B$6:$V$26,CEILING($A59/5,1),CEILING(CS$2/5,1))=1,INDEX('Serial Reference'!$A$8:$W$8,1,FLOOR(($A59-1)/23,1)+1)&amp;INDEX('Serial Reference'!$A$8:$W$8,1,MOD($A59-1,23)+1)&amp;TEXT(CS$2+FLOOR((CS$2-1)/9,1),"000"),"")</f>
        <v>CL106</v>
      </c>
      <c r="CT59" s="22" t="str">
        <f>IF(INDEX('Shot Map'!$B$6:$V$26,CEILING($A59/5,1),CEILING(CT$2/5,1))=1,INDEX('Serial Reference'!$A$8:$W$8,1,FLOOR(($A59-1)/23,1)+1)&amp;INDEX('Serial Reference'!$A$8:$W$8,1,MOD($A59-1,23)+1)&amp;TEXT(CT$2+FLOOR((CT$2-1)/9,1),"000"),"")</f>
        <v>CL107</v>
      </c>
      <c r="CU59" s="22" t="str">
        <f>IF(INDEX('Shot Map'!$B$6:$V$26,CEILING($A59/5,1),CEILING(CU$2/5,1))=1,INDEX('Serial Reference'!$A$8:$W$8,1,FLOOR(($A59-1)/23,1)+1)&amp;INDEX('Serial Reference'!$A$8:$W$8,1,MOD($A59-1,23)+1)&amp;TEXT(CU$2+FLOOR((CU$2-1)/9,1),"000"),"")</f>
        <v>CL108</v>
      </c>
      <c r="CV59" s="22" t="str">
        <f>IF(INDEX('Shot Map'!$B$6:$V$26,CEILING($A59/5,1),CEILING(CV$2/5,1))=1,INDEX('Serial Reference'!$A$8:$W$8,1,FLOOR(($A59-1)/23,1)+1)&amp;INDEX('Serial Reference'!$A$8:$W$8,1,MOD($A59-1,23)+1)&amp;TEXT(CV$2+FLOOR((CV$2-1)/9,1),"000"),"")</f>
        <v>CL109</v>
      </c>
      <c r="CW59" s="23" t="str">
        <f>IF(INDEX('Shot Map'!$B$6:$V$26,CEILING($A59/5,1),CEILING(CW$2/5,1))=1,INDEX('Serial Reference'!$A$8:$W$8,1,FLOOR(($A59-1)/23,1)+1)&amp;INDEX('Serial Reference'!$A$8:$W$8,1,MOD($A59-1,23)+1)&amp;TEXT(CW$2+FLOOR((CW$2-1)/9,1),"000"),"")</f>
        <v>CL111</v>
      </c>
      <c r="CX59" s="21" t="str">
        <f>IF(INDEX('Shot Map'!$B$6:$V$26,CEILING($A59/5,1),CEILING(CX$2/5,1))=1,INDEX('Serial Reference'!$A$8:$W$8,1,FLOOR(($A59-1)/23,1)+1)&amp;INDEX('Serial Reference'!$A$8:$W$8,1,MOD($A59-1,23)+1)&amp;TEXT(CX$2+FLOOR((CX$2-1)/9,1),"000"),"")</f>
        <v>CL112</v>
      </c>
      <c r="CY59" s="22" t="str">
        <f>IF(INDEX('Shot Map'!$B$6:$V$26,CEILING($A59/5,1),CEILING(CY$2/5,1))=1,INDEX('Serial Reference'!$A$8:$W$8,1,FLOOR(($A59-1)/23,1)+1)&amp;INDEX('Serial Reference'!$A$8:$W$8,1,MOD($A59-1,23)+1)&amp;TEXT(CY$2+FLOOR((CY$2-1)/9,1),"000"),"")</f>
        <v>CL113</v>
      </c>
      <c r="CZ59" s="22" t="str">
        <f>IF(INDEX('Shot Map'!$B$6:$V$26,CEILING($A59/5,1),CEILING(CZ$2/5,1))=1,INDEX('Serial Reference'!$A$8:$W$8,1,FLOOR(($A59-1)/23,1)+1)&amp;INDEX('Serial Reference'!$A$8:$W$8,1,MOD($A59-1,23)+1)&amp;TEXT(CZ$2+FLOOR((CZ$2-1)/9,1),"000"),"")</f>
        <v>CL114</v>
      </c>
      <c r="DA59" s="22" t="str">
        <f>IF(INDEX('Shot Map'!$B$6:$V$26,CEILING($A59/5,1),CEILING(DA$2/5,1))=1,INDEX('Serial Reference'!$A$8:$W$8,1,FLOOR(($A59-1)/23,1)+1)&amp;INDEX('Serial Reference'!$A$8:$W$8,1,MOD($A59-1,23)+1)&amp;TEXT(DA$2+FLOOR((DA$2-1)/9,1),"000"),"")</f>
        <v>CL115</v>
      </c>
      <c r="DB59" s="23" t="str">
        <f>IF(INDEX('Shot Map'!$B$6:$V$26,CEILING($A59/5,1),CEILING(DB$2/5,1))=1,INDEX('Serial Reference'!$A$8:$W$8,1,FLOOR(($A59-1)/23,1)+1)&amp;INDEX('Serial Reference'!$A$8:$W$8,1,MOD($A59-1,23)+1)&amp;TEXT(DB$2+FLOOR((DB$2-1)/9,1),"000"),"")</f>
        <v>CL116</v>
      </c>
    </row>
    <row r="60" spans="1:106" ht="12.75" customHeight="1" x14ac:dyDescent="0.25">
      <c r="A60" s="17">
        <v>58</v>
      </c>
      <c r="B60" s="21" t="str">
        <f>IF(INDEX('Shot Map'!$B$6:$V$26,CEILING($A60/5,1),CEILING(B$2/5,1))=1,INDEX('Serial Reference'!$A$8:$W$8,1,FLOOR(($A60-1)/23,1)+1)&amp;INDEX('Serial Reference'!$A$8:$W$8,1,MOD($A60-1,23)+1)&amp;TEXT(B$2+FLOOR((B$2-1)/9,1),"000"),"")</f>
        <v>CM001</v>
      </c>
      <c r="C60" s="22" t="str">
        <f>IF(INDEX('Shot Map'!$B$6:$V$26,CEILING($A60/5,1),CEILING(C$2/5,1))=1,INDEX('Serial Reference'!$A$8:$W$8,1,FLOOR(($A60-1)/23,1)+1)&amp;INDEX('Serial Reference'!$A$8:$W$8,1,MOD($A60-1,23)+1)&amp;TEXT(C$2+FLOOR((C$2-1)/9,1),"000"),"")</f>
        <v>CM002</v>
      </c>
      <c r="D60" s="22" t="str">
        <f>IF(INDEX('Shot Map'!$B$6:$V$26,CEILING($A60/5,1),CEILING(D$2/5,1))=1,INDEX('Serial Reference'!$A$8:$W$8,1,FLOOR(($A60-1)/23,1)+1)&amp;INDEX('Serial Reference'!$A$8:$W$8,1,MOD($A60-1,23)+1)&amp;TEXT(D$2+FLOOR((D$2-1)/9,1),"000"),"")</f>
        <v>CM003</v>
      </c>
      <c r="E60" s="22" t="str">
        <f>IF(INDEX('Shot Map'!$B$6:$V$26,CEILING($A60/5,1),CEILING(E$2/5,1))=1,INDEX('Serial Reference'!$A$8:$W$8,1,FLOOR(($A60-1)/23,1)+1)&amp;INDEX('Serial Reference'!$A$8:$W$8,1,MOD($A60-1,23)+1)&amp;TEXT(E$2+FLOOR((E$2-1)/9,1),"000"),"")</f>
        <v>CM004</v>
      </c>
      <c r="F60" s="23" t="str">
        <f>IF(INDEX('Shot Map'!$B$6:$V$26,CEILING($A60/5,1),CEILING(F$2/5,1))=1,INDEX('Serial Reference'!$A$8:$W$8,1,FLOOR(($A60-1)/23,1)+1)&amp;INDEX('Serial Reference'!$A$8:$W$8,1,MOD($A60-1,23)+1)&amp;TEXT(F$2+FLOOR((F$2-1)/9,1),"000"),"")</f>
        <v>CM005</v>
      </c>
      <c r="G60" s="21" t="str">
        <f>IF(INDEX('Shot Map'!$B$6:$V$26,CEILING($A60/5,1),CEILING(G$2/5,1))=1,INDEX('Serial Reference'!$A$8:$W$8,1,FLOOR(($A60-1)/23,1)+1)&amp;INDEX('Serial Reference'!$A$8:$W$8,1,MOD($A60-1,23)+1)&amp;TEXT(G$2+FLOOR((G$2-1)/9,1),"000"),"")</f>
        <v>CM006</v>
      </c>
      <c r="H60" s="22" t="str">
        <f>IF(INDEX('Shot Map'!$B$6:$V$26,CEILING($A60/5,1),CEILING(H$2/5,1))=1,INDEX('Serial Reference'!$A$8:$W$8,1,FLOOR(($A60-1)/23,1)+1)&amp;INDEX('Serial Reference'!$A$8:$W$8,1,MOD($A60-1,23)+1)&amp;TEXT(H$2+FLOOR((H$2-1)/9,1),"000"),"")</f>
        <v>CM007</v>
      </c>
      <c r="I60" s="22" t="str">
        <f>IF(INDEX('Shot Map'!$B$6:$V$26,CEILING($A60/5,1),CEILING(I$2/5,1))=1,INDEX('Serial Reference'!$A$8:$W$8,1,FLOOR(($A60-1)/23,1)+1)&amp;INDEX('Serial Reference'!$A$8:$W$8,1,MOD($A60-1,23)+1)&amp;TEXT(I$2+FLOOR((I$2-1)/9,1),"000"),"")</f>
        <v>CM008</v>
      </c>
      <c r="J60" s="22" t="str">
        <f>IF(INDEX('Shot Map'!$B$6:$V$26,CEILING($A60/5,1),CEILING(J$2/5,1))=1,INDEX('Serial Reference'!$A$8:$W$8,1,FLOOR(($A60-1)/23,1)+1)&amp;INDEX('Serial Reference'!$A$8:$W$8,1,MOD($A60-1,23)+1)&amp;TEXT(J$2+FLOOR((J$2-1)/9,1),"000"),"")</f>
        <v>CM009</v>
      </c>
      <c r="K60" s="23" t="str">
        <f>IF(INDEX('Shot Map'!$B$6:$V$26,CEILING($A60/5,1),CEILING(K$2/5,1))=1,INDEX('Serial Reference'!$A$8:$W$8,1,FLOOR(($A60-1)/23,1)+1)&amp;INDEX('Serial Reference'!$A$8:$W$8,1,MOD($A60-1,23)+1)&amp;TEXT(K$2+FLOOR((K$2-1)/9,1),"000"),"")</f>
        <v>CM011</v>
      </c>
      <c r="L60" s="21" t="str">
        <f>IF(INDEX('Shot Map'!$B$6:$V$26,CEILING($A60/5,1),CEILING(L$2/5,1))=1,INDEX('Serial Reference'!$A$8:$W$8,1,FLOOR(($A60-1)/23,1)+1)&amp;INDEX('Serial Reference'!$A$8:$W$8,1,MOD($A60-1,23)+1)&amp;TEXT(L$2+FLOOR((L$2-1)/9,1),"000"),"")</f>
        <v>CM012</v>
      </c>
      <c r="M60" s="22" t="str">
        <f>IF(INDEX('Shot Map'!$B$6:$V$26,CEILING($A60/5,1),CEILING(M$2/5,1))=1,INDEX('Serial Reference'!$A$8:$W$8,1,FLOOR(($A60-1)/23,1)+1)&amp;INDEX('Serial Reference'!$A$8:$W$8,1,MOD($A60-1,23)+1)&amp;TEXT(M$2+FLOOR((M$2-1)/9,1),"000"),"")</f>
        <v>CM013</v>
      </c>
      <c r="N60" s="22" t="str">
        <f>IF(INDEX('Shot Map'!$B$6:$V$26,CEILING($A60/5,1),CEILING(N$2/5,1))=1,INDEX('Serial Reference'!$A$8:$W$8,1,FLOOR(($A60-1)/23,1)+1)&amp;INDEX('Serial Reference'!$A$8:$W$8,1,MOD($A60-1,23)+1)&amp;TEXT(N$2+FLOOR((N$2-1)/9,1),"000"),"")</f>
        <v>CM014</v>
      </c>
      <c r="O60" s="22" t="str">
        <f>IF(INDEX('Shot Map'!$B$6:$V$26,CEILING($A60/5,1),CEILING(O$2/5,1))=1,INDEX('Serial Reference'!$A$8:$W$8,1,FLOOR(($A60-1)/23,1)+1)&amp;INDEX('Serial Reference'!$A$8:$W$8,1,MOD($A60-1,23)+1)&amp;TEXT(O$2+FLOOR((O$2-1)/9,1),"000"),"")</f>
        <v>CM015</v>
      </c>
      <c r="P60" s="23" t="str">
        <f>IF(INDEX('Shot Map'!$B$6:$V$26,CEILING($A60/5,1),CEILING(P$2/5,1))=1,INDEX('Serial Reference'!$A$8:$W$8,1,FLOOR(($A60-1)/23,1)+1)&amp;INDEX('Serial Reference'!$A$8:$W$8,1,MOD($A60-1,23)+1)&amp;TEXT(P$2+FLOOR((P$2-1)/9,1),"000"),"")</f>
        <v>CM016</v>
      </c>
      <c r="Q60" s="21" t="str">
        <f>IF(INDEX('Shot Map'!$B$6:$V$26,CEILING($A60/5,1),CEILING(Q$2/5,1))=1,INDEX('Serial Reference'!$A$8:$W$8,1,FLOOR(($A60-1)/23,1)+1)&amp;INDEX('Serial Reference'!$A$8:$W$8,1,MOD($A60-1,23)+1)&amp;TEXT(Q$2+FLOOR((Q$2-1)/9,1),"000"),"")</f>
        <v>CM017</v>
      </c>
      <c r="R60" s="22" t="str">
        <f>IF(INDEX('Shot Map'!$B$6:$V$26,CEILING($A60/5,1),CEILING(R$2/5,1))=1,INDEX('Serial Reference'!$A$8:$W$8,1,FLOOR(($A60-1)/23,1)+1)&amp;INDEX('Serial Reference'!$A$8:$W$8,1,MOD($A60-1,23)+1)&amp;TEXT(R$2+FLOOR((R$2-1)/9,1),"000"),"")</f>
        <v>CM018</v>
      </c>
      <c r="S60" s="22" t="str">
        <f>IF(INDEX('Shot Map'!$B$6:$V$26,CEILING($A60/5,1),CEILING(S$2/5,1))=1,INDEX('Serial Reference'!$A$8:$W$8,1,FLOOR(($A60-1)/23,1)+1)&amp;INDEX('Serial Reference'!$A$8:$W$8,1,MOD($A60-1,23)+1)&amp;TEXT(S$2+FLOOR((S$2-1)/9,1),"000"),"")</f>
        <v>CM019</v>
      </c>
      <c r="T60" s="22" t="str">
        <f>IF(INDEX('Shot Map'!$B$6:$V$26,CEILING($A60/5,1),CEILING(T$2/5,1))=1,INDEX('Serial Reference'!$A$8:$W$8,1,FLOOR(($A60-1)/23,1)+1)&amp;INDEX('Serial Reference'!$A$8:$W$8,1,MOD($A60-1,23)+1)&amp;TEXT(T$2+FLOOR((T$2-1)/9,1),"000"),"")</f>
        <v>CM021</v>
      </c>
      <c r="U60" s="23" t="str">
        <f>IF(INDEX('Shot Map'!$B$6:$V$26,CEILING($A60/5,1),CEILING(U$2/5,1))=1,INDEX('Serial Reference'!$A$8:$W$8,1,FLOOR(($A60-1)/23,1)+1)&amp;INDEX('Serial Reference'!$A$8:$W$8,1,MOD($A60-1,23)+1)&amp;TEXT(U$2+FLOOR((U$2-1)/9,1),"000"),"")</f>
        <v>CM022</v>
      </c>
      <c r="V60" s="21" t="str">
        <f>IF(INDEX('Shot Map'!$B$6:$V$26,CEILING($A60/5,1),CEILING(V$2/5,1))=1,INDEX('Serial Reference'!$A$8:$W$8,1,FLOOR(($A60-1)/23,1)+1)&amp;INDEX('Serial Reference'!$A$8:$W$8,1,MOD($A60-1,23)+1)&amp;TEXT(V$2+FLOOR((V$2-1)/9,1),"000"),"")</f>
        <v>CM023</v>
      </c>
      <c r="W60" s="22" t="str">
        <f>IF(INDEX('Shot Map'!$B$6:$V$26,CEILING($A60/5,1),CEILING(W$2/5,1))=1,INDEX('Serial Reference'!$A$8:$W$8,1,FLOOR(($A60-1)/23,1)+1)&amp;INDEX('Serial Reference'!$A$8:$W$8,1,MOD($A60-1,23)+1)&amp;TEXT(W$2+FLOOR((W$2-1)/9,1),"000"),"")</f>
        <v>CM024</v>
      </c>
      <c r="X60" s="22" t="str">
        <f>IF(INDEX('Shot Map'!$B$6:$V$26,CEILING($A60/5,1),CEILING(X$2/5,1))=1,INDEX('Serial Reference'!$A$8:$W$8,1,FLOOR(($A60-1)/23,1)+1)&amp;INDEX('Serial Reference'!$A$8:$W$8,1,MOD($A60-1,23)+1)&amp;TEXT(X$2+FLOOR((X$2-1)/9,1),"000"),"")</f>
        <v>CM025</v>
      </c>
      <c r="Y60" s="22" t="str">
        <f>IF(INDEX('Shot Map'!$B$6:$V$26,CEILING($A60/5,1),CEILING(Y$2/5,1))=1,INDEX('Serial Reference'!$A$8:$W$8,1,FLOOR(($A60-1)/23,1)+1)&amp;INDEX('Serial Reference'!$A$8:$W$8,1,MOD($A60-1,23)+1)&amp;TEXT(Y$2+FLOOR((Y$2-1)/9,1),"000"),"")</f>
        <v>CM026</v>
      </c>
      <c r="Z60" s="23" t="str">
        <f>IF(INDEX('Shot Map'!$B$6:$V$26,CEILING($A60/5,1),CEILING(Z$2/5,1))=1,INDEX('Serial Reference'!$A$8:$W$8,1,FLOOR(($A60-1)/23,1)+1)&amp;INDEX('Serial Reference'!$A$8:$W$8,1,MOD($A60-1,23)+1)&amp;TEXT(Z$2+FLOOR((Z$2-1)/9,1),"000"),"")</f>
        <v>CM027</v>
      </c>
      <c r="AA60" s="21" t="str">
        <f>IF(INDEX('Shot Map'!$B$6:$V$26,CEILING($A60/5,1),CEILING(AA$2/5,1))=1,INDEX('Serial Reference'!$A$8:$W$8,1,FLOOR(($A60-1)/23,1)+1)&amp;INDEX('Serial Reference'!$A$8:$W$8,1,MOD($A60-1,23)+1)&amp;TEXT(AA$2+FLOOR((AA$2-1)/9,1),"000"),"")</f>
        <v>CM028</v>
      </c>
      <c r="AB60" s="22" t="str">
        <f>IF(INDEX('Shot Map'!$B$6:$V$26,CEILING($A60/5,1),CEILING(AB$2/5,1))=1,INDEX('Serial Reference'!$A$8:$W$8,1,FLOOR(($A60-1)/23,1)+1)&amp;INDEX('Serial Reference'!$A$8:$W$8,1,MOD($A60-1,23)+1)&amp;TEXT(AB$2+FLOOR((AB$2-1)/9,1),"000"),"")</f>
        <v>CM029</v>
      </c>
      <c r="AC60" s="22" t="str">
        <f>IF(INDEX('Shot Map'!$B$6:$V$26,CEILING($A60/5,1),CEILING(AC$2/5,1))=1,INDEX('Serial Reference'!$A$8:$W$8,1,FLOOR(($A60-1)/23,1)+1)&amp;INDEX('Serial Reference'!$A$8:$W$8,1,MOD($A60-1,23)+1)&amp;TEXT(AC$2+FLOOR((AC$2-1)/9,1),"000"),"")</f>
        <v>CM031</v>
      </c>
      <c r="AD60" s="22" t="str">
        <f>IF(INDEX('Shot Map'!$B$6:$V$26,CEILING($A60/5,1),CEILING(AD$2/5,1))=1,INDEX('Serial Reference'!$A$8:$W$8,1,FLOOR(($A60-1)/23,1)+1)&amp;INDEX('Serial Reference'!$A$8:$W$8,1,MOD($A60-1,23)+1)&amp;TEXT(AD$2+FLOOR((AD$2-1)/9,1),"000"),"")</f>
        <v>CM032</v>
      </c>
      <c r="AE60" s="23" t="str">
        <f>IF(INDEX('Shot Map'!$B$6:$V$26,CEILING($A60/5,1),CEILING(AE$2/5,1))=1,INDEX('Serial Reference'!$A$8:$W$8,1,FLOOR(($A60-1)/23,1)+1)&amp;INDEX('Serial Reference'!$A$8:$W$8,1,MOD($A60-1,23)+1)&amp;TEXT(AE$2+FLOOR((AE$2-1)/9,1),"000"),"")</f>
        <v>CM033</v>
      </c>
      <c r="AF60" s="21" t="str">
        <f>IF(INDEX('Shot Map'!$B$6:$V$26,CEILING($A60/5,1),CEILING(AF$2/5,1))=1,INDEX('Serial Reference'!$A$8:$W$8,1,FLOOR(($A60-1)/23,1)+1)&amp;INDEX('Serial Reference'!$A$8:$W$8,1,MOD($A60-1,23)+1)&amp;TEXT(AF$2+FLOOR((AF$2-1)/9,1),"000"),"")</f>
        <v>CM034</v>
      </c>
      <c r="AG60" s="22" t="str">
        <f>IF(INDEX('Shot Map'!$B$6:$V$26,CEILING($A60/5,1),CEILING(AG$2/5,1))=1,INDEX('Serial Reference'!$A$8:$W$8,1,FLOOR(($A60-1)/23,1)+1)&amp;INDEX('Serial Reference'!$A$8:$W$8,1,MOD($A60-1,23)+1)&amp;TEXT(AG$2+FLOOR((AG$2-1)/9,1),"000"),"")</f>
        <v>CM035</v>
      </c>
      <c r="AH60" s="22" t="str">
        <f>IF(INDEX('Shot Map'!$B$6:$V$26,CEILING($A60/5,1),CEILING(AH$2/5,1))=1,INDEX('Serial Reference'!$A$8:$W$8,1,FLOOR(($A60-1)/23,1)+1)&amp;INDEX('Serial Reference'!$A$8:$W$8,1,MOD($A60-1,23)+1)&amp;TEXT(AH$2+FLOOR((AH$2-1)/9,1),"000"),"")</f>
        <v>CM036</v>
      </c>
      <c r="AI60" s="22" t="str">
        <f>IF(INDEX('Shot Map'!$B$6:$V$26,CEILING($A60/5,1),CEILING(AI$2/5,1))=1,INDEX('Serial Reference'!$A$8:$W$8,1,FLOOR(($A60-1)/23,1)+1)&amp;INDEX('Serial Reference'!$A$8:$W$8,1,MOD($A60-1,23)+1)&amp;TEXT(AI$2+FLOOR((AI$2-1)/9,1),"000"),"")</f>
        <v>CM037</v>
      </c>
      <c r="AJ60" s="23" t="str">
        <f>IF(INDEX('Shot Map'!$B$6:$V$26,CEILING($A60/5,1),CEILING(AJ$2/5,1))=1,INDEX('Serial Reference'!$A$8:$W$8,1,FLOOR(($A60-1)/23,1)+1)&amp;INDEX('Serial Reference'!$A$8:$W$8,1,MOD($A60-1,23)+1)&amp;TEXT(AJ$2+FLOOR((AJ$2-1)/9,1),"000"),"")</f>
        <v>CM038</v>
      </c>
      <c r="AK60" s="21" t="str">
        <f>IF(INDEX('Shot Map'!$B$6:$V$26,CEILING($A60/5,1),CEILING(AK$2/5,1))=1,INDEX('Serial Reference'!$A$8:$W$8,1,FLOOR(($A60-1)/23,1)+1)&amp;INDEX('Serial Reference'!$A$8:$W$8,1,MOD($A60-1,23)+1)&amp;TEXT(AK$2+FLOOR((AK$2-1)/9,1),"000"),"")</f>
        <v>CM039</v>
      </c>
      <c r="AL60" s="22" t="str">
        <f>IF(INDEX('Shot Map'!$B$6:$V$26,CEILING($A60/5,1),CEILING(AL$2/5,1))=1,INDEX('Serial Reference'!$A$8:$W$8,1,FLOOR(($A60-1)/23,1)+1)&amp;INDEX('Serial Reference'!$A$8:$W$8,1,MOD($A60-1,23)+1)&amp;TEXT(AL$2+FLOOR((AL$2-1)/9,1),"000"),"")</f>
        <v>CM041</v>
      </c>
      <c r="AM60" s="22" t="str">
        <f>IF(INDEX('Shot Map'!$B$6:$V$26,CEILING($A60/5,1),CEILING(AM$2/5,1))=1,INDEX('Serial Reference'!$A$8:$W$8,1,FLOOR(($A60-1)/23,1)+1)&amp;INDEX('Serial Reference'!$A$8:$W$8,1,MOD($A60-1,23)+1)&amp;TEXT(AM$2+FLOOR((AM$2-1)/9,1),"000"),"")</f>
        <v>CM042</v>
      </c>
      <c r="AN60" s="22" t="str">
        <f>IF(INDEX('Shot Map'!$B$6:$V$26,CEILING($A60/5,1),CEILING(AN$2/5,1))=1,INDEX('Serial Reference'!$A$8:$W$8,1,FLOOR(($A60-1)/23,1)+1)&amp;INDEX('Serial Reference'!$A$8:$W$8,1,MOD($A60-1,23)+1)&amp;TEXT(AN$2+FLOOR((AN$2-1)/9,1),"000"),"")</f>
        <v>CM043</v>
      </c>
      <c r="AO60" s="23" t="str">
        <f>IF(INDEX('Shot Map'!$B$6:$V$26,CEILING($A60/5,1),CEILING(AO$2/5,1))=1,INDEX('Serial Reference'!$A$8:$W$8,1,FLOOR(($A60-1)/23,1)+1)&amp;INDEX('Serial Reference'!$A$8:$W$8,1,MOD($A60-1,23)+1)&amp;TEXT(AO$2+FLOOR((AO$2-1)/9,1),"000"),"")</f>
        <v>CM044</v>
      </c>
      <c r="AP60" s="21" t="str">
        <f>IF(INDEX('Shot Map'!$B$6:$V$26,CEILING($A60/5,1),CEILING(AP$2/5,1))=1,INDEX('Serial Reference'!$A$8:$W$8,1,FLOOR(($A60-1)/23,1)+1)&amp;INDEX('Serial Reference'!$A$8:$W$8,1,MOD($A60-1,23)+1)&amp;TEXT(AP$2+FLOOR((AP$2-1)/9,1),"000"),"")</f>
        <v>CM045</v>
      </c>
      <c r="AQ60" s="22" t="str">
        <f>IF(INDEX('Shot Map'!$B$6:$V$26,CEILING($A60/5,1),CEILING(AQ$2/5,1))=1,INDEX('Serial Reference'!$A$8:$W$8,1,FLOOR(($A60-1)/23,1)+1)&amp;INDEX('Serial Reference'!$A$8:$W$8,1,MOD($A60-1,23)+1)&amp;TEXT(AQ$2+FLOOR((AQ$2-1)/9,1),"000"),"")</f>
        <v>CM046</v>
      </c>
      <c r="AR60" s="22" t="str">
        <f>IF(INDEX('Shot Map'!$B$6:$V$26,CEILING($A60/5,1),CEILING(AR$2/5,1))=1,INDEX('Serial Reference'!$A$8:$W$8,1,FLOOR(($A60-1)/23,1)+1)&amp;INDEX('Serial Reference'!$A$8:$W$8,1,MOD($A60-1,23)+1)&amp;TEXT(AR$2+FLOOR((AR$2-1)/9,1),"000"),"")</f>
        <v>CM047</v>
      </c>
      <c r="AS60" s="22" t="str">
        <f>IF(INDEX('Shot Map'!$B$6:$V$26,CEILING($A60/5,1),CEILING(AS$2/5,1))=1,INDEX('Serial Reference'!$A$8:$W$8,1,FLOOR(($A60-1)/23,1)+1)&amp;INDEX('Serial Reference'!$A$8:$W$8,1,MOD($A60-1,23)+1)&amp;TEXT(AS$2+FLOOR((AS$2-1)/9,1),"000"),"")</f>
        <v>CM048</v>
      </c>
      <c r="AT60" s="23" t="str">
        <f>IF(INDEX('Shot Map'!$B$6:$V$26,CEILING($A60/5,1),CEILING(AT$2/5,1))=1,INDEX('Serial Reference'!$A$8:$W$8,1,FLOOR(($A60-1)/23,1)+1)&amp;INDEX('Serial Reference'!$A$8:$W$8,1,MOD($A60-1,23)+1)&amp;TEXT(AT$2+FLOOR((AT$2-1)/9,1),"000"),"")</f>
        <v>CM049</v>
      </c>
      <c r="AU60" s="21" t="str">
        <f>IF(INDEX('Shot Map'!$B$6:$V$26,CEILING($A60/5,1),CEILING(AU$2/5,1))=1,INDEX('Serial Reference'!$A$8:$W$8,1,FLOOR(($A60-1)/23,1)+1)&amp;INDEX('Serial Reference'!$A$8:$W$8,1,MOD($A60-1,23)+1)&amp;TEXT(AU$2+FLOOR((AU$2-1)/9,1),"000"),"")</f>
        <v>CM051</v>
      </c>
      <c r="AV60" s="22" t="str">
        <f>IF(INDEX('Shot Map'!$B$6:$V$26,CEILING($A60/5,1),CEILING(AV$2/5,1))=1,INDEX('Serial Reference'!$A$8:$W$8,1,FLOOR(($A60-1)/23,1)+1)&amp;INDEX('Serial Reference'!$A$8:$W$8,1,MOD($A60-1,23)+1)&amp;TEXT(AV$2+FLOOR((AV$2-1)/9,1),"000"),"")</f>
        <v>CM052</v>
      </c>
      <c r="AW60" s="22" t="str">
        <f>IF(INDEX('Shot Map'!$B$6:$V$26,CEILING($A60/5,1),CEILING(AW$2/5,1))=1,INDEX('Serial Reference'!$A$8:$W$8,1,FLOOR(($A60-1)/23,1)+1)&amp;INDEX('Serial Reference'!$A$8:$W$8,1,MOD($A60-1,23)+1)&amp;TEXT(AW$2+FLOOR((AW$2-1)/9,1),"000"),"")</f>
        <v>CM053</v>
      </c>
      <c r="AX60" s="22" t="str">
        <f>IF(INDEX('Shot Map'!$B$6:$V$26,CEILING($A60/5,1),CEILING(AX$2/5,1))=1,INDEX('Serial Reference'!$A$8:$W$8,1,FLOOR(($A60-1)/23,1)+1)&amp;INDEX('Serial Reference'!$A$8:$W$8,1,MOD($A60-1,23)+1)&amp;TEXT(AX$2+FLOOR((AX$2-1)/9,1),"000"),"")</f>
        <v>CM054</v>
      </c>
      <c r="AY60" s="23" t="str">
        <f>IF(INDEX('Shot Map'!$B$6:$V$26,CEILING($A60/5,1),CEILING(AY$2/5,1))=1,INDEX('Serial Reference'!$A$8:$W$8,1,FLOOR(($A60-1)/23,1)+1)&amp;INDEX('Serial Reference'!$A$8:$W$8,1,MOD($A60-1,23)+1)&amp;TEXT(AY$2+FLOOR((AY$2-1)/9,1),"000"),"")</f>
        <v>CM055</v>
      </c>
      <c r="AZ60" s="21" t="str">
        <f>IF(INDEX('Shot Map'!$B$6:$V$26,CEILING($A60/5,1),CEILING(AZ$2/5,1))=1,INDEX('Serial Reference'!$A$8:$W$8,1,FLOOR(($A60-1)/23,1)+1)&amp;INDEX('Serial Reference'!$A$8:$W$8,1,MOD($A60-1,23)+1)&amp;TEXT(AZ$2+FLOOR((AZ$2-1)/9,1),"000"),"")</f>
        <v>CM056</v>
      </c>
      <c r="BA60" s="22" t="str">
        <f>IF(INDEX('Shot Map'!$B$6:$V$26,CEILING($A60/5,1),CEILING(BA$2/5,1))=1,INDEX('Serial Reference'!$A$8:$W$8,1,FLOOR(($A60-1)/23,1)+1)&amp;INDEX('Serial Reference'!$A$8:$W$8,1,MOD($A60-1,23)+1)&amp;TEXT(BA$2+FLOOR((BA$2-1)/9,1),"000"),"")</f>
        <v>CM057</v>
      </c>
      <c r="BB60" s="22" t="str">
        <f>IF(INDEX('Shot Map'!$B$6:$V$26,CEILING($A60/5,1),CEILING(BB$2/5,1))=1,INDEX('Serial Reference'!$A$8:$W$8,1,FLOOR(($A60-1)/23,1)+1)&amp;INDEX('Serial Reference'!$A$8:$W$8,1,MOD($A60-1,23)+1)&amp;TEXT(BB$2+FLOOR((BB$2-1)/9,1),"000"),"")</f>
        <v>CM058</v>
      </c>
      <c r="BC60" s="22" t="str">
        <f>IF(INDEX('Shot Map'!$B$6:$V$26,CEILING($A60/5,1),CEILING(BC$2/5,1))=1,INDEX('Serial Reference'!$A$8:$W$8,1,FLOOR(($A60-1)/23,1)+1)&amp;INDEX('Serial Reference'!$A$8:$W$8,1,MOD($A60-1,23)+1)&amp;TEXT(BC$2+FLOOR((BC$2-1)/9,1),"000"),"")</f>
        <v>CM059</v>
      </c>
      <c r="BD60" s="23" t="str">
        <f>IF(INDEX('Shot Map'!$B$6:$V$26,CEILING($A60/5,1),CEILING(BD$2/5,1))=1,INDEX('Serial Reference'!$A$8:$W$8,1,FLOOR(($A60-1)/23,1)+1)&amp;INDEX('Serial Reference'!$A$8:$W$8,1,MOD($A60-1,23)+1)&amp;TEXT(BD$2+FLOOR((BD$2-1)/9,1),"000"),"")</f>
        <v>CM061</v>
      </c>
      <c r="BE60" s="21" t="str">
        <f>IF(INDEX('Shot Map'!$B$6:$V$26,CEILING($A60/5,1),CEILING(BE$2/5,1))=1,INDEX('Serial Reference'!$A$8:$W$8,1,FLOOR(($A60-1)/23,1)+1)&amp;INDEX('Serial Reference'!$A$8:$W$8,1,MOD($A60-1,23)+1)&amp;TEXT(BE$2+FLOOR((BE$2-1)/9,1),"000"),"")</f>
        <v>CM062</v>
      </c>
      <c r="BF60" s="22" t="str">
        <f>IF(INDEX('Shot Map'!$B$6:$V$26,CEILING($A60/5,1),CEILING(BF$2/5,1))=1,INDEX('Serial Reference'!$A$8:$W$8,1,FLOOR(($A60-1)/23,1)+1)&amp;INDEX('Serial Reference'!$A$8:$W$8,1,MOD($A60-1,23)+1)&amp;TEXT(BF$2+FLOOR((BF$2-1)/9,1),"000"),"")</f>
        <v>CM063</v>
      </c>
      <c r="BG60" s="22" t="str">
        <f>IF(INDEX('Shot Map'!$B$6:$V$26,CEILING($A60/5,1),CEILING(BG$2/5,1))=1,INDEX('Serial Reference'!$A$8:$W$8,1,FLOOR(($A60-1)/23,1)+1)&amp;INDEX('Serial Reference'!$A$8:$W$8,1,MOD($A60-1,23)+1)&amp;TEXT(BG$2+FLOOR((BG$2-1)/9,1),"000"),"")</f>
        <v>CM064</v>
      </c>
      <c r="BH60" s="22" t="str">
        <f>IF(INDEX('Shot Map'!$B$6:$V$26,CEILING($A60/5,1),CEILING(BH$2/5,1))=1,INDEX('Serial Reference'!$A$8:$W$8,1,FLOOR(($A60-1)/23,1)+1)&amp;INDEX('Serial Reference'!$A$8:$W$8,1,MOD($A60-1,23)+1)&amp;TEXT(BH$2+FLOOR((BH$2-1)/9,1),"000"),"")</f>
        <v>CM065</v>
      </c>
      <c r="BI60" s="23" t="str">
        <f>IF(INDEX('Shot Map'!$B$6:$V$26,CEILING($A60/5,1),CEILING(BI$2/5,1))=1,INDEX('Serial Reference'!$A$8:$W$8,1,FLOOR(($A60-1)/23,1)+1)&amp;INDEX('Serial Reference'!$A$8:$W$8,1,MOD($A60-1,23)+1)&amp;TEXT(BI$2+FLOOR((BI$2-1)/9,1),"000"),"")</f>
        <v>CM066</v>
      </c>
      <c r="BJ60" s="21" t="str">
        <f>IF(INDEX('Shot Map'!$B$6:$V$26,CEILING($A60/5,1),CEILING(BJ$2/5,1))=1,INDEX('Serial Reference'!$A$8:$W$8,1,FLOOR(($A60-1)/23,1)+1)&amp;INDEX('Serial Reference'!$A$8:$W$8,1,MOD($A60-1,23)+1)&amp;TEXT(BJ$2+FLOOR((BJ$2-1)/9,1),"000"),"")</f>
        <v>CM067</v>
      </c>
      <c r="BK60" s="22" t="str">
        <f>IF(INDEX('Shot Map'!$B$6:$V$26,CEILING($A60/5,1),CEILING(BK$2/5,1))=1,INDEX('Serial Reference'!$A$8:$W$8,1,FLOOR(($A60-1)/23,1)+1)&amp;INDEX('Serial Reference'!$A$8:$W$8,1,MOD($A60-1,23)+1)&amp;TEXT(BK$2+FLOOR((BK$2-1)/9,1),"000"),"")</f>
        <v>CM068</v>
      </c>
      <c r="BL60" s="22" t="str">
        <f>IF(INDEX('Shot Map'!$B$6:$V$26,CEILING($A60/5,1),CEILING(BL$2/5,1))=1,INDEX('Serial Reference'!$A$8:$W$8,1,FLOOR(($A60-1)/23,1)+1)&amp;INDEX('Serial Reference'!$A$8:$W$8,1,MOD($A60-1,23)+1)&amp;TEXT(BL$2+FLOOR((BL$2-1)/9,1),"000"),"")</f>
        <v>CM069</v>
      </c>
      <c r="BM60" s="22" t="str">
        <f>IF(INDEX('Shot Map'!$B$6:$V$26,CEILING($A60/5,1),CEILING(BM$2/5,1))=1,INDEX('Serial Reference'!$A$8:$W$8,1,FLOOR(($A60-1)/23,1)+1)&amp;INDEX('Serial Reference'!$A$8:$W$8,1,MOD($A60-1,23)+1)&amp;TEXT(BM$2+FLOOR((BM$2-1)/9,1),"000"),"")</f>
        <v>CM071</v>
      </c>
      <c r="BN60" s="23" t="str">
        <f>IF(INDEX('Shot Map'!$B$6:$V$26,CEILING($A60/5,1),CEILING(BN$2/5,1))=1,INDEX('Serial Reference'!$A$8:$W$8,1,FLOOR(($A60-1)/23,1)+1)&amp;INDEX('Serial Reference'!$A$8:$W$8,1,MOD($A60-1,23)+1)&amp;TEXT(BN$2+FLOOR((BN$2-1)/9,1),"000"),"")</f>
        <v>CM072</v>
      </c>
      <c r="BO60" s="21" t="str">
        <f>IF(INDEX('Shot Map'!$B$6:$V$26,CEILING($A60/5,1),CEILING(BO$2/5,1))=1,INDEX('Serial Reference'!$A$8:$W$8,1,FLOOR(($A60-1)/23,1)+1)&amp;INDEX('Serial Reference'!$A$8:$W$8,1,MOD($A60-1,23)+1)&amp;TEXT(BO$2+FLOOR((BO$2-1)/9,1),"000"),"")</f>
        <v>CM073</v>
      </c>
      <c r="BP60" s="22" t="str">
        <f>IF(INDEX('Shot Map'!$B$6:$V$26,CEILING($A60/5,1),CEILING(BP$2/5,1))=1,INDEX('Serial Reference'!$A$8:$W$8,1,FLOOR(($A60-1)/23,1)+1)&amp;INDEX('Serial Reference'!$A$8:$W$8,1,MOD($A60-1,23)+1)&amp;TEXT(BP$2+FLOOR((BP$2-1)/9,1),"000"),"")</f>
        <v>CM074</v>
      </c>
      <c r="BQ60" s="22" t="str">
        <f>IF(INDEX('Shot Map'!$B$6:$V$26,CEILING($A60/5,1),CEILING(BQ$2/5,1))=1,INDEX('Serial Reference'!$A$8:$W$8,1,FLOOR(($A60-1)/23,1)+1)&amp;INDEX('Serial Reference'!$A$8:$W$8,1,MOD($A60-1,23)+1)&amp;TEXT(BQ$2+FLOOR((BQ$2-1)/9,1),"000"),"")</f>
        <v>CM075</v>
      </c>
      <c r="BR60" s="22" t="str">
        <f>IF(INDEX('Shot Map'!$B$6:$V$26,CEILING($A60/5,1),CEILING(BR$2/5,1))=1,INDEX('Serial Reference'!$A$8:$W$8,1,FLOOR(($A60-1)/23,1)+1)&amp;INDEX('Serial Reference'!$A$8:$W$8,1,MOD($A60-1,23)+1)&amp;TEXT(BR$2+FLOOR((BR$2-1)/9,1),"000"),"")</f>
        <v>CM076</v>
      </c>
      <c r="BS60" s="23" t="str">
        <f>IF(INDEX('Shot Map'!$B$6:$V$26,CEILING($A60/5,1),CEILING(BS$2/5,1))=1,INDEX('Serial Reference'!$A$8:$W$8,1,FLOOR(($A60-1)/23,1)+1)&amp;INDEX('Serial Reference'!$A$8:$W$8,1,MOD($A60-1,23)+1)&amp;TEXT(BS$2+FLOOR((BS$2-1)/9,1),"000"),"")</f>
        <v>CM077</v>
      </c>
      <c r="BT60" s="21" t="str">
        <f>IF(INDEX('Shot Map'!$B$6:$V$26,CEILING($A60/5,1),CEILING(BT$2/5,1))=1,INDEX('Serial Reference'!$A$8:$W$8,1,FLOOR(($A60-1)/23,1)+1)&amp;INDEX('Serial Reference'!$A$8:$W$8,1,MOD($A60-1,23)+1)&amp;TEXT(BT$2+FLOOR((BT$2-1)/9,1),"000"),"")</f>
        <v>CM078</v>
      </c>
      <c r="BU60" s="22" t="str">
        <f>IF(INDEX('Shot Map'!$B$6:$V$26,CEILING($A60/5,1),CEILING(BU$2/5,1))=1,INDEX('Serial Reference'!$A$8:$W$8,1,FLOOR(($A60-1)/23,1)+1)&amp;INDEX('Serial Reference'!$A$8:$W$8,1,MOD($A60-1,23)+1)&amp;TEXT(BU$2+FLOOR((BU$2-1)/9,1),"000"),"")</f>
        <v>CM079</v>
      </c>
      <c r="BV60" s="22" t="str">
        <f>IF(INDEX('Shot Map'!$B$6:$V$26,CEILING($A60/5,1),CEILING(BV$2/5,1))=1,INDEX('Serial Reference'!$A$8:$W$8,1,FLOOR(($A60-1)/23,1)+1)&amp;INDEX('Serial Reference'!$A$8:$W$8,1,MOD($A60-1,23)+1)&amp;TEXT(BV$2+FLOOR((BV$2-1)/9,1),"000"),"")</f>
        <v>CM081</v>
      </c>
      <c r="BW60" s="22" t="str">
        <f>IF(INDEX('Shot Map'!$B$6:$V$26,CEILING($A60/5,1),CEILING(BW$2/5,1))=1,INDEX('Serial Reference'!$A$8:$W$8,1,FLOOR(($A60-1)/23,1)+1)&amp;INDEX('Serial Reference'!$A$8:$W$8,1,MOD($A60-1,23)+1)&amp;TEXT(BW$2+FLOOR((BW$2-1)/9,1),"000"),"")</f>
        <v>CM082</v>
      </c>
      <c r="BX60" s="23" t="str">
        <f>IF(INDEX('Shot Map'!$B$6:$V$26,CEILING($A60/5,1),CEILING(BX$2/5,1))=1,INDEX('Serial Reference'!$A$8:$W$8,1,FLOOR(($A60-1)/23,1)+1)&amp;INDEX('Serial Reference'!$A$8:$W$8,1,MOD($A60-1,23)+1)&amp;TEXT(BX$2+FLOOR((BX$2-1)/9,1),"000"),"")</f>
        <v>CM083</v>
      </c>
      <c r="BY60" s="21" t="str">
        <f>IF(INDEX('Shot Map'!$B$6:$V$26,CEILING($A60/5,1),CEILING(BY$2/5,1))=1,INDEX('Serial Reference'!$A$8:$W$8,1,FLOOR(($A60-1)/23,1)+1)&amp;INDEX('Serial Reference'!$A$8:$W$8,1,MOD($A60-1,23)+1)&amp;TEXT(BY$2+FLOOR((BY$2-1)/9,1),"000"),"")</f>
        <v>CM084</v>
      </c>
      <c r="BZ60" s="22" t="str">
        <f>IF(INDEX('Shot Map'!$B$6:$V$26,CEILING($A60/5,1),CEILING(BZ$2/5,1))=1,INDEX('Serial Reference'!$A$8:$W$8,1,FLOOR(($A60-1)/23,1)+1)&amp;INDEX('Serial Reference'!$A$8:$W$8,1,MOD($A60-1,23)+1)&amp;TEXT(BZ$2+FLOOR((BZ$2-1)/9,1),"000"),"")</f>
        <v>CM085</v>
      </c>
      <c r="CA60" s="22" t="str">
        <f>IF(INDEX('Shot Map'!$B$6:$V$26,CEILING($A60/5,1),CEILING(CA$2/5,1))=1,INDEX('Serial Reference'!$A$8:$W$8,1,FLOOR(($A60-1)/23,1)+1)&amp;INDEX('Serial Reference'!$A$8:$W$8,1,MOD($A60-1,23)+1)&amp;TEXT(CA$2+FLOOR((CA$2-1)/9,1),"000"),"")</f>
        <v>CM086</v>
      </c>
      <c r="CB60" s="22" t="str">
        <f>IF(INDEX('Shot Map'!$B$6:$V$26,CEILING($A60/5,1),CEILING(CB$2/5,1))=1,INDEX('Serial Reference'!$A$8:$W$8,1,FLOOR(($A60-1)/23,1)+1)&amp;INDEX('Serial Reference'!$A$8:$W$8,1,MOD($A60-1,23)+1)&amp;TEXT(CB$2+FLOOR((CB$2-1)/9,1),"000"),"")</f>
        <v>CM087</v>
      </c>
      <c r="CC60" s="23" t="str">
        <f>IF(INDEX('Shot Map'!$B$6:$V$26,CEILING($A60/5,1),CEILING(CC$2/5,1))=1,INDEX('Serial Reference'!$A$8:$W$8,1,FLOOR(($A60-1)/23,1)+1)&amp;INDEX('Serial Reference'!$A$8:$W$8,1,MOD($A60-1,23)+1)&amp;TEXT(CC$2+FLOOR((CC$2-1)/9,1),"000"),"")</f>
        <v>CM088</v>
      </c>
      <c r="CD60" s="21" t="str">
        <f>IF(INDEX('Shot Map'!$B$6:$V$26,CEILING($A60/5,1),CEILING(CD$2/5,1))=1,INDEX('Serial Reference'!$A$8:$W$8,1,FLOOR(($A60-1)/23,1)+1)&amp;INDEX('Serial Reference'!$A$8:$W$8,1,MOD($A60-1,23)+1)&amp;TEXT(CD$2+FLOOR((CD$2-1)/9,1),"000"),"")</f>
        <v>CM089</v>
      </c>
      <c r="CE60" s="22" t="str">
        <f>IF(INDEX('Shot Map'!$B$6:$V$26,CEILING($A60/5,1),CEILING(CE$2/5,1))=1,INDEX('Serial Reference'!$A$8:$W$8,1,FLOOR(($A60-1)/23,1)+1)&amp;INDEX('Serial Reference'!$A$8:$W$8,1,MOD($A60-1,23)+1)&amp;TEXT(CE$2+FLOOR((CE$2-1)/9,1),"000"),"")</f>
        <v>CM091</v>
      </c>
      <c r="CF60" s="22" t="str">
        <f>IF(INDEX('Shot Map'!$B$6:$V$26,CEILING($A60/5,1),CEILING(CF$2/5,1))=1,INDEX('Serial Reference'!$A$8:$W$8,1,FLOOR(($A60-1)/23,1)+1)&amp;INDEX('Serial Reference'!$A$8:$W$8,1,MOD($A60-1,23)+1)&amp;TEXT(CF$2+FLOOR((CF$2-1)/9,1),"000"),"")</f>
        <v>CM092</v>
      </c>
      <c r="CG60" s="22" t="str">
        <f>IF(INDEX('Shot Map'!$B$6:$V$26,CEILING($A60/5,1),CEILING(CG$2/5,1))=1,INDEX('Serial Reference'!$A$8:$W$8,1,FLOOR(($A60-1)/23,1)+1)&amp;INDEX('Serial Reference'!$A$8:$W$8,1,MOD($A60-1,23)+1)&amp;TEXT(CG$2+FLOOR((CG$2-1)/9,1),"000"),"")</f>
        <v>CM093</v>
      </c>
      <c r="CH60" s="23" t="str">
        <f>IF(INDEX('Shot Map'!$B$6:$V$26,CEILING($A60/5,1),CEILING(CH$2/5,1))=1,INDEX('Serial Reference'!$A$8:$W$8,1,FLOOR(($A60-1)/23,1)+1)&amp;INDEX('Serial Reference'!$A$8:$W$8,1,MOD($A60-1,23)+1)&amp;TEXT(CH$2+FLOOR((CH$2-1)/9,1),"000"),"")</f>
        <v>CM094</v>
      </c>
      <c r="CI60" s="21" t="str">
        <f>IF(INDEX('Shot Map'!$B$6:$V$26,CEILING($A60/5,1),CEILING(CI$2/5,1))=1,INDEX('Serial Reference'!$A$8:$W$8,1,FLOOR(($A60-1)/23,1)+1)&amp;INDEX('Serial Reference'!$A$8:$W$8,1,MOD($A60-1,23)+1)&amp;TEXT(CI$2+FLOOR((CI$2-1)/9,1),"000"),"")</f>
        <v>CM095</v>
      </c>
      <c r="CJ60" s="22" t="str">
        <f>IF(INDEX('Shot Map'!$B$6:$V$26,CEILING($A60/5,1),CEILING(CJ$2/5,1))=1,INDEX('Serial Reference'!$A$8:$W$8,1,FLOOR(($A60-1)/23,1)+1)&amp;INDEX('Serial Reference'!$A$8:$W$8,1,MOD($A60-1,23)+1)&amp;TEXT(CJ$2+FLOOR((CJ$2-1)/9,1),"000"),"")</f>
        <v>CM096</v>
      </c>
      <c r="CK60" s="22" t="str">
        <f>IF(INDEX('Shot Map'!$B$6:$V$26,CEILING($A60/5,1),CEILING(CK$2/5,1))=1,INDEX('Serial Reference'!$A$8:$W$8,1,FLOOR(($A60-1)/23,1)+1)&amp;INDEX('Serial Reference'!$A$8:$W$8,1,MOD($A60-1,23)+1)&amp;TEXT(CK$2+FLOOR((CK$2-1)/9,1),"000"),"")</f>
        <v>CM097</v>
      </c>
      <c r="CL60" s="22" t="str">
        <f>IF(INDEX('Shot Map'!$B$6:$V$26,CEILING($A60/5,1),CEILING(CL$2/5,1))=1,INDEX('Serial Reference'!$A$8:$W$8,1,FLOOR(($A60-1)/23,1)+1)&amp;INDEX('Serial Reference'!$A$8:$W$8,1,MOD($A60-1,23)+1)&amp;TEXT(CL$2+FLOOR((CL$2-1)/9,1),"000"),"")</f>
        <v>CM098</v>
      </c>
      <c r="CM60" s="23" t="str">
        <f>IF(INDEX('Shot Map'!$B$6:$V$26,CEILING($A60/5,1),CEILING(CM$2/5,1))=1,INDEX('Serial Reference'!$A$8:$W$8,1,FLOOR(($A60-1)/23,1)+1)&amp;INDEX('Serial Reference'!$A$8:$W$8,1,MOD($A60-1,23)+1)&amp;TEXT(CM$2+FLOOR((CM$2-1)/9,1),"000"),"")</f>
        <v>CM099</v>
      </c>
      <c r="CN60" s="21" t="str">
        <f>IF(INDEX('Shot Map'!$B$6:$V$26,CEILING($A60/5,1),CEILING(CN$2/5,1))=1,INDEX('Serial Reference'!$A$8:$W$8,1,FLOOR(($A60-1)/23,1)+1)&amp;INDEX('Serial Reference'!$A$8:$W$8,1,MOD($A60-1,23)+1)&amp;TEXT(CN$2+FLOOR((CN$2-1)/9,1),"000"),"")</f>
        <v>CM101</v>
      </c>
      <c r="CO60" s="22" t="str">
        <f>IF(INDEX('Shot Map'!$B$6:$V$26,CEILING($A60/5,1),CEILING(CO$2/5,1))=1,INDEX('Serial Reference'!$A$8:$W$8,1,FLOOR(($A60-1)/23,1)+1)&amp;INDEX('Serial Reference'!$A$8:$W$8,1,MOD($A60-1,23)+1)&amp;TEXT(CO$2+FLOOR((CO$2-1)/9,1),"000"),"")</f>
        <v>CM102</v>
      </c>
      <c r="CP60" s="22" t="str">
        <f>IF(INDEX('Shot Map'!$B$6:$V$26,CEILING($A60/5,1),CEILING(CP$2/5,1))=1,INDEX('Serial Reference'!$A$8:$W$8,1,FLOOR(($A60-1)/23,1)+1)&amp;INDEX('Serial Reference'!$A$8:$W$8,1,MOD($A60-1,23)+1)&amp;TEXT(CP$2+FLOOR((CP$2-1)/9,1),"000"),"")</f>
        <v>CM103</v>
      </c>
      <c r="CQ60" s="22" t="str">
        <f>IF(INDEX('Shot Map'!$B$6:$V$26,CEILING($A60/5,1),CEILING(CQ$2/5,1))=1,INDEX('Serial Reference'!$A$8:$W$8,1,FLOOR(($A60-1)/23,1)+1)&amp;INDEX('Serial Reference'!$A$8:$W$8,1,MOD($A60-1,23)+1)&amp;TEXT(CQ$2+FLOOR((CQ$2-1)/9,1),"000"),"")</f>
        <v>CM104</v>
      </c>
      <c r="CR60" s="23" t="str">
        <f>IF(INDEX('Shot Map'!$B$6:$V$26,CEILING($A60/5,1),CEILING(CR$2/5,1))=1,INDEX('Serial Reference'!$A$8:$W$8,1,FLOOR(($A60-1)/23,1)+1)&amp;INDEX('Serial Reference'!$A$8:$W$8,1,MOD($A60-1,23)+1)&amp;TEXT(CR$2+FLOOR((CR$2-1)/9,1),"000"),"")</f>
        <v>CM105</v>
      </c>
      <c r="CS60" s="21" t="str">
        <f>IF(INDEX('Shot Map'!$B$6:$V$26,CEILING($A60/5,1),CEILING(CS$2/5,1))=1,INDEX('Serial Reference'!$A$8:$W$8,1,FLOOR(($A60-1)/23,1)+1)&amp;INDEX('Serial Reference'!$A$8:$W$8,1,MOD($A60-1,23)+1)&amp;TEXT(CS$2+FLOOR((CS$2-1)/9,1),"000"),"")</f>
        <v>CM106</v>
      </c>
      <c r="CT60" s="22" t="str">
        <f>IF(INDEX('Shot Map'!$B$6:$V$26,CEILING($A60/5,1),CEILING(CT$2/5,1))=1,INDEX('Serial Reference'!$A$8:$W$8,1,FLOOR(($A60-1)/23,1)+1)&amp;INDEX('Serial Reference'!$A$8:$W$8,1,MOD($A60-1,23)+1)&amp;TEXT(CT$2+FLOOR((CT$2-1)/9,1),"000"),"")</f>
        <v>CM107</v>
      </c>
      <c r="CU60" s="22" t="str">
        <f>IF(INDEX('Shot Map'!$B$6:$V$26,CEILING($A60/5,1),CEILING(CU$2/5,1))=1,INDEX('Serial Reference'!$A$8:$W$8,1,FLOOR(($A60-1)/23,1)+1)&amp;INDEX('Serial Reference'!$A$8:$W$8,1,MOD($A60-1,23)+1)&amp;TEXT(CU$2+FLOOR((CU$2-1)/9,1),"000"),"")</f>
        <v>CM108</v>
      </c>
      <c r="CV60" s="22" t="str">
        <f>IF(INDEX('Shot Map'!$B$6:$V$26,CEILING($A60/5,1),CEILING(CV$2/5,1))=1,INDEX('Serial Reference'!$A$8:$W$8,1,FLOOR(($A60-1)/23,1)+1)&amp;INDEX('Serial Reference'!$A$8:$W$8,1,MOD($A60-1,23)+1)&amp;TEXT(CV$2+FLOOR((CV$2-1)/9,1),"000"),"")</f>
        <v>CM109</v>
      </c>
      <c r="CW60" s="23" t="str">
        <f>IF(INDEX('Shot Map'!$B$6:$V$26,CEILING($A60/5,1),CEILING(CW$2/5,1))=1,INDEX('Serial Reference'!$A$8:$W$8,1,FLOOR(($A60-1)/23,1)+1)&amp;INDEX('Serial Reference'!$A$8:$W$8,1,MOD($A60-1,23)+1)&amp;TEXT(CW$2+FLOOR((CW$2-1)/9,1),"000"),"")</f>
        <v>CM111</v>
      </c>
      <c r="CX60" s="21" t="str">
        <f>IF(INDEX('Shot Map'!$B$6:$V$26,CEILING($A60/5,1),CEILING(CX$2/5,1))=1,INDEX('Serial Reference'!$A$8:$W$8,1,FLOOR(($A60-1)/23,1)+1)&amp;INDEX('Serial Reference'!$A$8:$W$8,1,MOD($A60-1,23)+1)&amp;TEXT(CX$2+FLOOR((CX$2-1)/9,1),"000"),"")</f>
        <v>CM112</v>
      </c>
      <c r="CY60" s="22" t="str">
        <f>IF(INDEX('Shot Map'!$B$6:$V$26,CEILING($A60/5,1),CEILING(CY$2/5,1))=1,INDEX('Serial Reference'!$A$8:$W$8,1,FLOOR(($A60-1)/23,1)+1)&amp;INDEX('Serial Reference'!$A$8:$W$8,1,MOD($A60-1,23)+1)&amp;TEXT(CY$2+FLOOR((CY$2-1)/9,1),"000"),"")</f>
        <v>CM113</v>
      </c>
      <c r="CZ60" s="22" t="str">
        <f>IF(INDEX('Shot Map'!$B$6:$V$26,CEILING($A60/5,1),CEILING(CZ$2/5,1))=1,INDEX('Serial Reference'!$A$8:$W$8,1,FLOOR(($A60-1)/23,1)+1)&amp;INDEX('Serial Reference'!$A$8:$W$8,1,MOD($A60-1,23)+1)&amp;TEXT(CZ$2+FLOOR((CZ$2-1)/9,1),"000"),"")</f>
        <v>CM114</v>
      </c>
      <c r="DA60" s="22" t="str">
        <f>IF(INDEX('Shot Map'!$B$6:$V$26,CEILING($A60/5,1),CEILING(DA$2/5,1))=1,INDEX('Serial Reference'!$A$8:$W$8,1,FLOOR(($A60-1)/23,1)+1)&amp;INDEX('Serial Reference'!$A$8:$W$8,1,MOD($A60-1,23)+1)&amp;TEXT(DA$2+FLOOR((DA$2-1)/9,1),"000"),"")</f>
        <v>CM115</v>
      </c>
      <c r="DB60" s="23" t="str">
        <f>IF(INDEX('Shot Map'!$B$6:$V$26,CEILING($A60/5,1),CEILING(DB$2/5,1))=1,INDEX('Serial Reference'!$A$8:$W$8,1,FLOOR(($A60-1)/23,1)+1)&amp;INDEX('Serial Reference'!$A$8:$W$8,1,MOD($A60-1,23)+1)&amp;TEXT(DB$2+FLOOR((DB$2-1)/9,1),"000"),"")</f>
        <v>CM116</v>
      </c>
    </row>
    <row r="61" spans="1:106" ht="12.75" customHeight="1" x14ac:dyDescent="0.25">
      <c r="A61" s="17">
        <v>59</v>
      </c>
      <c r="B61" s="21" t="str">
        <f>IF(INDEX('Shot Map'!$B$6:$V$26,CEILING($A61/5,1),CEILING(B$2/5,1))=1,INDEX('Serial Reference'!$A$8:$W$8,1,FLOOR(($A61-1)/23,1)+1)&amp;INDEX('Serial Reference'!$A$8:$W$8,1,MOD($A61-1,23)+1)&amp;TEXT(B$2+FLOOR((B$2-1)/9,1),"000"),"")</f>
        <v>CN001</v>
      </c>
      <c r="C61" s="22" t="str">
        <f>IF(INDEX('Shot Map'!$B$6:$V$26,CEILING($A61/5,1),CEILING(C$2/5,1))=1,INDEX('Serial Reference'!$A$8:$W$8,1,FLOOR(($A61-1)/23,1)+1)&amp;INDEX('Serial Reference'!$A$8:$W$8,1,MOD($A61-1,23)+1)&amp;TEXT(C$2+FLOOR((C$2-1)/9,1),"000"),"")</f>
        <v>CN002</v>
      </c>
      <c r="D61" s="22" t="str">
        <f>IF(INDEX('Shot Map'!$B$6:$V$26,CEILING($A61/5,1),CEILING(D$2/5,1))=1,INDEX('Serial Reference'!$A$8:$W$8,1,FLOOR(($A61-1)/23,1)+1)&amp;INDEX('Serial Reference'!$A$8:$W$8,1,MOD($A61-1,23)+1)&amp;TEXT(D$2+FLOOR((D$2-1)/9,1),"000"),"")</f>
        <v>CN003</v>
      </c>
      <c r="E61" s="22" t="str">
        <f>IF(INDEX('Shot Map'!$B$6:$V$26,CEILING($A61/5,1),CEILING(E$2/5,1))=1,INDEX('Serial Reference'!$A$8:$W$8,1,FLOOR(($A61-1)/23,1)+1)&amp;INDEX('Serial Reference'!$A$8:$W$8,1,MOD($A61-1,23)+1)&amp;TEXT(E$2+FLOOR((E$2-1)/9,1),"000"),"")</f>
        <v>CN004</v>
      </c>
      <c r="F61" s="23" t="str">
        <f>IF(INDEX('Shot Map'!$B$6:$V$26,CEILING($A61/5,1),CEILING(F$2/5,1))=1,INDEX('Serial Reference'!$A$8:$W$8,1,FLOOR(($A61-1)/23,1)+1)&amp;INDEX('Serial Reference'!$A$8:$W$8,1,MOD($A61-1,23)+1)&amp;TEXT(F$2+FLOOR((F$2-1)/9,1),"000"),"")</f>
        <v>CN005</v>
      </c>
      <c r="G61" s="21" t="str">
        <f>IF(INDEX('Shot Map'!$B$6:$V$26,CEILING($A61/5,1),CEILING(G$2/5,1))=1,INDEX('Serial Reference'!$A$8:$W$8,1,FLOOR(($A61-1)/23,1)+1)&amp;INDEX('Serial Reference'!$A$8:$W$8,1,MOD($A61-1,23)+1)&amp;TEXT(G$2+FLOOR((G$2-1)/9,1),"000"),"")</f>
        <v>CN006</v>
      </c>
      <c r="H61" s="22" t="str">
        <f>IF(INDEX('Shot Map'!$B$6:$V$26,CEILING($A61/5,1),CEILING(H$2/5,1))=1,INDEX('Serial Reference'!$A$8:$W$8,1,FLOOR(($A61-1)/23,1)+1)&amp;INDEX('Serial Reference'!$A$8:$W$8,1,MOD($A61-1,23)+1)&amp;TEXT(H$2+FLOOR((H$2-1)/9,1),"000"),"")</f>
        <v>CN007</v>
      </c>
      <c r="I61" s="22" t="str">
        <f>IF(INDEX('Shot Map'!$B$6:$V$26,CEILING($A61/5,1),CEILING(I$2/5,1))=1,INDEX('Serial Reference'!$A$8:$W$8,1,FLOOR(($A61-1)/23,1)+1)&amp;INDEX('Serial Reference'!$A$8:$W$8,1,MOD($A61-1,23)+1)&amp;TEXT(I$2+FLOOR((I$2-1)/9,1),"000"),"")</f>
        <v>CN008</v>
      </c>
      <c r="J61" s="22" t="str">
        <f>IF(INDEX('Shot Map'!$B$6:$V$26,CEILING($A61/5,1),CEILING(J$2/5,1))=1,INDEX('Serial Reference'!$A$8:$W$8,1,FLOOR(($A61-1)/23,1)+1)&amp;INDEX('Serial Reference'!$A$8:$W$8,1,MOD($A61-1,23)+1)&amp;TEXT(J$2+FLOOR((J$2-1)/9,1),"000"),"")</f>
        <v>CN009</v>
      </c>
      <c r="K61" s="23" t="str">
        <f>IF(INDEX('Shot Map'!$B$6:$V$26,CEILING($A61/5,1),CEILING(K$2/5,1))=1,INDEX('Serial Reference'!$A$8:$W$8,1,FLOOR(($A61-1)/23,1)+1)&amp;INDEX('Serial Reference'!$A$8:$W$8,1,MOD($A61-1,23)+1)&amp;TEXT(K$2+FLOOR((K$2-1)/9,1),"000"),"")</f>
        <v>CN011</v>
      </c>
      <c r="L61" s="21" t="str">
        <f>IF(INDEX('Shot Map'!$B$6:$V$26,CEILING($A61/5,1),CEILING(L$2/5,1))=1,INDEX('Serial Reference'!$A$8:$W$8,1,FLOOR(($A61-1)/23,1)+1)&amp;INDEX('Serial Reference'!$A$8:$W$8,1,MOD($A61-1,23)+1)&amp;TEXT(L$2+FLOOR((L$2-1)/9,1),"000"),"")</f>
        <v>CN012</v>
      </c>
      <c r="M61" s="22" t="str">
        <f>IF(INDEX('Shot Map'!$B$6:$V$26,CEILING($A61/5,1),CEILING(M$2/5,1))=1,INDEX('Serial Reference'!$A$8:$W$8,1,FLOOR(($A61-1)/23,1)+1)&amp;INDEX('Serial Reference'!$A$8:$W$8,1,MOD($A61-1,23)+1)&amp;TEXT(M$2+FLOOR((M$2-1)/9,1),"000"),"")</f>
        <v>CN013</v>
      </c>
      <c r="N61" s="22" t="str">
        <f>IF(INDEX('Shot Map'!$B$6:$V$26,CEILING($A61/5,1),CEILING(N$2/5,1))=1,INDEX('Serial Reference'!$A$8:$W$8,1,FLOOR(($A61-1)/23,1)+1)&amp;INDEX('Serial Reference'!$A$8:$W$8,1,MOD($A61-1,23)+1)&amp;TEXT(N$2+FLOOR((N$2-1)/9,1),"000"),"")</f>
        <v>CN014</v>
      </c>
      <c r="O61" s="22" t="str">
        <f>IF(INDEX('Shot Map'!$B$6:$V$26,CEILING($A61/5,1),CEILING(O$2/5,1))=1,INDEX('Serial Reference'!$A$8:$W$8,1,FLOOR(($A61-1)/23,1)+1)&amp;INDEX('Serial Reference'!$A$8:$W$8,1,MOD($A61-1,23)+1)&amp;TEXT(O$2+FLOOR((O$2-1)/9,1),"000"),"")</f>
        <v>CN015</v>
      </c>
      <c r="P61" s="23" t="str">
        <f>IF(INDEX('Shot Map'!$B$6:$V$26,CEILING($A61/5,1),CEILING(P$2/5,1))=1,INDEX('Serial Reference'!$A$8:$W$8,1,FLOOR(($A61-1)/23,1)+1)&amp;INDEX('Serial Reference'!$A$8:$W$8,1,MOD($A61-1,23)+1)&amp;TEXT(P$2+FLOOR((P$2-1)/9,1),"000"),"")</f>
        <v>CN016</v>
      </c>
      <c r="Q61" s="21" t="str">
        <f>IF(INDEX('Shot Map'!$B$6:$V$26,CEILING($A61/5,1),CEILING(Q$2/5,1))=1,INDEX('Serial Reference'!$A$8:$W$8,1,FLOOR(($A61-1)/23,1)+1)&amp;INDEX('Serial Reference'!$A$8:$W$8,1,MOD($A61-1,23)+1)&amp;TEXT(Q$2+FLOOR((Q$2-1)/9,1),"000"),"")</f>
        <v>CN017</v>
      </c>
      <c r="R61" s="22" t="str">
        <f>IF(INDEX('Shot Map'!$B$6:$V$26,CEILING($A61/5,1),CEILING(R$2/5,1))=1,INDEX('Serial Reference'!$A$8:$W$8,1,FLOOR(($A61-1)/23,1)+1)&amp;INDEX('Serial Reference'!$A$8:$W$8,1,MOD($A61-1,23)+1)&amp;TEXT(R$2+FLOOR((R$2-1)/9,1),"000"),"")</f>
        <v>CN018</v>
      </c>
      <c r="S61" s="22" t="str">
        <f>IF(INDEX('Shot Map'!$B$6:$V$26,CEILING($A61/5,1),CEILING(S$2/5,1))=1,INDEX('Serial Reference'!$A$8:$W$8,1,FLOOR(($A61-1)/23,1)+1)&amp;INDEX('Serial Reference'!$A$8:$W$8,1,MOD($A61-1,23)+1)&amp;TEXT(S$2+FLOOR((S$2-1)/9,1),"000"),"")</f>
        <v>CN019</v>
      </c>
      <c r="T61" s="22" t="str">
        <f>IF(INDEX('Shot Map'!$B$6:$V$26,CEILING($A61/5,1),CEILING(T$2/5,1))=1,INDEX('Serial Reference'!$A$8:$W$8,1,FLOOR(($A61-1)/23,1)+1)&amp;INDEX('Serial Reference'!$A$8:$W$8,1,MOD($A61-1,23)+1)&amp;TEXT(T$2+FLOOR((T$2-1)/9,1),"000"),"")</f>
        <v>CN021</v>
      </c>
      <c r="U61" s="23" t="str">
        <f>IF(INDEX('Shot Map'!$B$6:$V$26,CEILING($A61/5,1),CEILING(U$2/5,1))=1,INDEX('Serial Reference'!$A$8:$W$8,1,FLOOR(($A61-1)/23,1)+1)&amp;INDEX('Serial Reference'!$A$8:$W$8,1,MOD($A61-1,23)+1)&amp;TEXT(U$2+FLOOR((U$2-1)/9,1),"000"),"")</f>
        <v>CN022</v>
      </c>
      <c r="V61" s="21" t="str">
        <f>IF(INDEX('Shot Map'!$B$6:$V$26,CEILING($A61/5,1),CEILING(V$2/5,1))=1,INDEX('Serial Reference'!$A$8:$W$8,1,FLOOR(($A61-1)/23,1)+1)&amp;INDEX('Serial Reference'!$A$8:$W$8,1,MOD($A61-1,23)+1)&amp;TEXT(V$2+FLOOR((V$2-1)/9,1),"000"),"")</f>
        <v>CN023</v>
      </c>
      <c r="W61" s="22" t="str">
        <f>IF(INDEX('Shot Map'!$B$6:$V$26,CEILING($A61/5,1),CEILING(W$2/5,1))=1,INDEX('Serial Reference'!$A$8:$W$8,1,FLOOR(($A61-1)/23,1)+1)&amp;INDEX('Serial Reference'!$A$8:$W$8,1,MOD($A61-1,23)+1)&amp;TEXT(W$2+FLOOR((W$2-1)/9,1),"000"),"")</f>
        <v>CN024</v>
      </c>
      <c r="X61" s="22" t="str">
        <f>IF(INDEX('Shot Map'!$B$6:$V$26,CEILING($A61/5,1),CEILING(X$2/5,1))=1,INDEX('Serial Reference'!$A$8:$W$8,1,FLOOR(($A61-1)/23,1)+1)&amp;INDEX('Serial Reference'!$A$8:$W$8,1,MOD($A61-1,23)+1)&amp;TEXT(X$2+FLOOR((X$2-1)/9,1),"000"),"")</f>
        <v>CN025</v>
      </c>
      <c r="Y61" s="22" t="str">
        <f>IF(INDEX('Shot Map'!$B$6:$V$26,CEILING($A61/5,1),CEILING(Y$2/5,1))=1,INDEX('Serial Reference'!$A$8:$W$8,1,FLOOR(($A61-1)/23,1)+1)&amp;INDEX('Serial Reference'!$A$8:$W$8,1,MOD($A61-1,23)+1)&amp;TEXT(Y$2+FLOOR((Y$2-1)/9,1),"000"),"")</f>
        <v>CN026</v>
      </c>
      <c r="Z61" s="23" t="str">
        <f>IF(INDEX('Shot Map'!$B$6:$V$26,CEILING($A61/5,1),CEILING(Z$2/5,1))=1,INDEX('Serial Reference'!$A$8:$W$8,1,FLOOR(($A61-1)/23,1)+1)&amp;INDEX('Serial Reference'!$A$8:$W$8,1,MOD($A61-1,23)+1)&amp;TEXT(Z$2+FLOOR((Z$2-1)/9,1),"000"),"")</f>
        <v>CN027</v>
      </c>
      <c r="AA61" s="21" t="str">
        <f>IF(INDEX('Shot Map'!$B$6:$V$26,CEILING($A61/5,1),CEILING(AA$2/5,1))=1,INDEX('Serial Reference'!$A$8:$W$8,1,FLOOR(($A61-1)/23,1)+1)&amp;INDEX('Serial Reference'!$A$8:$W$8,1,MOD($A61-1,23)+1)&amp;TEXT(AA$2+FLOOR((AA$2-1)/9,1),"000"),"")</f>
        <v>CN028</v>
      </c>
      <c r="AB61" s="22" t="str">
        <f>IF(INDEX('Shot Map'!$B$6:$V$26,CEILING($A61/5,1),CEILING(AB$2/5,1))=1,INDEX('Serial Reference'!$A$8:$W$8,1,FLOOR(($A61-1)/23,1)+1)&amp;INDEX('Serial Reference'!$A$8:$W$8,1,MOD($A61-1,23)+1)&amp;TEXT(AB$2+FLOOR((AB$2-1)/9,1),"000"),"")</f>
        <v>CN029</v>
      </c>
      <c r="AC61" s="22" t="str">
        <f>IF(INDEX('Shot Map'!$B$6:$V$26,CEILING($A61/5,1),CEILING(AC$2/5,1))=1,INDEX('Serial Reference'!$A$8:$W$8,1,FLOOR(($A61-1)/23,1)+1)&amp;INDEX('Serial Reference'!$A$8:$W$8,1,MOD($A61-1,23)+1)&amp;TEXT(AC$2+FLOOR((AC$2-1)/9,1),"000"),"")</f>
        <v>CN031</v>
      </c>
      <c r="AD61" s="22" t="str">
        <f>IF(INDEX('Shot Map'!$B$6:$V$26,CEILING($A61/5,1),CEILING(AD$2/5,1))=1,INDEX('Serial Reference'!$A$8:$W$8,1,FLOOR(($A61-1)/23,1)+1)&amp;INDEX('Serial Reference'!$A$8:$W$8,1,MOD($A61-1,23)+1)&amp;TEXT(AD$2+FLOOR((AD$2-1)/9,1),"000"),"")</f>
        <v>CN032</v>
      </c>
      <c r="AE61" s="23" t="str">
        <f>IF(INDEX('Shot Map'!$B$6:$V$26,CEILING($A61/5,1),CEILING(AE$2/5,1))=1,INDEX('Serial Reference'!$A$8:$W$8,1,FLOOR(($A61-1)/23,1)+1)&amp;INDEX('Serial Reference'!$A$8:$W$8,1,MOD($A61-1,23)+1)&amp;TEXT(AE$2+FLOOR((AE$2-1)/9,1),"000"),"")</f>
        <v>CN033</v>
      </c>
      <c r="AF61" s="21" t="str">
        <f>IF(INDEX('Shot Map'!$B$6:$V$26,CEILING($A61/5,1),CEILING(AF$2/5,1))=1,INDEX('Serial Reference'!$A$8:$W$8,1,FLOOR(($A61-1)/23,1)+1)&amp;INDEX('Serial Reference'!$A$8:$W$8,1,MOD($A61-1,23)+1)&amp;TEXT(AF$2+FLOOR((AF$2-1)/9,1),"000"),"")</f>
        <v>CN034</v>
      </c>
      <c r="AG61" s="22" t="str">
        <f>IF(INDEX('Shot Map'!$B$6:$V$26,CEILING($A61/5,1),CEILING(AG$2/5,1))=1,INDEX('Serial Reference'!$A$8:$W$8,1,FLOOR(($A61-1)/23,1)+1)&amp;INDEX('Serial Reference'!$A$8:$W$8,1,MOD($A61-1,23)+1)&amp;TEXT(AG$2+FLOOR((AG$2-1)/9,1),"000"),"")</f>
        <v>CN035</v>
      </c>
      <c r="AH61" s="22" t="str">
        <f>IF(INDEX('Shot Map'!$B$6:$V$26,CEILING($A61/5,1),CEILING(AH$2/5,1))=1,INDEX('Serial Reference'!$A$8:$W$8,1,FLOOR(($A61-1)/23,1)+1)&amp;INDEX('Serial Reference'!$A$8:$W$8,1,MOD($A61-1,23)+1)&amp;TEXT(AH$2+FLOOR((AH$2-1)/9,1),"000"),"")</f>
        <v>CN036</v>
      </c>
      <c r="AI61" s="22" t="str">
        <f>IF(INDEX('Shot Map'!$B$6:$V$26,CEILING($A61/5,1),CEILING(AI$2/5,1))=1,INDEX('Serial Reference'!$A$8:$W$8,1,FLOOR(($A61-1)/23,1)+1)&amp;INDEX('Serial Reference'!$A$8:$W$8,1,MOD($A61-1,23)+1)&amp;TEXT(AI$2+FLOOR((AI$2-1)/9,1),"000"),"")</f>
        <v>CN037</v>
      </c>
      <c r="AJ61" s="23" t="str">
        <f>IF(INDEX('Shot Map'!$B$6:$V$26,CEILING($A61/5,1),CEILING(AJ$2/5,1))=1,INDEX('Serial Reference'!$A$8:$W$8,1,FLOOR(($A61-1)/23,1)+1)&amp;INDEX('Serial Reference'!$A$8:$W$8,1,MOD($A61-1,23)+1)&amp;TEXT(AJ$2+FLOOR((AJ$2-1)/9,1),"000"),"")</f>
        <v>CN038</v>
      </c>
      <c r="AK61" s="21" t="str">
        <f>IF(INDEX('Shot Map'!$B$6:$V$26,CEILING($A61/5,1),CEILING(AK$2/5,1))=1,INDEX('Serial Reference'!$A$8:$W$8,1,FLOOR(($A61-1)/23,1)+1)&amp;INDEX('Serial Reference'!$A$8:$W$8,1,MOD($A61-1,23)+1)&amp;TEXT(AK$2+FLOOR((AK$2-1)/9,1),"000"),"")</f>
        <v>CN039</v>
      </c>
      <c r="AL61" s="22" t="str">
        <f>IF(INDEX('Shot Map'!$B$6:$V$26,CEILING($A61/5,1),CEILING(AL$2/5,1))=1,INDEX('Serial Reference'!$A$8:$W$8,1,FLOOR(($A61-1)/23,1)+1)&amp;INDEX('Serial Reference'!$A$8:$W$8,1,MOD($A61-1,23)+1)&amp;TEXT(AL$2+FLOOR((AL$2-1)/9,1),"000"),"")</f>
        <v>CN041</v>
      </c>
      <c r="AM61" s="22" t="str">
        <f>IF(INDEX('Shot Map'!$B$6:$V$26,CEILING($A61/5,1),CEILING(AM$2/5,1))=1,INDEX('Serial Reference'!$A$8:$W$8,1,FLOOR(($A61-1)/23,1)+1)&amp;INDEX('Serial Reference'!$A$8:$W$8,1,MOD($A61-1,23)+1)&amp;TEXT(AM$2+FLOOR((AM$2-1)/9,1),"000"),"")</f>
        <v>CN042</v>
      </c>
      <c r="AN61" s="22" t="str">
        <f>IF(INDEX('Shot Map'!$B$6:$V$26,CEILING($A61/5,1),CEILING(AN$2/5,1))=1,INDEX('Serial Reference'!$A$8:$W$8,1,FLOOR(($A61-1)/23,1)+1)&amp;INDEX('Serial Reference'!$A$8:$W$8,1,MOD($A61-1,23)+1)&amp;TEXT(AN$2+FLOOR((AN$2-1)/9,1),"000"),"")</f>
        <v>CN043</v>
      </c>
      <c r="AO61" s="23" t="str">
        <f>IF(INDEX('Shot Map'!$B$6:$V$26,CEILING($A61/5,1),CEILING(AO$2/5,1))=1,INDEX('Serial Reference'!$A$8:$W$8,1,FLOOR(($A61-1)/23,1)+1)&amp;INDEX('Serial Reference'!$A$8:$W$8,1,MOD($A61-1,23)+1)&amp;TEXT(AO$2+FLOOR((AO$2-1)/9,1),"000"),"")</f>
        <v>CN044</v>
      </c>
      <c r="AP61" s="21" t="str">
        <f>IF(INDEX('Shot Map'!$B$6:$V$26,CEILING($A61/5,1),CEILING(AP$2/5,1))=1,INDEX('Serial Reference'!$A$8:$W$8,1,FLOOR(($A61-1)/23,1)+1)&amp;INDEX('Serial Reference'!$A$8:$W$8,1,MOD($A61-1,23)+1)&amp;TEXT(AP$2+FLOOR((AP$2-1)/9,1),"000"),"")</f>
        <v>CN045</v>
      </c>
      <c r="AQ61" s="22" t="str">
        <f>IF(INDEX('Shot Map'!$B$6:$V$26,CEILING($A61/5,1),CEILING(AQ$2/5,1))=1,INDEX('Serial Reference'!$A$8:$W$8,1,FLOOR(($A61-1)/23,1)+1)&amp;INDEX('Serial Reference'!$A$8:$W$8,1,MOD($A61-1,23)+1)&amp;TEXT(AQ$2+FLOOR((AQ$2-1)/9,1),"000"),"")</f>
        <v>CN046</v>
      </c>
      <c r="AR61" s="22" t="str">
        <f>IF(INDEX('Shot Map'!$B$6:$V$26,CEILING($A61/5,1),CEILING(AR$2/5,1))=1,INDEX('Serial Reference'!$A$8:$W$8,1,FLOOR(($A61-1)/23,1)+1)&amp;INDEX('Serial Reference'!$A$8:$W$8,1,MOD($A61-1,23)+1)&amp;TEXT(AR$2+FLOOR((AR$2-1)/9,1),"000"),"")</f>
        <v>CN047</v>
      </c>
      <c r="AS61" s="22" t="str">
        <f>IF(INDEX('Shot Map'!$B$6:$V$26,CEILING($A61/5,1),CEILING(AS$2/5,1))=1,INDEX('Serial Reference'!$A$8:$W$8,1,FLOOR(($A61-1)/23,1)+1)&amp;INDEX('Serial Reference'!$A$8:$W$8,1,MOD($A61-1,23)+1)&amp;TEXT(AS$2+FLOOR((AS$2-1)/9,1),"000"),"")</f>
        <v>CN048</v>
      </c>
      <c r="AT61" s="23" t="str">
        <f>IF(INDEX('Shot Map'!$B$6:$V$26,CEILING($A61/5,1),CEILING(AT$2/5,1))=1,INDEX('Serial Reference'!$A$8:$W$8,1,FLOOR(($A61-1)/23,1)+1)&amp;INDEX('Serial Reference'!$A$8:$W$8,1,MOD($A61-1,23)+1)&amp;TEXT(AT$2+FLOOR((AT$2-1)/9,1),"000"),"")</f>
        <v>CN049</v>
      </c>
      <c r="AU61" s="21" t="str">
        <f>IF(INDEX('Shot Map'!$B$6:$V$26,CEILING($A61/5,1),CEILING(AU$2/5,1))=1,INDEX('Serial Reference'!$A$8:$W$8,1,FLOOR(($A61-1)/23,1)+1)&amp;INDEX('Serial Reference'!$A$8:$W$8,1,MOD($A61-1,23)+1)&amp;TEXT(AU$2+FLOOR((AU$2-1)/9,1),"000"),"")</f>
        <v>CN051</v>
      </c>
      <c r="AV61" s="22" t="str">
        <f>IF(INDEX('Shot Map'!$B$6:$V$26,CEILING($A61/5,1),CEILING(AV$2/5,1))=1,INDEX('Serial Reference'!$A$8:$W$8,1,FLOOR(($A61-1)/23,1)+1)&amp;INDEX('Serial Reference'!$A$8:$W$8,1,MOD($A61-1,23)+1)&amp;TEXT(AV$2+FLOOR((AV$2-1)/9,1),"000"),"")</f>
        <v>CN052</v>
      </c>
      <c r="AW61" s="22" t="str">
        <f>IF(INDEX('Shot Map'!$B$6:$V$26,CEILING($A61/5,1),CEILING(AW$2/5,1))=1,INDEX('Serial Reference'!$A$8:$W$8,1,FLOOR(($A61-1)/23,1)+1)&amp;INDEX('Serial Reference'!$A$8:$W$8,1,MOD($A61-1,23)+1)&amp;TEXT(AW$2+FLOOR((AW$2-1)/9,1),"000"),"")</f>
        <v>CN053</v>
      </c>
      <c r="AX61" s="22" t="str">
        <f>IF(INDEX('Shot Map'!$B$6:$V$26,CEILING($A61/5,1),CEILING(AX$2/5,1))=1,INDEX('Serial Reference'!$A$8:$W$8,1,FLOOR(($A61-1)/23,1)+1)&amp;INDEX('Serial Reference'!$A$8:$W$8,1,MOD($A61-1,23)+1)&amp;TEXT(AX$2+FLOOR((AX$2-1)/9,1),"000"),"")</f>
        <v>CN054</v>
      </c>
      <c r="AY61" s="23" t="str">
        <f>IF(INDEX('Shot Map'!$B$6:$V$26,CEILING($A61/5,1),CEILING(AY$2/5,1))=1,INDEX('Serial Reference'!$A$8:$W$8,1,FLOOR(($A61-1)/23,1)+1)&amp;INDEX('Serial Reference'!$A$8:$W$8,1,MOD($A61-1,23)+1)&amp;TEXT(AY$2+FLOOR((AY$2-1)/9,1),"000"),"")</f>
        <v>CN055</v>
      </c>
      <c r="AZ61" s="21" t="str">
        <f>IF(INDEX('Shot Map'!$B$6:$V$26,CEILING($A61/5,1),CEILING(AZ$2/5,1))=1,INDEX('Serial Reference'!$A$8:$W$8,1,FLOOR(($A61-1)/23,1)+1)&amp;INDEX('Serial Reference'!$A$8:$W$8,1,MOD($A61-1,23)+1)&amp;TEXT(AZ$2+FLOOR((AZ$2-1)/9,1),"000"),"")</f>
        <v>CN056</v>
      </c>
      <c r="BA61" s="22" t="str">
        <f>IF(INDEX('Shot Map'!$B$6:$V$26,CEILING($A61/5,1),CEILING(BA$2/5,1))=1,INDEX('Serial Reference'!$A$8:$W$8,1,FLOOR(($A61-1)/23,1)+1)&amp;INDEX('Serial Reference'!$A$8:$W$8,1,MOD($A61-1,23)+1)&amp;TEXT(BA$2+FLOOR((BA$2-1)/9,1),"000"),"")</f>
        <v>CN057</v>
      </c>
      <c r="BB61" s="22" t="str">
        <f>IF(INDEX('Shot Map'!$B$6:$V$26,CEILING($A61/5,1),CEILING(BB$2/5,1))=1,INDEX('Serial Reference'!$A$8:$W$8,1,FLOOR(($A61-1)/23,1)+1)&amp;INDEX('Serial Reference'!$A$8:$W$8,1,MOD($A61-1,23)+1)&amp;TEXT(BB$2+FLOOR((BB$2-1)/9,1),"000"),"")</f>
        <v>CN058</v>
      </c>
      <c r="BC61" s="22" t="str">
        <f>IF(INDEX('Shot Map'!$B$6:$V$26,CEILING($A61/5,1),CEILING(BC$2/5,1))=1,INDEX('Serial Reference'!$A$8:$W$8,1,FLOOR(($A61-1)/23,1)+1)&amp;INDEX('Serial Reference'!$A$8:$W$8,1,MOD($A61-1,23)+1)&amp;TEXT(BC$2+FLOOR((BC$2-1)/9,1),"000"),"")</f>
        <v>CN059</v>
      </c>
      <c r="BD61" s="23" t="str">
        <f>IF(INDEX('Shot Map'!$B$6:$V$26,CEILING($A61/5,1),CEILING(BD$2/5,1))=1,INDEX('Serial Reference'!$A$8:$W$8,1,FLOOR(($A61-1)/23,1)+1)&amp;INDEX('Serial Reference'!$A$8:$W$8,1,MOD($A61-1,23)+1)&amp;TEXT(BD$2+FLOOR((BD$2-1)/9,1),"000"),"")</f>
        <v>CN061</v>
      </c>
      <c r="BE61" s="21" t="str">
        <f>IF(INDEX('Shot Map'!$B$6:$V$26,CEILING($A61/5,1),CEILING(BE$2/5,1))=1,INDEX('Serial Reference'!$A$8:$W$8,1,FLOOR(($A61-1)/23,1)+1)&amp;INDEX('Serial Reference'!$A$8:$W$8,1,MOD($A61-1,23)+1)&amp;TEXT(BE$2+FLOOR((BE$2-1)/9,1),"000"),"")</f>
        <v>CN062</v>
      </c>
      <c r="BF61" s="22" t="str">
        <f>IF(INDEX('Shot Map'!$B$6:$V$26,CEILING($A61/5,1),CEILING(BF$2/5,1))=1,INDEX('Serial Reference'!$A$8:$W$8,1,FLOOR(($A61-1)/23,1)+1)&amp;INDEX('Serial Reference'!$A$8:$W$8,1,MOD($A61-1,23)+1)&amp;TEXT(BF$2+FLOOR((BF$2-1)/9,1),"000"),"")</f>
        <v>CN063</v>
      </c>
      <c r="BG61" s="22" t="str">
        <f>IF(INDEX('Shot Map'!$B$6:$V$26,CEILING($A61/5,1),CEILING(BG$2/5,1))=1,INDEX('Serial Reference'!$A$8:$W$8,1,FLOOR(($A61-1)/23,1)+1)&amp;INDEX('Serial Reference'!$A$8:$W$8,1,MOD($A61-1,23)+1)&amp;TEXT(BG$2+FLOOR((BG$2-1)/9,1),"000"),"")</f>
        <v>CN064</v>
      </c>
      <c r="BH61" s="22" t="str">
        <f>IF(INDEX('Shot Map'!$B$6:$V$26,CEILING($A61/5,1),CEILING(BH$2/5,1))=1,INDEX('Serial Reference'!$A$8:$W$8,1,FLOOR(($A61-1)/23,1)+1)&amp;INDEX('Serial Reference'!$A$8:$W$8,1,MOD($A61-1,23)+1)&amp;TEXT(BH$2+FLOOR((BH$2-1)/9,1),"000"),"")</f>
        <v>CN065</v>
      </c>
      <c r="BI61" s="23" t="str">
        <f>IF(INDEX('Shot Map'!$B$6:$V$26,CEILING($A61/5,1),CEILING(BI$2/5,1))=1,INDEX('Serial Reference'!$A$8:$W$8,1,FLOOR(($A61-1)/23,1)+1)&amp;INDEX('Serial Reference'!$A$8:$W$8,1,MOD($A61-1,23)+1)&amp;TEXT(BI$2+FLOOR((BI$2-1)/9,1),"000"),"")</f>
        <v>CN066</v>
      </c>
      <c r="BJ61" s="21" t="str">
        <f>IF(INDEX('Shot Map'!$B$6:$V$26,CEILING($A61/5,1),CEILING(BJ$2/5,1))=1,INDEX('Serial Reference'!$A$8:$W$8,1,FLOOR(($A61-1)/23,1)+1)&amp;INDEX('Serial Reference'!$A$8:$W$8,1,MOD($A61-1,23)+1)&amp;TEXT(BJ$2+FLOOR((BJ$2-1)/9,1),"000"),"")</f>
        <v>CN067</v>
      </c>
      <c r="BK61" s="22" t="str">
        <f>IF(INDEX('Shot Map'!$B$6:$V$26,CEILING($A61/5,1),CEILING(BK$2/5,1))=1,INDEX('Serial Reference'!$A$8:$W$8,1,FLOOR(($A61-1)/23,1)+1)&amp;INDEX('Serial Reference'!$A$8:$W$8,1,MOD($A61-1,23)+1)&amp;TEXT(BK$2+FLOOR((BK$2-1)/9,1),"000"),"")</f>
        <v>CN068</v>
      </c>
      <c r="BL61" s="22" t="str">
        <f>IF(INDEX('Shot Map'!$B$6:$V$26,CEILING($A61/5,1),CEILING(BL$2/5,1))=1,INDEX('Serial Reference'!$A$8:$W$8,1,FLOOR(($A61-1)/23,1)+1)&amp;INDEX('Serial Reference'!$A$8:$W$8,1,MOD($A61-1,23)+1)&amp;TEXT(BL$2+FLOOR((BL$2-1)/9,1),"000"),"")</f>
        <v>CN069</v>
      </c>
      <c r="BM61" s="22" t="str">
        <f>IF(INDEX('Shot Map'!$B$6:$V$26,CEILING($A61/5,1),CEILING(BM$2/5,1))=1,INDEX('Serial Reference'!$A$8:$W$8,1,FLOOR(($A61-1)/23,1)+1)&amp;INDEX('Serial Reference'!$A$8:$W$8,1,MOD($A61-1,23)+1)&amp;TEXT(BM$2+FLOOR((BM$2-1)/9,1),"000"),"")</f>
        <v>CN071</v>
      </c>
      <c r="BN61" s="23" t="str">
        <f>IF(INDEX('Shot Map'!$B$6:$V$26,CEILING($A61/5,1),CEILING(BN$2/5,1))=1,INDEX('Serial Reference'!$A$8:$W$8,1,FLOOR(($A61-1)/23,1)+1)&amp;INDEX('Serial Reference'!$A$8:$W$8,1,MOD($A61-1,23)+1)&amp;TEXT(BN$2+FLOOR((BN$2-1)/9,1),"000"),"")</f>
        <v>CN072</v>
      </c>
      <c r="BO61" s="21" t="str">
        <f>IF(INDEX('Shot Map'!$B$6:$V$26,CEILING($A61/5,1),CEILING(BO$2/5,1))=1,INDEX('Serial Reference'!$A$8:$W$8,1,FLOOR(($A61-1)/23,1)+1)&amp;INDEX('Serial Reference'!$A$8:$W$8,1,MOD($A61-1,23)+1)&amp;TEXT(BO$2+FLOOR((BO$2-1)/9,1),"000"),"")</f>
        <v>CN073</v>
      </c>
      <c r="BP61" s="22" t="str">
        <f>IF(INDEX('Shot Map'!$B$6:$V$26,CEILING($A61/5,1),CEILING(BP$2/5,1))=1,INDEX('Serial Reference'!$A$8:$W$8,1,FLOOR(($A61-1)/23,1)+1)&amp;INDEX('Serial Reference'!$A$8:$W$8,1,MOD($A61-1,23)+1)&amp;TEXT(BP$2+FLOOR((BP$2-1)/9,1),"000"),"")</f>
        <v>CN074</v>
      </c>
      <c r="BQ61" s="22" t="str">
        <f>IF(INDEX('Shot Map'!$B$6:$V$26,CEILING($A61/5,1),CEILING(BQ$2/5,1))=1,INDEX('Serial Reference'!$A$8:$W$8,1,FLOOR(($A61-1)/23,1)+1)&amp;INDEX('Serial Reference'!$A$8:$W$8,1,MOD($A61-1,23)+1)&amp;TEXT(BQ$2+FLOOR((BQ$2-1)/9,1),"000"),"")</f>
        <v>CN075</v>
      </c>
      <c r="BR61" s="22" t="str">
        <f>IF(INDEX('Shot Map'!$B$6:$V$26,CEILING($A61/5,1),CEILING(BR$2/5,1))=1,INDEX('Serial Reference'!$A$8:$W$8,1,FLOOR(($A61-1)/23,1)+1)&amp;INDEX('Serial Reference'!$A$8:$W$8,1,MOD($A61-1,23)+1)&amp;TEXT(BR$2+FLOOR((BR$2-1)/9,1),"000"),"")</f>
        <v>CN076</v>
      </c>
      <c r="BS61" s="23" t="str">
        <f>IF(INDEX('Shot Map'!$B$6:$V$26,CEILING($A61/5,1),CEILING(BS$2/5,1))=1,INDEX('Serial Reference'!$A$8:$W$8,1,FLOOR(($A61-1)/23,1)+1)&amp;INDEX('Serial Reference'!$A$8:$W$8,1,MOD($A61-1,23)+1)&amp;TEXT(BS$2+FLOOR((BS$2-1)/9,1),"000"),"")</f>
        <v>CN077</v>
      </c>
      <c r="BT61" s="21" t="str">
        <f>IF(INDEX('Shot Map'!$B$6:$V$26,CEILING($A61/5,1),CEILING(BT$2/5,1))=1,INDEX('Serial Reference'!$A$8:$W$8,1,FLOOR(($A61-1)/23,1)+1)&amp;INDEX('Serial Reference'!$A$8:$W$8,1,MOD($A61-1,23)+1)&amp;TEXT(BT$2+FLOOR((BT$2-1)/9,1),"000"),"")</f>
        <v>CN078</v>
      </c>
      <c r="BU61" s="22" t="str">
        <f>IF(INDEX('Shot Map'!$B$6:$V$26,CEILING($A61/5,1),CEILING(BU$2/5,1))=1,INDEX('Serial Reference'!$A$8:$W$8,1,FLOOR(($A61-1)/23,1)+1)&amp;INDEX('Serial Reference'!$A$8:$W$8,1,MOD($A61-1,23)+1)&amp;TEXT(BU$2+FLOOR((BU$2-1)/9,1),"000"),"")</f>
        <v>CN079</v>
      </c>
      <c r="BV61" s="22" t="str">
        <f>IF(INDEX('Shot Map'!$B$6:$V$26,CEILING($A61/5,1),CEILING(BV$2/5,1))=1,INDEX('Serial Reference'!$A$8:$W$8,1,FLOOR(($A61-1)/23,1)+1)&amp;INDEX('Serial Reference'!$A$8:$W$8,1,MOD($A61-1,23)+1)&amp;TEXT(BV$2+FLOOR((BV$2-1)/9,1),"000"),"")</f>
        <v>CN081</v>
      </c>
      <c r="BW61" s="22" t="str">
        <f>IF(INDEX('Shot Map'!$B$6:$V$26,CEILING($A61/5,1),CEILING(BW$2/5,1))=1,INDEX('Serial Reference'!$A$8:$W$8,1,FLOOR(($A61-1)/23,1)+1)&amp;INDEX('Serial Reference'!$A$8:$W$8,1,MOD($A61-1,23)+1)&amp;TEXT(BW$2+FLOOR((BW$2-1)/9,1),"000"),"")</f>
        <v>CN082</v>
      </c>
      <c r="BX61" s="23" t="str">
        <f>IF(INDEX('Shot Map'!$B$6:$V$26,CEILING($A61/5,1),CEILING(BX$2/5,1))=1,INDEX('Serial Reference'!$A$8:$W$8,1,FLOOR(($A61-1)/23,1)+1)&amp;INDEX('Serial Reference'!$A$8:$W$8,1,MOD($A61-1,23)+1)&amp;TEXT(BX$2+FLOOR((BX$2-1)/9,1),"000"),"")</f>
        <v>CN083</v>
      </c>
      <c r="BY61" s="21" t="str">
        <f>IF(INDEX('Shot Map'!$B$6:$V$26,CEILING($A61/5,1),CEILING(BY$2/5,1))=1,INDEX('Serial Reference'!$A$8:$W$8,1,FLOOR(($A61-1)/23,1)+1)&amp;INDEX('Serial Reference'!$A$8:$W$8,1,MOD($A61-1,23)+1)&amp;TEXT(BY$2+FLOOR((BY$2-1)/9,1),"000"),"")</f>
        <v>CN084</v>
      </c>
      <c r="BZ61" s="22" t="str">
        <f>IF(INDEX('Shot Map'!$B$6:$V$26,CEILING($A61/5,1),CEILING(BZ$2/5,1))=1,INDEX('Serial Reference'!$A$8:$W$8,1,FLOOR(($A61-1)/23,1)+1)&amp;INDEX('Serial Reference'!$A$8:$W$8,1,MOD($A61-1,23)+1)&amp;TEXT(BZ$2+FLOOR((BZ$2-1)/9,1),"000"),"")</f>
        <v>CN085</v>
      </c>
      <c r="CA61" s="22" t="str">
        <f>IF(INDEX('Shot Map'!$B$6:$V$26,CEILING($A61/5,1),CEILING(CA$2/5,1))=1,INDEX('Serial Reference'!$A$8:$W$8,1,FLOOR(($A61-1)/23,1)+1)&amp;INDEX('Serial Reference'!$A$8:$W$8,1,MOD($A61-1,23)+1)&amp;TEXT(CA$2+FLOOR((CA$2-1)/9,1),"000"),"")</f>
        <v>CN086</v>
      </c>
      <c r="CB61" s="22" t="str">
        <f>IF(INDEX('Shot Map'!$B$6:$V$26,CEILING($A61/5,1),CEILING(CB$2/5,1))=1,INDEX('Serial Reference'!$A$8:$W$8,1,FLOOR(($A61-1)/23,1)+1)&amp;INDEX('Serial Reference'!$A$8:$W$8,1,MOD($A61-1,23)+1)&amp;TEXT(CB$2+FLOOR((CB$2-1)/9,1),"000"),"")</f>
        <v>CN087</v>
      </c>
      <c r="CC61" s="23" t="str">
        <f>IF(INDEX('Shot Map'!$B$6:$V$26,CEILING($A61/5,1),CEILING(CC$2/5,1))=1,INDEX('Serial Reference'!$A$8:$W$8,1,FLOOR(($A61-1)/23,1)+1)&amp;INDEX('Serial Reference'!$A$8:$W$8,1,MOD($A61-1,23)+1)&amp;TEXT(CC$2+FLOOR((CC$2-1)/9,1),"000"),"")</f>
        <v>CN088</v>
      </c>
      <c r="CD61" s="21" t="str">
        <f>IF(INDEX('Shot Map'!$B$6:$V$26,CEILING($A61/5,1),CEILING(CD$2/5,1))=1,INDEX('Serial Reference'!$A$8:$W$8,1,FLOOR(($A61-1)/23,1)+1)&amp;INDEX('Serial Reference'!$A$8:$W$8,1,MOD($A61-1,23)+1)&amp;TEXT(CD$2+FLOOR((CD$2-1)/9,1),"000"),"")</f>
        <v>CN089</v>
      </c>
      <c r="CE61" s="22" t="str">
        <f>IF(INDEX('Shot Map'!$B$6:$V$26,CEILING($A61/5,1),CEILING(CE$2/5,1))=1,INDEX('Serial Reference'!$A$8:$W$8,1,FLOOR(($A61-1)/23,1)+1)&amp;INDEX('Serial Reference'!$A$8:$W$8,1,MOD($A61-1,23)+1)&amp;TEXT(CE$2+FLOOR((CE$2-1)/9,1),"000"),"")</f>
        <v>CN091</v>
      </c>
      <c r="CF61" s="22" t="str">
        <f>IF(INDEX('Shot Map'!$B$6:$V$26,CEILING($A61/5,1),CEILING(CF$2/5,1))=1,INDEX('Serial Reference'!$A$8:$W$8,1,FLOOR(($A61-1)/23,1)+1)&amp;INDEX('Serial Reference'!$A$8:$W$8,1,MOD($A61-1,23)+1)&amp;TEXT(CF$2+FLOOR((CF$2-1)/9,1),"000"),"")</f>
        <v>CN092</v>
      </c>
      <c r="CG61" s="22" t="str">
        <f>IF(INDEX('Shot Map'!$B$6:$V$26,CEILING($A61/5,1),CEILING(CG$2/5,1))=1,INDEX('Serial Reference'!$A$8:$W$8,1,FLOOR(($A61-1)/23,1)+1)&amp;INDEX('Serial Reference'!$A$8:$W$8,1,MOD($A61-1,23)+1)&amp;TEXT(CG$2+FLOOR((CG$2-1)/9,1),"000"),"")</f>
        <v>CN093</v>
      </c>
      <c r="CH61" s="23" t="str">
        <f>IF(INDEX('Shot Map'!$B$6:$V$26,CEILING($A61/5,1),CEILING(CH$2/5,1))=1,INDEX('Serial Reference'!$A$8:$W$8,1,FLOOR(($A61-1)/23,1)+1)&amp;INDEX('Serial Reference'!$A$8:$W$8,1,MOD($A61-1,23)+1)&amp;TEXT(CH$2+FLOOR((CH$2-1)/9,1),"000"),"")</f>
        <v>CN094</v>
      </c>
      <c r="CI61" s="21" t="str">
        <f>IF(INDEX('Shot Map'!$B$6:$V$26,CEILING($A61/5,1),CEILING(CI$2/5,1))=1,INDEX('Serial Reference'!$A$8:$W$8,1,FLOOR(($A61-1)/23,1)+1)&amp;INDEX('Serial Reference'!$A$8:$W$8,1,MOD($A61-1,23)+1)&amp;TEXT(CI$2+FLOOR((CI$2-1)/9,1),"000"),"")</f>
        <v>CN095</v>
      </c>
      <c r="CJ61" s="22" t="str">
        <f>IF(INDEX('Shot Map'!$B$6:$V$26,CEILING($A61/5,1),CEILING(CJ$2/5,1))=1,INDEX('Serial Reference'!$A$8:$W$8,1,FLOOR(($A61-1)/23,1)+1)&amp;INDEX('Serial Reference'!$A$8:$W$8,1,MOD($A61-1,23)+1)&amp;TEXT(CJ$2+FLOOR((CJ$2-1)/9,1),"000"),"")</f>
        <v>CN096</v>
      </c>
      <c r="CK61" s="22" t="str">
        <f>IF(INDEX('Shot Map'!$B$6:$V$26,CEILING($A61/5,1),CEILING(CK$2/5,1))=1,INDEX('Serial Reference'!$A$8:$W$8,1,FLOOR(($A61-1)/23,1)+1)&amp;INDEX('Serial Reference'!$A$8:$W$8,1,MOD($A61-1,23)+1)&amp;TEXT(CK$2+FLOOR((CK$2-1)/9,1),"000"),"")</f>
        <v>CN097</v>
      </c>
      <c r="CL61" s="22" t="str">
        <f>IF(INDEX('Shot Map'!$B$6:$V$26,CEILING($A61/5,1),CEILING(CL$2/5,1))=1,INDEX('Serial Reference'!$A$8:$W$8,1,FLOOR(($A61-1)/23,1)+1)&amp;INDEX('Serial Reference'!$A$8:$W$8,1,MOD($A61-1,23)+1)&amp;TEXT(CL$2+FLOOR((CL$2-1)/9,1),"000"),"")</f>
        <v>CN098</v>
      </c>
      <c r="CM61" s="23" t="str">
        <f>IF(INDEX('Shot Map'!$B$6:$V$26,CEILING($A61/5,1),CEILING(CM$2/5,1))=1,INDEX('Serial Reference'!$A$8:$W$8,1,FLOOR(($A61-1)/23,1)+1)&amp;INDEX('Serial Reference'!$A$8:$W$8,1,MOD($A61-1,23)+1)&amp;TEXT(CM$2+FLOOR((CM$2-1)/9,1),"000"),"")</f>
        <v>CN099</v>
      </c>
      <c r="CN61" s="21" t="str">
        <f>IF(INDEX('Shot Map'!$B$6:$V$26,CEILING($A61/5,1),CEILING(CN$2/5,1))=1,INDEX('Serial Reference'!$A$8:$W$8,1,FLOOR(($A61-1)/23,1)+1)&amp;INDEX('Serial Reference'!$A$8:$W$8,1,MOD($A61-1,23)+1)&amp;TEXT(CN$2+FLOOR((CN$2-1)/9,1),"000"),"")</f>
        <v>CN101</v>
      </c>
      <c r="CO61" s="22" t="str">
        <f>IF(INDEX('Shot Map'!$B$6:$V$26,CEILING($A61/5,1),CEILING(CO$2/5,1))=1,INDEX('Serial Reference'!$A$8:$W$8,1,FLOOR(($A61-1)/23,1)+1)&amp;INDEX('Serial Reference'!$A$8:$W$8,1,MOD($A61-1,23)+1)&amp;TEXT(CO$2+FLOOR((CO$2-1)/9,1),"000"),"")</f>
        <v>CN102</v>
      </c>
      <c r="CP61" s="22" t="str">
        <f>IF(INDEX('Shot Map'!$B$6:$V$26,CEILING($A61/5,1),CEILING(CP$2/5,1))=1,INDEX('Serial Reference'!$A$8:$W$8,1,FLOOR(($A61-1)/23,1)+1)&amp;INDEX('Serial Reference'!$A$8:$W$8,1,MOD($A61-1,23)+1)&amp;TEXT(CP$2+FLOOR((CP$2-1)/9,1),"000"),"")</f>
        <v>CN103</v>
      </c>
      <c r="CQ61" s="22" t="str">
        <f>IF(INDEX('Shot Map'!$B$6:$V$26,CEILING($A61/5,1),CEILING(CQ$2/5,1))=1,INDEX('Serial Reference'!$A$8:$W$8,1,FLOOR(($A61-1)/23,1)+1)&amp;INDEX('Serial Reference'!$A$8:$W$8,1,MOD($A61-1,23)+1)&amp;TEXT(CQ$2+FLOOR((CQ$2-1)/9,1),"000"),"")</f>
        <v>CN104</v>
      </c>
      <c r="CR61" s="23" t="str">
        <f>IF(INDEX('Shot Map'!$B$6:$V$26,CEILING($A61/5,1),CEILING(CR$2/5,1))=1,INDEX('Serial Reference'!$A$8:$W$8,1,FLOOR(($A61-1)/23,1)+1)&amp;INDEX('Serial Reference'!$A$8:$W$8,1,MOD($A61-1,23)+1)&amp;TEXT(CR$2+FLOOR((CR$2-1)/9,1),"000"),"")</f>
        <v>CN105</v>
      </c>
      <c r="CS61" s="21" t="str">
        <f>IF(INDEX('Shot Map'!$B$6:$V$26,CEILING($A61/5,1),CEILING(CS$2/5,1))=1,INDEX('Serial Reference'!$A$8:$W$8,1,FLOOR(($A61-1)/23,1)+1)&amp;INDEX('Serial Reference'!$A$8:$W$8,1,MOD($A61-1,23)+1)&amp;TEXT(CS$2+FLOOR((CS$2-1)/9,1),"000"),"")</f>
        <v>CN106</v>
      </c>
      <c r="CT61" s="22" t="str">
        <f>IF(INDEX('Shot Map'!$B$6:$V$26,CEILING($A61/5,1),CEILING(CT$2/5,1))=1,INDEX('Serial Reference'!$A$8:$W$8,1,FLOOR(($A61-1)/23,1)+1)&amp;INDEX('Serial Reference'!$A$8:$W$8,1,MOD($A61-1,23)+1)&amp;TEXT(CT$2+FLOOR((CT$2-1)/9,1),"000"),"")</f>
        <v>CN107</v>
      </c>
      <c r="CU61" s="22" t="str">
        <f>IF(INDEX('Shot Map'!$B$6:$V$26,CEILING($A61/5,1),CEILING(CU$2/5,1))=1,INDEX('Serial Reference'!$A$8:$W$8,1,FLOOR(($A61-1)/23,1)+1)&amp;INDEX('Serial Reference'!$A$8:$W$8,1,MOD($A61-1,23)+1)&amp;TEXT(CU$2+FLOOR((CU$2-1)/9,1),"000"),"")</f>
        <v>CN108</v>
      </c>
      <c r="CV61" s="22" t="str">
        <f>IF(INDEX('Shot Map'!$B$6:$V$26,CEILING($A61/5,1),CEILING(CV$2/5,1))=1,INDEX('Serial Reference'!$A$8:$W$8,1,FLOOR(($A61-1)/23,1)+1)&amp;INDEX('Serial Reference'!$A$8:$W$8,1,MOD($A61-1,23)+1)&amp;TEXT(CV$2+FLOOR((CV$2-1)/9,1),"000"),"")</f>
        <v>CN109</v>
      </c>
      <c r="CW61" s="23" t="str">
        <f>IF(INDEX('Shot Map'!$B$6:$V$26,CEILING($A61/5,1),CEILING(CW$2/5,1))=1,INDEX('Serial Reference'!$A$8:$W$8,1,FLOOR(($A61-1)/23,1)+1)&amp;INDEX('Serial Reference'!$A$8:$W$8,1,MOD($A61-1,23)+1)&amp;TEXT(CW$2+FLOOR((CW$2-1)/9,1),"000"),"")</f>
        <v>CN111</v>
      </c>
      <c r="CX61" s="21" t="str">
        <f>IF(INDEX('Shot Map'!$B$6:$V$26,CEILING($A61/5,1),CEILING(CX$2/5,1))=1,INDEX('Serial Reference'!$A$8:$W$8,1,FLOOR(($A61-1)/23,1)+1)&amp;INDEX('Serial Reference'!$A$8:$W$8,1,MOD($A61-1,23)+1)&amp;TEXT(CX$2+FLOOR((CX$2-1)/9,1),"000"),"")</f>
        <v>CN112</v>
      </c>
      <c r="CY61" s="22" t="str">
        <f>IF(INDEX('Shot Map'!$B$6:$V$26,CEILING($A61/5,1),CEILING(CY$2/5,1))=1,INDEX('Serial Reference'!$A$8:$W$8,1,FLOOR(($A61-1)/23,1)+1)&amp;INDEX('Serial Reference'!$A$8:$W$8,1,MOD($A61-1,23)+1)&amp;TEXT(CY$2+FLOOR((CY$2-1)/9,1),"000"),"")</f>
        <v>CN113</v>
      </c>
      <c r="CZ61" s="22" t="str">
        <f>IF(INDEX('Shot Map'!$B$6:$V$26,CEILING($A61/5,1),CEILING(CZ$2/5,1))=1,INDEX('Serial Reference'!$A$8:$W$8,1,FLOOR(($A61-1)/23,1)+1)&amp;INDEX('Serial Reference'!$A$8:$W$8,1,MOD($A61-1,23)+1)&amp;TEXT(CZ$2+FLOOR((CZ$2-1)/9,1),"000"),"")</f>
        <v>CN114</v>
      </c>
      <c r="DA61" s="22" t="str">
        <f>IF(INDEX('Shot Map'!$B$6:$V$26,CEILING($A61/5,1),CEILING(DA$2/5,1))=1,INDEX('Serial Reference'!$A$8:$W$8,1,FLOOR(($A61-1)/23,1)+1)&amp;INDEX('Serial Reference'!$A$8:$W$8,1,MOD($A61-1,23)+1)&amp;TEXT(DA$2+FLOOR((DA$2-1)/9,1),"000"),"")</f>
        <v>CN115</v>
      </c>
      <c r="DB61" s="23" t="str">
        <f>IF(INDEX('Shot Map'!$B$6:$V$26,CEILING($A61/5,1),CEILING(DB$2/5,1))=1,INDEX('Serial Reference'!$A$8:$W$8,1,FLOOR(($A61-1)/23,1)+1)&amp;INDEX('Serial Reference'!$A$8:$W$8,1,MOD($A61-1,23)+1)&amp;TEXT(DB$2+FLOOR((DB$2-1)/9,1),"000"),"")</f>
        <v>CN116</v>
      </c>
    </row>
    <row r="62" spans="1:106" ht="12.75" customHeight="1" x14ac:dyDescent="0.25">
      <c r="A62" s="17">
        <v>60</v>
      </c>
      <c r="B62" s="24" t="str">
        <f>IF(INDEX('Shot Map'!$B$6:$V$26,CEILING($A62/5,1),CEILING(B$2/5,1))=1,INDEX('Serial Reference'!$A$8:$W$8,1,FLOOR(($A62-1)/23,1)+1)&amp;INDEX('Serial Reference'!$A$8:$W$8,1,MOD($A62-1,23)+1)&amp;TEXT(B$2+FLOOR((B$2-1)/9,1),"000"),"")</f>
        <v>CP001</v>
      </c>
      <c r="C62" s="25" t="str">
        <f>IF(INDEX('Shot Map'!$B$6:$V$26,CEILING($A62/5,1),CEILING(C$2/5,1))=1,INDEX('Serial Reference'!$A$8:$W$8,1,FLOOR(($A62-1)/23,1)+1)&amp;INDEX('Serial Reference'!$A$8:$W$8,1,MOD($A62-1,23)+1)&amp;TEXT(C$2+FLOOR((C$2-1)/9,1),"000"),"")</f>
        <v>CP002</v>
      </c>
      <c r="D62" s="25" t="str">
        <f>IF(INDEX('Shot Map'!$B$6:$V$26,CEILING($A62/5,1),CEILING(D$2/5,1))=1,INDEX('Serial Reference'!$A$8:$W$8,1,FLOOR(($A62-1)/23,1)+1)&amp;INDEX('Serial Reference'!$A$8:$W$8,1,MOD($A62-1,23)+1)&amp;TEXT(D$2+FLOOR((D$2-1)/9,1),"000"),"")</f>
        <v>CP003</v>
      </c>
      <c r="E62" s="25" t="str">
        <f>IF(INDEX('Shot Map'!$B$6:$V$26,CEILING($A62/5,1),CEILING(E$2/5,1))=1,INDEX('Serial Reference'!$A$8:$W$8,1,FLOOR(($A62-1)/23,1)+1)&amp;INDEX('Serial Reference'!$A$8:$W$8,1,MOD($A62-1,23)+1)&amp;TEXT(E$2+FLOOR((E$2-1)/9,1),"000"),"")</f>
        <v>CP004</v>
      </c>
      <c r="F62" s="26" t="str">
        <f>IF(INDEX('Shot Map'!$B$6:$V$26,CEILING($A62/5,1),CEILING(F$2/5,1))=1,INDEX('Serial Reference'!$A$8:$W$8,1,FLOOR(($A62-1)/23,1)+1)&amp;INDEX('Serial Reference'!$A$8:$W$8,1,MOD($A62-1,23)+1)&amp;TEXT(F$2+FLOOR((F$2-1)/9,1),"000"),"")</f>
        <v>CP005</v>
      </c>
      <c r="G62" s="24" t="str">
        <f>IF(INDEX('Shot Map'!$B$6:$V$26,CEILING($A62/5,1),CEILING(G$2/5,1))=1,INDEX('Serial Reference'!$A$8:$W$8,1,FLOOR(($A62-1)/23,1)+1)&amp;INDEX('Serial Reference'!$A$8:$W$8,1,MOD($A62-1,23)+1)&amp;TEXT(G$2+FLOOR((G$2-1)/9,1),"000"),"")</f>
        <v>CP006</v>
      </c>
      <c r="H62" s="25" t="str">
        <f>IF(INDEX('Shot Map'!$B$6:$V$26,CEILING($A62/5,1),CEILING(H$2/5,1))=1,INDEX('Serial Reference'!$A$8:$W$8,1,FLOOR(($A62-1)/23,1)+1)&amp;INDEX('Serial Reference'!$A$8:$W$8,1,MOD($A62-1,23)+1)&amp;TEXT(H$2+FLOOR((H$2-1)/9,1),"000"),"")</f>
        <v>CP007</v>
      </c>
      <c r="I62" s="25" t="str">
        <f>IF(INDEX('Shot Map'!$B$6:$V$26,CEILING($A62/5,1),CEILING(I$2/5,1))=1,INDEX('Serial Reference'!$A$8:$W$8,1,FLOOR(($A62-1)/23,1)+1)&amp;INDEX('Serial Reference'!$A$8:$W$8,1,MOD($A62-1,23)+1)&amp;TEXT(I$2+FLOOR((I$2-1)/9,1),"000"),"")</f>
        <v>CP008</v>
      </c>
      <c r="J62" s="25" t="str">
        <f>IF(INDEX('Shot Map'!$B$6:$V$26,CEILING($A62/5,1),CEILING(J$2/5,1))=1,INDEX('Serial Reference'!$A$8:$W$8,1,FLOOR(($A62-1)/23,1)+1)&amp;INDEX('Serial Reference'!$A$8:$W$8,1,MOD($A62-1,23)+1)&amp;TEXT(J$2+FLOOR((J$2-1)/9,1),"000"),"")</f>
        <v>CP009</v>
      </c>
      <c r="K62" s="26" t="str">
        <f>IF(INDEX('Shot Map'!$B$6:$V$26,CEILING($A62/5,1),CEILING(K$2/5,1))=1,INDEX('Serial Reference'!$A$8:$W$8,1,FLOOR(($A62-1)/23,1)+1)&amp;INDEX('Serial Reference'!$A$8:$W$8,1,MOD($A62-1,23)+1)&amp;TEXT(K$2+FLOOR((K$2-1)/9,1),"000"),"")</f>
        <v>CP011</v>
      </c>
      <c r="L62" s="24" t="str">
        <f>IF(INDEX('Shot Map'!$B$6:$V$26,CEILING($A62/5,1),CEILING(L$2/5,1))=1,INDEX('Serial Reference'!$A$8:$W$8,1,FLOOR(($A62-1)/23,1)+1)&amp;INDEX('Serial Reference'!$A$8:$W$8,1,MOD($A62-1,23)+1)&amp;TEXT(L$2+FLOOR((L$2-1)/9,1),"000"),"")</f>
        <v>CP012</v>
      </c>
      <c r="M62" s="25" t="str">
        <f>IF(INDEX('Shot Map'!$B$6:$V$26,CEILING($A62/5,1),CEILING(M$2/5,1))=1,INDEX('Serial Reference'!$A$8:$W$8,1,FLOOR(($A62-1)/23,1)+1)&amp;INDEX('Serial Reference'!$A$8:$W$8,1,MOD($A62-1,23)+1)&amp;TEXT(M$2+FLOOR((M$2-1)/9,1),"000"),"")</f>
        <v>CP013</v>
      </c>
      <c r="N62" s="25" t="str">
        <f>IF(INDEX('Shot Map'!$B$6:$V$26,CEILING($A62/5,1),CEILING(N$2/5,1))=1,INDEX('Serial Reference'!$A$8:$W$8,1,FLOOR(($A62-1)/23,1)+1)&amp;INDEX('Serial Reference'!$A$8:$W$8,1,MOD($A62-1,23)+1)&amp;TEXT(N$2+FLOOR((N$2-1)/9,1),"000"),"")</f>
        <v>CP014</v>
      </c>
      <c r="O62" s="25" t="str">
        <f>IF(INDEX('Shot Map'!$B$6:$V$26,CEILING($A62/5,1),CEILING(O$2/5,1))=1,INDEX('Serial Reference'!$A$8:$W$8,1,FLOOR(($A62-1)/23,1)+1)&amp;INDEX('Serial Reference'!$A$8:$W$8,1,MOD($A62-1,23)+1)&amp;TEXT(O$2+FLOOR((O$2-1)/9,1),"000"),"")</f>
        <v>CP015</v>
      </c>
      <c r="P62" s="26" t="str">
        <f>IF(INDEX('Shot Map'!$B$6:$V$26,CEILING($A62/5,1),CEILING(P$2/5,1))=1,INDEX('Serial Reference'!$A$8:$W$8,1,FLOOR(($A62-1)/23,1)+1)&amp;INDEX('Serial Reference'!$A$8:$W$8,1,MOD($A62-1,23)+1)&amp;TEXT(P$2+FLOOR((P$2-1)/9,1),"000"),"")</f>
        <v>CP016</v>
      </c>
      <c r="Q62" s="24" t="str">
        <f>IF(INDEX('Shot Map'!$B$6:$V$26,CEILING($A62/5,1),CEILING(Q$2/5,1))=1,INDEX('Serial Reference'!$A$8:$W$8,1,FLOOR(($A62-1)/23,1)+1)&amp;INDEX('Serial Reference'!$A$8:$W$8,1,MOD($A62-1,23)+1)&amp;TEXT(Q$2+FLOOR((Q$2-1)/9,1),"000"),"")</f>
        <v>CP017</v>
      </c>
      <c r="R62" s="25" t="str">
        <f>IF(INDEX('Shot Map'!$B$6:$V$26,CEILING($A62/5,1),CEILING(R$2/5,1))=1,INDEX('Serial Reference'!$A$8:$W$8,1,FLOOR(($A62-1)/23,1)+1)&amp;INDEX('Serial Reference'!$A$8:$W$8,1,MOD($A62-1,23)+1)&amp;TEXT(R$2+FLOOR((R$2-1)/9,1),"000"),"")</f>
        <v>CP018</v>
      </c>
      <c r="S62" s="25" t="str">
        <f>IF(INDEX('Shot Map'!$B$6:$V$26,CEILING($A62/5,1),CEILING(S$2/5,1))=1,INDEX('Serial Reference'!$A$8:$W$8,1,FLOOR(($A62-1)/23,1)+1)&amp;INDEX('Serial Reference'!$A$8:$W$8,1,MOD($A62-1,23)+1)&amp;TEXT(S$2+FLOOR((S$2-1)/9,1),"000"),"")</f>
        <v>CP019</v>
      </c>
      <c r="T62" s="25" t="str">
        <f>IF(INDEX('Shot Map'!$B$6:$V$26,CEILING($A62/5,1),CEILING(T$2/5,1))=1,INDEX('Serial Reference'!$A$8:$W$8,1,FLOOR(($A62-1)/23,1)+1)&amp;INDEX('Serial Reference'!$A$8:$W$8,1,MOD($A62-1,23)+1)&amp;TEXT(T$2+FLOOR((T$2-1)/9,1),"000"),"")</f>
        <v>CP021</v>
      </c>
      <c r="U62" s="26" t="str">
        <f>IF(INDEX('Shot Map'!$B$6:$V$26,CEILING($A62/5,1),CEILING(U$2/5,1))=1,INDEX('Serial Reference'!$A$8:$W$8,1,FLOOR(($A62-1)/23,1)+1)&amp;INDEX('Serial Reference'!$A$8:$W$8,1,MOD($A62-1,23)+1)&amp;TEXT(U$2+FLOOR((U$2-1)/9,1),"000"),"")</f>
        <v>CP022</v>
      </c>
      <c r="V62" s="24" t="str">
        <f>IF(INDEX('Shot Map'!$B$6:$V$26,CEILING($A62/5,1),CEILING(V$2/5,1))=1,INDEX('Serial Reference'!$A$8:$W$8,1,FLOOR(($A62-1)/23,1)+1)&amp;INDEX('Serial Reference'!$A$8:$W$8,1,MOD($A62-1,23)+1)&amp;TEXT(V$2+FLOOR((V$2-1)/9,1),"000"),"")</f>
        <v>CP023</v>
      </c>
      <c r="W62" s="25" t="str">
        <f>IF(INDEX('Shot Map'!$B$6:$V$26,CEILING($A62/5,1),CEILING(W$2/5,1))=1,INDEX('Serial Reference'!$A$8:$W$8,1,FLOOR(($A62-1)/23,1)+1)&amp;INDEX('Serial Reference'!$A$8:$W$8,1,MOD($A62-1,23)+1)&amp;TEXT(W$2+FLOOR((W$2-1)/9,1),"000"),"")</f>
        <v>CP024</v>
      </c>
      <c r="X62" s="25" t="str">
        <f>IF(INDEX('Shot Map'!$B$6:$V$26,CEILING($A62/5,1),CEILING(X$2/5,1))=1,INDEX('Serial Reference'!$A$8:$W$8,1,FLOOR(($A62-1)/23,1)+1)&amp;INDEX('Serial Reference'!$A$8:$W$8,1,MOD($A62-1,23)+1)&amp;TEXT(X$2+FLOOR((X$2-1)/9,1),"000"),"")</f>
        <v>CP025</v>
      </c>
      <c r="Y62" s="25" t="str">
        <f>IF(INDEX('Shot Map'!$B$6:$V$26,CEILING($A62/5,1),CEILING(Y$2/5,1))=1,INDEX('Serial Reference'!$A$8:$W$8,1,FLOOR(($A62-1)/23,1)+1)&amp;INDEX('Serial Reference'!$A$8:$W$8,1,MOD($A62-1,23)+1)&amp;TEXT(Y$2+FLOOR((Y$2-1)/9,1),"000"),"")</f>
        <v>CP026</v>
      </c>
      <c r="Z62" s="26" t="str">
        <f>IF(INDEX('Shot Map'!$B$6:$V$26,CEILING($A62/5,1),CEILING(Z$2/5,1))=1,INDEX('Serial Reference'!$A$8:$W$8,1,FLOOR(($A62-1)/23,1)+1)&amp;INDEX('Serial Reference'!$A$8:$W$8,1,MOD($A62-1,23)+1)&amp;TEXT(Z$2+FLOOR((Z$2-1)/9,1),"000"),"")</f>
        <v>CP027</v>
      </c>
      <c r="AA62" s="24" t="str">
        <f>IF(INDEX('Shot Map'!$B$6:$V$26,CEILING($A62/5,1),CEILING(AA$2/5,1))=1,INDEX('Serial Reference'!$A$8:$W$8,1,FLOOR(($A62-1)/23,1)+1)&amp;INDEX('Serial Reference'!$A$8:$W$8,1,MOD($A62-1,23)+1)&amp;TEXT(AA$2+FLOOR((AA$2-1)/9,1),"000"),"")</f>
        <v>CP028</v>
      </c>
      <c r="AB62" s="25" t="str">
        <f>IF(INDEX('Shot Map'!$B$6:$V$26,CEILING($A62/5,1),CEILING(AB$2/5,1))=1,INDEX('Serial Reference'!$A$8:$W$8,1,FLOOR(($A62-1)/23,1)+1)&amp;INDEX('Serial Reference'!$A$8:$W$8,1,MOD($A62-1,23)+1)&amp;TEXT(AB$2+FLOOR((AB$2-1)/9,1),"000"),"")</f>
        <v>CP029</v>
      </c>
      <c r="AC62" s="25" t="str">
        <f>IF(INDEX('Shot Map'!$B$6:$V$26,CEILING($A62/5,1),CEILING(AC$2/5,1))=1,INDEX('Serial Reference'!$A$8:$W$8,1,FLOOR(($A62-1)/23,1)+1)&amp;INDEX('Serial Reference'!$A$8:$W$8,1,MOD($A62-1,23)+1)&amp;TEXT(AC$2+FLOOR((AC$2-1)/9,1),"000"),"")</f>
        <v>CP031</v>
      </c>
      <c r="AD62" s="25" t="str">
        <f>IF(INDEX('Shot Map'!$B$6:$V$26,CEILING($A62/5,1),CEILING(AD$2/5,1))=1,INDEX('Serial Reference'!$A$8:$W$8,1,FLOOR(($A62-1)/23,1)+1)&amp;INDEX('Serial Reference'!$A$8:$W$8,1,MOD($A62-1,23)+1)&amp;TEXT(AD$2+FLOOR((AD$2-1)/9,1),"000"),"")</f>
        <v>CP032</v>
      </c>
      <c r="AE62" s="26" t="str">
        <f>IF(INDEX('Shot Map'!$B$6:$V$26,CEILING($A62/5,1),CEILING(AE$2/5,1))=1,INDEX('Serial Reference'!$A$8:$W$8,1,FLOOR(($A62-1)/23,1)+1)&amp;INDEX('Serial Reference'!$A$8:$W$8,1,MOD($A62-1,23)+1)&amp;TEXT(AE$2+FLOOR((AE$2-1)/9,1),"000"),"")</f>
        <v>CP033</v>
      </c>
      <c r="AF62" s="24" t="str">
        <f>IF(INDEX('Shot Map'!$B$6:$V$26,CEILING($A62/5,1),CEILING(AF$2/5,1))=1,INDEX('Serial Reference'!$A$8:$W$8,1,FLOOR(($A62-1)/23,1)+1)&amp;INDEX('Serial Reference'!$A$8:$W$8,1,MOD($A62-1,23)+1)&amp;TEXT(AF$2+FLOOR((AF$2-1)/9,1),"000"),"")</f>
        <v>CP034</v>
      </c>
      <c r="AG62" s="25" t="str">
        <f>IF(INDEX('Shot Map'!$B$6:$V$26,CEILING($A62/5,1),CEILING(AG$2/5,1))=1,INDEX('Serial Reference'!$A$8:$W$8,1,FLOOR(($A62-1)/23,1)+1)&amp;INDEX('Serial Reference'!$A$8:$W$8,1,MOD($A62-1,23)+1)&amp;TEXT(AG$2+FLOOR((AG$2-1)/9,1),"000"),"")</f>
        <v>CP035</v>
      </c>
      <c r="AH62" s="25" t="str">
        <f>IF(INDEX('Shot Map'!$B$6:$V$26,CEILING($A62/5,1),CEILING(AH$2/5,1))=1,INDEX('Serial Reference'!$A$8:$W$8,1,FLOOR(($A62-1)/23,1)+1)&amp;INDEX('Serial Reference'!$A$8:$W$8,1,MOD($A62-1,23)+1)&amp;TEXT(AH$2+FLOOR((AH$2-1)/9,1),"000"),"")</f>
        <v>CP036</v>
      </c>
      <c r="AI62" s="25" t="str">
        <f>IF(INDEX('Shot Map'!$B$6:$V$26,CEILING($A62/5,1),CEILING(AI$2/5,1))=1,INDEX('Serial Reference'!$A$8:$W$8,1,FLOOR(($A62-1)/23,1)+1)&amp;INDEX('Serial Reference'!$A$8:$W$8,1,MOD($A62-1,23)+1)&amp;TEXT(AI$2+FLOOR((AI$2-1)/9,1),"000"),"")</f>
        <v>CP037</v>
      </c>
      <c r="AJ62" s="26" t="str">
        <f>IF(INDEX('Shot Map'!$B$6:$V$26,CEILING($A62/5,1),CEILING(AJ$2/5,1))=1,INDEX('Serial Reference'!$A$8:$W$8,1,FLOOR(($A62-1)/23,1)+1)&amp;INDEX('Serial Reference'!$A$8:$W$8,1,MOD($A62-1,23)+1)&amp;TEXT(AJ$2+FLOOR((AJ$2-1)/9,1),"000"),"")</f>
        <v>CP038</v>
      </c>
      <c r="AK62" s="24" t="str">
        <f>IF(INDEX('Shot Map'!$B$6:$V$26,CEILING($A62/5,1),CEILING(AK$2/5,1))=1,INDEX('Serial Reference'!$A$8:$W$8,1,FLOOR(($A62-1)/23,1)+1)&amp;INDEX('Serial Reference'!$A$8:$W$8,1,MOD($A62-1,23)+1)&amp;TEXT(AK$2+FLOOR((AK$2-1)/9,1),"000"),"")</f>
        <v>CP039</v>
      </c>
      <c r="AL62" s="25" t="str">
        <f>IF(INDEX('Shot Map'!$B$6:$V$26,CEILING($A62/5,1),CEILING(AL$2/5,1))=1,INDEX('Serial Reference'!$A$8:$W$8,1,FLOOR(($A62-1)/23,1)+1)&amp;INDEX('Serial Reference'!$A$8:$W$8,1,MOD($A62-1,23)+1)&amp;TEXT(AL$2+FLOOR((AL$2-1)/9,1),"000"),"")</f>
        <v>CP041</v>
      </c>
      <c r="AM62" s="25" t="str">
        <f>IF(INDEX('Shot Map'!$B$6:$V$26,CEILING($A62/5,1),CEILING(AM$2/5,1))=1,INDEX('Serial Reference'!$A$8:$W$8,1,FLOOR(($A62-1)/23,1)+1)&amp;INDEX('Serial Reference'!$A$8:$W$8,1,MOD($A62-1,23)+1)&amp;TEXT(AM$2+FLOOR((AM$2-1)/9,1),"000"),"")</f>
        <v>CP042</v>
      </c>
      <c r="AN62" s="25" t="str">
        <f>IF(INDEX('Shot Map'!$B$6:$V$26,CEILING($A62/5,1),CEILING(AN$2/5,1))=1,INDEX('Serial Reference'!$A$8:$W$8,1,FLOOR(($A62-1)/23,1)+1)&amp;INDEX('Serial Reference'!$A$8:$W$8,1,MOD($A62-1,23)+1)&amp;TEXT(AN$2+FLOOR((AN$2-1)/9,1),"000"),"")</f>
        <v>CP043</v>
      </c>
      <c r="AO62" s="26" t="str">
        <f>IF(INDEX('Shot Map'!$B$6:$V$26,CEILING($A62/5,1),CEILING(AO$2/5,1))=1,INDEX('Serial Reference'!$A$8:$W$8,1,FLOOR(($A62-1)/23,1)+1)&amp;INDEX('Serial Reference'!$A$8:$W$8,1,MOD($A62-1,23)+1)&amp;TEXT(AO$2+FLOOR((AO$2-1)/9,1),"000"),"")</f>
        <v>CP044</v>
      </c>
      <c r="AP62" s="24" t="str">
        <f>IF(INDEX('Shot Map'!$B$6:$V$26,CEILING($A62/5,1),CEILING(AP$2/5,1))=1,INDEX('Serial Reference'!$A$8:$W$8,1,FLOOR(($A62-1)/23,1)+1)&amp;INDEX('Serial Reference'!$A$8:$W$8,1,MOD($A62-1,23)+1)&amp;TEXT(AP$2+FLOOR((AP$2-1)/9,1),"000"),"")</f>
        <v>CP045</v>
      </c>
      <c r="AQ62" s="25" t="str">
        <f>IF(INDEX('Shot Map'!$B$6:$V$26,CEILING($A62/5,1),CEILING(AQ$2/5,1))=1,INDEX('Serial Reference'!$A$8:$W$8,1,FLOOR(($A62-1)/23,1)+1)&amp;INDEX('Serial Reference'!$A$8:$W$8,1,MOD($A62-1,23)+1)&amp;TEXT(AQ$2+FLOOR((AQ$2-1)/9,1),"000"),"")</f>
        <v>CP046</v>
      </c>
      <c r="AR62" s="25" t="str">
        <f>IF(INDEX('Shot Map'!$B$6:$V$26,CEILING($A62/5,1),CEILING(AR$2/5,1))=1,INDEX('Serial Reference'!$A$8:$W$8,1,FLOOR(($A62-1)/23,1)+1)&amp;INDEX('Serial Reference'!$A$8:$W$8,1,MOD($A62-1,23)+1)&amp;TEXT(AR$2+FLOOR((AR$2-1)/9,1),"000"),"")</f>
        <v>CP047</v>
      </c>
      <c r="AS62" s="25" t="str">
        <f>IF(INDEX('Shot Map'!$B$6:$V$26,CEILING($A62/5,1),CEILING(AS$2/5,1))=1,INDEX('Serial Reference'!$A$8:$W$8,1,FLOOR(($A62-1)/23,1)+1)&amp;INDEX('Serial Reference'!$A$8:$W$8,1,MOD($A62-1,23)+1)&amp;TEXT(AS$2+FLOOR((AS$2-1)/9,1),"000"),"")</f>
        <v>CP048</v>
      </c>
      <c r="AT62" s="26" t="str">
        <f>IF(INDEX('Shot Map'!$B$6:$V$26,CEILING($A62/5,1),CEILING(AT$2/5,1))=1,INDEX('Serial Reference'!$A$8:$W$8,1,FLOOR(($A62-1)/23,1)+1)&amp;INDEX('Serial Reference'!$A$8:$W$8,1,MOD($A62-1,23)+1)&amp;TEXT(AT$2+FLOOR((AT$2-1)/9,1),"000"),"")</f>
        <v>CP049</v>
      </c>
      <c r="AU62" s="24" t="str">
        <f>IF(INDEX('Shot Map'!$B$6:$V$26,CEILING($A62/5,1),CEILING(AU$2/5,1))=1,INDEX('Serial Reference'!$A$8:$W$8,1,FLOOR(($A62-1)/23,1)+1)&amp;INDEX('Serial Reference'!$A$8:$W$8,1,MOD($A62-1,23)+1)&amp;TEXT(AU$2+FLOOR((AU$2-1)/9,1),"000"),"")</f>
        <v>CP051</v>
      </c>
      <c r="AV62" s="25" t="str">
        <f>IF(INDEX('Shot Map'!$B$6:$V$26,CEILING($A62/5,1),CEILING(AV$2/5,1))=1,INDEX('Serial Reference'!$A$8:$W$8,1,FLOOR(($A62-1)/23,1)+1)&amp;INDEX('Serial Reference'!$A$8:$W$8,1,MOD($A62-1,23)+1)&amp;TEXT(AV$2+FLOOR((AV$2-1)/9,1),"000"),"")</f>
        <v>CP052</v>
      </c>
      <c r="AW62" s="25" t="str">
        <f>IF(INDEX('Shot Map'!$B$6:$V$26,CEILING($A62/5,1),CEILING(AW$2/5,1))=1,INDEX('Serial Reference'!$A$8:$W$8,1,FLOOR(($A62-1)/23,1)+1)&amp;INDEX('Serial Reference'!$A$8:$W$8,1,MOD($A62-1,23)+1)&amp;TEXT(AW$2+FLOOR((AW$2-1)/9,1),"000"),"")</f>
        <v>CP053</v>
      </c>
      <c r="AX62" s="25" t="str">
        <f>IF(INDEX('Shot Map'!$B$6:$V$26,CEILING($A62/5,1),CEILING(AX$2/5,1))=1,INDEX('Serial Reference'!$A$8:$W$8,1,FLOOR(($A62-1)/23,1)+1)&amp;INDEX('Serial Reference'!$A$8:$W$8,1,MOD($A62-1,23)+1)&amp;TEXT(AX$2+FLOOR((AX$2-1)/9,1),"000"),"")</f>
        <v>CP054</v>
      </c>
      <c r="AY62" s="26" t="str">
        <f>IF(INDEX('Shot Map'!$B$6:$V$26,CEILING($A62/5,1),CEILING(AY$2/5,1))=1,INDEX('Serial Reference'!$A$8:$W$8,1,FLOOR(($A62-1)/23,1)+1)&amp;INDEX('Serial Reference'!$A$8:$W$8,1,MOD($A62-1,23)+1)&amp;TEXT(AY$2+FLOOR((AY$2-1)/9,1),"000"),"")</f>
        <v>CP055</v>
      </c>
      <c r="AZ62" s="24" t="str">
        <f>IF(INDEX('Shot Map'!$B$6:$V$26,CEILING($A62/5,1),CEILING(AZ$2/5,1))=1,INDEX('Serial Reference'!$A$8:$W$8,1,FLOOR(($A62-1)/23,1)+1)&amp;INDEX('Serial Reference'!$A$8:$W$8,1,MOD($A62-1,23)+1)&amp;TEXT(AZ$2+FLOOR((AZ$2-1)/9,1),"000"),"")</f>
        <v>CP056</v>
      </c>
      <c r="BA62" s="25" t="str">
        <f>IF(INDEX('Shot Map'!$B$6:$V$26,CEILING($A62/5,1),CEILING(BA$2/5,1))=1,INDEX('Serial Reference'!$A$8:$W$8,1,FLOOR(($A62-1)/23,1)+1)&amp;INDEX('Serial Reference'!$A$8:$W$8,1,MOD($A62-1,23)+1)&amp;TEXT(BA$2+FLOOR((BA$2-1)/9,1),"000"),"")</f>
        <v>CP057</v>
      </c>
      <c r="BB62" s="25" t="str">
        <f>IF(INDEX('Shot Map'!$B$6:$V$26,CEILING($A62/5,1),CEILING(BB$2/5,1))=1,INDEX('Serial Reference'!$A$8:$W$8,1,FLOOR(($A62-1)/23,1)+1)&amp;INDEX('Serial Reference'!$A$8:$W$8,1,MOD($A62-1,23)+1)&amp;TEXT(BB$2+FLOOR((BB$2-1)/9,1),"000"),"")</f>
        <v>CP058</v>
      </c>
      <c r="BC62" s="25" t="str">
        <f>IF(INDEX('Shot Map'!$B$6:$V$26,CEILING($A62/5,1),CEILING(BC$2/5,1))=1,INDEX('Serial Reference'!$A$8:$W$8,1,FLOOR(($A62-1)/23,1)+1)&amp;INDEX('Serial Reference'!$A$8:$W$8,1,MOD($A62-1,23)+1)&amp;TEXT(BC$2+FLOOR((BC$2-1)/9,1),"000"),"")</f>
        <v>CP059</v>
      </c>
      <c r="BD62" s="26" t="str">
        <f>IF(INDEX('Shot Map'!$B$6:$V$26,CEILING($A62/5,1),CEILING(BD$2/5,1))=1,INDEX('Serial Reference'!$A$8:$W$8,1,FLOOR(($A62-1)/23,1)+1)&amp;INDEX('Serial Reference'!$A$8:$W$8,1,MOD($A62-1,23)+1)&amp;TEXT(BD$2+FLOOR((BD$2-1)/9,1),"000"),"")</f>
        <v>CP061</v>
      </c>
      <c r="BE62" s="24" t="str">
        <f>IF(INDEX('Shot Map'!$B$6:$V$26,CEILING($A62/5,1),CEILING(BE$2/5,1))=1,INDEX('Serial Reference'!$A$8:$W$8,1,FLOOR(($A62-1)/23,1)+1)&amp;INDEX('Serial Reference'!$A$8:$W$8,1,MOD($A62-1,23)+1)&amp;TEXT(BE$2+FLOOR((BE$2-1)/9,1),"000"),"")</f>
        <v>CP062</v>
      </c>
      <c r="BF62" s="25" t="str">
        <f>IF(INDEX('Shot Map'!$B$6:$V$26,CEILING($A62/5,1),CEILING(BF$2/5,1))=1,INDEX('Serial Reference'!$A$8:$W$8,1,FLOOR(($A62-1)/23,1)+1)&amp;INDEX('Serial Reference'!$A$8:$W$8,1,MOD($A62-1,23)+1)&amp;TEXT(BF$2+FLOOR((BF$2-1)/9,1),"000"),"")</f>
        <v>CP063</v>
      </c>
      <c r="BG62" s="25" t="str">
        <f>IF(INDEX('Shot Map'!$B$6:$V$26,CEILING($A62/5,1),CEILING(BG$2/5,1))=1,INDEX('Serial Reference'!$A$8:$W$8,1,FLOOR(($A62-1)/23,1)+1)&amp;INDEX('Serial Reference'!$A$8:$W$8,1,MOD($A62-1,23)+1)&amp;TEXT(BG$2+FLOOR((BG$2-1)/9,1),"000"),"")</f>
        <v>CP064</v>
      </c>
      <c r="BH62" s="25" t="str">
        <f>IF(INDEX('Shot Map'!$B$6:$V$26,CEILING($A62/5,1),CEILING(BH$2/5,1))=1,INDEX('Serial Reference'!$A$8:$W$8,1,FLOOR(($A62-1)/23,1)+1)&amp;INDEX('Serial Reference'!$A$8:$W$8,1,MOD($A62-1,23)+1)&amp;TEXT(BH$2+FLOOR((BH$2-1)/9,1),"000"),"")</f>
        <v>CP065</v>
      </c>
      <c r="BI62" s="26" t="str">
        <f>IF(INDEX('Shot Map'!$B$6:$V$26,CEILING($A62/5,1),CEILING(BI$2/5,1))=1,INDEX('Serial Reference'!$A$8:$W$8,1,FLOOR(($A62-1)/23,1)+1)&amp;INDEX('Serial Reference'!$A$8:$W$8,1,MOD($A62-1,23)+1)&amp;TEXT(BI$2+FLOOR((BI$2-1)/9,1),"000"),"")</f>
        <v>CP066</v>
      </c>
      <c r="BJ62" s="24" t="str">
        <f>IF(INDEX('Shot Map'!$B$6:$V$26,CEILING($A62/5,1),CEILING(BJ$2/5,1))=1,INDEX('Serial Reference'!$A$8:$W$8,1,FLOOR(($A62-1)/23,1)+1)&amp;INDEX('Serial Reference'!$A$8:$W$8,1,MOD($A62-1,23)+1)&amp;TEXT(BJ$2+FLOOR((BJ$2-1)/9,1),"000"),"")</f>
        <v>CP067</v>
      </c>
      <c r="BK62" s="25" t="str">
        <f>IF(INDEX('Shot Map'!$B$6:$V$26,CEILING($A62/5,1),CEILING(BK$2/5,1))=1,INDEX('Serial Reference'!$A$8:$W$8,1,FLOOR(($A62-1)/23,1)+1)&amp;INDEX('Serial Reference'!$A$8:$W$8,1,MOD($A62-1,23)+1)&amp;TEXT(BK$2+FLOOR((BK$2-1)/9,1),"000"),"")</f>
        <v>CP068</v>
      </c>
      <c r="BL62" s="25" t="str">
        <f>IF(INDEX('Shot Map'!$B$6:$V$26,CEILING($A62/5,1),CEILING(BL$2/5,1))=1,INDEX('Serial Reference'!$A$8:$W$8,1,FLOOR(($A62-1)/23,1)+1)&amp;INDEX('Serial Reference'!$A$8:$W$8,1,MOD($A62-1,23)+1)&amp;TEXT(BL$2+FLOOR((BL$2-1)/9,1),"000"),"")</f>
        <v>CP069</v>
      </c>
      <c r="BM62" s="25" t="str">
        <f>IF(INDEX('Shot Map'!$B$6:$V$26,CEILING($A62/5,1),CEILING(BM$2/5,1))=1,INDEX('Serial Reference'!$A$8:$W$8,1,FLOOR(($A62-1)/23,1)+1)&amp;INDEX('Serial Reference'!$A$8:$W$8,1,MOD($A62-1,23)+1)&amp;TEXT(BM$2+FLOOR((BM$2-1)/9,1),"000"),"")</f>
        <v>CP071</v>
      </c>
      <c r="BN62" s="26" t="str">
        <f>IF(INDEX('Shot Map'!$B$6:$V$26,CEILING($A62/5,1),CEILING(BN$2/5,1))=1,INDEX('Serial Reference'!$A$8:$W$8,1,FLOOR(($A62-1)/23,1)+1)&amp;INDEX('Serial Reference'!$A$8:$W$8,1,MOD($A62-1,23)+1)&amp;TEXT(BN$2+FLOOR((BN$2-1)/9,1),"000"),"")</f>
        <v>CP072</v>
      </c>
      <c r="BO62" s="24" t="str">
        <f>IF(INDEX('Shot Map'!$B$6:$V$26,CEILING($A62/5,1),CEILING(BO$2/5,1))=1,INDEX('Serial Reference'!$A$8:$W$8,1,FLOOR(($A62-1)/23,1)+1)&amp;INDEX('Serial Reference'!$A$8:$W$8,1,MOD($A62-1,23)+1)&amp;TEXT(BO$2+FLOOR((BO$2-1)/9,1),"000"),"")</f>
        <v>CP073</v>
      </c>
      <c r="BP62" s="25" t="str">
        <f>IF(INDEX('Shot Map'!$B$6:$V$26,CEILING($A62/5,1),CEILING(BP$2/5,1))=1,INDEX('Serial Reference'!$A$8:$W$8,1,FLOOR(($A62-1)/23,1)+1)&amp;INDEX('Serial Reference'!$A$8:$W$8,1,MOD($A62-1,23)+1)&amp;TEXT(BP$2+FLOOR((BP$2-1)/9,1),"000"),"")</f>
        <v>CP074</v>
      </c>
      <c r="BQ62" s="25" t="str">
        <f>IF(INDEX('Shot Map'!$B$6:$V$26,CEILING($A62/5,1),CEILING(BQ$2/5,1))=1,INDEX('Serial Reference'!$A$8:$W$8,1,FLOOR(($A62-1)/23,1)+1)&amp;INDEX('Serial Reference'!$A$8:$W$8,1,MOD($A62-1,23)+1)&amp;TEXT(BQ$2+FLOOR((BQ$2-1)/9,1),"000"),"")</f>
        <v>CP075</v>
      </c>
      <c r="BR62" s="25" t="str">
        <f>IF(INDEX('Shot Map'!$B$6:$V$26,CEILING($A62/5,1),CEILING(BR$2/5,1))=1,INDEX('Serial Reference'!$A$8:$W$8,1,FLOOR(($A62-1)/23,1)+1)&amp;INDEX('Serial Reference'!$A$8:$W$8,1,MOD($A62-1,23)+1)&amp;TEXT(BR$2+FLOOR((BR$2-1)/9,1),"000"),"")</f>
        <v>CP076</v>
      </c>
      <c r="BS62" s="26" t="str">
        <f>IF(INDEX('Shot Map'!$B$6:$V$26,CEILING($A62/5,1),CEILING(BS$2/5,1))=1,INDEX('Serial Reference'!$A$8:$W$8,1,FLOOR(($A62-1)/23,1)+1)&amp;INDEX('Serial Reference'!$A$8:$W$8,1,MOD($A62-1,23)+1)&amp;TEXT(BS$2+FLOOR((BS$2-1)/9,1),"000"),"")</f>
        <v>CP077</v>
      </c>
      <c r="BT62" s="24" t="str">
        <f>IF(INDEX('Shot Map'!$B$6:$V$26,CEILING($A62/5,1),CEILING(BT$2/5,1))=1,INDEX('Serial Reference'!$A$8:$W$8,1,FLOOR(($A62-1)/23,1)+1)&amp;INDEX('Serial Reference'!$A$8:$W$8,1,MOD($A62-1,23)+1)&amp;TEXT(BT$2+FLOOR((BT$2-1)/9,1),"000"),"")</f>
        <v>CP078</v>
      </c>
      <c r="BU62" s="25" t="str">
        <f>IF(INDEX('Shot Map'!$B$6:$V$26,CEILING($A62/5,1),CEILING(BU$2/5,1))=1,INDEX('Serial Reference'!$A$8:$W$8,1,FLOOR(($A62-1)/23,1)+1)&amp;INDEX('Serial Reference'!$A$8:$W$8,1,MOD($A62-1,23)+1)&amp;TEXT(BU$2+FLOOR((BU$2-1)/9,1),"000"),"")</f>
        <v>CP079</v>
      </c>
      <c r="BV62" s="25" t="str">
        <f>IF(INDEX('Shot Map'!$B$6:$V$26,CEILING($A62/5,1),CEILING(BV$2/5,1))=1,INDEX('Serial Reference'!$A$8:$W$8,1,FLOOR(($A62-1)/23,1)+1)&amp;INDEX('Serial Reference'!$A$8:$W$8,1,MOD($A62-1,23)+1)&amp;TEXT(BV$2+FLOOR((BV$2-1)/9,1),"000"),"")</f>
        <v>CP081</v>
      </c>
      <c r="BW62" s="25" t="str">
        <f>IF(INDEX('Shot Map'!$B$6:$V$26,CEILING($A62/5,1),CEILING(BW$2/5,1))=1,INDEX('Serial Reference'!$A$8:$W$8,1,FLOOR(($A62-1)/23,1)+1)&amp;INDEX('Serial Reference'!$A$8:$W$8,1,MOD($A62-1,23)+1)&amp;TEXT(BW$2+FLOOR((BW$2-1)/9,1),"000"),"")</f>
        <v>CP082</v>
      </c>
      <c r="BX62" s="26" t="str">
        <f>IF(INDEX('Shot Map'!$B$6:$V$26,CEILING($A62/5,1),CEILING(BX$2/5,1))=1,INDEX('Serial Reference'!$A$8:$W$8,1,FLOOR(($A62-1)/23,1)+1)&amp;INDEX('Serial Reference'!$A$8:$W$8,1,MOD($A62-1,23)+1)&amp;TEXT(BX$2+FLOOR((BX$2-1)/9,1),"000"),"")</f>
        <v>CP083</v>
      </c>
      <c r="BY62" s="24" t="str">
        <f>IF(INDEX('Shot Map'!$B$6:$V$26,CEILING($A62/5,1),CEILING(BY$2/5,1))=1,INDEX('Serial Reference'!$A$8:$W$8,1,FLOOR(($A62-1)/23,1)+1)&amp;INDEX('Serial Reference'!$A$8:$W$8,1,MOD($A62-1,23)+1)&amp;TEXT(BY$2+FLOOR((BY$2-1)/9,1),"000"),"")</f>
        <v>CP084</v>
      </c>
      <c r="BZ62" s="25" t="str">
        <f>IF(INDEX('Shot Map'!$B$6:$V$26,CEILING($A62/5,1),CEILING(BZ$2/5,1))=1,INDEX('Serial Reference'!$A$8:$W$8,1,FLOOR(($A62-1)/23,1)+1)&amp;INDEX('Serial Reference'!$A$8:$W$8,1,MOD($A62-1,23)+1)&amp;TEXT(BZ$2+FLOOR((BZ$2-1)/9,1),"000"),"")</f>
        <v>CP085</v>
      </c>
      <c r="CA62" s="25" t="str">
        <f>IF(INDEX('Shot Map'!$B$6:$V$26,CEILING($A62/5,1),CEILING(CA$2/5,1))=1,INDEX('Serial Reference'!$A$8:$W$8,1,FLOOR(($A62-1)/23,1)+1)&amp;INDEX('Serial Reference'!$A$8:$W$8,1,MOD($A62-1,23)+1)&amp;TEXT(CA$2+FLOOR((CA$2-1)/9,1),"000"),"")</f>
        <v>CP086</v>
      </c>
      <c r="CB62" s="25" t="str">
        <f>IF(INDEX('Shot Map'!$B$6:$V$26,CEILING($A62/5,1),CEILING(CB$2/5,1))=1,INDEX('Serial Reference'!$A$8:$W$8,1,FLOOR(($A62-1)/23,1)+1)&amp;INDEX('Serial Reference'!$A$8:$W$8,1,MOD($A62-1,23)+1)&amp;TEXT(CB$2+FLOOR((CB$2-1)/9,1),"000"),"")</f>
        <v>CP087</v>
      </c>
      <c r="CC62" s="26" t="str">
        <f>IF(INDEX('Shot Map'!$B$6:$V$26,CEILING($A62/5,1),CEILING(CC$2/5,1))=1,INDEX('Serial Reference'!$A$8:$W$8,1,FLOOR(($A62-1)/23,1)+1)&amp;INDEX('Serial Reference'!$A$8:$W$8,1,MOD($A62-1,23)+1)&amp;TEXT(CC$2+FLOOR((CC$2-1)/9,1),"000"),"")</f>
        <v>CP088</v>
      </c>
      <c r="CD62" s="24" t="str">
        <f>IF(INDEX('Shot Map'!$B$6:$V$26,CEILING($A62/5,1),CEILING(CD$2/5,1))=1,INDEX('Serial Reference'!$A$8:$W$8,1,FLOOR(($A62-1)/23,1)+1)&amp;INDEX('Serial Reference'!$A$8:$W$8,1,MOD($A62-1,23)+1)&amp;TEXT(CD$2+FLOOR((CD$2-1)/9,1),"000"),"")</f>
        <v>CP089</v>
      </c>
      <c r="CE62" s="25" t="str">
        <f>IF(INDEX('Shot Map'!$B$6:$V$26,CEILING($A62/5,1),CEILING(CE$2/5,1))=1,INDEX('Serial Reference'!$A$8:$W$8,1,FLOOR(($A62-1)/23,1)+1)&amp;INDEX('Serial Reference'!$A$8:$W$8,1,MOD($A62-1,23)+1)&amp;TEXT(CE$2+FLOOR((CE$2-1)/9,1),"000"),"")</f>
        <v>CP091</v>
      </c>
      <c r="CF62" s="25" t="str">
        <f>IF(INDEX('Shot Map'!$B$6:$V$26,CEILING($A62/5,1),CEILING(CF$2/5,1))=1,INDEX('Serial Reference'!$A$8:$W$8,1,FLOOR(($A62-1)/23,1)+1)&amp;INDEX('Serial Reference'!$A$8:$W$8,1,MOD($A62-1,23)+1)&amp;TEXT(CF$2+FLOOR((CF$2-1)/9,1),"000"),"")</f>
        <v>CP092</v>
      </c>
      <c r="CG62" s="25" t="str">
        <f>IF(INDEX('Shot Map'!$B$6:$V$26,CEILING($A62/5,1),CEILING(CG$2/5,1))=1,INDEX('Serial Reference'!$A$8:$W$8,1,FLOOR(($A62-1)/23,1)+1)&amp;INDEX('Serial Reference'!$A$8:$W$8,1,MOD($A62-1,23)+1)&amp;TEXT(CG$2+FLOOR((CG$2-1)/9,1),"000"),"")</f>
        <v>CP093</v>
      </c>
      <c r="CH62" s="26" t="str">
        <f>IF(INDEX('Shot Map'!$B$6:$V$26,CEILING($A62/5,1),CEILING(CH$2/5,1))=1,INDEX('Serial Reference'!$A$8:$W$8,1,FLOOR(($A62-1)/23,1)+1)&amp;INDEX('Serial Reference'!$A$8:$W$8,1,MOD($A62-1,23)+1)&amp;TEXT(CH$2+FLOOR((CH$2-1)/9,1),"000"),"")</f>
        <v>CP094</v>
      </c>
      <c r="CI62" s="24" t="str">
        <f>IF(INDEX('Shot Map'!$B$6:$V$26,CEILING($A62/5,1),CEILING(CI$2/5,1))=1,INDEX('Serial Reference'!$A$8:$W$8,1,FLOOR(($A62-1)/23,1)+1)&amp;INDEX('Serial Reference'!$A$8:$W$8,1,MOD($A62-1,23)+1)&amp;TEXT(CI$2+FLOOR((CI$2-1)/9,1),"000"),"")</f>
        <v>CP095</v>
      </c>
      <c r="CJ62" s="25" t="str">
        <f>IF(INDEX('Shot Map'!$B$6:$V$26,CEILING($A62/5,1),CEILING(CJ$2/5,1))=1,INDEX('Serial Reference'!$A$8:$W$8,1,FLOOR(($A62-1)/23,1)+1)&amp;INDEX('Serial Reference'!$A$8:$W$8,1,MOD($A62-1,23)+1)&amp;TEXT(CJ$2+FLOOR((CJ$2-1)/9,1),"000"),"")</f>
        <v>CP096</v>
      </c>
      <c r="CK62" s="25" t="str">
        <f>IF(INDEX('Shot Map'!$B$6:$V$26,CEILING($A62/5,1),CEILING(CK$2/5,1))=1,INDEX('Serial Reference'!$A$8:$W$8,1,FLOOR(($A62-1)/23,1)+1)&amp;INDEX('Serial Reference'!$A$8:$W$8,1,MOD($A62-1,23)+1)&amp;TEXT(CK$2+FLOOR((CK$2-1)/9,1),"000"),"")</f>
        <v>CP097</v>
      </c>
      <c r="CL62" s="25" t="str">
        <f>IF(INDEX('Shot Map'!$B$6:$V$26,CEILING($A62/5,1),CEILING(CL$2/5,1))=1,INDEX('Serial Reference'!$A$8:$W$8,1,FLOOR(($A62-1)/23,1)+1)&amp;INDEX('Serial Reference'!$A$8:$W$8,1,MOD($A62-1,23)+1)&amp;TEXT(CL$2+FLOOR((CL$2-1)/9,1),"000"),"")</f>
        <v>CP098</v>
      </c>
      <c r="CM62" s="26" t="str">
        <f>IF(INDEX('Shot Map'!$B$6:$V$26,CEILING($A62/5,1),CEILING(CM$2/5,1))=1,INDEX('Serial Reference'!$A$8:$W$8,1,FLOOR(($A62-1)/23,1)+1)&amp;INDEX('Serial Reference'!$A$8:$W$8,1,MOD($A62-1,23)+1)&amp;TEXT(CM$2+FLOOR((CM$2-1)/9,1),"000"),"")</f>
        <v>CP099</v>
      </c>
      <c r="CN62" s="24" t="str">
        <f>IF(INDEX('Shot Map'!$B$6:$V$26,CEILING($A62/5,1),CEILING(CN$2/5,1))=1,INDEX('Serial Reference'!$A$8:$W$8,1,FLOOR(($A62-1)/23,1)+1)&amp;INDEX('Serial Reference'!$A$8:$W$8,1,MOD($A62-1,23)+1)&amp;TEXT(CN$2+FLOOR((CN$2-1)/9,1),"000"),"")</f>
        <v>CP101</v>
      </c>
      <c r="CO62" s="25" t="str">
        <f>IF(INDEX('Shot Map'!$B$6:$V$26,CEILING($A62/5,1),CEILING(CO$2/5,1))=1,INDEX('Serial Reference'!$A$8:$W$8,1,FLOOR(($A62-1)/23,1)+1)&amp;INDEX('Serial Reference'!$A$8:$W$8,1,MOD($A62-1,23)+1)&amp;TEXT(CO$2+FLOOR((CO$2-1)/9,1),"000"),"")</f>
        <v>CP102</v>
      </c>
      <c r="CP62" s="25" t="str">
        <f>IF(INDEX('Shot Map'!$B$6:$V$26,CEILING($A62/5,1),CEILING(CP$2/5,1))=1,INDEX('Serial Reference'!$A$8:$W$8,1,FLOOR(($A62-1)/23,1)+1)&amp;INDEX('Serial Reference'!$A$8:$W$8,1,MOD($A62-1,23)+1)&amp;TEXT(CP$2+FLOOR((CP$2-1)/9,1),"000"),"")</f>
        <v>CP103</v>
      </c>
      <c r="CQ62" s="25" t="str">
        <f>IF(INDEX('Shot Map'!$B$6:$V$26,CEILING($A62/5,1),CEILING(CQ$2/5,1))=1,INDEX('Serial Reference'!$A$8:$W$8,1,FLOOR(($A62-1)/23,1)+1)&amp;INDEX('Serial Reference'!$A$8:$W$8,1,MOD($A62-1,23)+1)&amp;TEXT(CQ$2+FLOOR((CQ$2-1)/9,1),"000"),"")</f>
        <v>CP104</v>
      </c>
      <c r="CR62" s="26" t="str">
        <f>IF(INDEX('Shot Map'!$B$6:$V$26,CEILING($A62/5,1),CEILING(CR$2/5,1))=1,INDEX('Serial Reference'!$A$8:$W$8,1,FLOOR(($A62-1)/23,1)+1)&amp;INDEX('Serial Reference'!$A$8:$W$8,1,MOD($A62-1,23)+1)&amp;TEXT(CR$2+FLOOR((CR$2-1)/9,1),"000"),"")</f>
        <v>CP105</v>
      </c>
      <c r="CS62" s="24" t="str">
        <f>IF(INDEX('Shot Map'!$B$6:$V$26,CEILING($A62/5,1),CEILING(CS$2/5,1))=1,INDEX('Serial Reference'!$A$8:$W$8,1,FLOOR(($A62-1)/23,1)+1)&amp;INDEX('Serial Reference'!$A$8:$W$8,1,MOD($A62-1,23)+1)&amp;TEXT(CS$2+FLOOR((CS$2-1)/9,1),"000"),"")</f>
        <v>CP106</v>
      </c>
      <c r="CT62" s="25" t="str">
        <f>IF(INDEX('Shot Map'!$B$6:$V$26,CEILING($A62/5,1),CEILING(CT$2/5,1))=1,INDEX('Serial Reference'!$A$8:$W$8,1,FLOOR(($A62-1)/23,1)+1)&amp;INDEX('Serial Reference'!$A$8:$W$8,1,MOD($A62-1,23)+1)&amp;TEXT(CT$2+FLOOR((CT$2-1)/9,1),"000"),"")</f>
        <v>CP107</v>
      </c>
      <c r="CU62" s="25" t="str">
        <f>IF(INDEX('Shot Map'!$B$6:$V$26,CEILING($A62/5,1),CEILING(CU$2/5,1))=1,INDEX('Serial Reference'!$A$8:$W$8,1,FLOOR(($A62-1)/23,1)+1)&amp;INDEX('Serial Reference'!$A$8:$W$8,1,MOD($A62-1,23)+1)&amp;TEXT(CU$2+FLOOR((CU$2-1)/9,1),"000"),"")</f>
        <v>CP108</v>
      </c>
      <c r="CV62" s="25" t="str">
        <f>IF(INDEX('Shot Map'!$B$6:$V$26,CEILING($A62/5,1),CEILING(CV$2/5,1))=1,INDEX('Serial Reference'!$A$8:$W$8,1,FLOOR(($A62-1)/23,1)+1)&amp;INDEX('Serial Reference'!$A$8:$W$8,1,MOD($A62-1,23)+1)&amp;TEXT(CV$2+FLOOR((CV$2-1)/9,1),"000"),"")</f>
        <v>CP109</v>
      </c>
      <c r="CW62" s="26" t="str">
        <f>IF(INDEX('Shot Map'!$B$6:$V$26,CEILING($A62/5,1),CEILING(CW$2/5,1))=1,INDEX('Serial Reference'!$A$8:$W$8,1,FLOOR(($A62-1)/23,1)+1)&amp;INDEX('Serial Reference'!$A$8:$W$8,1,MOD($A62-1,23)+1)&amp;TEXT(CW$2+FLOOR((CW$2-1)/9,1),"000"),"")</f>
        <v>CP111</v>
      </c>
      <c r="CX62" s="24" t="str">
        <f>IF(INDEX('Shot Map'!$B$6:$V$26,CEILING($A62/5,1),CEILING(CX$2/5,1))=1,INDEX('Serial Reference'!$A$8:$W$8,1,FLOOR(($A62-1)/23,1)+1)&amp;INDEX('Serial Reference'!$A$8:$W$8,1,MOD($A62-1,23)+1)&amp;TEXT(CX$2+FLOOR((CX$2-1)/9,1),"000"),"")</f>
        <v>CP112</v>
      </c>
      <c r="CY62" s="25" t="str">
        <f>IF(INDEX('Shot Map'!$B$6:$V$26,CEILING($A62/5,1),CEILING(CY$2/5,1))=1,INDEX('Serial Reference'!$A$8:$W$8,1,FLOOR(($A62-1)/23,1)+1)&amp;INDEX('Serial Reference'!$A$8:$W$8,1,MOD($A62-1,23)+1)&amp;TEXT(CY$2+FLOOR((CY$2-1)/9,1),"000"),"")</f>
        <v>CP113</v>
      </c>
      <c r="CZ62" s="25" t="str">
        <f>IF(INDEX('Shot Map'!$B$6:$V$26,CEILING($A62/5,1),CEILING(CZ$2/5,1))=1,INDEX('Serial Reference'!$A$8:$W$8,1,FLOOR(($A62-1)/23,1)+1)&amp;INDEX('Serial Reference'!$A$8:$W$8,1,MOD($A62-1,23)+1)&amp;TEXT(CZ$2+FLOOR((CZ$2-1)/9,1),"000"),"")</f>
        <v>CP114</v>
      </c>
      <c r="DA62" s="25" t="str">
        <f>IF(INDEX('Shot Map'!$B$6:$V$26,CEILING($A62/5,1),CEILING(DA$2/5,1))=1,INDEX('Serial Reference'!$A$8:$W$8,1,FLOOR(($A62-1)/23,1)+1)&amp;INDEX('Serial Reference'!$A$8:$W$8,1,MOD($A62-1,23)+1)&amp;TEXT(DA$2+FLOOR((DA$2-1)/9,1),"000"),"")</f>
        <v>CP115</v>
      </c>
      <c r="DB62" s="26" t="str">
        <f>IF(INDEX('Shot Map'!$B$6:$V$26,CEILING($A62/5,1),CEILING(DB$2/5,1))=1,INDEX('Serial Reference'!$A$8:$W$8,1,FLOOR(($A62-1)/23,1)+1)&amp;INDEX('Serial Reference'!$A$8:$W$8,1,MOD($A62-1,23)+1)&amp;TEXT(DB$2+FLOOR((DB$2-1)/9,1),"000"),"")</f>
        <v>CP116</v>
      </c>
    </row>
    <row r="63" spans="1:106" ht="12.75" customHeight="1" x14ac:dyDescent="0.25">
      <c r="A63" s="17">
        <v>61</v>
      </c>
      <c r="B63" s="18" t="str">
        <f>IF(INDEX('Shot Map'!$B$6:$V$26,CEILING($A63/5,1),CEILING(B$2/5,1))=1,INDEX('Serial Reference'!$A$8:$W$8,1,FLOOR(($A63-1)/23,1)+1)&amp;INDEX('Serial Reference'!$A$8:$W$8,1,MOD($A63-1,23)+1)&amp;TEXT(B$2+FLOOR((B$2-1)/9,1),"000"),"")</f>
        <v/>
      </c>
      <c r="C63" s="19" t="str">
        <f>IF(INDEX('Shot Map'!$B$6:$V$26,CEILING($A63/5,1),CEILING(C$2/5,1))=1,INDEX('Serial Reference'!$A$8:$W$8,1,FLOOR(($A63-1)/23,1)+1)&amp;INDEX('Serial Reference'!$A$8:$W$8,1,MOD($A63-1,23)+1)&amp;TEXT(C$2+FLOOR((C$2-1)/9,1),"000"),"")</f>
        <v/>
      </c>
      <c r="D63" s="19" t="str">
        <f>IF(INDEX('Shot Map'!$B$6:$V$26,CEILING($A63/5,1),CEILING(D$2/5,1))=1,INDEX('Serial Reference'!$A$8:$W$8,1,FLOOR(($A63-1)/23,1)+1)&amp;INDEX('Serial Reference'!$A$8:$W$8,1,MOD($A63-1,23)+1)&amp;TEXT(D$2+FLOOR((D$2-1)/9,1),"000"),"")</f>
        <v/>
      </c>
      <c r="E63" s="19" t="str">
        <f>IF(INDEX('Shot Map'!$B$6:$V$26,CEILING($A63/5,1),CEILING(E$2/5,1))=1,INDEX('Serial Reference'!$A$8:$W$8,1,FLOOR(($A63-1)/23,1)+1)&amp;INDEX('Serial Reference'!$A$8:$W$8,1,MOD($A63-1,23)+1)&amp;TEXT(E$2+FLOOR((E$2-1)/9,1),"000"),"")</f>
        <v/>
      </c>
      <c r="F63" s="20" t="str">
        <f>IF(INDEX('Shot Map'!$B$6:$V$26,CEILING($A63/5,1),CEILING(F$2/5,1))=1,INDEX('Serial Reference'!$A$8:$W$8,1,FLOOR(($A63-1)/23,1)+1)&amp;INDEX('Serial Reference'!$A$8:$W$8,1,MOD($A63-1,23)+1)&amp;TEXT(F$2+FLOOR((F$2-1)/9,1),"000"),"")</f>
        <v/>
      </c>
      <c r="G63" s="18" t="str">
        <f>IF(INDEX('Shot Map'!$B$6:$V$26,CEILING($A63/5,1),CEILING(G$2/5,1))=1,INDEX('Serial Reference'!$A$8:$W$8,1,FLOOR(($A63-1)/23,1)+1)&amp;INDEX('Serial Reference'!$A$8:$W$8,1,MOD($A63-1,23)+1)&amp;TEXT(G$2+FLOOR((G$2-1)/9,1),"000"),"")</f>
        <v>CR006</v>
      </c>
      <c r="H63" s="19" t="str">
        <f>IF(INDEX('Shot Map'!$B$6:$V$26,CEILING($A63/5,1),CEILING(H$2/5,1))=1,INDEX('Serial Reference'!$A$8:$W$8,1,FLOOR(($A63-1)/23,1)+1)&amp;INDEX('Serial Reference'!$A$8:$W$8,1,MOD($A63-1,23)+1)&amp;TEXT(H$2+FLOOR((H$2-1)/9,1),"000"),"")</f>
        <v>CR007</v>
      </c>
      <c r="I63" s="19" t="str">
        <f>IF(INDEX('Shot Map'!$B$6:$V$26,CEILING($A63/5,1),CEILING(I$2/5,1))=1,INDEX('Serial Reference'!$A$8:$W$8,1,FLOOR(($A63-1)/23,1)+1)&amp;INDEX('Serial Reference'!$A$8:$W$8,1,MOD($A63-1,23)+1)&amp;TEXT(I$2+FLOOR((I$2-1)/9,1),"000"),"")</f>
        <v>CR008</v>
      </c>
      <c r="J63" s="19" t="str">
        <f>IF(INDEX('Shot Map'!$B$6:$V$26,CEILING($A63/5,1),CEILING(J$2/5,1))=1,INDEX('Serial Reference'!$A$8:$W$8,1,FLOOR(($A63-1)/23,1)+1)&amp;INDEX('Serial Reference'!$A$8:$W$8,1,MOD($A63-1,23)+1)&amp;TEXT(J$2+FLOOR((J$2-1)/9,1),"000"),"")</f>
        <v>CR009</v>
      </c>
      <c r="K63" s="20" t="str">
        <f>IF(INDEX('Shot Map'!$B$6:$V$26,CEILING($A63/5,1),CEILING(K$2/5,1))=1,INDEX('Serial Reference'!$A$8:$W$8,1,FLOOR(($A63-1)/23,1)+1)&amp;INDEX('Serial Reference'!$A$8:$W$8,1,MOD($A63-1,23)+1)&amp;TEXT(K$2+FLOOR((K$2-1)/9,1),"000"),"")</f>
        <v>CR011</v>
      </c>
      <c r="L63" s="18" t="str">
        <f>IF(INDEX('Shot Map'!$B$6:$V$26,CEILING($A63/5,1),CEILING(L$2/5,1))=1,INDEX('Serial Reference'!$A$8:$W$8,1,FLOOR(($A63-1)/23,1)+1)&amp;INDEX('Serial Reference'!$A$8:$W$8,1,MOD($A63-1,23)+1)&amp;TEXT(L$2+FLOOR((L$2-1)/9,1),"000"),"")</f>
        <v>CR012</v>
      </c>
      <c r="M63" s="19" t="str">
        <f>IF(INDEX('Shot Map'!$B$6:$V$26,CEILING($A63/5,1),CEILING(M$2/5,1))=1,INDEX('Serial Reference'!$A$8:$W$8,1,FLOOR(($A63-1)/23,1)+1)&amp;INDEX('Serial Reference'!$A$8:$W$8,1,MOD($A63-1,23)+1)&amp;TEXT(M$2+FLOOR((M$2-1)/9,1),"000"),"")</f>
        <v>CR013</v>
      </c>
      <c r="N63" s="19" t="str">
        <f>IF(INDEX('Shot Map'!$B$6:$V$26,CEILING($A63/5,1),CEILING(N$2/5,1))=1,INDEX('Serial Reference'!$A$8:$W$8,1,FLOOR(($A63-1)/23,1)+1)&amp;INDEX('Serial Reference'!$A$8:$W$8,1,MOD($A63-1,23)+1)&amp;TEXT(N$2+FLOOR((N$2-1)/9,1),"000"),"")</f>
        <v>CR014</v>
      </c>
      <c r="O63" s="19" t="str">
        <f>IF(INDEX('Shot Map'!$B$6:$V$26,CEILING($A63/5,1),CEILING(O$2/5,1))=1,INDEX('Serial Reference'!$A$8:$W$8,1,FLOOR(($A63-1)/23,1)+1)&amp;INDEX('Serial Reference'!$A$8:$W$8,1,MOD($A63-1,23)+1)&amp;TEXT(O$2+FLOOR((O$2-1)/9,1),"000"),"")</f>
        <v>CR015</v>
      </c>
      <c r="P63" s="20" t="str">
        <f>IF(INDEX('Shot Map'!$B$6:$V$26,CEILING($A63/5,1),CEILING(P$2/5,1))=1,INDEX('Serial Reference'!$A$8:$W$8,1,FLOOR(($A63-1)/23,1)+1)&amp;INDEX('Serial Reference'!$A$8:$W$8,1,MOD($A63-1,23)+1)&amp;TEXT(P$2+FLOOR((P$2-1)/9,1),"000"),"")</f>
        <v>CR016</v>
      </c>
      <c r="Q63" s="18" t="str">
        <f>IF(INDEX('Shot Map'!$B$6:$V$26,CEILING($A63/5,1),CEILING(Q$2/5,1))=1,INDEX('Serial Reference'!$A$8:$W$8,1,FLOOR(($A63-1)/23,1)+1)&amp;INDEX('Serial Reference'!$A$8:$W$8,1,MOD($A63-1,23)+1)&amp;TEXT(Q$2+FLOOR((Q$2-1)/9,1),"000"),"")</f>
        <v>CR017</v>
      </c>
      <c r="R63" s="19" t="str">
        <f>IF(INDEX('Shot Map'!$B$6:$V$26,CEILING($A63/5,1),CEILING(R$2/5,1))=1,INDEX('Serial Reference'!$A$8:$W$8,1,FLOOR(($A63-1)/23,1)+1)&amp;INDEX('Serial Reference'!$A$8:$W$8,1,MOD($A63-1,23)+1)&amp;TEXT(R$2+FLOOR((R$2-1)/9,1),"000"),"")</f>
        <v>CR018</v>
      </c>
      <c r="S63" s="19" t="str">
        <f>IF(INDEX('Shot Map'!$B$6:$V$26,CEILING($A63/5,1),CEILING(S$2/5,1))=1,INDEX('Serial Reference'!$A$8:$W$8,1,FLOOR(($A63-1)/23,1)+1)&amp;INDEX('Serial Reference'!$A$8:$W$8,1,MOD($A63-1,23)+1)&amp;TEXT(S$2+FLOOR((S$2-1)/9,1),"000"),"")</f>
        <v>CR019</v>
      </c>
      <c r="T63" s="19" t="str">
        <f>IF(INDEX('Shot Map'!$B$6:$V$26,CEILING($A63/5,1),CEILING(T$2/5,1))=1,INDEX('Serial Reference'!$A$8:$W$8,1,FLOOR(($A63-1)/23,1)+1)&amp;INDEX('Serial Reference'!$A$8:$W$8,1,MOD($A63-1,23)+1)&amp;TEXT(T$2+FLOOR((T$2-1)/9,1),"000"),"")</f>
        <v>CR021</v>
      </c>
      <c r="U63" s="20" t="str">
        <f>IF(INDEX('Shot Map'!$B$6:$V$26,CEILING($A63/5,1),CEILING(U$2/5,1))=1,INDEX('Serial Reference'!$A$8:$W$8,1,FLOOR(($A63-1)/23,1)+1)&amp;INDEX('Serial Reference'!$A$8:$W$8,1,MOD($A63-1,23)+1)&amp;TEXT(U$2+FLOOR((U$2-1)/9,1),"000"),"")</f>
        <v>CR022</v>
      </c>
      <c r="V63" s="18" t="str">
        <f>IF(INDEX('Shot Map'!$B$6:$V$26,CEILING($A63/5,1),CEILING(V$2/5,1))=1,INDEX('Serial Reference'!$A$8:$W$8,1,FLOOR(($A63-1)/23,1)+1)&amp;INDEX('Serial Reference'!$A$8:$W$8,1,MOD($A63-1,23)+1)&amp;TEXT(V$2+FLOOR((V$2-1)/9,1),"000"),"")</f>
        <v>CR023</v>
      </c>
      <c r="W63" s="19" t="str">
        <f>IF(INDEX('Shot Map'!$B$6:$V$26,CEILING($A63/5,1),CEILING(W$2/5,1))=1,INDEX('Serial Reference'!$A$8:$W$8,1,FLOOR(($A63-1)/23,1)+1)&amp;INDEX('Serial Reference'!$A$8:$W$8,1,MOD($A63-1,23)+1)&amp;TEXT(W$2+FLOOR((W$2-1)/9,1),"000"),"")</f>
        <v>CR024</v>
      </c>
      <c r="X63" s="19" t="str">
        <f>IF(INDEX('Shot Map'!$B$6:$V$26,CEILING($A63/5,1),CEILING(X$2/5,1))=1,INDEX('Serial Reference'!$A$8:$W$8,1,FLOOR(($A63-1)/23,1)+1)&amp;INDEX('Serial Reference'!$A$8:$W$8,1,MOD($A63-1,23)+1)&amp;TEXT(X$2+FLOOR((X$2-1)/9,1),"000"),"")</f>
        <v>CR025</v>
      </c>
      <c r="Y63" s="19" t="str">
        <f>IF(INDEX('Shot Map'!$B$6:$V$26,CEILING($A63/5,1),CEILING(Y$2/5,1))=1,INDEX('Serial Reference'!$A$8:$W$8,1,FLOOR(($A63-1)/23,1)+1)&amp;INDEX('Serial Reference'!$A$8:$W$8,1,MOD($A63-1,23)+1)&amp;TEXT(Y$2+FLOOR((Y$2-1)/9,1),"000"),"")</f>
        <v>CR026</v>
      </c>
      <c r="Z63" s="20" t="str">
        <f>IF(INDEX('Shot Map'!$B$6:$V$26,CEILING($A63/5,1),CEILING(Z$2/5,1))=1,INDEX('Serial Reference'!$A$8:$W$8,1,FLOOR(($A63-1)/23,1)+1)&amp;INDEX('Serial Reference'!$A$8:$W$8,1,MOD($A63-1,23)+1)&amp;TEXT(Z$2+FLOOR((Z$2-1)/9,1),"000"),"")</f>
        <v>CR027</v>
      </c>
      <c r="AA63" s="18" t="str">
        <f>IF(INDEX('Shot Map'!$B$6:$V$26,CEILING($A63/5,1),CEILING(AA$2/5,1))=1,INDEX('Serial Reference'!$A$8:$W$8,1,FLOOR(($A63-1)/23,1)+1)&amp;INDEX('Serial Reference'!$A$8:$W$8,1,MOD($A63-1,23)+1)&amp;TEXT(AA$2+FLOOR((AA$2-1)/9,1),"000"),"")</f>
        <v>CR028</v>
      </c>
      <c r="AB63" s="19" t="str">
        <f>IF(INDEX('Shot Map'!$B$6:$V$26,CEILING($A63/5,1),CEILING(AB$2/5,1))=1,INDEX('Serial Reference'!$A$8:$W$8,1,FLOOR(($A63-1)/23,1)+1)&amp;INDEX('Serial Reference'!$A$8:$W$8,1,MOD($A63-1,23)+1)&amp;TEXT(AB$2+FLOOR((AB$2-1)/9,1),"000"),"")</f>
        <v>CR029</v>
      </c>
      <c r="AC63" s="19" t="str">
        <f>IF(INDEX('Shot Map'!$B$6:$V$26,CEILING($A63/5,1),CEILING(AC$2/5,1))=1,INDEX('Serial Reference'!$A$8:$W$8,1,FLOOR(($A63-1)/23,1)+1)&amp;INDEX('Serial Reference'!$A$8:$W$8,1,MOD($A63-1,23)+1)&amp;TEXT(AC$2+FLOOR((AC$2-1)/9,1),"000"),"")</f>
        <v>CR031</v>
      </c>
      <c r="AD63" s="19" t="str">
        <f>IF(INDEX('Shot Map'!$B$6:$V$26,CEILING($A63/5,1),CEILING(AD$2/5,1))=1,INDEX('Serial Reference'!$A$8:$W$8,1,FLOOR(($A63-1)/23,1)+1)&amp;INDEX('Serial Reference'!$A$8:$W$8,1,MOD($A63-1,23)+1)&amp;TEXT(AD$2+FLOOR((AD$2-1)/9,1),"000"),"")</f>
        <v>CR032</v>
      </c>
      <c r="AE63" s="20" t="str">
        <f>IF(INDEX('Shot Map'!$B$6:$V$26,CEILING($A63/5,1),CEILING(AE$2/5,1))=1,INDEX('Serial Reference'!$A$8:$W$8,1,FLOOR(($A63-1)/23,1)+1)&amp;INDEX('Serial Reference'!$A$8:$W$8,1,MOD($A63-1,23)+1)&amp;TEXT(AE$2+FLOOR((AE$2-1)/9,1),"000"),"")</f>
        <v>CR033</v>
      </c>
      <c r="AF63" s="18" t="str">
        <f>IF(INDEX('Shot Map'!$B$6:$V$26,CEILING($A63/5,1),CEILING(AF$2/5,1))=1,INDEX('Serial Reference'!$A$8:$W$8,1,FLOOR(($A63-1)/23,1)+1)&amp;INDEX('Serial Reference'!$A$8:$W$8,1,MOD($A63-1,23)+1)&amp;TEXT(AF$2+FLOOR((AF$2-1)/9,1),"000"),"")</f>
        <v>CR034</v>
      </c>
      <c r="AG63" s="19" t="str">
        <f>IF(INDEX('Shot Map'!$B$6:$V$26,CEILING($A63/5,1),CEILING(AG$2/5,1))=1,INDEX('Serial Reference'!$A$8:$W$8,1,FLOOR(($A63-1)/23,1)+1)&amp;INDEX('Serial Reference'!$A$8:$W$8,1,MOD($A63-1,23)+1)&amp;TEXT(AG$2+FLOOR((AG$2-1)/9,1),"000"),"")</f>
        <v>CR035</v>
      </c>
      <c r="AH63" s="19" t="str">
        <f>IF(INDEX('Shot Map'!$B$6:$V$26,CEILING($A63/5,1),CEILING(AH$2/5,1))=1,INDEX('Serial Reference'!$A$8:$W$8,1,FLOOR(($A63-1)/23,1)+1)&amp;INDEX('Serial Reference'!$A$8:$W$8,1,MOD($A63-1,23)+1)&amp;TEXT(AH$2+FLOOR((AH$2-1)/9,1),"000"),"")</f>
        <v>CR036</v>
      </c>
      <c r="AI63" s="19" t="str">
        <f>IF(INDEX('Shot Map'!$B$6:$V$26,CEILING($A63/5,1),CEILING(AI$2/5,1))=1,INDEX('Serial Reference'!$A$8:$W$8,1,FLOOR(($A63-1)/23,1)+1)&amp;INDEX('Serial Reference'!$A$8:$W$8,1,MOD($A63-1,23)+1)&amp;TEXT(AI$2+FLOOR((AI$2-1)/9,1),"000"),"")</f>
        <v>CR037</v>
      </c>
      <c r="AJ63" s="20" t="str">
        <f>IF(INDEX('Shot Map'!$B$6:$V$26,CEILING($A63/5,1),CEILING(AJ$2/5,1))=1,INDEX('Serial Reference'!$A$8:$W$8,1,FLOOR(($A63-1)/23,1)+1)&amp;INDEX('Serial Reference'!$A$8:$W$8,1,MOD($A63-1,23)+1)&amp;TEXT(AJ$2+FLOOR((AJ$2-1)/9,1),"000"),"")</f>
        <v>CR038</v>
      </c>
      <c r="AK63" s="18" t="str">
        <f>IF(INDEX('Shot Map'!$B$6:$V$26,CEILING($A63/5,1),CEILING(AK$2/5,1))=1,INDEX('Serial Reference'!$A$8:$W$8,1,FLOOR(($A63-1)/23,1)+1)&amp;INDEX('Serial Reference'!$A$8:$W$8,1,MOD($A63-1,23)+1)&amp;TEXT(AK$2+FLOOR((AK$2-1)/9,1),"000"),"")</f>
        <v>CR039</v>
      </c>
      <c r="AL63" s="19" t="str">
        <f>IF(INDEX('Shot Map'!$B$6:$V$26,CEILING($A63/5,1),CEILING(AL$2/5,1))=1,INDEX('Serial Reference'!$A$8:$W$8,1,FLOOR(($A63-1)/23,1)+1)&amp;INDEX('Serial Reference'!$A$8:$W$8,1,MOD($A63-1,23)+1)&amp;TEXT(AL$2+FLOOR((AL$2-1)/9,1),"000"),"")</f>
        <v>CR041</v>
      </c>
      <c r="AM63" s="19" t="str">
        <f>IF(INDEX('Shot Map'!$B$6:$V$26,CEILING($A63/5,1),CEILING(AM$2/5,1))=1,INDEX('Serial Reference'!$A$8:$W$8,1,FLOOR(($A63-1)/23,1)+1)&amp;INDEX('Serial Reference'!$A$8:$W$8,1,MOD($A63-1,23)+1)&amp;TEXT(AM$2+FLOOR((AM$2-1)/9,1),"000"),"")</f>
        <v>CR042</v>
      </c>
      <c r="AN63" s="19" t="str">
        <f>IF(INDEX('Shot Map'!$B$6:$V$26,CEILING($A63/5,1),CEILING(AN$2/5,1))=1,INDEX('Serial Reference'!$A$8:$W$8,1,FLOOR(($A63-1)/23,1)+1)&amp;INDEX('Serial Reference'!$A$8:$W$8,1,MOD($A63-1,23)+1)&amp;TEXT(AN$2+FLOOR((AN$2-1)/9,1),"000"),"")</f>
        <v>CR043</v>
      </c>
      <c r="AO63" s="20" t="str">
        <f>IF(INDEX('Shot Map'!$B$6:$V$26,CEILING($A63/5,1),CEILING(AO$2/5,1))=1,INDEX('Serial Reference'!$A$8:$W$8,1,FLOOR(($A63-1)/23,1)+1)&amp;INDEX('Serial Reference'!$A$8:$W$8,1,MOD($A63-1,23)+1)&amp;TEXT(AO$2+FLOOR((AO$2-1)/9,1),"000"),"")</f>
        <v>CR044</v>
      </c>
      <c r="AP63" s="18" t="str">
        <f>IF(INDEX('Shot Map'!$B$6:$V$26,CEILING($A63/5,1),CEILING(AP$2/5,1))=1,INDEX('Serial Reference'!$A$8:$W$8,1,FLOOR(($A63-1)/23,1)+1)&amp;INDEX('Serial Reference'!$A$8:$W$8,1,MOD($A63-1,23)+1)&amp;TEXT(AP$2+FLOOR((AP$2-1)/9,1),"000"),"")</f>
        <v>CR045</v>
      </c>
      <c r="AQ63" s="19" t="str">
        <f>IF(INDEX('Shot Map'!$B$6:$V$26,CEILING($A63/5,1),CEILING(AQ$2/5,1))=1,INDEX('Serial Reference'!$A$8:$W$8,1,FLOOR(($A63-1)/23,1)+1)&amp;INDEX('Serial Reference'!$A$8:$W$8,1,MOD($A63-1,23)+1)&amp;TEXT(AQ$2+FLOOR((AQ$2-1)/9,1),"000"),"")</f>
        <v>CR046</v>
      </c>
      <c r="AR63" s="19" t="str">
        <f>IF(INDEX('Shot Map'!$B$6:$V$26,CEILING($A63/5,1),CEILING(AR$2/5,1))=1,INDEX('Serial Reference'!$A$8:$W$8,1,FLOOR(($A63-1)/23,1)+1)&amp;INDEX('Serial Reference'!$A$8:$W$8,1,MOD($A63-1,23)+1)&amp;TEXT(AR$2+FLOOR((AR$2-1)/9,1),"000"),"")</f>
        <v>CR047</v>
      </c>
      <c r="AS63" s="19" t="str">
        <f>IF(INDEX('Shot Map'!$B$6:$V$26,CEILING($A63/5,1),CEILING(AS$2/5,1))=1,INDEX('Serial Reference'!$A$8:$W$8,1,FLOOR(($A63-1)/23,1)+1)&amp;INDEX('Serial Reference'!$A$8:$W$8,1,MOD($A63-1,23)+1)&amp;TEXT(AS$2+FLOOR((AS$2-1)/9,1),"000"),"")</f>
        <v>CR048</v>
      </c>
      <c r="AT63" s="20" t="str">
        <f>IF(INDEX('Shot Map'!$B$6:$V$26,CEILING($A63/5,1),CEILING(AT$2/5,1))=1,INDEX('Serial Reference'!$A$8:$W$8,1,FLOOR(($A63-1)/23,1)+1)&amp;INDEX('Serial Reference'!$A$8:$W$8,1,MOD($A63-1,23)+1)&amp;TEXT(AT$2+FLOOR((AT$2-1)/9,1),"000"),"")</f>
        <v>CR049</v>
      </c>
      <c r="AU63" s="18" t="str">
        <f>IF(INDEX('Shot Map'!$B$6:$V$26,CEILING($A63/5,1),CEILING(AU$2/5,1))=1,INDEX('Serial Reference'!$A$8:$W$8,1,FLOOR(($A63-1)/23,1)+1)&amp;INDEX('Serial Reference'!$A$8:$W$8,1,MOD($A63-1,23)+1)&amp;TEXT(AU$2+FLOOR((AU$2-1)/9,1),"000"),"")</f>
        <v>CR051</v>
      </c>
      <c r="AV63" s="19" t="str">
        <f>IF(INDEX('Shot Map'!$B$6:$V$26,CEILING($A63/5,1),CEILING(AV$2/5,1))=1,INDEX('Serial Reference'!$A$8:$W$8,1,FLOOR(($A63-1)/23,1)+1)&amp;INDEX('Serial Reference'!$A$8:$W$8,1,MOD($A63-1,23)+1)&amp;TEXT(AV$2+FLOOR((AV$2-1)/9,1),"000"),"")</f>
        <v>CR052</v>
      </c>
      <c r="AW63" s="19" t="str">
        <f>IF(INDEX('Shot Map'!$B$6:$V$26,CEILING($A63/5,1),CEILING(AW$2/5,1))=1,INDEX('Serial Reference'!$A$8:$W$8,1,FLOOR(($A63-1)/23,1)+1)&amp;INDEX('Serial Reference'!$A$8:$W$8,1,MOD($A63-1,23)+1)&amp;TEXT(AW$2+FLOOR((AW$2-1)/9,1),"000"),"")</f>
        <v>CR053</v>
      </c>
      <c r="AX63" s="19" t="str">
        <f>IF(INDEX('Shot Map'!$B$6:$V$26,CEILING($A63/5,1),CEILING(AX$2/5,1))=1,INDEX('Serial Reference'!$A$8:$W$8,1,FLOOR(($A63-1)/23,1)+1)&amp;INDEX('Serial Reference'!$A$8:$W$8,1,MOD($A63-1,23)+1)&amp;TEXT(AX$2+FLOOR((AX$2-1)/9,1),"000"),"")</f>
        <v>CR054</v>
      </c>
      <c r="AY63" s="20" t="str">
        <f>IF(INDEX('Shot Map'!$B$6:$V$26,CEILING($A63/5,1),CEILING(AY$2/5,1))=1,INDEX('Serial Reference'!$A$8:$W$8,1,FLOOR(($A63-1)/23,1)+1)&amp;INDEX('Serial Reference'!$A$8:$W$8,1,MOD($A63-1,23)+1)&amp;TEXT(AY$2+FLOOR((AY$2-1)/9,1),"000"),"")</f>
        <v>CR055</v>
      </c>
      <c r="AZ63" s="18" t="str">
        <f>IF(INDEX('Shot Map'!$B$6:$V$26,CEILING($A63/5,1),CEILING(AZ$2/5,1))=1,INDEX('Serial Reference'!$A$8:$W$8,1,FLOOR(($A63-1)/23,1)+1)&amp;INDEX('Serial Reference'!$A$8:$W$8,1,MOD($A63-1,23)+1)&amp;TEXT(AZ$2+FLOOR((AZ$2-1)/9,1),"000"),"")</f>
        <v>CR056</v>
      </c>
      <c r="BA63" s="19" t="str">
        <f>IF(INDEX('Shot Map'!$B$6:$V$26,CEILING($A63/5,1),CEILING(BA$2/5,1))=1,INDEX('Serial Reference'!$A$8:$W$8,1,FLOOR(($A63-1)/23,1)+1)&amp;INDEX('Serial Reference'!$A$8:$W$8,1,MOD($A63-1,23)+1)&amp;TEXT(BA$2+FLOOR((BA$2-1)/9,1),"000"),"")</f>
        <v>CR057</v>
      </c>
      <c r="BB63" s="19" t="str">
        <f>IF(INDEX('Shot Map'!$B$6:$V$26,CEILING($A63/5,1),CEILING(BB$2/5,1))=1,INDEX('Serial Reference'!$A$8:$W$8,1,FLOOR(($A63-1)/23,1)+1)&amp;INDEX('Serial Reference'!$A$8:$W$8,1,MOD($A63-1,23)+1)&amp;TEXT(BB$2+FLOOR((BB$2-1)/9,1),"000"),"")</f>
        <v>CR058</v>
      </c>
      <c r="BC63" s="19" t="str">
        <f>IF(INDEX('Shot Map'!$B$6:$V$26,CEILING($A63/5,1),CEILING(BC$2/5,1))=1,INDEX('Serial Reference'!$A$8:$W$8,1,FLOOR(($A63-1)/23,1)+1)&amp;INDEX('Serial Reference'!$A$8:$W$8,1,MOD($A63-1,23)+1)&amp;TEXT(BC$2+FLOOR((BC$2-1)/9,1),"000"),"")</f>
        <v>CR059</v>
      </c>
      <c r="BD63" s="20" t="str">
        <f>IF(INDEX('Shot Map'!$B$6:$V$26,CEILING($A63/5,1),CEILING(BD$2/5,1))=1,INDEX('Serial Reference'!$A$8:$W$8,1,FLOOR(($A63-1)/23,1)+1)&amp;INDEX('Serial Reference'!$A$8:$W$8,1,MOD($A63-1,23)+1)&amp;TEXT(BD$2+FLOOR((BD$2-1)/9,1),"000"),"")</f>
        <v>CR061</v>
      </c>
      <c r="BE63" s="18" t="str">
        <f>IF(INDEX('Shot Map'!$B$6:$V$26,CEILING($A63/5,1),CEILING(BE$2/5,1))=1,INDEX('Serial Reference'!$A$8:$W$8,1,FLOOR(($A63-1)/23,1)+1)&amp;INDEX('Serial Reference'!$A$8:$W$8,1,MOD($A63-1,23)+1)&amp;TEXT(BE$2+FLOOR((BE$2-1)/9,1),"000"),"")</f>
        <v>CR062</v>
      </c>
      <c r="BF63" s="19" t="str">
        <f>IF(INDEX('Shot Map'!$B$6:$V$26,CEILING($A63/5,1),CEILING(BF$2/5,1))=1,INDEX('Serial Reference'!$A$8:$W$8,1,FLOOR(($A63-1)/23,1)+1)&amp;INDEX('Serial Reference'!$A$8:$W$8,1,MOD($A63-1,23)+1)&amp;TEXT(BF$2+FLOOR((BF$2-1)/9,1),"000"),"")</f>
        <v>CR063</v>
      </c>
      <c r="BG63" s="19" t="str">
        <f>IF(INDEX('Shot Map'!$B$6:$V$26,CEILING($A63/5,1),CEILING(BG$2/5,1))=1,INDEX('Serial Reference'!$A$8:$W$8,1,FLOOR(($A63-1)/23,1)+1)&amp;INDEX('Serial Reference'!$A$8:$W$8,1,MOD($A63-1,23)+1)&amp;TEXT(BG$2+FLOOR((BG$2-1)/9,1),"000"),"")</f>
        <v>CR064</v>
      </c>
      <c r="BH63" s="19" t="str">
        <f>IF(INDEX('Shot Map'!$B$6:$V$26,CEILING($A63/5,1),CEILING(BH$2/5,1))=1,INDEX('Serial Reference'!$A$8:$W$8,1,FLOOR(($A63-1)/23,1)+1)&amp;INDEX('Serial Reference'!$A$8:$W$8,1,MOD($A63-1,23)+1)&amp;TEXT(BH$2+FLOOR((BH$2-1)/9,1),"000"),"")</f>
        <v>CR065</v>
      </c>
      <c r="BI63" s="20" t="str">
        <f>IF(INDEX('Shot Map'!$B$6:$V$26,CEILING($A63/5,1),CEILING(BI$2/5,1))=1,INDEX('Serial Reference'!$A$8:$W$8,1,FLOOR(($A63-1)/23,1)+1)&amp;INDEX('Serial Reference'!$A$8:$W$8,1,MOD($A63-1,23)+1)&amp;TEXT(BI$2+FLOOR((BI$2-1)/9,1),"000"),"")</f>
        <v>CR066</v>
      </c>
      <c r="BJ63" s="18" t="str">
        <f>IF(INDEX('Shot Map'!$B$6:$V$26,CEILING($A63/5,1),CEILING(BJ$2/5,1))=1,INDEX('Serial Reference'!$A$8:$W$8,1,FLOOR(($A63-1)/23,1)+1)&amp;INDEX('Serial Reference'!$A$8:$W$8,1,MOD($A63-1,23)+1)&amp;TEXT(BJ$2+FLOOR((BJ$2-1)/9,1),"000"),"")</f>
        <v>CR067</v>
      </c>
      <c r="BK63" s="19" t="str">
        <f>IF(INDEX('Shot Map'!$B$6:$V$26,CEILING($A63/5,1),CEILING(BK$2/5,1))=1,INDEX('Serial Reference'!$A$8:$W$8,1,FLOOR(($A63-1)/23,1)+1)&amp;INDEX('Serial Reference'!$A$8:$W$8,1,MOD($A63-1,23)+1)&amp;TEXT(BK$2+FLOOR((BK$2-1)/9,1),"000"),"")</f>
        <v>CR068</v>
      </c>
      <c r="BL63" s="19" t="str">
        <f>IF(INDEX('Shot Map'!$B$6:$V$26,CEILING($A63/5,1),CEILING(BL$2/5,1))=1,INDEX('Serial Reference'!$A$8:$W$8,1,FLOOR(($A63-1)/23,1)+1)&amp;INDEX('Serial Reference'!$A$8:$W$8,1,MOD($A63-1,23)+1)&amp;TEXT(BL$2+FLOOR((BL$2-1)/9,1),"000"),"")</f>
        <v>CR069</v>
      </c>
      <c r="BM63" s="19" t="str">
        <f>IF(INDEX('Shot Map'!$B$6:$V$26,CEILING($A63/5,1),CEILING(BM$2/5,1))=1,INDEX('Serial Reference'!$A$8:$W$8,1,FLOOR(($A63-1)/23,1)+1)&amp;INDEX('Serial Reference'!$A$8:$W$8,1,MOD($A63-1,23)+1)&amp;TEXT(BM$2+FLOOR((BM$2-1)/9,1),"000"),"")</f>
        <v>CR071</v>
      </c>
      <c r="BN63" s="20" t="str">
        <f>IF(INDEX('Shot Map'!$B$6:$V$26,CEILING($A63/5,1),CEILING(BN$2/5,1))=1,INDEX('Serial Reference'!$A$8:$W$8,1,FLOOR(($A63-1)/23,1)+1)&amp;INDEX('Serial Reference'!$A$8:$W$8,1,MOD($A63-1,23)+1)&amp;TEXT(BN$2+FLOOR((BN$2-1)/9,1),"000"),"")</f>
        <v>CR072</v>
      </c>
      <c r="BO63" s="18" t="str">
        <f>IF(INDEX('Shot Map'!$B$6:$V$26,CEILING($A63/5,1),CEILING(BO$2/5,1))=1,INDEX('Serial Reference'!$A$8:$W$8,1,FLOOR(($A63-1)/23,1)+1)&amp;INDEX('Serial Reference'!$A$8:$W$8,1,MOD($A63-1,23)+1)&amp;TEXT(BO$2+FLOOR((BO$2-1)/9,1),"000"),"")</f>
        <v>CR073</v>
      </c>
      <c r="BP63" s="19" t="str">
        <f>IF(INDEX('Shot Map'!$B$6:$V$26,CEILING($A63/5,1),CEILING(BP$2/5,1))=1,INDEX('Serial Reference'!$A$8:$W$8,1,FLOOR(($A63-1)/23,1)+1)&amp;INDEX('Serial Reference'!$A$8:$W$8,1,MOD($A63-1,23)+1)&amp;TEXT(BP$2+FLOOR((BP$2-1)/9,1),"000"),"")</f>
        <v>CR074</v>
      </c>
      <c r="BQ63" s="19" t="str">
        <f>IF(INDEX('Shot Map'!$B$6:$V$26,CEILING($A63/5,1),CEILING(BQ$2/5,1))=1,INDEX('Serial Reference'!$A$8:$W$8,1,FLOOR(($A63-1)/23,1)+1)&amp;INDEX('Serial Reference'!$A$8:$W$8,1,MOD($A63-1,23)+1)&amp;TEXT(BQ$2+FLOOR((BQ$2-1)/9,1),"000"),"")</f>
        <v>CR075</v>
      </c>
      <c r="BR63" s="19" t="str">
        <f>IF(INDEX('Shot Map'!$B$6:$V$26,CEILING($A63/5,1),CEILING(BR$2/5,1))=1,INDEX('Serial Reference'!$A$8:$W$8,1,FLOOR(($A63-1)/23,1)+1)&amp;INDEX('Serial Reference'!$A$8:$W$8,1,MOD($A63-1,23)+1)&amp;TEXT(BR$2+FLOOR((BR$2-1)/9,1),"000"),"")</f>
        <v>CR076</v>
      </c>
      <c r="BS63" s="20" t="str">
        <f>IF(INDEX('Shot Map'!$B$6:$V$26,CEILING($A63/5,1),CEILING(BS$2/5,1))=1,INDEX('Serial Reference'!$A$8:$W$8,1,FLOOR(($A63-1)/23,1)+1)&amp;INDEX('Serial Reference'!$A$8:$W$8,1,MOD($A63-1,23)+1)&amp;TEXT(BS$2+FLOOR((BS$2-1)/9,1),"000"),"")</f>
        <v>CR077</v>
      </c>
      <c r="BT63" s="18" t="str">
        <f>IF(INDEX('Shot Map'!$B$6:$V$26,CEILING($A63/5,1),CEILING(BT$2/5,1))=1,INDEX('Serial Reference'!$A$8:$W$8,1,FLOOR(($A63-1)/23,1)+1)&amp;INDEX('Serial Reference'!$A$8:$W$8,1,MOD($A63-1,23)+1)&amp;TEXT(BT$2+FLOOR((BT$2-1)/9,1),"000"),"")</f>
        <v>CR078</v>
      </c>
      <c r="BU63" s="19" t="str">
        <f>IF(INDEX('Shot Map'!$B$6:$V$26,CEILING($A63/5,1),CEILING(BU$2/5,1))=1,INDEX('Serial Reference'!$A$8:$W$8,1,FLOOR(($A63-1)/23,1)+1)&amp;INDEX('Serial Reference'!$A$8:$W$8,1,MOD($A63-1,23)+1)&amp;TEXT(BU$2+FLOOR((BU$2-1)/9,1),"000"),"")</f>
        <v>CR079</v>
      </c>
      <c r="BV63" s="19" t="str">
        <f>IF(INDEX('Shot Map'!$B$6:$V$26,CEILING($A63/5,1),CEILING(BV$2/5,1))=1,INDEX('Serial Reference'!$A$8:$W$8,1,FLOOR(($A63-1)/23,1)+1)&amp;INDEX('Serial Reference'!$A$8:$W$8,1,MOD($A63-1,23)+1)&amp;TEXT(BV$2+FLOOR((BV$2-1)/9,1),"000"),"")</f>
        <v>CR081</v>
      </c>
      <c r="BW63" s="19" t="str">
        <f>IF(INDEX('Shot Map'!$B$6:$V$26,CEILING($A63/5,1),CEILING(BW$2/5,1))=1,INDEX('Serial Reference'!$A$8:$W$8,1,FLOOR(($A63-1)/23,1)+1)&amp;INDEX('Serial Reference'!$A$8:$W$8,1,MOD($A63-1,23)+1)&amp;TEXT(BW$2+FLOOR((BW$2-1)/9,1),"000"),"")</f>
        <v>CR082</v>
      </c>
      <c r="BX63" s="20" t="str">
        <f>IF(INDEX('Shot Map'!$B$6:$V$26,CEILING($A63/5,1),CEILING(BX$2/5,1))=1,INDEX('Serial Reference'!$A$8:$W$8,1,FLOOR(($A63-1)/23,1)+1)&amp;INDEX('Serial Reference'!$A$8:$W$8,1,MOD($A63-1,23)+1)&amp;TEXT(BX$2+FLOOR((BX$2-1)/9,1),"000"),"")</f>
        <v>CR083</v>
      </c>
      <c r="BY63" s="18" t="str">
        <f>IF(INDEX('Shot Map'!$B$6:$V$26,CEILING($A63/5,1),CEILING(BY$2/5,1))=1,INDEX('Serial Reference'!$A$8:$W$8,1,FLOOR(($A63-1)/23,1)+1)&amp;INDEX('Serial Reference'!$A$8:$W$8,1,MOD($A63-1,23)+1)&amp;TEXT(BY$2+FLOOR((BY$2-1)/9,1),"000"),"")</f>
        <v>CR084</v>
      </c>
      <c r="BZ63" s="19" t="str">
        <f>IF(INDEX('Shot Map'!$B$6:$V$26,CEILING($A63/5,1),CEILING(BZ$2/5,1))=1,INDEX('Serial Reference'!$A$8:$W$8,1,FLOOR(($A63-1)/23,1)+1)&amp;INDEX('Serial Reference'!$A$8:$W$8,1,MOD($A63-1,23)+1)&amp;TEXT(BZ$2+FLOOR((BZ$2-1)/9,1),"000"),"")</f>
        <v>CR085</v>
      </c>
      <c r="CA63" s="19" t="str">
        <f>IF(INDEX('Shot Map'!$B$6:$V$26,CEILING($A63/5,1),CEILING(CA$2/5,1))=1,INDEX('Serial Reference'!$A$8:$W$8,1,FLOOR(($A63-1)/23,1)+1)&amp;INDEX('Serial Reference'!$A$8:$W$8,1,MOD($A63-1,23)+1)&amp;TEXT(CA$2+FLOOR((CA$2-1)/9,1),"000"),"")</f>
        <v>CR086</v>
      </c>
      <c r="CB63" s="19" t="str">
        <f>IF(INDEX('Shot Map'!$B$6:$V$26,CEILING($A63/5,1),CEILING(CB$2/5,1))=1,INDEX('Serial Reference'!$A$8:$W$8,1,FLOOR(($A63-1)/23,1)+1)&amp;INDEX('Serial Reference'!$A$8:$W$8,1,MOD($A63-1,23)+1)&amp;TEXT(CB$2+FLOOR((CB$2-1)/9,1),"000"),"")</f>
        <v>CR087</v>
      </c>
      <c r="CC63" s="20" t="str">
        <f>IF(INDEX('Shot Map'!$B$6:$V$26,CEILING($A63/5,1),CEILING(CC$2/5,1))=1,INDEX('Serial Reference'!$A$8:$W$8,1,FLOOR(($A63-1)/23,1)+1)&amp;INDEX('Serial Reference'!$A$8:$W$8,1,MOD($A63-1,23)+1)&amp;TEXT(CC$2+FLOOR((CC$2-1)/9,1),"000"),"")</f>
        <v>CR088</v>
      </c>
      <c r="CD63" s="18" t="str">
        <f>IF(INDEX('Shot Map'!$B$6:$V$26,CEILING($A63/5,1),CEILING(CD$2/5,1))=1,INDEX('Serial Reference'!$A$8:$W$8,1,FLOOR(($A63-1)/23,1)+1)&amp;INDEX('Serial Reference'!$A$8:$W$8,1,MOD($A63-1,23)+1)&amp;TEXT(CD$2+FLOOR((CD$2-1)/9,1),"000"),"")</f>
        <v>CR089</v>
      </c>
      <c r="CE63" s="19" t="str">
        <f>IF(INDEX('Shot Map'!$B$6:$V$26,CEILING($A63/5,1),CEILING(CE$2/5,1))=1,INDEX('Serial Reference'!$A$8:$W$8,1,FLOOR(($A63-1)/23,1)+1)&amp;INDEX('Serial Reference'!$A$8:$W$8,1,MOD($A63-1,23)+1)&amp;TEXT(CE$2+FLOOR((CE$2-1)/9,1),"000"),"")</f>
        <v>CR091</v>
      </c>
      <c r="CF63" s="19" t="str">
        <f>IF(INDEX('Shot Map'!$B$6:$V$26,CEILING($A63/5,1),CEILING(CF$2/5,1))=1,INDEX('Serial Reference'!$A$8:$W$8,1,FLOOR(($A63-1)/23,1)+1)&amp;INDEX('Serial Reference'!$A$8:$W$8,1,MOD($A63-1,23)+1)&amp;TEXT(CF$2+FLOOR((CF$2-1)/9,1),"000"),"")</f>
        <v>CR092</v>
      </c>
      <c r="CG63" s="19" t="str">
        <f>IF(INDEX('Shot Map'!$B$6:$V$26,CEILING($A63/5,1),CEILING(CG$2/5,1))=1,INDEX('Serial Reference'!$A$8:$W$8,1,FLOOR(($A63-1)/23,1)+1)&amp;INDEX('Serial Reference'!$A$8:$W$8,1,MOD($A63-1,23)+1)&amp;TEXT(CG$2+FLOOR((CG$2-1)/9,1),"000"),"")</f>
        <v>CR093</v>
      </c>
      <c r="CH63" s="20" t="str">
        <f>IF(INDEX('Shot Map'!$B$6:$V$26,CEILING($A63/5,1),CEILING(CH$2/5,1))=1,INDEX('Serial Reference'!$A$8:$W$8,1,FLOOR(($A63-1)/23,1)+1)&amp;INDEX('Serial Reference'!$A$8:$W$8,1,MOD($A63-1,23)+1)&amp;TEXT(CH$2+FLOOR((CH$2-1)/9,1),"000"),"")</f>
        <v>CR094</v>
      </c>
      <c r="CI63" s="18" t="str">
        <f>IF(INDEX('Shot Map'!$B$6:$V$26,CEILING($A63/5,1),CEILING(CI$2/5,1))=1,INDEX('Serial Reference'!$A$8:$W$8,1,FLOOR(($A63-1)/23,1)+1)&amp;INDEX('Serial Reference'!$A$8:$W$8,1,MOD($A63-1,23)+1)&amp;TEXT(CI$2+FLOOR((CI$2-1)/9,1),"000"),"")</f>
        <v>CR095</v>
      </c>
      <c r="CJ63" s="19" t="str">
        <f>IF(INDEX('Shot Map'!$B$6:$V$26,CEILING($A63/5,1),CEILING(CJ$2/5,1))=1,INDEX('Serial Reference'!$A$8:$W$8,1,FLOOR(($A63-1)/23,1)+1)&amp;INDEX('Serial Reference'!$A$8:$W$8,1,MOD($A63-1,23)+1)&amp;TEXT(CJ$2+FLOOR((CJ$2-1)/9,1),"000"),"")</f>
        <v>CR096</v>
      </c>
      <c r="CK63" s="19" t="str">
        <f>IF(INDEX('Shot Map'!$B$6:$V$26,CEILING($A63/5,1),CEILING(CK$2/5,1))=1,INDEX('Serial Reference'!$A$8:$W$8,1,FLOOR(($A63-1)/23,1)+1)&amp;INDEX('Serial Reference'!$A$8:$W$8,1,MOD($A63-1,23)+1)&amp;TEXT(CK$2+FLOOR((CK$2-1)/9,1),"000"),"")</f>
        <v>CR097</v>
      </c>
      <c r="CL63" s="19" t="str">
        <f>IF(INDEX('Shot Map'!$B$6:$V$26,CEILING($A63/5,1),CEILING(CL$2/5,1))=1,INDEX('Serial Reference'!$A$8:$W$8,1,FLOOR(($A63-1)/23,1)+1)&amp;INDEX('Serial Reference'!$A$8:$W$8,1,MOD($A63-1,23)+1)&amp;TEXT(CL$2+FLOOR((CL$2-1)/9,1),"000"),"")</f>
        <v>CR098</v>
      </c>
      <c r="CM63" s="20" t="str">
        <f>IF(INDEX('Shot Map'!$B$6:$V$26,CEILING($A63/5,1),CEILING(CM$2/5,1))=1,INDEX('Serial Reference'!$A$8:$W$8,1,FLOOR(($A63-1)/23,1)+1)&amp;INDEX('Serial Reference'!$A$8:$W$8,1,MOD($A63-1,23)+1)&amp;TEXT(CM$2+FLOOR((CM$2-1)/9,1),"000"),"")</f>
        <v>CR099</v>
      </c>
      <c r="CN63" s="18" t="str">
        <f>IF(INDEX('Shot Map'!$B$6:$V$26,CEILING($A63/5,1),CEILING(CN$2/5,1))=1,INDEX('Serial Reference'!$A$8:$W$8,1,FLOOR(($A63-1)/23,1)+1)&amp;INDEX('Serial Reference'!$A$8:$W$8,1,MOD($A63-1,23)+1)&amp;TEXT(CN$2+FLOOR((CN$2-1)/9,1),"000"),"")</f>
        <v>CR101</v>
      </c>
      <c r="CO63" s="19" t="str">
        <f>IF(INDEX('Shot Map'!$B$6:$V$26,CEILING($A63/5,1),CEILING(CO$2/5,1))=1,INDEX('Serial Reference'!$A$8:$W$8,1,FLOOR(($A63-1)/23,1)+1)&amp;INDEX('Serial Reference'!$A$8:$W$8,1,MOD($A63-1,23)+1)&amp;TEXT(CO$2+FLOOR((CO$2-1)/9,1),"000"),"")</f>
        <v>CR102</v>
      </c>
      <c r="CP63" s="19" t="str">
        <f>IF(INDEX('Shot Map'!$B$6:$V$26,CEILING($A63/5,1),CEILING(CP$2/5,1))=1,INDEX('Serial Reference'!$A$8:$W$8,1,FLOOR(($A63-1)/23,1)+1)&amp;INDEX('Serial Reference'!$A$8:$W$8,1,MOD($A63-1,23)+1)&amp;TEXT(CP$2+FLOOR((CP$2-1)/9,1),"000"),"")</f>
        <v>CR103</v>
      </c>
      <c r="CQ63" s="19" t="str">
        <f>IF(INDEX('Shot Map'!$B$6:$V$26,CEILING($A63/5,1),CEILING(CQ$2/5,1))=1,INDEX('Serial Reference'!$A$8:$W$8,1,FLOOR(($A63-1)/23,1)+1)&amp;INDEX('Serial Reference'!$A$8:$W$8,1,MOD($A63-1,23)+1)&amp;TEXT(CQ$2+FLOOR((CQ$2-1)/9,1),"000"),"")</f>
        <v>CR104</v>
      </c>
      <c r="CR63" s="20" t="str">
        <f>IF(INDEX('Shot Map'!$B$6:$V$26,CEILING($A63/5,1),CEILING(CR$2/5,1))=1,INDEX('Serial Reference'!$A$8:$W$8,1,FLOOR(($A63-1)/23,1)+1)&amp;INDEX('Serial Reference'!$A$8:$W$8,1,MOD($A63-1,23)+1)&amp;TEXT(CR$2+FLOOR((CR$2-1)/9,1),"000"),"")</f>
        <v>CR105</v>
      </c>
      <c r="CS63" s="18" t="str">
        <f>IF(INDEX('Shot Map'!$B$6:$V$26,CEILING($A63/5,1),CEILING(CS$2/5,1))=1,INDEX('Serial Reference'!$A$8:$W$8,1,FLOOR(($A63-1)/23,1)+1)&amp;INDEX('Serial Reference'!$A$8:$W$8,1,MOD($A63-1,23)+1)&amp;TEXT(CS$2+FLOOR((CS$2-1)/9,1),"000"),"")</f>
        <v>CR106</v>
      </c>
      <c r="CT63" s="19" t="str">
        <f>IF(INDEX('Shot Map'!$B$6:$V$26,CEILING($A63/5,1),CEILING(CT$2/5,1))=1,INDEX('Serial Reference'!$A$8:$W$8,1,FLOOR(($A63-1)/23,1)+1)&amp;INDEX('Serial Reference'!$A$8:$W$8,1,MOD($A63-1,23)+1)&amp;TEXT(CT$2+FLOOR((CT$2-1)/9,1),"000"),"")</f>
        <v>CR107</v>
      </c>
      <c r="CU63" s="19" t="str">
        <f>IF(INDEX('Shot Map'!$B$6:$V$26,CEILING($A63/5,1),CEILING(CU$2/5,1))=1,INDEX('Serial Reference'!$A$8:$W$8,1,FLOOR(($A63-1)/23,1)+1)&amp;INDEX('Serial Reference'!$A$8:$W$8,1,MOD($A63-1,23)+1)&amp;TEXT(CU$2+FLOOR((CU$2-1)/9,1),"000"),"")</f>
        <v>CR108</v>
      </c>
      <c r="CV63" s="19" t="str">
        <f>IF(INDEX('Shot Map'!$B$6:$V$26,CEILING($A63/5,1),CEILING(CV$2/5,1))=1,INDEX('Serial Reference'!$A$8:$W$8,1,FLOOR(($A63-1)/23,1)+1)&amp;INDEX('Serial Reference'!$A$8:$W$8,1,MOD($A63-1,23)+1)&amp;TEXT(CV$2+FLOOR((CV$2-1)/9,1),"000"),"")</f>
        <v>CR109</v>
      </c>
      <c r="CW63" s="20" t="str">
        <f>IF(INDEX('Shot Map'!$B$6:$V$26,CEILING($A63/5,1),CEILING(CW$2/5,1))=1,INDEX('Serial Reference'!$A$8:$W$8,1,FLOOR(($A63-1)/23,1)+1)&amp;INDEX('Serial Reference'!$A$8:$W$8,1,MOD($A63-1,23)+1)&amp;TEXT(CW$2+FLOOR((CW$2-1)/9,1),"000"),"")</f>
        <v>CR111</v>
      </c>
      <c r="CX63" s="18" t="str">
        <f>IF(INDEX('Shot Map'!$B$6:$V$26,CEILING($A63/5,1),CEILING(CX$2/5,1))=1,INDEX('Serial Reference'!$A$8:$W$8,1,FLOOR(($A63-1)/23,1)+1)&amp;INDEX('Serial Reference'!$A$8:$W$8,1,MOD($A63-1,23)+1)&amp;TEXT(CX$2+FLOOR((CX$2-1)/9,1),"000"),"")</f>
        <v/>
      </c>
      <c r="CY63" s="19" t="str">
        <f>IF(INDEX('Shot Map'!$B$6:$V$26,CEILING($A63/5,1),CEILING(CY$2/5,1))=1,INDEX('Serial Reference'!$A$8:$W$8,1,FLOOR(($A63-1)/23,1)+1)&amp;INDEX('Serial Reference'!$A$8:$W$8,1,MOD($A63-1,23)+1)&amp;TEXT(CY$2+FLOOR((CY$2-1)/9,1),"000"),"")</f>
        <v/>
      </c>
      <c r="CZ63" s="19" t="str">
        <f>IF(INDEX('Shot Map'!$B$6:$V$26,CEILING($A63/5,1),CEILING(CZ$2/5,1))=1,INDEX('Serial Reference'!$A$8:$W$8,1,FLOOR(($A63-1)/23,1)+1)&amp;INDEX('Serial Reference'!$A$8:$W$8,1,MOD($A63-1,23)+1)&amp;TEXT(CZ$2+FLOOR((CZ$2-1)/9,1),"000"),"")</f>
        <v/>
      </c>
      <c r="DA63" s="19" t="str">
        <f>IF(INDEX('Shot Map'!$B$6:$V$26,CEILING($A63/5,1),CEILING(DA$2/5,1))=1,INDEX('Serial Reference'!$A$8:$W$8,1,FLOOR(($A63-1)/23,1)+1)&amp;INDEX('Serial Reference'!$A$8:$W$8,1,MOD($A63-1,23)+1)&amp;TEXT(DA$2+FLOOR((DA$2-1)/9,1),"000"),"")</f>
        <v/>
      </c>
      <c r="DB63" s="20" t="str">
        <f>IF(INDEX('Shot Map'!$B$6:$V$26,CEILING($A63/5,1),CEILING(DB$2/5,1))=1,INDEX('Serial Reference'!$A$8:$W$8,1,FLOOR(($A63-1)/23,1)+1)&amp;INDEX('Serial Reference'!$A$8:$W$8,1,MOD($A63-1,23)+1)&amp;TEXT(DB$2+FLOOR((DB$2-1)/9,1),"000"),"")</f>
        <v/>
      </c>
    </row>
    <row r="64" spans="1:106" ht="12.75" customHeight="1" x14ac:dyDescent="0.25">
      <c r="A64" s="17">
        <v>62</v>
      </c>
      <c r="B64" s="21" t="str">
        <f>IF(INDEX('Shot Map'!$B$6:$V$26,CEILING($A64/5,1),CEILING(B$2/5,1))=1,INDEX('Serial Reference'!$A$8:$W$8,1,FLOOR(($A64-1)/23,1)+1)&amp;INDEX('Serial Reference'!$A$8:$W$8,1,MOD($A64-1,23)+1)&amp;TEXT(B$2+FLOOR((B$2-1)/9,1),"000"),"")</f>
        <v/>
      </c>
      <c r="C64" s="22" t="str">
        <f>IF(INDEX('Shot Map'!$B$6:$V$26,CEILING($A64/5,1),CEILING(C$2/5,1))=1,INDEX('Serial Reference'!$A$8:$W$8,1,FLOOR(($A64-1)/23,1)+1)&amp;INDEX('Serial Reference'!$A$8:$W$8,1,MOD($A64-1,23)+1)&amp;TEXT(C$2+FLOOR((C$2-1)/9,1),"000"),"")</f>
        <v/>
      </c>
      <c r="D64" s="22" t="str">
        <f>IF(INDEX('Shot Map'!$B$6:$V$26,CEILING($A64/5,1),CEILING(D$2/5,1))=1,INDEX('Serial Reference'!$A$8:$W$8,1,FLOOR(($A64-1)/23,1)+1)&amp;INDEX('Serial Reference'!$A$8:$W$8,1,MOD($A64-1,23)+1)&amp;TEXT(D$2+FLOOR((D$2-1)/9,1),"000"),"")</f>
        <v/>
      </c>
      <c r="E64" s="22" t="str">
        <f>IF(INDEX('Shot Map'!$B$6:$V$26,CEILING($A64/5,1),CEILING(E$2/5,1))=1,INDEX('Serial Reference'!$A$8:$W$8,1,FLOOR(($A64-1)/23,1)+1)&amp;INDEX('Serial Reference'!$A$8:$W$8,1,MOD($A64-1,23)+1)&amp;TEXT(E$2+FLOOR((E$2-1)/9,1),"000"),"")</f>
        <v/>
      </c>
      <c r="F64" s="23" t="str">
        <f>IF(INDEX('Shot Map'!$B$6:$V$26,CEILING($A64/5,1),CEILING(F$2/5,1))=1,INDEX('Serial Reference'!$A$8:$W$8,1,FLOOR(($A64-1)/23,1)+1)&amp;INDEX('Serial Reference'!$A$8:$W$8,1,MOD($A64-1,23)+1)&amp;TEXT(F$2+FLOOR((F$2-1)/9,1),"000"),"")</f>
        <v/>
      </c>
      <c r="G64" s="21" t="str">
        <f>IF(INDEX('Shot Map'!$B$6:$V$26,CEILING($A64/5,1),CEILING(G$2/5,1))=1,INDEX('Serial Reference'!$A$8:$W$8,1,FLOOR(($A64-1)/23,1)+1)&amp;INDEX('Serial Reference'!$A$8:$W$8,1,MOD($A64-1,23)+1)&amp;TEXT(G$2+FLOOR((G$2-1)/9,1),"000"),"")</f>
        <v>CS006</v>
      </c>
      <c r="H64" s="22" t="str">
        <f>IF(INDEX('Shot Map'!$B$6:$V$26,CEILING($A64/5,1),CEILING(H$2/5,1))=1,INDEX('Serial Reference'!$A$8:$W$8,1,FLOOR(($A64-1)/23,1)+1)&amp;INDEX('Serial Reference'!$A$8:$W$8,1,MOD($A64-1,23)+1)&amp;TEXT(H$2+FLOOR((H$2-1)/9,1),"000"),"")</f>
        <v>CS007</v>
      </c>
      <c r="I64" s="22" t="str">
        <f>IF(INDEX('Shot Map'!$B$6:$V$26,CEILING($A64/5,1),CEILING(I$2/5,1))=1,INDEX('Serial Reference'!$A$8:$W$8,1,FLOOR(($A64-1)/23,1)+1)&amp;INDEX('Serial Reference'!$A$8:$W$8,1,MOD($A64-1,23)+1)&amp;TEXT(I$2+FLOOR((I$2-1)/9,1),"000"),"")</f>
        <v>CS008</v>
      </c>
      <c r="J64" s="22" t="str">
        <f>IF(INDEX('Shot Map'!$B$6:$V$26,CEILING($A64/5,1),CEILING(J$2/5,1))=1,INDEX('Serial Reference'!$A$8:$W$8,1,FLOOR(($A64-1)/23,1)+1)&amp;INDEX('Serial Reference'!$A$8:$W$8,1,MOD($A64-1,23)+1)&amp;TEXT(J$2+FLOOR((J$2-1)/9,1),"000"),"")</f>
        <v>CS009</v>
      </c>
      <c r="K64" s="23" t="str">
        <f>IF(INDEX('Shot Map'!$B$6:$V$26,CEILING($A64/5,1),CEILING(K$2/5,1))=1,INDEX('Serial Reference'!$A$8:$W$8,1,FLOOR(($A64-1)/23,1)+1)&amp;INDEX('Serial Reference'!$A$8:$W$8,1,MOD($A64-1,23)+1)&amp;TEXT(K$2+FLOOR((K$2-1)/9,1),"000"),"")</f>
        <v>CS011</v>
      </c>
      <c r="L64" s="21" t="str">
        <f>IF(INDEX('Shot Map'!$B$6:$V$26,CEILING($A64/5,1),CEILING(L$2/5,1))=1,INDEX('Serial Reference'!$A$8:$W$8,1,FLOOR(($A64-1)/23,1)+1)&amp;INDEX('Serial Reference'!$A$8:$W$8,1,MOD($A64-1,23)+1)&amp;TEXT(L$2+FLOOR((L$2-1)/9,1),"000"),"")</f>
        <v>CS012</v>
      </c>
      <c r="M64" s="22" t="str">
        <f>IF(INDEX('Shot Map'!$B$6:$V$26,CEILING($A64/5,1),CEILING(M$2/5,1))=1,INDEX('Serial Reference'!$A$8:$W$8,1,FLOOR(($A64-1)/23,1)+1)&amp;INDEX('Serial Reference'!$A$8:$W$8,1,MOD($A64-1,23)+1)&amp;TEXT(M$2+FLOOR((M$2-1)/9,1),"000"),"")</f>
        <v>CS013</v>
      </c>
      <c r="N64" s="22" t="str">
        <f>IF(INDEX('Shot Map'!$B$6:$V$26,CEILING($A64/5,1),CEILING(N$2/5,1))=1,INDEX('Serial Reference'!$A$8:$W$8,1,FLOOR(($A64-1)/23,1)+1)&amp;INDEX('Serial Reference'!$A$8:$W$8,1,MOD($A64-1,23)+1)&amp;TEXT(N$2+FLOOR((N$2-1)/9,1),"000"),"")</f>
        <v>CS014</v>
      </c>
      <c r="O64" s="22" t="str">
        <f>IF(INDEX('Shot Map'!$B$6:$V$26,CEILING($A64/5,1),CEILING(O$2/5,1))=1,INDEX('Serial Reference'!$A$8:$W$8,1,FLOOR(($A64-1)/23,1)+1)&amp;INDEX('Serial Reference'!$A$8:$W$8,1,MOD($A64-1,23)+1)&amp;TEXT(O$2+FLOOR((O$2-1)/9,1),"000"),"")</f>
        <v>CS015</v>
      </c>
      <c r="P64" s="23" t="str">
        <f>IF(INDEX('Shot Map'!$B$6:$V$26,CEILING($A64/5,1),CEILING(P$2/5,1))=1,INDEX('Serial Reference'!$A$8:$W$8,1,FLOOR(($A64-1)/23,1)+1)&amp;INDEX('Serial Reference'!$A$8:$W$8,1,MOD($A64-1,23)+1)&amp;TEXT(P$2+FLOOR((P$2-1)/9,1),"000"),"")</f>
        <v>CS016</v>
      </c>
      <c r="Q64" s="21" t="str">
        <f>IF(INDEX('Shot Map'!$B$6:$V$26,CEILING($A64/5,1),CEILING(Q$2/5,1))=1,INDEX('Serial Reference'!$A$8:$W$8,1,FLOOR(($A64-1)/23,1)+1)&amp;INDEX('Serial Reference'!$A$8:$W$8,1,MOD($A64-1,23)+1)&amp;TEXT(Q$2+FLOOR((Q$2-1)/9,1),"000"),"")</f>
        <v>CS017</v>
      </c>
      <c r="R64" s="22" t="str">
        <f>IF(INDEX('Shot Map'!$B$6:$V$26,CEILING($A64/5,1),CEILING(R$2/5,1))=1,INDEX('Serial Reference'!$A$8:$W$8,1,FLOOR(($A64-1)/23,1)+1)&amp;INDEX('Serial Reference'!$A$8:$W$8,1,MOD($A64-1,23)+1)&amp;TEXT(R$2+FLOOR((R$2-1)/9,1),"000"),"")</f>
        <v>CS018</v>
      </c>
      <c r="S64" s="22" t="str">
        <f>IF(INDEX('Shot Map'!$B$6:$V$26,CEILING($A64/5,1),CEILING(S$2/5,1))=1,INDEX('Serial Reference'!$A$8:$W$8,1,FLOOR(($A64-1)/23,1)+1)&amp;INDEX('Serial Reference'!$A$8:$W$8,1,MOD($A64-1,23)+1)&amp;TEXT(S$2+FLOOR((S$2-1)/9,1),"000"),"")</f>
        <v>CS019</v>
      </c>
      <c r="T64" s="22" t="str">
        <f>IF(INDEX('Shot Map'!$B$6:$V$26,CEILING($A64/5,1),CEILING(T$2/5,1))=1,INDEX('Serial Reference'!$A$8:$W$8,1,FLOOR(($A64-1)/23,1)+1)&amp;INDEX('Serial Reference'!$A$8:$W$8,1,MOD($A64-1,23)+1)&amp;TEXT(T$2+FLOOR((T$2-1)/9,1),"000"),"")</f>
        <v>CS021</v>
      </c>
      <c r="U64" s="23" t="str">
        <f>IF(INDEX('Shot Map'!$B$6:$V$26,CEILING($A64/5,1),CEILING(U$2/5,1))=1,INDEX('Serial Reference'!$A$8:$W$8,1,FLOOR(($A64-1)/23,1)+1)&amp;INDEX('Serial Reference'!$A$8:$W$8,1,MOD($A64-1,23)+1)&amp;TEXT(U$2+FLOOR((U$2-1)/9,1),"000"),"")</f>
        <v>CS022</v>
      </c>
      <c r="V64" s="21" t="str">
        <f>IF(INDEX('Shot Map'!$B$6:$V$26,CEILING($A64/5,1),CEILING(V$2/5,1))=1,INDEX('Serial Reference'!$A$8:$W$8,1,FLOOR(($A64-1)/23,1)+1)&amp;INDEX('Serial Reference'!$A$8:$W$8,1,MOD($A64-1,23)+1)&amp;TEXT(V$2+FLOOR((V$2-1)/9,1),"000"),"")</f>
        <v>CS023</v>
      </c>
      <c r="W64" s="22" t="str">
        <f>IF(INDEX('Shot Map'!$B$6:$V$26,CEILING($A64/5,1),CEILING(W$2/5,1))=1,INDEX('Serial Reference'!$A$8:$W$8,1,FLOOR(($A64-1)/23,1)+1)&amp;INDEX('Serial Reference'!$A$8:$W$8,1,MOD($A64-1,23)+1)&amp;TEXT(W$2+FLOOR((W$2-1)/9,1),"000"),"")</f>
        <v>CS024</v>
      </c>
      <c r="X64" s="22" t="str">
        <f>IF(INDEX('Shot Map'!$B$6:$V$26,CEILING($A64/5,1),CEILING(X$2/5,1))=1,INDEX('Serial Reference'!$A$8:$W$8,1,FLOOR(($A64-1)/23,1)+1)&amp;INDEX('Serial Reference'!$A$8:$W$8,1,MOD($A64-1,23)+1)&amp;TEXT(X$2+FLOOR((X$2-1)/9,1),"000"),"")</f>
        <v>CS025</v>
      </c>
      <c r="Y64" s="22" t="str">
        <f>IF(INDEX('Shot Map'!$B$6:$V$26,CEILING($A64/5,1),CEILING(Y$2/5,1))=1,INDEX('Serial Reference'!$A$8:$W$8,1,FLOOR(($A64-1)/23,1)+1)&amp;INDEX('Serial Reference'!$A$8:$W$8,1,MOD($A64-1,23)+1)&amp;TEXT(Y$2+FLOOR((Y$2-1)/9,1),"000"),"")</f>
        <v>CS026</v>
      </c>
      <c r="Z64" s="23" t="str">
        <f>IF(INDEX('Shot Map'!$B$6:$V$26,CEILING($A64/5,1),CEILING(Z$2/5,1))=1,INDEX('Serial Reference'!$A$8:$W$8,1,FLOOR(($A64-1)/23,1)+1)&amp;INDEX('Serial Reference'!$A$8:$W$8,1,MOD($A64-1,23)+1)&amp;TEXT(Z$2+FLOOR((Z$2-1)/9,1),"000"),"")</f>
        <v>CS027</v>
      </c>
      <c r="AA64" s="21" t="str">
        <f>IF(INDEX('Shot Map'!$B$6:$V$26,CEILING($A64/5,1),CEILING(AA$2/5,1))=1,INDEX('Serial Reference'!$A$8:$W$8,1,FLOOR(($A64-1)/23,1)+1)&amp;INDEX('Serial Reference'!$A$8:$W$8,1,MOD($A64-1,23)+1)&amp;TEXT(AA$2+FLOOR((AA$2-1)/9,1),"000"),"")</f>
        <v>CS028</v>
      </c>
      <c r="AB64" s="22" t="str">
        <f>IF(INDEX('Shot Map'!$B$6:$V$26,CEILING($A64/5,1),CEILING(AB$2/5,1))=1,INDEX('Serial Reference'!$A$8:$W$8,1,FLOOR(($A64-1)/23,1)+1)&amp;INDEX('Serial Reference'!$A$8:$W$8,1,MOD($A64-1,23)+1)&amp;TEXT(AB$2+FLOOR((AB$2-1)/9,1),"000"),"")</f>
        <v>CS029</v>
      </c>
      <c r="AC64" s="22" t="str">
        <f>IF(INDEX('Shot Map'!$B$6:$V$26,CEILING($A64/5,1),CEILING(AC$2/5,1))=1,INDEX('Serial Reference'!$A$8:$W$8,1,FLOOR(($A64-1)/23,1)+1)&amp;INDEX('Serial Reference'!$A$8:$W$8,1,MOD($A64-1,23)+1)&amp;TEXT(AC$2+FLOOR((AC$2-1)/9,1),"000"),"")</f>
        <v>CS031</v>
      </c>
      <c r="AD64" s="22" t="str">
        <f>IF(INDEX('Shot Map'!$B$6:$V$26,CEILING($A64/5,1),CEILING(AD$2/5,1))=1,INDEX('Serial Reference'!$A$8:$W$8,1,FLOOR(($A64-1)/23,1)+1)&amp;INDEX('Serial Reference'!$A$8:$W$8,1,MOD($A64-1,23)+1)&amp;TEXT(AD$2+FLOOR((AD$2-1)/9,1),"000"),"")</f>
        <v>CS032</v>
      </c>
      <c r="AE64" s="23" t="str">
        <f>IF(INDEX('Shot Map'!$B$6:$V$26,CEILING($A64/5,1),CEILING(AE$2/5,1))=1,INDEX('Serial Reference'!$A$8:$W$8,1,FLOOR(($A64-1)/23,1)+1)&amp;INDEX('Serial Reference'!$A$8:$W$8,1,MOD($A64-1,23)+1)&amp;TEXT(AE$2+FLOOR((AE$2-1)/9,1),"000"),"")</f>
        <v>CS033</v>
      </c>
      <c r="AF64" s="21" t="str">
        <f>IF(INDEX('Shot Map'!$B$6:$V$26,CEILING($A64/5,1),CEILING(AF$2/5,1))=1,INDEX('Serial Reference'!$A$8:$W$8,1,FLOOR(($A64-1)/23,1)+1)&amp;INDEX('Serial Reference'!$A$8:$W$8,1,MOD($A64-1,23)+1)&amp;TEXT(AF$2+FLOOR((AF$2-1)/9,1),"000"),"")</f>
        <v>CS034</v>
      </c>
      <c r="AG64" s="22" t="str">
        <f>IF(INDEX('Shot Map'!$B$6:$V$26,CEILING($A64/5,1),CEILING(AG$2/5,1))=1,INDEX('Serial Reference'!$A$8:$W$8,1,FLOOR(($A64-1)/23,1)+1)&amp;INDEX('Serial Reference'!$A$8:$W$8,1,MOD($A64-1,23)+1)&amp;TEXT(AG$2+FLOOR((AG$2-1)/9,1),"000"),"")</f>
        <v>CS035</v>
      </c>
      <c r="AH64" s="22" t="str">
        <f>IF(INDEX('Shot Map'!$B$6:$V$26,CEILING($A64/5,1),CEILING(AH$2/5,1))=1,INDEX('Serial Reference'!$A$8:$W$8,1,FLOOR(($A64-1)/23,1)+1)&amp;INDEX('Serial Reference'!$A$8:$W$8,1,MOD($A64-1,23)+1)&amp;TEXT(AH$2+FLOOR((AH$2-1)/9,1),"000"),"")</f>
        <v>CS036</v>
      </c>
      <c r="AI64" s="22" t="str">
        <f>IF(INDEX('Shot Map'!$B$6:$V$26,CEILING($A64/5,1),CEILING(AI$2/5,1))=1,INDEX('Serial Reference'!$A$8:$W$8,1,FLOOR(($A64-1)/23,1)+1)&amp;INDEX('Serial Reference'!$A$8:$W$8,1,MOD($A64-1,23)+1)&amp;TEXT(AI$2+FLOOR((AI$2-1)/9,1),"000"),"")</f>
        <v>CS037</v>
      </c>
      <c r="AJ64" s="23" t="str">
        <f>IF(INDEX('Shot Map'!$B$6:$V$26,CEILING($A64/5,1),CEILING(AJ$2/5,1))=1,INDEX('Serial Reference'!$A$8:$W$8,1,FLOOR(($A64-1)/23,1)+1)&amp;INDEX('Serial Reference'!$A$8:$W$8,1,MOD($A64-1,23)+1)&amp;TEXT(AJ$2+FLOOR((AJ$2-1)/9,1),"000"),"")</f>
        <v>CS038</v>
      </c>
      <c r="AK64" s="21" t="str">
        <f>IF(INDEX('Shot Map'!$B$6:$V$26,CEILING($A64/5,1),CEILING(AK$2/5,1))=1,INDEX('Serial Reference'!$A$8:$W$8,1,FLOOR(($A64-1)/23,1)+1)&amp;INDEX('Serial Reference'!$A$8:$W$8,1,MOD($A64-1,23)+1)&amp;TEXT(AK$2+FLOOR((AK$2-1)/9,1),"000"),"")</f>
        <v>CS039</v>
      </c>
      <c r="AL64" s="22" t="str">
        <f>IF(INDEX('Shot Map'!$B$6:$V$26,CEILING($A64/5,1),CEILING(AL$2/5,1))=1,INDEX('Serial Reference'!$A$8:$W$8,1,FLOOR(($A64-1)/23,1)+1)&amp;INDEX('Serial Reference'!$A$8:$W$8,1,MOD($A64-1,23)+1)&amp;TEXT(AL$2+FLOOR((AL$2-1)/9,1),"000"),"")</f>
        <v>CS041</v>
      </c>
      <c r="AM64" s="22" t="str">
        <f>IF(INDEX('Shot Map'!$B$6:$V$26,CEILING($A64/5,1),CEILING(AM$2/5,1))=1,INDEX('Serial Reference'!$A$8:$W$8,1,FLOOR(($A64-1)/23,1)+1)&amp;INDEX('Serial Reference'!$A$8:$W$8,1,MOD($A64-1,23)+1)&amp;TEXT(AM$2+FLOOR((AM$2-1)/9,1),"000"),"")</f>
        <v>CS042</v>
      </c>
      <c r="AN64" s="22" t="str">
        <f>IF(INDEX('Shot Map'!$B$6:$V$26,CEILING($A64/5,1),CEILING(AN$2/5,1))=1,INDEX('Serial Reference'!$A$8:$W$8,1,FLOOR(($A64-1)/23,1)+1)&amp;INDEX('Serial Reference'!$A$8:$W$8,1,MOD($A64-1,23)+1)&amp;TEXT(AN$2+FLOOR((AN$2-1)/9,1),"000"),"")</f>
        <v>CS043</v>
      </c>
      <c r="AO64" s="23" t="str">
        <f>IF(INDEX('Shot Map'!$B$6:$V$26,CEILING($A64/5,1),CEILING(AO$2/5,1))=1,INDEX('Serial Reference'!$A$8:$W$8,1,FLOOR(($A64-1)/23,1)+1)&amp;INDEX('Serial Reference'!$A$8:$W$8,1,MOD($A64-1,23)+1)&amp;TEXT(AO$2+FLOOR((AO$2-1)/9,1),"000"),"")</f>
        <v>CS044</v>
      </c>
      <c r="AP64" s="21" t="str">
        <f>IF(INDEX('Shot Map'!$B$6:$V$26,CEILING($A64/5,1),CEILING(AP$2/5,1))=1,INDEX('Serial Reference'!$A$8:$W$8,1,FLOOR(($A64-1)/23,1)+1)&amp;INDEX('Serial Reference'!$A$8:$W$8,1,MOD($A64-1,23)+1)&amp;TEXT(AP$2+FLOOR((AP$2-1)/9,1),"000"),"")</f>
        <v>CS045</v>
      </c>
      <c r="AQ64" s="22" t="str">
        <f>IF(INDEX('Shot Map'!$B$6:$V$26,CEILING($A64/5,1),CEILING(AQ$2/5,1))=1,INDEX('Serial Reference'!$A$8:$W$8,1,FLOOR(($A64-1)/23,1)+1)&amp;INDEX('Serial Reference'!$A$8:$W$8,1,MOD($A64-1,23)+1)&amp;TEXT(AQ$2+FLOOR((AQ$2-1)/9,1),"000"),"")</f>
        <v>CS046</v>
      </c>
      <c r="AR64" s="22" t="str">
        <f>IF(INDEX('Shot Map'!$B$6:$V$26,CEILING($A64/5,1),CEILING(AR$2/5,1))=1,INDEX('Serial Reference'!$A$8:$W$8,1,FLOOR(($A64-1)/23,1)+1)&amp;INDEX('Serial Reference'!$A$8:$W$8,1,MOD($A64-1,23)+1)&amp;TEXT(AR$2+FLOOR((AR$2-1)/9,1),"000"),"")</f>
        <v>CS047</v>
      </c>
      <c r="AS64" s="22" t="str">
        <f>IF(INDEX('Shot Map'!$B$6:$V$26,CEILING($A64/5,1),CEILING(AS$2/5,1))=1,INDEX('Serial Reference'!$A$8:$W$8,1,FLOOR(($A64-1)/23,1)+1)&amp;INDEX('Serial Reference'!$A$8:$W$8,1,MOD($A64-1,23)+1)&amp;TEXT(AS$2+FLOOR((AS$2-1)/9,1),"000"),"")</f>
        <v>CS048</v>
      </c>
      <c r="AT64" s="23" t="str">
        <f>IF(INDEX('Shot Map'!$B$6:$V$26,CEILING($A64/5,1),CEILING(AT$2/5,1))=1,INDEX('Serial Reference'!$A$8:$W$8,1,FLOOR(($A64-1)/23,1)+1)&amp;INDEX('Serial Reference'!$A$8:$W$8,1,MOD($A64-1,23)+1)&amp;TEXT(AT$2+FLOOR((AT$2-1)/9,1),"000"),"")</f>
        <v>CS049</v>
      </c>
      <c r="AU64" s="21" t="str">
        <f>IF(INDEX('Shot Map'!$B$6:$V$26,CEILING($A64/5,1),CEILING(AU$2/5,1))=1,INDEX('Serial Reference'!$A$8:$W$8,1,FLOOR(($A64-1)/23,1)+1)&amp;INDEX('Serial Reference'!$A$8:$W$8,1,MOD($A64-1,23)+1)&amp;TEXT(AU$2+FLOOR((AU$2-1)/9,1),"000"),"")</f>
        <v>CS051</v>
      </c>
      <c r="AV64" s="22" t="str">
        <f>IF(INDEX('Shot Map'!$B$6:$V$26,CEILING($A64/5,1),CEILING(AV$2/5,1))=1,INDEX('Serial Reference'!$A$8:$W$8,1,FLOOR(($A64-1)/23,1)+1)&amp;INDEX('Serial Reference'!$A$8:$W$8,1,MOD($A64-1,23)+1)&amp;TEXT(AV$2+FLOOR((AV$2-1)/9,1),"000"),"")</f>
        <v>CS052</v>
      </c>
      <c r="AW64" s="22" t="str">
        <f>IF(INDEX('Shot Map'!$B$6:$V$26,CEILING($A64/5,1),CEILING(AW$2/5,1))=1,INDEX('Serial Reference'!$A$8:$W$8,1,FLOOR(($A64-1)/23,1)+1)&amp;INDEX('Serial Reference'!$A$8:$W$8,1,MOD($A64-1,23)+1)&amp;TEXT(AW$2+FLOOR((AW$2-1)/9,1),"000"),"")</f>
        <v>CS053</v>
      </c>
      <c r="AX64" s="22" t="str">
        <f>IF(INDEX('Shot Map'!$B$6:$V$26,CEILING($A64/5,1),CEILING(AX$2/5,1))=1,INDEX('Serial Reference'!$A$8:$W$8,1,FLOOR(($A64-1)/23,1)+1)&amp;INDEX('Serial Reference'!$A$8:$W$8,1,MOD($A64-1,23)+1)&amp;TEXT(AX$2+FLOOR((AX$2-1)/9,1),"000"),"")</f>
        <v>CS054</v>
      </c>
      <c r="AY64" s="23" t="str">
        <f>IF(INDEX('Shot Map'!$B$6:$V$26,CEILING($A64/5,1),CEILING(AY$2/5,1))=1,INDEX('Serial Reference'!$A$8:$W$8,1,FLOOR(($A64-1)/23,1)+1)&amp;INDEX('Serial Reference'!$A$8:$W$8,1,MOD($A64-1,23)+1)&amp;TEXT(AY$2+FLOOR((AY$2-1)/9,1),"000"),"")</f>
        <v>CS055</v>
      </c>
      <c r="AZ64" s="21" t="str">
        <f>IF(INDEX('Shot Map'!$B$6:$V$26,CEILING($A64/5,1),CEILING(AZ$2/5,1))=1,INDEX('Serial Reference'!$A$8:$W$8,1,FLOOR(($A64-1)/23,1)+1)&amp;INDEX('Serial Reference'!$A$8:$W$8,1,MOD($A64-1,23)+1)&amp;TEXT(AZ$2+FLOOR((AZ$2-1)/9,1),"000"),"")</f>
        <v>CS056</v>
      </c>
      <c r="BA64" s="22" t="str">
        <f>IF(INDEX('Shot Map'!$B$6:$V$26,CEILING($A64/5,1),CEILING(BA$2/5,1))=1,INDEX('Serial Reference'!$A$8:$W$8,1,FLOOR(($A64-1)/23,1)+1)&amp;INDEX('Serial Reference'!$A$8:$W$8,1,MOD($A64-1,23)+1)&amp;TEXT(BA$2+FLOOR((BA$2-1)/9,1),"000"),"")</f>
        <v>CS057</v>
      </c>
      <c r="BB64" s="22" t="str">
        <f>IF(INDEX('Shot Map'!$B$6:$V$26,CEILING($A64/5,1),CEILING(BB$2/5,1))=1,INDEX('Serial Reference'!$A$8:$W$8,1,FLOOR(($A64-1)/23,1)+1)&amp;INDEX('Serial Reference'!$A$8:$W$8,1,MOD($A64-1,23)+1)&amp;TEXT(BB$2+FLOOR((BB$2-1)/9,1),"000"),"")</f>
        <v>CS058</v>
      </c>
      <c r="BC64" s="22" t="str">
        <f>IF(INDEX('Shot Map'!$B$6:$V$26,CEILING($A64/5,1),CEILING(BC$2/5,1))=1,INDEX('Serial Reference'!$A$8:$W$8,1,FLOOR(($A64-1)/23,1)+1)&amp;INDEX('Serial Reference'!$A$8:$W$8,1,MOD($A64-1,23)+1)&amp;TEXT(BC$2+FLOOR((BC$2-1)/9,1),"000"),"")</f>
        <v>CS059</v>
      </c>
      <c r="BD64" s="23" t="str">
        <f>IF(INDEX('Shot Map'!$B$6:$V$26,CEILING($A64/5,1),CEILING(BD$2/5,1))=1,INDEX('Serial Reference'!$A$8:$W$8,1,FLOOR(($A64-1)/23,1)+1)&amp;INDEX('Serial Reference'!$A$8:$W$8,1,MOD($A64-1,23)+1)&amp;TEXT(BD$2+FLOOR((BD$2-1)/9,1),"000"),"")</f>
        <v>CS061</v>
      </c>
      <c r="BE64" s="21" t="str">
        <f>IF(INDEX('Shot Map'!$B$6:$V$26,CEILING($A64/5,1),CEILING(BE$2/5,1))=1,INDEX('Serial Reference'!$A$8:$W$8,1,FLOOR(($A64-1)/23,1)+1)&amp;INDEX('Serial Reference'!$A$8:$W$8,1,MOD($A64-1,23)+1)&amp;TEXT(BE$2+FLOOR((BE$2-1)/9,1),"000"),"")</f>
        <v>CS062</v>
      </c>
      <c r="BF64" s="22" t="str">
        <f>IF(INDEX('Shot Map'!$B$6:$V$26,CEILING($A64/5,1),CEILING(BF$2/5,1))=1,INDEX('Serial Reference'!$A$8:$W$8,1,FLOOR(($A64-1)/23,1)+1)&amp;INDEX('Serial Reference'!$A$8:$W$8,1,MOD($A64-1,23)+1)&amp;TEXT(BF$2+FLOOR((BF$2-1)/9,1),"000"),"")</f>
        <v>CS063</v>
      </c>
      <c r="BG64" s="22" t="str">
        <f>IF(INDEX('Shot Map'!$B$6:$V$26,CEILING($A64/5,1),CEILING(BG$2/5,1))=1,INDEX('Serial Reference'!$A$8:$W$8,1,FLOOR(($A64-1)/23,1)+1)&amp;INDEX('Serial Reference'!$A$8:$W$8,1,MOD($A64-1,23)+1)&amp;TEXT(BG$2+FLOOR((BG$2-1)/9,1),"000"),"")</f>
        <v>CS064</v>
      </c>
      <c r="BH64" s="22" t="str">
        <f>IF(INDEX('Shot Map'!$B$6:$V$26,CEILING($A64/5,1),CEILING(BH$2/5,1))=1,INDEX('Serial Reference'!$A$8:$W$8,1,FLOOR(($A64-1)/23,1)+1)&amp;INDEX('Serial Reference'!$A$8:$W$8,1,MOD($A64-1,23)+1)&amp;TEXT(BH$2+FLOOR((BH$2-1)/9,1),"000"),"")</f>
        <v>CS065</v>
      </c>
      <c r="BI64" s="23" t="str">
        <f>IF(INDEX('Shot Map'!$B$6:$V$26,CEILING($A64/5,1),CEILING(BI$2/5,1))=1,INDEX('Serial Reference'!$A$8:$W$8,1,FLOOR(($A64-1)/23,1)+1)&amp;INDEX('Serial Reference'!$A$8:$W$8,1,MOD($A64-1,23)+1)&amp;TEXT(BI$2+FLOOR((BI$2-1)/9,1),"000"),"")</f>
        <v>CS066</v>
      </c>
      <c r="BJ64" s="21" t="str">
        <f>IF(INDEX('Shot Map'!$B$6:$V$26,CEILING($A64/5,1),CEILING(BJ$2/5,1))=1,INDEX('Serial Reference'!$A$8:$W$8,1,FLOOR(($A64-1)/23,1)+1)&amp;INDEX('Serial Reference'!$A$8:$W$8,1,MOD($A64-1,23)+1)&amp;TEXT(BJ$2+FLOOR((BJ$2-1)/9,1),"000"),"")</f>
        <v>CS067</v>
      </c>
      <c r="BK64" s="22" t="str">
        <f>IF(INDEX('Shot Map'!$B$6:$V$26,CEILING($A64/5,1),CEILING(BK$2/5,1))=1,INDEX('Serial Reference'!$A$8:$W$8,1,FLOOR(($A64-1)/23,1)+1)&amp;INDEX('Serial Reference'!$A$8:$W$8,1,MOD($A64-1,23)+1)&amp;TEXT(BK$2+FLOOR((BK$2-1)/9,1),"000"),"")</f>
        <v>CS068</v>
      </c>
      <c r="BL64" s="22" t="str">
        <f>IF(INDEX('Shot Map'!$B$6:$V$26,CEILING($A64/5,1),CEILING(BL$2/5,1))=1,INDEX('Serial Reference'!$A$8:$W$8,1,FLOOR(($A64-1)/23,1)+1)&amp;INDEX('Serial Reference'!$A$8:$W$8,1,MOD($A64-1,23)+1)&amp;TEXT(BL$2+FLOOR((BL$2-1)/9,1),"000"),"")</f>
        <v>CS069</v>
      </c>
      <c r="BM64" s="22" t="str">
        <f>IF(INDEX('Shot Map'!$B$6:$V$26,CEILING($A64/5,1),CEILING(BM$2/5,1))=1,INDEX('Serial Reference'!$A$8:$W$8,1,FLOOR(($A64-1)/23,1)+1)&amp;INDEX('Serial Reference'!$A$8:$W$8,1,MOD($A64-1,23)+1)&amp;TEXT(BM$2+FLOOR((BM$2-1)/9,1),"000"),"")</f>
        <v>CS071</v>
      </c>
      <c r="BN64" s="23" t="str">
        <f>IF(INDEX('Shot Map'!$B$6:$V$26,CEILING($A64/5,1),CEILING(BN$2/5,1))=1,INDEX('Serial Reference'!$A$8:$W$8,1,FLOOR(($A64-1)/23,1)+1)&amp;INDEX('Serial Reference'!$A$8:$W$8,1,MOD($A64-1,23)+1)&amp;TEXT(BN$2+FLOOR((BN$2-1)/9,1),"000"),"")</f>
        <v>CS072</v>
      </c>
      <c r="BO64" s="21" t="str">
        <f>IF(INDEX('Shot Map'!$B$6:$V$26,CEILING($A64/5,1),CEILING(BO$2/5,1))=1,INDEX('Serial Reference'!$A$8:$W$8,1,FLOOR(($A64-1)/23,1)+1)&amp;INDEX('Serial Reference'!$A$8:$W$8,1,MOD($A64-1,23)+1)&amp;TEXT(BO$2+FLOOR((BO$2-1)/9,1),"000"),"")</f>
        <v>CS073</v>
      </c>
      <c r="BP64" s="22" t="str">
        <f>IF(INDEX('Shot Map'!$B$6:$V$26,CEILING($A64/5,1),CEILING(BP$2/5,1))=1,INDEX('Serial Reference'!$A$8:$W$8,1,FLOOR(($A64-1)/23,1)+1)&amp;INDEX('Serial Reference'!$A$8:$W$8,1,MOD($A64-1,23)+1)&amp;TEXT(BP$2+FLOOR((BP$2-1)/9,1),"000"),"")</f>
        <v>CS074</v>
      </c>
      <c r="BQ64" s="22" t="str">
        <f>IF(INDEX('Shot Map'!$B$6:$V$26,CEILING($A64/5,1),CEILING(BQ$2/5,1))=1,INDEX('Serial Reference'!$A$8:$W$8,1,FLOOR(($A64-1)/23,1)+1)&amp;INDEX('Serial Reference'!$A$8:$W$8,1,MOD($A64-1,23)+1)&amp;TEXT(BQ$2+FLOOR((BQ$2-1)/9,1),"000"),"")</f>
        <v>CS075</v>
      </c>
      <c r="BR64" s="22" t="str">
        <f>IF(INDEX('Shot Map'!$B$6:$V$26,CEILING($A64/5,1),CEILING(BR$2/5,1))=1,INDEX('Serial Reference'!$A$8:$W$8,1,FLOOR(($A64-1)/23,1)+1)&amp;INDEX('Serial Reference'!$A$8:$W$8,1,MOD($A64-1,23)+1)&amp;TEXT(BR$2+FLOOR((BR$2-1)/9,1),"000"),"")</f>
        <v>CS076</v>
      </c>
      <c r="BS64" s="23" t="str">
        <f>IF(INDEX('Shot Map'!$B$6:$V$26,CEILING($A64/5,1),CEILING(BS$2/5,1))=1,INDEX('Serial Reference'!$A$8:$W$8,1,FLOOR(($A64-1)/23,1)+1)&amp;INDEX('Serial Reference'!$A$8:$W$8,1,MOD($A64-1,23)+1)&amp;TEXT(BS$2+FLOOR((BS$2-1)/9,1),"000"),"")</f>
        <v>CS077</v>
      </c>
      <c r="BT64" s="21" t="str">
        <f>IF(INDEX('Shot Map'!$B$6:$V$26,CEILING($A64/5,1),CEILING(BT$2/5,1))=1,INDEX('Serial Reference'!$A$8:$W$8,1,FLOOR(($A64-1)/23,1)+1)&amp;INDEX('Serial Reference'!$A$8:$W$8,1,MOD($A64-1,23)+1)&amp;TEXT(BT$2+FLOOR((BT$2-1)/9,1),"000"),"")</f>
        <v>CS078</v>
      </c>
      <c r="BU64" s="22" t="str">
        <f>IF(INDEX('Shot Map'!$B$6:$V$26,CEILING($A64/5,1),CEILING(BU$2/5,1))=1,INDEX('Serial Reference'!$A$8:$W$8,1,FLOOR(($A64-1)/23,1)+1)&amp;INDEX('Serial Reference'!$A$8:$W$8,1,MOD($A64-1,23)+1)&amp;TEXT(BU$2+FLOOR((BU$2-1)/9,1),"000"),"")</f>
        <v>CS079</v>
      </c>
      <c r="BV64" s="22" t="str">
        <f>IF(INDEX('Shot Map'!$B$6:$V$26,CEILING($A64/5,1),CEILING(BV$2/5,1))=1,INDEX('Serial Reference'!$A$8:$W$8,1,FLOOR(($A64-1)/23,1)+1)&amp;INDEX('Serial Reference'!$A$8:$W$8,1,MOD($A64-1,23)+1)&amp;TEXT(BV$2+FLOOR((BV$2-1)/9,1),"000"),"")</f>
        <v>CS081</v>
      </c>
      <c r="BW64" s="22" t="str">
        <f>IF(INDEX('Shot Map'!$B$6:$V$26,CEILING($A64/5,1),CEILING(BW$2/5,1))=1,INDEX('Serial Reference'!$A$8:$W$8,1,FLOOR(($A64-1)/23,1)+1)&amp;INDEX('Serial Reference'!$A$8:$W$8,1,MOD($A64-1,23)+1)&amp;TEXT(BW$2+FLOOR((BW$2-1)/9,1),"000"),"")</f>
        <v>CS082</v>
      </c>
      <c r="BX64" s="23" t="str">
        <f>IF(INDEX('Shot Map'!$B$6:$V$26,CEILING($A64/5,1),CEILING(BX$2/5,1))=1,INDEX('Serial Reference'!$A$8:$W$8,1,FLOOR(($A64-1)/23,1)+1)&amp;INDEX('Serial Reference'!$A$8:$W$8,1,MOD($A64-1,23)+1)&amp;TEXT(BX$2+FLOOR((BX$2-1)/9,1),"000"),"")</f>
        <v>CS083</v>
      </c>
      <c r="BY64" s="21" t="str">
        <f>IF(INDEX('Shot Map'!$B$6:$V$26,CEILING($A64/5,1),CEILING(BY$2/5,1))=1,INDEX('Serial Reference'!$A$8:$W$8,1,FLOOR(($A64-1)/23,1)+1)&amp;INDEX('Serial Reference'!$A$8:$W$8,1,MOD($A64-1,23)+1)&amp;TEXT(BY$2+FLOOR((BY$2-1)/9,1),"000"),"")</f>
        <v>CS084</v>
      </c>
      <c r="BZ64" s="22" t="str">
        <f>IF(INDEX('Shot Map'!$B$6:$V$26,CEILING($A64/5,1),CEILING(BZ$2/5,1))=1,INDEX('Serial Reference'!$A$8:$W$8,1,FLOOR(($A64-1)/23,1)+1)&amp;INDEX('Serial Reference'!$A$8:$W$8,1,MOD($A64-1,23)+1)&amp;TEXT(BZ$2+FLOOR((BZ$2-1)/9,1),"000"),"")</f>
        <v>CS085</v>
      </c>
      <c r="CA64" s="22" t="str">
        <f>IF(INDEX('Shot Map'!$B$6:$V$26,CEILING($A64/5,1),CEILING(CA$2/5,1))=1,INDEX('Serial Reference'!$A$8:$W$8,1,FLOOR(($A64-1)/23,1)+1)&amp;INDEX('Serial Reference'!$A$8:$W$8,1,MOD($A64-1,23)+1)&amp;TEXT(CA$2+FLOOR((CA$2-1)/9,1),"000"),"")</f>
        <v>CS086</v>
      </c>
      <c r="CB64" s="22" t="str">
        <f>IF(INDEX('Shot Map'!$B$6:$V$26,CEILING($A64/5,1),CEILING(CB$2/5,1))=1,INDEX('Serial Reference'!$A$8:$W$8,1,FLOOR(($A64-1)/23,1)+1)&amp;INDEX('Serial Reference'!$A$8:$W$8,1,MOD($A64-1,23)+1)&amp;TEXT(CB$2+FLOOR((CB$2-1)/9,1),"000"),"")</f>
        <v>CS087</v>
      </c>
      <c r="CC64" s="23" t="str">
        <f>IF(INDEX('Shot Map'!$B$6:$V$26,CEILING($A64/5,1),CEILING(CC$2/5,1))=1,INDEX('Serial Reference'!$A$8:$W$8,1,FLOOR(($A64-1)/23,1)+1)&amp;INDEX('Serial Reference'!$A$8:$W$8,1,MOD($A64-1,23)+1)&amp;TEXT(CC$2+FLOOR((CC$2-1)/9,1),"000"),"")</f>
        <v>CS088</v>
      </c>
      <c r="CD64" s="21" t="str">
        <f>IF(INDEX('Shot Map'!$B$6:$V$26,CEILING($A64/5,1),CEILING(CD$2/5,1))=1,INDEX('Serial Reference'!$A$8:$W$8,1,FLOOR(($A64-1)/23,1)+1)&amp;INDEX('Serial Reference'!$A$8:$W$8,1,MOD($A64-1,23)+1)&amp;TEXT(CD$2+FLOOR((CD$2-1)/9,1),"000"),"")</f>
        <v>CS089</v>
      </c>
      <c r="CE64" s="22" t="str">
        <f>IF(INDEX('Shot Map'!$B$6:$V$26,CEILING($A64/5,1),CEILING(CE$2/5,1))=1,INDEX('Serial Reference'!$A$8:$W$8,1,FLOOR(($A64-1)/23,1)+1)&amp;INDEX('Serial Reference'!$A$8:$W$8,1,MOD($A64-1,23)+1)&amp;TEXT(CE$2+FLOOR((CE$2-1)/9,1),"000"),"")</f>
        <v>CS091</v>
      </c>
      <c r="CF64" s="22" t="str">
        <f>IF(INDEX('Shot Map'!$B$6:$V$26,CEILING($A64/5,1),CEILING(CF$2/5,1))=1,INDEX('Serial Reference'!$A$8:$W$8,1,FLOOR(($A64-1)/23,1)+1)&amp;INDEX('Serial Reference'!$A$8:$W$8,1,MOD($A64-1,23)+1)&amp;TEXT(CF$2+FLOOR((CF$2-1)/9,1),"000"),"")</f>
        <v>CS092</v>
      </c>
      <c r="CG64" s="22" t="str">
        <f>IF(INDEX('Shot Map'!$B$6:$V$26,CEILING($A64/5,1),CEILING(CG$2/5,1))=1,INDEX('Serial Reference'!$A$8:$W$8,1,FLOOR(($A64-1)/23,1)+1)&amp;INDEX('Serial Reference'!$A$8:$W$8,1,MOD($A64-1,23)+1)&amp;TEXT(CG$2+FLOOR((CG$2-1)/9,1),"000"),"")</f>
        <v>CS093</v>
      </c>
      <c r="CH64" s="23" t="str">
        <f>IF(INDEX('Shot Map'!$B$6:$V$26,CEILING($A64/5,1),CEILING(CH$2/5,1))=1,INDEX('Serial Reference'!$A$8:$W$8,1,FLOOR(($A64-1)/23,1)+1)&amp;INDEX('Serial Reference'!$A$8:$W$8,1,MOD($A64-1,23)+1)&amp;TEXT(CH$2+FLOOR((CH$2-1)/9,1),"000"),"")</f>
        <v>CS094</v>
      </c>
      <c r="CI64" s="21" t="str">
        <f>IF(INDEX('Shot Map'!$B$6:$V$26,CEILING($A64/5,1),CEILING(CI$2/5,1))=1,INDEX('Serial Reference'!$A$8:$W$8,1,FLOOR(($A64-1)/23,1)+1)&amp;INDEX('Serial Reference'!$A$8:$W$8,1,MOD($A64-1,23)+1)&amp;TEXT(CI$2+FLOOR((CI$2-1)/9,1),"000"),"")</f>
        <v>CS095</v>
      </c>
      <c r="CJ64" s="22" t="str">
        <f>IF(INDEX('Shot Map'!$B$6:$V$26,CEILING($A64/5,1),CEILING(CJ$2/5,1))=1,INDEX('Serial Reference'!$A$8:$W$8,1,FLOOR(($A64-1)/23,1)+1)&amp;INDEX('Serial Reference'!$A$8:$W$8,1,MOD($A64-1,23)+1)&amp;TEXT(CJ$2+FLOOR((CJ$2-1)/9,1),"000"),"")</f>
        <v>CS096</v>
      </c>
      <c r="CK64" s="22" t="str">
        <f>IF(INDEX('Shot Map'!$B$6:$V$26,CEILING($A64/5,1),CEILING(CK$2/5,1))=1,INDEX('Serial Reference'!$A$8:$W$8,1,FLOOR(($A64-1)/23,1)+1)&amp;INDEX('Serial Reference'!$A$8:$W$8,1,MOD($A64-1,23)+1)&amp;TEXT(CK$2+FLOOR((CK$2-1)/9,1),"000"),"")</f>
        <v>CS097</v>
      </c>
      <c r="CL64" s="22" t="str">
        <f>IF(INDEX('Shot Map'!$B$6:$V$26,CEILING($A64/5,1),CEILING(CL$2/5,1))=1,INDEX('Serial Reference'!$A$8:$W$8,1,FLOOR(($A64-1)/23,1)+1)&amp;INDEX('Serial Reference'!$A$8:$W$8,1,MOD($A64-1,23)+1)&amp;TEXT(CL$2+FLOOR((CL$2-1)/9,1),"000"),"")</f>
        <v>CS098</v>
      </c>
      <c r="CM64" s="23" t="str">
        <f>IF(INDEX('Shot Map'!$B$6:$V$26,CEILING($A64/5,1),CEILING(CM$2/5,1))=1,INDEX('Serial Reference'!$A$8:$W$8,1,FLOOR(($A64-1)/23,1)+1)&amp;INDEX('Serial Reference'!$A$8:$W$8,1,MOD($A64-1,23)+1)&amp;TEXT(CM$2+FLOOR((CM$2-1)/9,1),"000"),"")</f>
        <v>CS099</v>
      </c>
      <c r="CN64" s="21" t="str">
        <f>IF(INDEX('Shot Map'!$B$6:$V$26,CEILING($A64/5,1),CEILING(CN$2/5,1))=1,INDEX('Serial Reference'!$A$8:$W$8,1,FLOOR(($A64-1)/23,1)+1)&amp;INDEX('Serial Reference'!$A$8:$W$8,1,MOD($A64-1,23)+1)&amp;TEXT(CN$2+FLOOR((CN$2-1)/9,1),"000"),"")</f>
        <v>CS101</v>
      </c>
      <c r="CO64" s="22" t="str">
        <f>IF(INDEX('Shot Map'!$B$6:$V$26,CEILING($A64/5,1),CEILING(CO$2/5,1))=1,INDEX('Serial Reference'!$A$8:$W$8,1,FLOOR(($A64-1)/23,1)+1)&amp;INDEX('Serial Reference'!$A$8:$W$8,1,MOD($A64-1,23)+1)&amp;TEXT(CO$2+FLOOR((CO$2-1)/9,1),"000"),"")</f>
        <v>CS102</v>
      </c>
      <c r="CP64" s="22" t="str">
        <f>IF(INDEX('Shot Map'!$B$6:$V$26,CEILING($A64/5,1),CEILING(CP$2/5,1))=1,INDEX('Serial Reference'!$A$8:$W$8,1,FLOOR(($A64-1)/23,1)+1)&amp;INDEX('Serial Reference'!$A$8:$W$8,1,MOD($A64-1,23)+1)&amp;TEXT(CP$2+FLOOR((CP$2-1)/9,1),"000"),"")</f>
        <v>CS103</v>
      </c>
      <c r="CQ64" s="22" t="str">
        <f>IF(INDEX('Shot Map'!$B$6:$V$26,CEILING($A64/5,1),CEILING(CQ$2/5,1))=1,INDEX('Serial Reference'!$A$8:$W$8,1,FLOOR(($A64-1)/23,1)+1)&amp;INDEX('Serial Reference'!$A$8:$W$8,1,MOD($A64-1,23)+1)&amp;TEXT(CQ$2+FLOOR((CQ$2-1)/9,1),"000"),"")</f>
        <v>CS104</v>
      </c>
      <c r="CR64" s="23" t="str">
        <f>IF(INDEX('Shot Map'!$B$6:$V$26,CEILING($A64/5,1),CEILING(CR$2/5,1))=1,INDEX('Serial Reference'!$A$8:$W$8,1,FLOOR(($A64-1)/23,1)+1)&amp;INDEX('Serial Reference'!$A$8:$W$8,1,MOD($A64-1,23)+1)&amp;TEXT(CR$2+FLOOR((CR$2-1)/9,1),"000"),"")</f>
        <v>CS105</v>
      </c>
      <c r="CS64" s="21" t="str">
        <f>IF(INDEX('Shot Map'!$B$6:$V$26,CEILING($A64/5,1),CEILING(CS$2/5,1))=1,INDEX('Serial Reference'!$A$8:$W$8,1,FLOOR(($A64-1)/23,1)+1)&amp;INDEX('Serial Reference'!$A$8:$W$8,1,MOD($A64-1,23)+1)&amp;TEXT(CS$2+FLOOR((CS$2-1)/9,1),"000"),"")</f>
        <v>CS106</v>
      </c>
      <c r="CT64" s="22" t="str">
        <f>IF(INDEX('Shot Map'!$B$6:$V$26,CEILING($A64/5,1),CEILING(CT$2/5,1))=1,INDEX('Serial Reference'!$A$8:$W$8,1,FLOOR(($A64-1)/23,1)+1)&amp;INDEX('Serial Reference'!$A$8:$W$8,1,MOD($A64-1,23)+1)&amp;TEXT(CT$2+FLOOR((CT$2-1)/9,1),"000"),"")</f>
        <v>CS107</v>
      </c>
      <c r="CU64" s="22" t="str">
        <f>IF(INDEX('Shot Map'!$B$6:$V$26,CEILING($A64/5,1),CEILING(CU$2/5,1))=1,INDEX('Serial Reference'!$A$8:$W$8,1,FLOOR(($A64-1)/23,1)+1)&amp;INDEX('Serial Reference'!$A$8:$W$8,1,MOD($A64-1,23)+1)&amp;TEXT(CU$2+FLOOR((CU$2-1)/9,1),"000"),"")</f>
        <v>CS108</v>
      </c>
      <c r="CV64" s="22" t="str">
        <f>IF(INDEX('Shot Map'!$B$6:$V$26,CEILING($A64/5,1),CEILING(CV$2/5,1))=1,INDEX('Serial Reference'!$A$8:$W$8,1,FLOOR(($A64-1)/23,1)+1)&amp;INDEX('Serial Reference'!$A$8:$W$8,1,MOD($A64-1,23)+1)&amp;TEXT(CV$2+FLOOR((CV$2-1)/9,1),"000"),"")</f>
        <v>CS109</v>
      </c>
      <c r="CW64" s="23" t="str">
        <f>IF(INDEX('Shot Map'!$B$6:$V$26,CEILING($A64/5,1),CEILING(CW$2/5,1))=1,INDEX('Serial Reference'!$A$8:$W$8,1,FLOOR(($A64-1)/23,1)+1)&amp;INDEX('Serial Reference'!$A$8:$W$8,1,MOD($A64-1,23)+1)&amp;TEXT(CW$2+FLOOR((CW$2-1)/9,1),"000"),"")</f>
        <v>CS111</v>
      </c>
      <c r="CX64" s="21" t="str">
        <f>IF(INDEX('Shot Map'!$B$6:$V$26,CEILING($A64/5,1),CEILING(CX$2/5,1))=1,INDEX('Serial Reference'!$A$8:$W$8,1,FLOOR(($A64-1)/23,1)+1)&amp;INDEX('Serial Reference'!$A$8:$W$8,1,MOD($A64-1,23)+1)&amp;TEXT(CX$2+FLOOR((CX$2-1)/9,1),"000"),"")</f>
        <v/>
      </c>
      <c r="CY64" s="22" t="str">
        <f>IF(INDEX('Shot Map'!$B$6:$V$26,CEILING($A64/5,1),CEILING(CY$2/5,1))=1,INDEX('Serial Reference'!$A$8:$W$8,1,FLOOR(($A64-1)/23,1)+1)&amp;INDEX('Serial Reference'!$A$8:$W$8,1,MOD($A64-1,23)+1)&amp;TEXT(CY$2+FLOOR((CY$2-1)/9,1),"000"),"")</f>
        <v/>
      </c>
      <c r="CZ64" s="22" t="str">
        <f>IF(INDEX('Shot Map'!$B$6:$V$26,CEILING($A64/5,1),CEILING(CZ$2/5,1))=1,INDEX('Serial Reference'!$A$8:$W$8,1,FLOOR(($A64-1)/23,1)+1)&amp;INDEX('Serial Reference'!$A$8:$W$8,1,MOD($A64-1,23)+1)&amp;TEXT(CZ$2+FLOOR((CZ$2-1)/9,1),"000"),"")</f>
        <v/>
      </c>
      <c r="DA64" s="22" t="str">
        <f>IF(INDEX('Shot Map'!$B$6:$V$26,CEILING($A64/5,1),CEILING(DA$2/5,1))=1,INDEX('Serial Reference'!$A$8:$W$8,1,FLOOR(($A64-1)/23,1)+1)&amp;INDEX('Serial Reference'!$A$8:$W$8,1,MOD($A64-1,23)+1)&amp;TEXT(DA$2+FLOOR((DA$2-1)/9,1),"000"),"")</f>
        <v/>
      </c>
      <c r="DB64" s="23" t="str">
        <f>IF(INDEX('Shot Map'!$B$6:$V$26,CEILING($A64/5,1),CEILING(DB$2/5,1))=1,INDEX('Serial Reference'!$A$8:$W$8,1,FLOOR(($A64-1)/23,1)+1)&amp;INDEX('Serial Reference'!$A$8:$W$8,1,MOD($A64-1,23)+1)&amp;TEXT(DB$2+FLOOR((DB$2-1)/9,1),"000"),"")</f>
        <v/>
      </c>
    </row>
    <row r="65" spans="1:106" ht="12.75" customHeight="1" x14ac:dyDescent="0.25">
      <c r="A65" s="17">
        <v>63</v>
      </c>
      <c r="B65" s="21" t="str">
        <f>IF(INDEX('Shot Map'!$B$6:$V$26,CEILING($A65/5,1),CEILING(B$2/5,1))=1,INDEX('Serial Reference'!$A$8:$W$8,1,FLOOR(($A65-1)/23,1)+1)&amp;INDEX('Serial Reference'!$A$8:$W$8,1,MOD($A65-1,23)+1)&amp;TEXT(B$2+FLOOR((B$2-1)/9,1),"000"),"")</f>
        <v/>
      </c>
      <c r="C65" s="22" t="str">
        <f>IF(INDEX('Shot Map'!$B$6:$V$26,CEILING($A65/5,1),CEILING(C$2/5,1))=1,INDEX('Serial Reference'!$A$8:$W$8,1,FLOOR(($A65-1)/23,1)+1)&amp;INDEX('Serial Reference'!$A$8:$W$8,1,MOD($A65-1,23)+1)&amp;TEXT(C$2+FLOOR((C$2-1)/9,1),"000"),"")</f>
        <v/>
      </c>
      <c r="D65" s="22" t="str">
        <f>IF(INDEX('Shot Map'!$B$6:$V$26,CEILING($A65/5,1),CEILING(D$2/5,1))=1,INDEX('Serial Reference'!$A$8:$W$8,1,FLOOR(($A65-1)/23,1)+1)&amp;INDEX('Serial Reference'!$A$8:$W$8,1,MOD($A65-1,23)+1)&amp;TEXT(D$2+FLOOR((D$2-1)/9,1),"000"),"")</f>
        <v/>
      </c>
      <c r="E65" s="22" t="str">
        <f>IF(INDEX('Shot Map'!$B$6:$V$26,CEILING($A65/5,1),CEILING(E$2/5,1))=1,INDEX('Serial Reference'!$A$8:$W$8,1,FLOOR(($A65-1)/23,1)+1)&amp;INDEX('Serial Reference'!$A$8:$W$8,1,MOD($A65-1,23)+1)&amp;TEXT(E$2+FLOOR((E$2-1)/9,1),"000"),"")</f>
        <v/>
      </c>
      <c r="F65" s="23" t="str">
        <f>IF(INDEX('Shot Map'!$B$6:$V$26,CEILING($A65/5,1),CEILING(F$2/5,1))=1,INDEX('Serial Reference'!$A$8:$W$8,1,FLOOR(($A65-1)/23,1)+1)&amp;INDEX('Serial Reference'!$A$8:$W$8,1,MOD($A65-1,23)+1)&amp;TEXT(F$2+FLOOR((F$2-1)/9,1),"000"),"")</f>
        <v/>
      </c>
      <c r="G65" s="21" t="str">
        <f>IF(INDEX('Shot Map'!$B$6:$V$26,CEILING($A65/5,1),CEILING(G$2/5,1))=1,INDEX('Serial Reference'!$A$8:$W$8,1,FLOOR(($A65-1)/23,1)+1)&amp;INDEX('Serial Reference'!$A$8:$W$8,1,MOD($A65-1,23)+1)&amp;TEXT(G$2+FLOOR((G$2-1)/9,1),"000"),"")</f>
        <v>CT006</v>
      </c>
      <c r="H65" s="22" t="str">
        <f>IF(INDEX('Shot Map'!$B$6:$V$26,CEILING($A65/5,1),CEILING(H$2/5,1))=1,INDEX('Serial Reference'!$A$8:$W$8,1,FLOOR(($A65-1)/23,1)+1)&amp;INDEX('Serial Reference'!$A$8:$W$8,1,MOD($A65-1,23)+1)&amp;TEXT(H$2+FLOOR((H$2-1)/9,1),"000"),"")</f>
        <v>CT007</v>
      </c>
      <c r="I65" s="22" t="str">
        <f>IF(INDEX('Shot Map'!$B$6:$V$26,CEILING($A65/5,1),CEILING(I$2/5,1))=1,INDEX('Serial Reference'!$A$8:$W$8,1,FLOOR(($A65-1)/23,1)+1)&amp;INDEX('Serial Reference'!$A$8:$W$8,1,MOD($A65-1,23)+1)&amp;TEXT(I$2+FLOOR((I$2-1)/9,1),"000"),"")</f>
        <v>CT008</v>
      </c>
      <c r="J65" s="22" t="str">
        <f>IF(INDEX('Shot Map'!$B$6:$V$26,CEILING($A65/5,1),CEILING(J$2/5,1))=1,INDEX('Serial Reference'!$A$8:$W$8,1,FLOOR(($A65-1)/23,1)+1)&amp;INDEX('Serial Reference'!$A$8:$W$8,1,MOD($A65-1,23)+1)&amp;TEXT(J$2+FLOOR((J$2-1)/9,1),"000"),"")</f>
        <v>CT009</v>
      </c>
      <c r="K65" s="23" t="str">
        <f>IF(INDEX('Shot Map'!$B$6:$V$26,CEILING($A65/5,1),CEILING(K$2/5,1))=1,INDEX('Serial Reference'!$A$8:$W$8,1,FLOOR(($A65-1)/23,1)+1)&amp;INDEX('Serial Reference'!$A$8:$W$8,1,MOD($A65-1,23)+1)&amp;TEXT(K$2+FLOOR((K$2-1)/9,1),"000"),"")</f>
        <v>CT011</v>
      </c>
      <c r="L65" s="21" t="str">
        <f>IF(INDEX('Shot Map'!$B$6:$V$26,CEILING($A65/5,1),CEILING(L$2/5,1))=1,INDEX('Serial Reference'!$A$8:$W$8,1,FLOOR(($A65-1)/23,1)+1)&amp;INDEX('Serial Reference'!$A$8:$W$8,1,MOD($A65-1,23)+1)&amp;TEXT(L$2+FLOOR((L$2-1)/9,1),"000"),"")</f>
        <v>CT012</v>
      </c>
      <c r="M65" s="22" t="str">
        <f>IF(INDEX('Shot Map'!$B$6:$V$26,CEILING($A65/5,1),CEILING(M$2/5,1))=1,INDEX('Serial Reference'!$A$8:$W$8,1,FLOOR(($A65-1)/23,1)+1)&amp;INDEX('Serial Reference'!$A$8:$W$8,1,MOD($A65-1,23)+1)&amp;TEXT(M$2+FLOOR((M$2-1)/9,1),"000"),"")</f>
        <v>CT013</v>
      </c>
      <c r="N65" s="22" t="str">
        <f>IF(INDEX('Shot Map'!$B$6:$V$26,CEILING($A65/5,1),CEILING(N$2/5,1))=1,INDEX('Serial Reference'!$A$8:$W$8,1,FLOOR(($A65-1)/23,1)+1)&amp;INDEX('Serial Reference'!$A$8:$W$8,1,MOD($A65-1,23)+1)&amp;TEXT(N$2+FLOOR((N$2-1)/9,1),"000"),"")</f>
        <v>CT014</v>
      </c>
      <c r="O65" s="22" t="str">
        <f>IF(INDEX('Shot Map'!$B$6:$V$26,CEILING($A65/5,1),CEILING(O$2/5,1))=1,INDEX('Serial Reference'!$A$8:$W$8,1,FLOOR(($A65-1)/23,1)+1)&amp;INDEX('Serial Reference'!$A$8:$W$8,1,MOD($A65-1,23)+1)&amp;TEXT(O$2+FLOOR((O$2-1)/9,1),"000"),"")</f>
        <v>CT015</v>
      </c>
      <c r="P65" s="23" t="str">
        <f>IF(INDEX('Shot Map'!$B$6:$V$26,CEILING($A65/5,1),CEILING(P$2/5,1))=1,INDEX('Serial Reference'!$A$8:$W$8,1,FLOOR(($A65-1)/23,1)+1)&amp;INDEX('Serial Reference'!$A$8:$W$8,1,MOD($A65-1,23)+1)&amp;TEXT(P$2+FLOOR((P$2-1)/9,1),"000"),"")</f>
        <v>CT016</v>
      </c>
      <c r="Q65" s="21" t="str">
        <f>IF(INDEX('Shot Map'!$B$6:$V$26,CEILING($A65/5,1),CEILING(Q$2/5,1))=1,INDEX('Serial Reference'!$A$8:$W$8,1,FLOOR(($A65-1)/23,1)+1)&amp;INDEX('Serial Reference'!$A$8:$W$8,1,MOD($A65-1,23)+1)&amp;TEXT(Q$2+FLOOR((Q$2-1)/9,1),"000"),"")</f>
        <v>CT017</v>
      </c>
      <c r="R65" s="22" t="str">
        <f>IF(INDEX('Shot Map'!$B$6:$V$26,CEILING($A65/5,1),CEILING(R$2/5,1))=1,INDEX('Serial Reference'!$A$8:$W$8,1,FLOOR(($A65-1)/23,1)+1)&amp;INDEX('Serial Reference'!$A$8:$W$8,1,MOD($A65-1,23)+1)&amp;TEXT(R$2+FLOOR((R$2-1)/9,1),"000"),"")</f>
        <v>CT018</v>
      </c>
      <c r="S65" s="22" t="str">
        <f>IF(INDEX('Shot Map'!$B$6:$V$26,CEILING($A65/5,1),CEILING(S$2/5,1))=1,INDEX('Serial Reference'!$A$8:$W$8,1,FLOOR(($A65-1)/23,1)+1)&amp;INDEX('Serial Reference'!$A$8:$W$8,1,MOD($A65-1,23)+1)&amp;TEXT(S$2+FLOOR((S$2-1)/9,1),"000"),"")</f>
        <v>CT019</v>
      </c>
      <c r="T65" s="22" t="str">
        <f>IF(INDEX('Shot Map'!$B$6:$V$26,CEILING($A65/5,1),CEILING(T$2/5,1))=1,INDEX('Serial Reference'!$A$8:$W$8,1,FLOOR(($A65-1)/23,1)+1)&amp;INDEX('Serial Reference'!$A$8:$W$8,1,MOD($A65-1,23)+1)&amp;TEXT(T$2+FLOOR((T$2-1)/9,1),"000"),"")</f>
        <v>CT021</v>
      </c>
      <c r="U65" s="23" t="str">
        <f>IF(INDEX('Shot Map'!$B$6:$V$26,CEILING($A65/5,1),CEILING(U$2/5,1))=1,INDEX('Serial Reference'!$A$8:$W$8,1,FLOOR(($A65-1)/23,1)+1)&amp;INDEX('Serial Reference'!$A$8:$W$8,1,MOD($A65-1,23)+1)&amp;TEXT(U$2+FLOOR((U$2-1)/9,1),"000"),"")</f>
        <v>CT022</v>
      </c>
      <c r="V65" s="21" t="str">
        <f>IF(INDEX('Shot Map'!$B$6:$V$26,CEILING($A65/5,1),CEILING(V$2/5,1))=1,INDEX('Serial Reference'!$A$8:$W$8,1,FLOOR(($A65-1)/23,1)+1)&amp;INDEX('Serial Reference'!$A$8:$W$8,1,MOD($A65-1,23)+1)&amp;TEXT(V$2+FLOOR((V$2-1)/9,1),"000"),"")</f>
        <v>CT023</v>
      </c>
      <c r="W65" s="22" t="str">
        <f>IF(INDEX('Shot Map'!$B$6:$V$26,CEILING($A65/5,1),CEILING(W$2/5,1))=1,INDEX('Serial Reference'!$A$8:$W$8,1,FLOOR(($A65-1)/23,1)+1)&amp;INDEX('Serial Reference'!$A$8:$W$8,1,MOD($A65-1,23)+1)&amp;TEXT(W$2+FLOOR((W$2-1)/9,1),"000"),"")</f>
        <v>CT024</v>
      </c>
      <c r="X65" s="22" t="str">
        <f>IF(INDEX('Shot Map'!$B$6:$V$26,CEILING($A65/5,1),CEILING(X$2/5,1))=1,INDEX('Serial Reference'!$A$8:$W$8,1,FLOOR(($A65-1)/23,1)+1)&amp;INDEX('Serial Reference'!$A$8:$W$8,1,MOD($A65-1,23)+1)&amp;TEXT(X$2+FLOOR((X$2-1)/9,1),"000"),"")</f>
        <v>CT025</v>
      </c>
      <c r="Y65" s="22" t="str">
        <f>IF(INDEX('Shot Map'!$B$6:$V$26,CEILING($A65/5,1),CEILING(Y$2/5,1))=1,INDEX('Serial Reference'!$A$8:$W$8,1,FLOOR(($A65-1)/23,1)+1)&amp;INDEX('Serial Reference'!$A$8:$W$8,1,MOD($A65-1,23)+1)&amp;TEXT(Y$2+FLOOR((Y$2-1)/9,1),"000"),"")</f>
        <v>CT026</v>
      </c>
      <c r="Z65" s="23" t="str">
        <f>IF(INDEX('Shot Map'!$B$6:$V$26,CEILING($A65/5,1),CEILING(Z$2/5,1))=1,INDEX('Serial Reference'!$A$8:$W$8,1,FLOOR(($A65-1)/23,1)+1)&amp;INDEX('Serial Reference'!$A$8:$W$8,1,MOD($A65-1,23)+1)&amp;TEXT(Z$2+FLOOR((Z$2-1)/9,1),"000"),"")</f>
        <v>CT027</v>
      </c>
      <c r="AA65" s="21" t="str">
        <f>IF(INDEX('Shot Map'!$B$6:$V$26,CEILING($A65/5,1),CEILING(AA$2/5,1))=1,INDEX('Serial Reference'!$A$8:$W$8,1,FLOOR(($A65-1)/23,1)+1)&amp;INDEX('Serial Reference'!$A$8:$W$8,1,MOD($A65-1,23)+1)&amp;TEXT(AA$2+FLOOR((AA$2-1)/9,1),"000"),"")</f>
        <v>CT028</v>
      </c>
      <c r="AB65" s="22" t="str">
        <f>IF(INDEX('Shot Map'!$B$6:$V$26,CEILING($A65/5,1),CEILING(AB$2/5,1))=1,INDEX('Serial Reference'!$A$8:$W$8,1,FLOOR(($A65-1)/23,1)+1)&amp;INDEX('Serial Reference'!$A$8:$W$8,1,MOD($A65-1,23)+1)&amp;TEXT(AB$2+FLOOR((AB$2-1)/9,1),"000"),"")</f>
        <v>CT029</v>
      </c>
      <c r="AC65" s="22" t="str">
        <f>IF(INDEX('Shot Map'!$B$6:$V$26,CEILING($A65/5,1),CEILING(AC$2/5,1))=1,INDEX('Serial Reference'!$A$8:$W$8,1,FLOOR(($A65-1)/23,1)+1)&amp;INDEX('Serial Reference'!$A$8:$W$8,1,MOD($A65-1,23)+1)&amp;TEXT(AC$2+FLOOR((AC$2-1)/9,1),"000"),"")</f>
        <v>CT031</v>
      </c>
      <c r="AD65" s="22" t="str">
        <f>IF(INDEX('Shot Map'!$B$6:$V$26,CEILING($A65/5,1),CEILING(AD$2/5,1))=1,INDEX('Serial Reference'!$A$8:$W$8,1,FLOOR(($A65-1)/23,1)+1)&amp;INDEX('Serial Reference'!$A$8:$W$8,1,MOD($A65-1,23)+1)&amp;TEXT(AD$2+FLOOR((AD$2-1)/9,1),"000"),"")</f>
        <v>CT032</v>
      </c>
      <c r="AE65" s="23" t="str">
        <f>IF(INDEX('Shot Map'!$B$6:$V$26,CEILING($A65/5,1),CEILING(AE$2/5,1))=1,INDEX('Serial Reference'!$A$8:$W$8,1,FLOOR(($A65-1)/23,1)+1)&amp;INDEX('Serial Reference'!$A$8:$W$8,1,MOD($A65-1,23)+1)&amp;TEXT(AE$2+FLOOR((AE$2-1)/9,1),"000"),"")</f>
        <v>CT033</v>
      </c>
      <c r="AF65" s="21" t="str">
        <f>IF(INDEX('Shot Map'!$B$6:$V$26,CEILING($A65/5,1),CEILING(AF$2/5,1))=1,INDEX('Serial Reference'!$A$8:$W$8,1,FLOOR(($A65-1)/23,1)+1)&amp;INDEX('Serial Reference'!$A$8:$W$8,1,MOD($A65-1,23)+1)&amp;TEXT(AF$2+FLOOR((AF$2-1)/9,1),"000"),"")</f>
        <v>CT034</v>
      </c>
      <c r="AG65" s="22" t="str">
        <f>IF(INDEX('Shot Map'!$B$6:$V$26,CEILING($A65/5,1),CEILING(AG$2/5,1))=1,INDEX('Serial Reference'!$A$8:$W$8,1,FLOOR(($A65-1)/23,1)+1)&amp;INDEX('Serial Reference'!$A$8:$W$8,1,MOD($A65-1,23)+1)&amp;TEXT(AG$2+FLOOR((AG$2-1)/9,1),"000"),"")</f>
        <v>CT035</v>
      </c>
      <c r="AH65" s="22" t="str">
        <f>IF(INDEX('Shot Map'!$B$6:$V$26,CEILING($A65/5,1),CEILING(AH$2/5,1))=1,INDEX('Serial Reference'!$A$8:$W$8,1,FLOOR(($A65-1)/23,1)+1)&amp;INDEX('Serial Reference'!$A$8:$W$8,1,MOD($A65-1,23)+1)&amp;TEXT(AH$2+FLOOR((AH$2-1)/9,1),"000"),"")</f>
        <v>CT036</v>
      </c>
      <c r="AI65" s="22" t="str">
        <f>IF(INDEX('Shot Map'!$B$6:$V$26,CEILING($A65/5,1),CEILING(AI$2/5,1))=1,INDEX('Serial Reference'!$A$8:$W$8,1,FLOOR(($A65-1)/23,1)+1)&amp;INDEX('Serial Reference'!$A$8:$W$8,1,MOD($A65-1,23)+1)&amp;TEXT(AI$2+FLOOR((AI$2-1)/9,1),"000"),"")</f>
        <v>CT037</v>
      </c>
      <c r="AJ65" s="23" t="str">
        <f>IF(INDEX('Shot Map'!$B$6:$V$26,CEILING($A65/5,1),CEILING(AJ$2/5,1))=1,INDEX('Serial Reference'!$A$8:$W$8,1,FLOOR(($A65-1)/23,1)+1)&amp;INDEX('Serial Reference'!$A$8:$W$8,1,MOD($A65-1,23)+1)&amp;TEXT(AJ$2+FLOOR((AJ$2-1)/9,1),"000"),"")</f>
        <v>CT038</v>
      </c>
      <c r="AK65" s="21" t="str">
        <f>IF(INDEX('Shot Map'!$B$6:$V$26,CEILING($A65/5,1),CEILING(AK$2/5,1))=1,INDEX('Serial Reference'!$A$8:$W$8,1,FLOOR(($A65-1)/23,1)+1)&amp;INDEX('Serial Reference'!$A$8:$W$8,1,MOD($A65-1,23)+1)&amp;TEXT(AK$2+FLOOR((AK$2-1)/9,1),"000"),"")</f>
        <v>CT039</v>
      </c>
      <c r="AL65" s="22" t="str">
        <f>IF(INDEX('Shot Map'!$B$6:$V$26,CEILING($A65/5,1),CEILING(AL$2/5,1))=1,INDEX('Serial Reference'!$A$8:$W$8,1,FLOOR(($A65-1)/23,1)+1)&amp;INDEX('Serial Reference'!$A$8:$W$8,1,MOD($A65-1,23)+1)&amp;TEXT(AL$2+FLOOR((AL$2-1)/9,1),"000"),"")</f>
        <v>CT041</v>
      </c>
      <c r="AM65" s="22" t="str">
        <f>IF(INDEX('Shot Map'!$B$6:$V$26,CEILING($A65/5,1),CEILING(AM$2/5,1))=1,INDEX('Serial Reference'!$A$8:$W$8,1,FLOOR(($A65-1)/23,1)+1)&amp;INDEX('Serial Reference'!$A$8:$W$8,1,MOD($A65-1,23)+1)&amp;TEXT(AM$2+FLOOR((AM$2-1)/9,1),"000"),"")</f>
        <v>CT042</v>
      </c>
      <c r="AN65" s="22" t="str">
        <f>IF(INDEX('Shot Map'!$B$6:$V$26,CEILING($A65/5,1),CEILING(AN$2/5,1))=1,INDEX('Serial Reference'!$A$8:$W$8,1,FLOOR(($A65-1)/23,1)+1)&amp;INDEX('Serial Reference'!$A$8:$W$8,1,MOD($A65-1,23)+1)&amp;TEXT(AN$2+FLOOR((AN$2-1)/9,1),"000"),"")</f>
        <v>CT043</v>
      </c>
      <c r="AO65" s="23" t="str">
        <f>IF(INDEX('Shot Map'!$B$6:$V$26,CEILING($A65/5,1),CEILING(AO$2/5,1))=1,INDEX('Serial Reference'!$A$8:$W$8,1,FLOOR(($A65-1)/23,1)+1)&amp;INDEX('Serial Reference'!$A$8:$W$8,1,MOD($A65-1,23)+1)&amp;TEXT(AO$2+FLOOR((AO$2-1)/9,1),"000"),"")</f>
        <v>CT044</v>
      </c>
      <c r="AP65" s="21" t="str">
        <f>IF(INDEX('Shot Map'!$B$6:$V$26,CEILING($A65/5,1),CEILING(AP$2/5,1))=1,INDEX('Serial Reference'!$A$8:$W$8,1,FLOOR(($A65-1)/23,1)+1)&amp;INDEX('Serial Reference'!$A$8:$W$8,1,MOD($A65-1,23)+1)&amp;TEXT(AP$2+FLOOR((AP$2-1)/9,1),"000"),"")</f>
        <v>CT045</v>
      </c>
      <c r="AQ65" s="22" t="str">
        <f>IF(INDEX('Shot Map'!$B$6:$V$26,CEILING($A65/5,1),CEILING(AQ$2/5,1))=1,INDEX('Serial Reference'!$A$8:$W$8,1,FLOOR(($A65-1)/23,1)+1)&amp;INDEX('Serial Reference'!$A$8:$W$8,1,MOD($A65-1,23)+1)&amp;TEXT(AQ$2+FLOOR((AQ$2-1)/9,1),"000"),"")</f>
        <v>CT046</v>
      </c>
      <c r="AR65" s="22" t="str">
        <f>IF(INDEX('Shot Map'!$B$6:$V$26,CEILING($A65/5,1),CEILING(AR$2/5,1))=1,INDEX('Serial Reference'!$A$8:$W$8,1,FLOOR(($A65-1)/23,1)+1)&amp;INDEX('Serial Reference'!$A$8:$W$8,1,MOD($A65-1,23)+1)&amp;TEXT(AR$2+FLOOR((AR$2-1)/9,1),"000"),"")</f>
        <v>CT047</v>
      </c>
      <c r="AS65" s="22" t="str">
        <f>IF(INDEX('Shot Map'!$B$6:$V$26,CEILING($A65/5,1),CEILING(AS$2/5,1))=1,INDEX('Serial Reference'!$A$8:$W$8,1,FLOOR(($A65-1)/23,1)+1)&amp;INDEX('Serial Reference'!$A$8:$W$8,1,MOD($A65-1,23)+1)&amp;TEXT(AS$2+FLOOR((AS$2-1)/9,1),"000"),"")</f>
        <v>CT048</v>
      </c>
      <c r="AT65" s="23" t="str">
        <f>IF(INDEX('Shot Map'!$B$6:$V$26,CEILING($A65/5,1),CEILING(AT$2/5,1))=1,INDEX('Serial Reference'!$A$8:$W$8,1,FLOOR(($A65-1)/23,1)+1)&amp;INDEX('Serial Reference'!$A$8:$W$8,1,MOD($A65-1,23)+1)&amp;TEXT(AT$2+FLOOR((AT$2-1)/9,1),"000"),"")</f>
        <v>CT049</v>
      </c>
      <c r="AU65" s="21" t="str">
        <f>IF(INDEX('Shot Map'!$B$6:$V$26,CEILING($A65/5,1),CEILING(AU$2/5,1))=1,INDEX('Serial Reference'!$A$8:$W$8,1,FLOOR(($A65-1)/23,1)+1)&amp;INDEX('Serial Reference'!$A$8:$W$8,1,MOD($A65-1,23)+1)&amp;TEXT(AU$2+FLOOR((AU$2-1)/9,1),"000"),"")</f>
        <v>CT051</v>
      </c>
      <c r="AV65" s="22" t="str">
        <f>IF(INDEX('Shot Map'!$B$6:$V$26,CEILING($A65/5,1),CEILING(AV$2/5,1))=1,INDEX('Serial Reference'!$A$8:$W$8,1,FLOOR(($A65-1)/23,1)+1)&amp;INDEX('Serial Reference'!$A$8:$W$8,1,MOD($A65-1,23)+1)&amp;TEXT(AV$2+FLOOR((AV$2-1)/9,1),"000"),"")</f>
        <v>CT052</v>
      </c>
      <c r="AW65" s="22" t="str">
        <f>IF(INDEX('Shot Map'!$B$6:$V$26,CEILING($A65/5,1),CEILING(AW$2/5,1))=1,INDEX('Serial Reference'!$A$8:$W$8,1,FLOOR(($A65-1)/23,1)+1)&amp;INDEX('Serial Reference'!$A$8:$W$8,1,MOD($A65-1,23)+1)&amp;TEXT(AW$2+FLOOR((AW$2-1)/9,1),"000"),"")</f>
        <v>CT053</v>
      </c>
      <c r="AX65" s="22" t="str">
        <f>IF(INDEX('Shot Map'!$B$6:$V$26,CEILING($A65/5,1),CEILING(AX$2/5,1))=1,INDEX('Serial Reference'!$A$8:$W$8,1,FLOOR(($A65-1)/23,1)+1)&amp;INDEX('Serial Reference'!$A$8:$W$8,1,MOD($A65-1,23)+1)&amp;TEXT(AX$2+FLOOR((AX$2-1)/9,1),"000"),"")</f>
        <v>CT054</v>
      </c>
      <c r="AY65" s="23" t="str">
        <f>IF(INDEX('Shot Map'!$B$6:$V$26,CEILING($A65/5,1),CEILING(AY$2/5,1))=1,INDEX('Serial Reference'!$A$8:$W$8,1,FLOOR(($A65-1)/23,1)+1)&amp;INDEX('Serial Reference'!$A$8:$W$8,1,MOD($A65-1,23)+1)&amp;TEXT(AY$2+FLOOR((AY$2-1)/9,1),"000"),"")</f>
        <v>CT055</v>
      </c>
      <c r="AZ65" s="21" t="str">
        <f>IF(INDEX('Shot Map'!$B$6:$V$26,CEILING($A65/5,1),CEILING(AZ$2/5,1))=1,INDEX('Serial Reference'!$A$8:$W$8,1,FLOOR(($A65-1)/23,1)+1)&amp;INDEX('Serial Reference'!$A$8:$W$8,1,MOD($A65-1,23)+1)&amp;TEXT(AZ$2+FLOOR((AZ$2-1)/9,1),"000"),"")</f>
        <v>CT056</v>
      </c>
      <c r="BA65" s="22" t="str">
        <f>IF(INDEX('Shot Map'!$B$6:$V$26,CEILING($A65/5,1),CEILING(BA$2/5,1))=1,INDEX('Serial Reference'!$A$8:$W$8,1,FLOOR(($A65-1)/23,1)+1)&amp;INDEX('Serial Reference'!$A$8:$W$8,1,MOD($A65-1,23)+1)&amp;TEXT(BA$2+FLOOR((BA$2-1)/9,1),"000"),"")</f>
        <v>CT057</v>
      </c>
      <c r="BB65" s="22" t="str">
        <f>IF(INDEX('Shot Map'!$B$6:$V$26,CEILING($A65/5,1),CEILING(BB$2/5,1))=1,INDEX('Serial Reference'!$A$8:$W$8,1,FLOOR(($A65-1)/23,1)+1)&amp;INDEX('Serial Reference'!$A$8:$W$8,1,MOD($A65-1,23)+1)&amp;TEXT(BB$2+FLOOR((BB$2-1)/9,1),"000"),"")</f>
        <v>CT058</v>
      </c>
      <c r="BC65" s="22" t="str">
        <f>IF(INDEX('Shot Map'!$B$6:$V$26,CEILING($A65/5,1),CEILING(BC$2/5,1))=1,INDEX('Serial Reference'!$A$8:$W$8,1,FLOOR(($A65-1)/23,1)+1)&amp;INDEX('Serial Reference'!$A$8:$W$8,1,MOD($A65-1,23)+1)&amp;TEXT(BC$2+FLOOR((BC$2-1)/9,1),"000"),"")</f>
        <v>CT059</v>
      </c>
      <c r="BD65" s="23" t="str">
        <f>IF(INDEX('Shot Map'!$B$6:$V$26,CEILING($A65/5,1),CEILING(BD$2/5,1))=1,INDEX('Serial Reference'!$A$8:$W$8,1,FLOOR(($A65-1)/23,1)+1)&amp;INDEX('Serial Reference'!$A$8:$W$8,1,MOD($A65-1,23)+1)&amp;TEXT(BD$2+FLOOR((BD$2-1)/9,1),"000"),"")</f>
        <v>CT061</v>
      </c>
      <c r="BE65" s="21" t="str">
        <f>IF(INDEX('Shot Map'!$B$6:$V$26,CEILING($A65/5,1),CEILING(BE$2/5,1))=1,INDEX('Serial Reference'!$A$8:$W$8,1,FLOOR(($A65-1)/23,1)+1)&amp;INDEX('Serial Reference'!$A$8:$W$8,1,MOD($A65-1,23)+1)&amp;TEXT(BE$2+FLOOR((BE$2-1)/9,1),"000"),"")</f>
        <v>CT062</v>
      </c>
      <c r="BF65" s="22" t="str">
        <f>IF(INDEX('Shot Map'!$B$6:$V$26,CEILING($A65/5,1),CEILING(BF$2/5,1))=1,INDEX('Serial Reference'!$A$8:$W$8,1,FLOOR(($A65-1)/23,1)+1)&amp;INDEX('Serial Reference'!$A$8:$W$8,1,MOD($A65-1,23)+1)&amp;TEXT(BF$2+FLOOR((BF$2-1)/9,1),"000"),"")</f>
        <v>CT063</v>
      </c>
      <c r="BG65" s="22" t="str">
        <f>IF(INDEX('Shot Map'!$B$6:$V$26,CEILING($A65/5,1),CEILING(BG$2/5,1))=1,INDEX('Serial Reference'!$A$8:$W$8,1,FLOOR(($A65-1)/23,1)+1)&amp;INDEX('Serial Reference'!$A$8:$W$8,1,MOD($A65-1,23)+1)&amp;TEXT(BG$2+FLOOR((BG$2-1)/9,1),"000"),"")</f>
        <v>CT064</v>
      </c>
      <c r="BH65" s="22" t="str">
        <f>IF(INDEX('Shot Map'!$B$6:$V$26,CEILING($A65/5,1),CEILING(BH$2/5,1))=1,INDEX('Serial Reference'!$A$8:$W$8,1,FLOOR(($A65-1)/23,1)+1)&amp;INDEX('Serial Reference'!$A$8:$W$8,1,MOD($A65-1,23)+1)&amp;TEXT(BH$2+FLOOR((BH$2-1)/9,1),"000"),"")</f>
        <v>CT065</v>
      </c>
      <c r="BI65" s="23" t="str">
        <f>IF(INDEX('Shot Map'!$B$6:$V$26,CEILING($A65/5,1),CEILING(BI$2/5,1))=1,INDEX('Serial Reference'!$A$8:$W$8,1,FLOOR(($A65-1)/23,1)+1)&amp;INDEX('Serial Reference'!$A$8:$W$8,1,MOD($A65-1,23)+1)&amp;TEXT(BI$2+FLOOR((BI$2-1)/9,1),"000"),"")</f>
        <v>CT066</v>
      </c>
      <c r="BJ65" s="21" t="str">
        <f>IF(INDEX('Shot Map'!$B$6:$V$26,CEILING($A65/5,1),CEILING(BJ$2/5,1))=1,INDEX('Serial Reference'!$A$8:$W$8,1,FLOOR(($A65-1)/23,1)+1)&amp;INDEX('Serial Reference'!$A$8:$W$8,1,MOD($A65-1,23)+1)&amp;TEXT(BJ$2+FLOOR((BJ$2-1)/9,1),"000"),"")</f>
        <v>CT067</v>
      </c>
      <c r="BK65" s="22" t="str">
        <f>IF(INDEX('Shot Map'!$B$6:$V$26,CEILING($A65/5,1),CEILING(BK$2/5,1))=1,INDEX('Serial Reference'!$A$8:$W$8,1,FLOOR(($A65-1)/23,1)+1)&amp;INDEX('Serial Reference'!$A$8:$W$8,1,MOD($A65-1,23)+1)&amp;TEXT(BK$2+FLOOR((BK$2-1)/9,1),"000"),"")</f>
        <v>CT068</v>
      </c>
      <c r="BL65" s="22" t="str">
        <f>IF(INDEX('Shot Map'!$B$6:$V$26,CEILING($A65/5,1),CEILING(BL$2/5,1))=1,INDEX('Serial Reference'!$A$8:$W$8,1,FLOOR(($A65-1)/23,1)+1)&amp;INDEX('Serial Reference'!$A$8:$W$8,1,MOD($A65-1,23)+1)&amp;TEXT(BL$2+FLOOR((BL$2-1)/9,1),"000"),"")</f>
        <v>CT069</v>
      </c>
      <c r="BM65" s="22" t="str">
        <f>IF(INDEX('Shot Map'!$B$6:$V$26,CEILING($A65/5,1),CEILING(BM$2/5,1))=1,INDEX('Serial Reference'!$A$8:$W$8,1,FLOOR(($A65-1)/23,1)+1)&amp;INDEX('Serial Reference'!$A$8:$W$8,1,MOD($A65-1,23)+1)&amp;TEXT(BM$2+FLOOR((BM$2-1)/9,1),"000"),"")</f>
        <v>CT071</v>
      </c>
      <c r="BN65" s="23" t="str">
        <f>IF(INDEX('Shot Map'!$B$6:$V$26,CEILING($A65/5,1),CEILING(BN$2/5,1))=1,INDEX('Serial Reference'!$A$8:$W$8,1,FLOOR(($A65-1)/23,1)+1)&amp;INDEX('Serial Reference'!$A$8:$W$8,1,MOD($A65-1,23)+1)&amp;TEXT(BN$2+FLOOR((BN$2-1)/9,1),"000"),"")</f>
        <v>CT072</v>
      </c>
      <c r="BO65" s="21" t="str">
        <f>IF(INDEX('Shot Map'!$B$6:$V$26,CEILING($A65/5,1),CEILING(BO$2/5,1))=1,INDEX('Serial Reference'!$A$8:$W$8,1,FLOOR(($A65-1)/23,1)+1)&amp;INDEX('Serial Reference'!$A$8:$W$8,1,MOD($A65-1,23)+1)&amp;TEXT(BO$2+FLOOR((BO$2-1)/9,1),"000"),"")</f>
        <v>CT073</v>
      </c>
      <c r="BP65" s="22" t="str">
        <f>IF(INDEX('Shot Map'!$B$6:$V$26,CEILING($A65/5,1),CEILING(BP$2/5,1))=1,INDEX('Serial Reference'!$A$8:$W$8,1,FLOOR(($A65-1)/23,1)+1)&amp;INDEX('Serial Reference'!$A$8:$W$8,1,MOD($A65-1,23)+1)&amp;TEXT(BP$2+FLOOR((BP$2-1)/9,1),"000"),"")</f>
        <v>CT074</v>
      </c>
      <c r="BQ65" s="22" t="str">
        <f>IF(INDEX('Shot Map'!$B$6:$V$26,CEILING($A65/5,1),CEILING(BQ$2/5,1))=1,INDEX('Serial Reference'!$A$8:$W$8,1,FLOOR(($A65-1)/23,1)+1)&amp;INDEX('Serial Reference'!$A$8:$W$8,1,MOD($A65-1,23)+1)&amp;TEXT(BQ$2+FLOOR((BQ$2-1)/9,1),"000"),"")</f>
        <v>CT075</v>
      </c>
      <c r="BR65" s="22" t="str">
        <f>IF(INDEX('Shot Map'!$B$6:$V$26,CEILING($A65/5,1),CEILING(BR$2/5,1))=1,INDEX('Serial Reference'!$A$8:$W$8,1,FLOOR(($A65-1)/23,1)+1)&amp;INDEX('Serial Reference'!$A$8:$W$8,1,MOD($A65-1,23)+1)&amp;TEXT(BR$2+FLOOR((BR$2-1)/9,1),"000"),"")</f>
        <v>CT076</v>
      </c>
      <c r="BS65" s="23" t="str">
        <f>IF(INDEX('Shot Map'!$B$6:$V$26,CEILING($A65/5,1),CEILING(BS$2/5,1))=1,INDEX('Serial Reference'!$A$8:$W$8,1,FLOOR(($A65-1)/23,1)+1)&amp;INDEX('Serial Reference'!$A$8:$W$8,1,MOD($A65-1,23)+1)&amp;TEXT(BS$2+FLOOR((BS$2-1)/9,1),"000"),"")</f>
        <v>CT077</v>
      </c>
      <c r="BT65" s="21" t="str">
        <f>IF(INDEX('Shot Map'!$B$6:$V$26,CEILING($A65/5,1),CEILING(BT$2/5,1))=1,INDEX('Serial Reference'!$A$8:$W$8,1,FLOOR(($A65-1)/23,1)+1)&amp;INDEX('Serial Reference'!$A$8:$W$8,1,MOD($A65-1,23)+1)&amp;TEXT(BT$2+FLOOR((BT$2-1)/9,1),"000"),"")</f>
        <v>CT078</v>
      </c>
      <c r="BU65" s="22" t="str">
        <f>IF(INDEX('Shot Map'!$B$6:$V$26,CEILING($A65/5,1),CEILING(BU$2/5,1))=1,INDEX('Serial Reference'!$A$8:$W$8,1,FLOOR(($A65-1)/23,1)+1)&amp;INDEX('Serial Reference'!$A$8:$W$8,1,MOD($A65-1,23)+1)&amp;TEXT(BU$2+FLOOR((BU$2-1)/9,1),"000"),"")</f>
        <v>CT079</v>
      </c>
      <c r="BV65" s="22" t="str">
        <f>IF(INDEX('Shot Map'!$B$6:$V$26,CEILING($A65/5,1),CEILING(BV$2/5,1))=1,INDEX('Serial Reference'!$A$8:$W$8,1,FLOOR(($A65-1)/23,1)+1)&amp;INDEX('Serial Reference'!$A$8:$W$8,1,MOD($A65-1,23)+1)&amp;TEXT(BV$2+FLOOR((BV$2-1)/9,1),"000"),"")</f>
        <v>CT081</v>
      </c>
      <c r="BW65" s="22" t="str">
        <f>IF(INDEX('Shot Map'!$B$6:$V$26,CEILING($A65/5,1),CEILING(BW$2/5,1))=1,INDEX('Serial Reference'!$A$8:$W$8,1,FLOOR(($A65-1)/23,1)+1)&amp;INDEX('Serial Reference'!$A$8:$W$8,1,MOD($A65-1,23)+1)&amp;TEXT(BW$2+FLOOR((BW$2-1)/9,1),"000"),"")</f>
        <v>CT082</v>
      </c>
      <c r="BX65" s="23" t="str">
        <f>IF(INDEX('Shot Map'!$B$6:$V$26,CEILING($A65/5,1),CEILING(BX$2/5,1))=1,INDEX('Serial Reference'!$A$8:$W$8,1,FLOOR(($A65-1)/23,1)+1)&amp;INDEX('Serial Reference'!$A$8:$W$8,1,MOD($A65-1,23)+1)&amp;TEXT(BX$2+FLOOR((BX$2-1)/9,1),"000"),"")</f>
        <v>CT083</v>
      </c>
      <c r="BY65" s="21" t="str">
        <f>IF(INDEX('Shot Map'!$B$6:$V$26,CEILING($A65/5,1),CEILING(BY$2/5,1))=1,INDEX('Serial Reference'!$A$8:$W$8,1,FLOOR(($A65-1)/23,1)+1)&amp;INDEX('Serial Reference'!$A$8:$W$8,1,MOD($A65-1,23)+1)&amp;TEXT(BY$2+FLOOR((BY$2-1)/9,1),"000"),"")</f>
        <v>CT084</v>
      </c>
      <c r="BZ65" s="22" t="str">
        <f>IF(INDEX('Shot Map'!$B$6:$V$26,CEILING($A65/5,1),CEILING(BZ$2/5,1))=1,INDEX('Serial Reference'!$A$8:$W$8,1,FLOOR(($A65-1)/23,1)+1)&amp;INDEX('Serial Reference'!$A$8:$W$8,1,MOD($A65-1,23)+1)&amp;TEXT(BZ$2+FLOOR((BZ$2-1)/9,1),"000"),"")</f>
        <v>CT085</v>
      </c>
      <c r="CA65" s="22" t="str">
        <f>IF(INDEX('Shot Map'!$B$6:$V$26,CEILING($A65/5,1),CEILING(CA$2/5,1))=1,INDEX('Serial Reference'!$A$8:$W$8,1,FLOOR(($A65-1)/23,1)+1)&amp;INDEX('Serial Reference'!$A$8:$W$8,1,MOD($A65-1,23)+1)&amp;TEXT(CA$2+FLOOR((CA$2-1)/9,1),"000"),"")</f>
        <v>CT086</v>
      </c>
      <c r="CB65" s="22" t="str">
        <f>IF(INDEX('Shot Map'!$B$6:$V$26,CEILING($A65/5,1),CEILING(CB$2/5,1))=1,INDEX('Serial Reference'!$A$8:$W$8,1,FLOOR(($A65-1)/23,1)+1)&amp;INDEX('Serial Reference'!$A$8:$W$8,1,MOD($A65-1,23)+1)&amp;TEXT(CB$2+FLOOR((CB$2-1)/9,1),"000"),"")</f>
        <v>CT087</v>
      </c>
      <c r="CC65" s="23" t="str">
        <f>IF(INDEX('Shot Map'!$B$6:$V$26,CEILING($A65/5,1),CEILING(CC$2/5,1))=1,INDEX('Serial Reference'!$A$8:$W$8,1,FLOOR(($A65-1)/23,1)+1)&amp;INDEX('Serial Reference'!$A$8:$W$8,1,MOD($A65-1,23)+1)&amp;TEXT(CC$2+FLOOR((CC$2-1)/9,1),"000"),"")</f>
        <v>CT088</v>
      </c>
      <c r="CD65" s="21" t="str">
        <f>IF(INDEX('Shot Map'!$B$6:$V$26,CEILING($A65/5,1),CEILING(CD$2/5,1))=1,INDEX('Serial Reference'!$A$8:$W$8,1,FLOOR(($A65-1)/23,1)+1)&amp;INDEX('Serial Reference'!$A$8:$W$8,1,MOD($A65-1,23)+1)&amp;TEXT(CD$2+FLOOR((CD$2-1)/9,1),"000"),"")</f>
        <v>CT089</v>
      </c>
      <c r="CE65" s="22" t="str">
        <f>IF(INDEX('Shot Map'!$B$6:$V$26,CEILING($A65/5,1),CEILING(CE$2/5,1))=1,INDEX('Serial Reference'!$A$8:$W$8,1,FLOOR(($A65-1)/23,1)+1)&amp;INDEX('Serial Reference'!$A$8:$W$8,1,MOD($A65-1,23)+1)&amp;TEXT(CE$2+FLOOR((CE$2-1)/9,1),"000"),"")</f>
        <v>CT091</v>
      </c>
      <c r="CF65" s="22" t="str">
        <f>IF(INDEX('Shot Map'!$B$6:$V$26,CEILING($A65/5,1),CEILING(CF$2/5,1))=1,INDEX('Serial Reference'!$A$8:$W$8,1,FLOOR(($A65-1)/23,1)+1)&amp;INDEX('Serial Reference'!$A$8:$W$8,1,MOD($A65-1,23)+1)&amp;TEXT(CF$2+FLOOR((CF$2-1)/9,1),"000"),"")</f>
        <v>CT092</v>
      </c>
      <c r="CG65" s="22" t="str">
        <f>IF(INDEX('Shot Map'!$B$6:$V$26,CEILING($A65/5,1),CEILING(CG$2/5,1))=1,INDEX('Serial Reference'!$A$8:$W$8,1,FLOOR(($A65-1)/23,1)+1)&amp;INDEX('Serial Reference'!$A$8:$W$8,1,MOD($A65-1,23)+1)&amp;TEXT(CG$2+FLOOR((CG$2-1)/9,1),"000"),"")</f>
        <v>CT093</v>
      </c>
      <c r="CH65" s="23" t="str">
        <f>IF(INDEX('Shot Map'!$B$6:$V$26,CEILING($A65/5,1),CEILING(CH$2/5,1))=1,INDEX('Serial Reference'!$A$8:$W$8,1,FLOOR(($A65-1)/23,1)+1)&amp;INDEX('Serial Reference'!$A$8:$W$8,1,MOD($A65-1,23)+1)&amp;TEXT(CH$2+FLOOR((CH$2-1)/9,1),"000"),"")</f>
        <v>CT094</v>
      </c>
      <c r="CI65" s="21" t="str">
        <f>IF(INDEX('Shot Map'!$B$6:$V$26,CEILING($A65/5,1),CEILING(CI$2/5,1))=1,INDEX('Serial Reference'!$A$8:$W$8,1,FLOOR(($A65-1)/23,1)+1)&amp;INDEX('Serial Reference'!$A$8:$W$8,1,MOD($A65-1,23)+1)&amp;TEXT(CI$2+FLOOR((CI$2-1)/9,1),"000"),"")</f>
        <v>CT095</v>
      </c>
      <c r="CJ65" s="22" t="str">
        <f>IF(INDEX('Shot Map'!$B$6:$V$26,CEILING($A65/5,1),CEILING(CJ$2/5,1))=1,INDEX('Serial Reference'!$A$8:$W$8,1,FLOOR(($A65-1)/23,1)+1)&amp;INDEX('Serial Reference'!$A$8:$W$8,1,MOD($A65-1,23)+1)&amp;TEXT(CJ$2+FLOOR((CJ$2-1)/9,1),"000"),"")</f>
        <v>CT096</v>
      </c>
      <c r="CK65" s="22" t="str">
        <f>IF(INDEX('Shot Map'!$B$6:$V$26,CEILING($A65/5,1),CEILING(CK$2/5,1))=1,INDEX('Serial Reference'!$A$8:$W$8,1,FLOOR(($A65-1)/23,1)+1)&amp;INDEX('Serial Reference'!$A$8:$W$8,1,MOD($A65-1,23)+1)&amp;TEXT(CK$2+FLOOR((CK$2-1)/9,1),"000"),"")</f>
        <v>CT097</v>
      </c>
      <c r="CL65" s="22" t="str">
        <f>IF(INDEX('Shot Map'!$B$6:$V$26,CEILING($A65/5,1),CEILING(CL$2/5,1))=1,INDEX('Serial Reference'!$A$8:$W$8,1,FLOOR(($A65-1)/23,1)+1)&amp;INDEX('Serial Reference'!$A$8:$W$8,1,MOD($A65-1,23)+1)&amp;TEXT(CL$2+FLOOR((CL$2-1)/9,1),"000"),"")</f>
        <v>CT098</v>
      </c>
      <c r="CM65" s="23" t="str">
        <f>IF(INDEX('Shot Map'!$B$6:$V$26,CEILING($A65/5,1),CEILING(CM$2/5,1))=1,INDEX('Serial Reference'!$A$8:$W$8,1,FLOOR(($A65-1)/23,1)+1)&amp;INDEX('Serial Reference'!$A$8:$W$8,1,MOD($A65-1,23)+1)&amp;TEXT(CM$2+FLOOR((CM$2-1)/9,1),"000"),"")</f>
        <v>CT099</v>
      </c>
      <c r="CN65" s="21" t="str">
        <f>IF(INDEX('Shot Map'!$B$6:$V$26,CEILING($A65/5,1),CEILING(CN$2/5,1))=1,INDEX('Serial Reference'!$A$8:$W$8,1,FLOOR(($A65-1)/23,1)+1)&amp;INDEX('Serial Reference'!$A$8:$W$8,1,MOD($A65-1,23)+1)&amp;TEXT(CN$2+FLOOR((CN$2-1)/9,1),"000"),"")</f>
        <v>CT101</v>
      </c>
      <c r="CO65" s="22" t="str">
        <f>IF(INDEX('Shot Map'!$B$6:$V$26,CEILING($A65/5,1),CEILING(CO$2/5,1))=1,INDEX('Serial Reference'!$A$8:$W$8,1,FLOOR(($A65-1)/23,1)+1)&amp;INDEX('Serial Reference'!$A$8:$W$8,1,MOD($A65-1,23)+1)&amp;TEXT(CO$2+FLOOR((CO$2-1)/9,1),"000"),"")</f>
        <v>CT102</v>
      </c>
      <c r="CP65" s="22" t="str">
        <f>IF(INDEX('Shot Map'!$B$6:$V$26,CEILING($A65/5,1),CEILING(CP$2/5,1))=1,INDEX('Serial Reference'!$A$8:$W$8,1,FLOOR(($A65-1)/23,1)+1)&amp;INDEX('Serial Reference'!$A$8:$W$8,1,MOD($A65-1,23)+1)&amp;TEXT(CP$2+FLOOR((CP$2-1)/9,1),"000"),"")</f>
        <v>CT103</v>
      </c>
      <c r="CQ65" s="22" t="str">
        <f>IF(INDEX('Shot Map'!$B$6:$V$26,CEILING($A65/5,1),CEILING(CQ$2/5,1))=1,INDEX('Serial Reference'!$A$8:$W$8,1,FLOOR(($A65-1)/23,1)+1)&amp;INDEX('Serial Reference'!$A$8:$W$8,1,MOD($A65-1,23)+1)&amp;TEXT(CQ$2+FLOOR((CQ$2-1)/9,1),"000"),"")</f>
        <v>CT104</v>
      </c>
      <c r="CR65" s="23" t="str">
        <f>IF(INDEX('Shot Map'!$B$6:$V$26,CEILING($A65/5,1),CEILING(CR$2/5,1))=1,INDEX('Serial Reference'!$A$8:$W$8,1,FLOOR(($A65-1)/23,1)+1)&amp;INDEX('Serial Reference'!$A$8:$W$8,1,MOD($A65-1,23)+1)&amp;TEXT(CR$2+FLOOR((CR$2-1)/9,1),"000"),"")</f>
        <v>CT105</v>
      </c>
      <c r="CS65" s="21" t="str">
        <f>IF(INDEX('Shot Map'!$B$6:$V$26,CEILING($A65/5,1),CEILING(CS$2/5,1))=1,INDEX('Serial Reference'!$A$8:$W$8,1,FLOOR(($A65-1)/23,1)+1)&amp;INDEX('Serial Reference'!$A$8:$W$8,1,MOD($A65-1,23)+1)&amp;TEXT(CS$2+FLOOR((CS$2-1)/9,1),"000"),"")</f>
        <v>CT106</v>
      </c>
      <c r="CT65" s="22" t="str">
        <f>IF(INDEX('Shot Map'!$B$6:$V$26,CEILING($A65/5,1),CEILING(CT$2/5,1))=1,INDEX('Serial Reference'!$A$8:$W$8,1,FLOOR(($A65-1)/23,1)+1)&amp;INDEX('Serial Reference'!$A$8:$W$8,1,MOD($A65-1,23)+1)&amp;TEXT(CT$2+FLOOR((CT$2-1)/9,1),"000"),"")</f>
        <v>CT107</v>
      </c>
      <c r="CU65" s="22" t="str">
        <f>IF(INDEX('Shot Map'!$B$6:$V$26,CEILING($A65/5,1),CEILING(CU$2/5,1))=1,INDEX('Serial Reference'!$A$8:$W$8,1,FLOOR(($A65-1)/23,1)+1)&amp;INDEX('Serial Reference'!$A$8:$W$8,1,MOD($A65-1,23)+1)&amp;TEXT(CU$2+FLOOR((CU$2-1)/9,1),"000"),"")</f>
        <v>CT108</v>
      </c>
      <c r="CV65" s="22" t="str">
        <f>IF(INDEX('Shot Map'!$B$6:$V$26,CEILING($A65/5,1),CEILING(CV$2/5,1))=1,INDEX('Serial Reference'!$A$8:$W$8,1,FLOOR(($A65-1)/23,1)+1)&amp;INDEX('Serial Reference'!$A$8:$W$8,1,MOD($A65-1,23)+1)&amp;TEXT(CV$2+FLOOR((CV$2-1)/9,1),"000"),"")</f>
        <v>CT109</v>
      </c>
      <c r="CW65" s="23" t="str">
        <f>IF(INDEX('Shot Map'!$B$6:$V$26,CEILING($A65/5,1),CEILING(CW$2/5,1))=1,INDEX('Serial Reference'!$A$8:$W$8,1,FLOOR(($A65-1)/23,1)+1)&amp;INDEX('Serial Reference'!$A$8:$W$8,1,MOD($A65-1,23)+1)&amp;TEXT(CW$2+FLOOR((CW$2-1)/9,1),"000"),"")</f>
        <v>CT111</v>
      </c>
      <c r="CX65" s="21" t="str">
        <f>IF(INDEX('Shot Map'!$B$6:$V$26,CEILING($A65/5,1),CEILING(CX$2/5,1))=1,INDEX('Serial Reference'!$A$8:$W$8,1,FLOOR(($A65-1)/23,1)+1)&amp;INDEX('Serial Reference'!$A$8:$W$8,1,MOD($A65-1,23)+1)&amp;TEXT(CX$2+FLOOR((CX$2-1)/9,1),"000"),"")</f>
        <v/>
      </c>
      <c r="CY65" s="22" t="str">
        <f>IF(INDEX('Shot Map'!$B$6:$V$26,CEILING($A65/5,1),CEILING(CY$2/5,1))=1,INDEX('Serial Reference'!$A$8:$W$8,1,FLOOR(($A65-1)/23,1)+1)&amp;INDEX('Serial Reference'!$A$8:$W$8,1,MOD($A65-1,23)+1)&amp;TEXT(CY$2+FLOOR((CY$2-1)/9,1),"000"),"")</f>
        <v/>
      </c>
      <c r="CZ65" s="22" t="str">
        <f>IF(INDEX('Shot Map'!$B$6:$V$26,CEILING($A65/5,1),CEILING(CZ$2/5,1))=1,INDEX('Serial Reference'!$A$8:$W$8,1,FLOOR(($A65-1)/23,1)+1)&amp;INDEX('Serial Reference'!$A$8:$W$8,1,MOD($A65-1,23)+1)&amp;TEXT(CZ$2+FLOOR((CZ$2-1)/9,1),"000"),"")</f>
        <v/>
      </c>
      <c r="DA65" s="22" t="str">
        <f>IF(INDEX('Shot Map'!$B$6:$V$26,CEILING($A65/5,1),CEILING(DA$2/5,1))=1,INDEX('Serial Reference'!$A$8:$W$8,1,FLOOR(($A65-1)/23,1)+1)&amp;INDEX('Serial Reference'!$A$8:$W$8,1,MOD($A65-1,23)+1)&amp;TEXT(DA$2+FLOOR((DA$2-1)/9,1),"000"),"")</f>
        <v/>
      </c>
      <c r="DB65" s="23" t="str">
        <f>IF(INDEX('Shot Map'!$B$6:$V$26,CEILING($A65/5,1),CEILING(DB$2/5,1))=1,INDEX('Serial Reference'!$A$8:$W$8,1,FLOOR(($A65-1)/23,1)+1)&amp;INDEX('Serial Reference'!$A$8:$W$8,1,MOD($A65-1,23)+1)&amp;TEXT(DB$2+FLOOR((DB$2-1)/9,1),"000"),"")</f>
        <v/>
      </c>
    </row>
    <row r="66" spans="1:106" ht="12.75" customHeight="1" x14ac:dyDescent="0.25">
      <c r="A66" s="17">
        <v>64</v>
      </c>
      <c r="B66" s="21" t="str">
        <f>IF(INDEX('Shot Map'!$B$6:$V$26,CEILING($A66/5,1),CEILING(B$2/5,1))=1,INDEX('Serial Reference'!$A$8:$W$8,1,FLOOR(($A66-1)/23,1)+1)&amp;INDEX('Serial Reference'!$A$8:$W$8,1,MOD($A66-1,23)+1)&amp;TEXT(B$2+FLOOR((B$2-1)/9,1),"000"),"")</f>
        <v/>
      </c>
      <c r="C66" s="22" t="str">
        <f>IF(INDEX('Shot Map'!$B$6:$V$26,CEILING($A66/5,1),CEILING(C$2/5,1))=1,INDEX('Serial Reference'!$A$8:$W$8,1,FLOOR(($A66-1)/23,1)+1)&amp;INDEX('Serial Reference'!$A$8:$W$8,1,MOD($A66-1,23)+1)&amp;TEXT(C$2+FLOOR((C$2-1)/9,1),"000"),"")</f>
        <v/>
      </c>
      <c r="D66" s="22" t="str">
        <f>IF(INDEX('Shot Map'!$B$6:$V$26,CEILING($A66/5,1),CEILING(D$2/5,1))=1,INDEX('Serial Reference'!$A$8:$W$8,1,FLOOR(($A66-1)/23,1)+1)&amp;INDEX('Serial Reference'!$A$8:$W$8,1,MOD($A66-1,23)+1)&amp;TEXT(D$2+FLOOR((D$2-1)/9,1),"000"),"")</f>
        <v/>
      </c>
      <c r="E66" s="22" t="str">
        <f>IF(INDEX('Shot Map'!$B$6:$V$26,CEILING($A66/5,1),CEILING(E$2/5,1))=1,INDEX('Serial Reference'!$A$8:$W$8,1,FLOOR(($A66-1)/23,1)+1)&amp;INDEX('Serial Reference'!$A$8:$W$8,1,MOD($A66-1,23)+1)&amp;TEXT(E$2+FLOOR((E$2-1)/9,1),"000"),"")</f>
        <v/>
      </c>
      <c r="F66" s="23" t="str">
        <f>IF(INDEX('Shot Map'!$B$6:$V$26,CEILING($A66/5,1),CEILING(F$2/5,1))=1,INDEX('Serial Reference'!$A$8:$W$8,1,FLOOR(($A66-1)/23,1)+1)&amp;INDEX('Serial Reference'!$A$8:$W$8,1,MOD($A66-1,23)+1)&amp;TEXT(F$2+FLOOR((F$2-1)/9,1),"000"),"")</f>
        <v/>
      </c>
      <c r="G66" s="21" t="str">
        <f>IF(INDEX('Shot Map'!$B$6:$V$26,CEILING($A66/5,1),CEILING(G$2/5,1))=1,INDEX('Serial Reference'!$A$8:$W$8,1,FLOOR(($A66-1)/23,1)+1)&amp;INDEX('Serial Reference'!$A$8:$W$8,1,MOD($A66-1,23)+1)&amp;TEXT(G$2+FLOOR((G$2-1)/9,1),"000"),"")</f>
        <v>CU006</v>
      </c>
      <c r="H66" s="22" t="str">
        <f>IF(INDEX('Shot Map'!$B$6:$V$26,CEILING($A66/5,1),CEILING(H$2/5,1))=1,INDEX('Serial Reference'!$A$8:$W$8,1,FLOOR(($A66-1)/23,1)+1)&amp;INDEX('Serial Reference'!$A$8:$W$8,1,MOD($A66-1,23)+1)&amp;TEXT(H$2+FLOOR((H$2-1)/9,1),"000"),"")</f>
        <v>CU007</v>
      </c>
      <c r="I66" s="22" t="str">
        <f>IF(INDEX('Shot Map'!$B$6:$V$26,CEILING($A66/5,1),CEILING(I$2/5,1))=1,INDEX('Serial Reference'!$A$8:$W$8,1,FLOOR(($A66-1)/23,1)+1)&amp;INDEX('Serial Reference'!$A$8:$W$8,1,MOD($A66-1,23)+1)&amp;TEXT(I$2+FLOOR((I$2-1)/9,1),"000"),"")</f>
        <v>CU008</v>
      </c>
      <c r="J66" s="22" t="str">
        <f>IF(INDEX('Shot Map'!$B$6:$V$26,CEILING($A66/5,1),CEILING(J$2/5,1))=1,INDEX('Serial Reference'!$A$8:$W$8,1,FLOOR(($A66-1)/23,1)+1)&amp;INDEX('Serial Reference'!$A$8:$W$8,1,MOD($A66-1,23)+1)&amp;TEXT(J$2+FLOOR((J$2-1)/9,1),"000"),"")</f>
        <v>CU009</v>
      </c>
      <c r="K66" s="23" t="str">
        <f>IF(INDEX('Shot Map'!$B$6:$V$26,CEILING($A66/5,1),CEILING(K$2/5,1))=1,INDEX('Serial Reference'!$A$8:$W$8,1,FLOOR(($A66-1)/23,1)+1)&amp;INDEX('Serial Reference'!$A$8:$W$8,1,MOD($A66-1,23)+1)&amp;TEXT(K$2+FLOOR((K$2-1)/9,1),"000"),"")</f>
        <v>CU011</v>
      </c>
      <c r="L66" s="21" t="str">
        <f>IF(INDEX('Shot Map'!$B$6:$V$26,CEILING($A66/5,1),CEILING(L$2/5,1))=1,INDEX('Serial Reference'!$A$8:$W$8,1,FLOOR(($A66-1)/23,1)+1)&amp;INDEX('Serial Reference'!$A$8:$W$8,1,MOD($A66-1,23)+1)&amp;TEXT(L$2+FLOOR((L$2-1)/9,1),"000"),"")</f>
        <v>CU012</v>
      </c>
      <c r="M66" s="22" t="str">
        <f>IF(INDEX('Shot Map'!$B$6:$V$26,CEILING($A66/5,1),CEILING(M$2/5,1))=1,INDEX('Serial Reference'!$A$8:$W$8,1,FLOOR(($A66-1)/23,1)+1)&amp;INDEX('Serial Reference'!$A$8:$W$8,1,MOD($A66-1,23)+1)&amp;TEXT(M$2+FLOOR((M$2-1)/9,1),"000"),"")</f>
        <v>CU013</v>
      </c>
      <c r="N66" s="22" t="str">
        <f>IF(INDEX('Shot Map'!$B$6:$V$26,CEILING($A66/5,1),CEILING(N$2/5,1))=1,INDEX('Serial Reference'!$A$8:$W$8,1,FLOOR(($A66-1)/23,1)+1)&amp;INDEX('Serial Reference'!$A$8:$W$8,1,MOD($A66-1,23)+1)&amp;TEXT(N$2+FLOOR((N$2-1)/9,1),"000"),"")</f>
        <v>CU014</v>
      </c>
      <c r="O66" s="22" t="str">
        <f>IF(INDEX('Shot Map'!$B$6:$V$26,CEILING($A66/5,1),CEILING(O$2/5,1))=1,INDEX('Serial Reference'!$A$8:$W$8,1,FLOOR(($A66-1)/23,1)+1)&amp;INDEX('Serial Reference'!$A$8:$W$8,1,MOD($A66-1,23)+1)&amp;TEXT(O$2+FLOOR((O$2-1)/9,1),"000"),"")</f>
        <v>CU015</v>
      </c>
      <c r="P66" s="23" t="str">
        <f>IF(INDEX('Shot Map'!$B$6:$V$26,CEILING($A66/5,1),CEILING(P$2/5,1))=1,INDEX('Serial Reference'!$A$8:$W$8,1,FLOOR(($A66-1)/23,1)+1)&amp;INDEX('Serial Reference'!$A$8:$W$8,1,MOD($A66-1,23)+1)&amp;TEXT(P$2+FLOOR((P$2-1)/9,1),"000"),"")</f>
        <v>CU016</v>
      </c>
      <c r="Q66" s="21" t="str">
        <f>IF(INDEX('Shot Map'!$B$6:$V$26,CEILING($A66/5,1),CEILING(Q$2/5,1))=1,INDEX('Serial Reference'!$A$8:$W$8,1,FLOOR(($A66-1)/23,1)+1)&amp;INDEX('Serial Reference'!$A$8:$W$8,1,MOD($A66-1,23)+1)&amp;TEXT(Q$2+FLOOR((Q$2-1)/9,1),"000"),"")</f>
        <v>CU017</v>
      </c>
      <c r="R66" s="22" t="str">
        <f>IF(INDEX('Shot Map'!$B$6:$V$26,CEILING($A66/5,1),CEILING(R$2/5,1))=1,INDEX('Serial Reference'!$A$8:$W$8,1,FLOOR(($A66-1)/23,1)+1)&amp;INDEX('Serial Reference'!$A$8:$W$8,1,MOD($A66-1,23)+1)&amp;TEXT(R$2+FLOOR((R$2-1)/9,1),"000"),"")</f>
        <v>CU018</v>
      </c>
      <c r="S66" s="22" t="str">
        <f>IF(INDEX('Shot Map'!$B$6:$V$26,CEILING($A66/5,1),CEILING(S$2/5,1))=1,INDEX('Serial Reference'!$A$8:$W$8,1,FLOOR(($A66-1)/23,1)+1)&amp;INDEX('Serial Reference'!$A$8:$W$8,1,MOD($A66-1,23)+1)&amp;TEXT(S$2+FLOOR((S$2-1)/9,1),"000"),"")</f>
        <v>CU019</v>
      </c>
      <c r="T66" s="22" t="str">
        <f>IF(INDEX('Shot Map'!$B$6:$V$26,CEILING($A66/5,1),CEILING(T$2/5,1))=1,INDEX('Serial Reference'!$A$8:$W$8,1,FLOOR(($A66-1)/23,1)+1)&amp;INDEX('Serial Reference'!$A$8:$W$8,1,MOD($A66-1,23)+1)&amp;TEXT(T$2+FLOOR((T$2-1)/9,1),"000"),"")</f>
        <v>CU021</v>
      </c>
      <c r="U66" s="23" t="str">
        <f>IF(INDEX('Shot Map'!$B$6:$V$26,CEILING($A66/5,1),CEILING(U$2/5,1))=1,INDEX('Serial Reference'!$A$8:$W$8,1,FLOOR(($A66-1)/23,1)+1)&amp;INDEX('Serial Reference'!$A$8:$W$8,1,MOD($A66-1,23)+1)&amp;TEXT(U$2+FLOOR((U$2-1)/9,1),"000"),"")</f>
        <v>CU022</v>
      </c>
      <c r="V66" s="21" t="str">
        <f>IF(INDEX('Shot Map'!$B$6:$V$26,CEILING($A66/5,1),CEILING(V$2/5,1))=1,INDEX('Serial Reference'!$A$8:$W$8,1,FLOOR(($A66-1)/23,1)+1)&amp;INDEX('Serial Reference'!$A$8:$W$8,1,MOD($A66-1,23)+1)&amp;TEXT(V$2+FLOOR((V$2-1)/9,1),"000"),"")</f>
        <v>CU023</v>
      </c>
      <c r="W66" s="22" t="str">
        <f>IF(INDEX('Shot Map'!$B$6:$V$26,CEILING($A66/5,1),CEILING(W$2/5,1))=1,INDEX('Serial Reference'!$A$8:$W$8,1,FLOOR(($A66-1)/23,1)+1)&amp;INDEX('Serial Reference'!$A$8:$W$8,1,MOD($A66-1,23)+1)&amp;TEXT(W$2+FLOOR((W$2-1)/9,1),"000"),"")</f>
        <v>CU024</v>
      </c>
      <c r="X66" s="22" t="str">
        <f>IF(INDEX('Shot Map'!$B$6:$V$26,CEILING($A66/5,1),CEILING(X$2/5,1))=1,INDEX('Serial Reference'!$A$8:$W$8,1,FLOOR(($A66-1)/23,1)+1)&amp;INDEX('Serial Reference'!$A$8:$W$8,1,MOD($A66-1,23)+1)&amp;TEXT(X$2+FLOOR((X$2-1)/9,1),"000"),"")</f>
        <v>CU025</v>
      </c>
      <c r="Y66" s="22" t="str">
        <f>IF(INDEX('Shot Map'!$B$6:$V$26,CEILING($A66/5,1),CEILING(Y$2/5,1))=1,INDEX('Serial Reference'!$A$8:$W$8,1,FLOOR(($A66-1)/23,1)+1)&amp;INDEX('Serial Reference'!$A$8:$W$8,1,MOD($A66-1,23)+1)&amp;TEXT(Y$2+FLOOR((Y$2-1)/9,1),"000"),"")</f>
        <v>CU026</v>
      </c>
      <c r="Z66" s="23" t="str">
        <f>IF(INDEX('Shot Map'!$B$6:$V$26,CEILING($A66/5,1),CEILING(Z$2/5,1))=1,INDEX('Serial Reference'!$A$8:$W$8,1,FLOOR(($A66-1)/23,1)+1)&amp;INDEX('Serial Reference'!$A$8:$W$8,1,MOD($A66-1,23)+1)&amp;TEXT(Z$2+FLOOR((Z$2-1)/9,1),"000"),"")</f>
        <v>CU027</v>
      </c>
      <c r="AA66" s="21" t="str">
        <f>IF(INDEX('Shot Map'!$B$6:$V$26,CEILING($A66/5,1),CEILING(AA$2/5,1))=1,INDEX('Serial Reference'!$A$8:$W$8,1,FLOOR(($A66-1)/23,1)+1)&amp;INDEX('Serial Reference'!$A$8:$W$8,1,MOD($A66-1,23)+1)&amp;TEXT(AA$2+FLOOR((AA$2-1)/9,1),"000"),"")</f>
        <v>CU028</v>
      </c>
      <c r="AB66" s="22" t="str">
        <f>IF(INDEX('Shot Map'!$B$6:$V$26,CEILING($A66/5,1),CEILING(AB$2/5,1))=1,INDEX('Serial Reference'!$A$8:$W$8,1,FLOOR(($A66-1)/23,1)+1)&amp;INDEX('Serial Reference'!$A$8:$W$8,1,MOD($A66-1,23)+1)&amp;TEXT(AB$2+FLOOR((AB$2-1)/9,1),"000"),"")</f>
        <v>CU029</v>
      </c>
      <c r="AC66" s="22" t="str">
        <f>IF(INDEX('Shot Map'!$B$6:$V$26,CEILING($A66/5,1),CEILING(AC$2/5,1))=1,INDEX('Serial Reference'!$A$8:$W$8,1,FLOOR(($A66-1)/23,1)+1)&amp;INDEX('Serial Reference'!$A$8:$W$8,1,MOD($A66-1,23)+1)&amp;TEXT(AC$2+FLOOR((AC$2-1)/9,1),"000"),"")</f>
        <v>CU031</v>
      </c>
      <c r="AD66" s="22" t="str">
        <f>IF(INDEX('Shot Map'!$B$6:$V$26,CEILING($A66/5,1),CEILING(AD$2/5,1))=1,INDEX('Serial Reference'!$A$8:$W$8,1,FLOOR(($A66-1)/23,1)+1)&amp;INDEX('Serial Reference'!$A$8:$W$8,1,MOD($A66-1,23)+1)&amp;TEXT(AD$2+FLOOR((AD$2-1)/9,1),"000"),"")</f>
        <v>CU032</v>
      </c>
      <c r="AE66" s="23" t="str">
        <f>IF(INDEX('Shot Map'!$B$6:$V$26,CEILING($A66/5,1),CEILING(AE$2/5,1))=1,INDEX('Serial Reference'!$A$8:$W$8,1,FLOOR(($A66-1)/23,1)+1)&amp;INDEX('Serial Reference'!$A$8:$W$8,1,MOD($A66-1,23)+1)&amp;TEXT(AE$2+FLOOR((AE$2-1)/9,1),"000"),"")</f>
        <v>CU033</v>
      </c>
      <c r="AF66" s="21" t="str">
        <f>IF(INDEX('Shot Map'!$B$6:$V$26,CEILING($A66/5,1),CEILING(AF$2/5,1))=1,INDEX('Serial Reference'!$A$8:$W$8,1,FLOOR(($A66-1)/23,1)+1)&amp;INDEX('Serial Reference'!$A$8:$W$8,1,MOD($A66-1,23)+1)&amp;TEXT(AF$2+FLOOR((AF$2-1)/9,1),"000"),"")</f>
        <v>CU034</v>
      </c>
      <c r="AG66" s="22" t="str">
        <f>IF(INDEX('Shot Map'!$B$6:$V$26,CEILING($A66/5,1),CEILING(AG$2/5,1))=1,INDEX('Serial Reference'!$A$8:$W$8,1,FLOOR(($A66-1)/23,1)+1)&amp;INDEX('Serial Reference'!$A$8:$W$8,1,MOD($A66-1,23)+1)&amp;TEXT(AG$2+FLOOR((AG$2-1)/9,1),"000"),"")</f>
        <v>CU035</v>
      </c>
      <c r="AH66" s="22" t="str">
        <f>IF(INDEX('Shot Map'!$B$6:$V$26,CEILING($A66/5,1),CEILING(AH$2/5,1))=1,INDEX('Serial Reference'!$A$8:$W$8,1,FLOOR(($A66-1)/23,1)+1)&amp;INDEX('Serial Reference'!$A$8:$W$8,1,MOD($A66-1,23)+1)&amp;TEXT(AH$2+FLOOR((AH$2-1)/9,1),"000"),"")</f>
        <v>CU036</v>
      </c>
      <c r="AI66" s="22" t="str">
        <f>IF(INDEX('Shot Map'!$B$6:$V$26,CEILING($A66/5,1),CEILING(AI$2/5,1))=1,INDEX('Serial Reference'!$A$8:$W$8,1,FLOOR(($A66-1)/23,1)+1)&amp;INDEX('Serial Reference'!$A$8:$W$8,1,MOD($A66-1,23)+1)&amp;TEXT(AI$2+FLOOR((AI$2-1)/9,1),"000"),"")</f>
        <v>CU037</v>
      </c>
      <c r="AJ66" s="23" t="str">
        <f>IF(INDEX('Shot Map'!$B$6:$V$26,CEILING($A66/5,1),CEILING(AJ$2/5,1))=1,INDEX('Serial Reference'!$A$8:$W$8,1,FLOOR(($A66-1)/23,1)+1)&amp;INDEX('Serial Reference'!$A$8:$W$8,1,MOD($A66-1,23)+1)&amp;TEXT(AJ$2+FLOOR((AJ$2-1)/9,1),"000"),"")</f>
        <v>CU038</v>
      </c>
      <c r="AK66" s="21" t="str">
        <f>IF(INDEX('Shot Map'!$B$6:$V$26,CEILING($A66/5,1),CEILING(AK$2/5,1))=1,INDEX('Serial Reference'!$A$8:$W$8,1,FLOOR(($A66-1)/23,1)+1)&amp;INDEX('Serial Reference'!$A$8:$W$8,1,MOD($A66-1,23)+1)&amp;TEXT(AK$2+FLOOR((AK$2-1)/9,1),"000"),"")</f>
        <v>CU039</v>
      </c>
      <c r="AL66" s="22" t="str">
        <f>IF(INDEX('Shot Map'!$B$6:$V$26,CEILING($A66/5,1),CEILING(AL$2/5,1))=1,INDEX('Serial Reference'!$A$8:$W$8,1,FLOOR(($A66-1)/23,1)+1)&amp;INDEX('Serial Reference'!$A$8:$W$8,1,MOD($A66-1,23)+1)&amp;TEXT(AL$2+FLOOR((AL$2-1)/9,1),"000"),"")</f>
        <v>CU041</v>
      </c>
      <c r="AM66" s="22" t="str">
        <f>IF(INDEX('Shot Map'!$B$6:$V$26,CEILING($A66/5,1),CEILING(AM$2/5,1))=1,INDEX('Serial Reference'!$A$8:$W$8,1,FLOOR(($A66-1)/23,1)+1)&amp;INDEX('Serial Reference'!$A$8:$W$8,1,MOD($A66-1,23)+1)&amp;TEXT(AM$2+FLOOR((AM$2-1)/9,1),"000"),"")</f>
        <v>CU042</v>
      </c>
      <c r="AN66" s="22" t="str">
        <f>IF(INDEX('Shot Map'!$B$6:$V$26,CEILING($A66/5,1),CEILING(AN$2/5,1))=1,INDEX('Serial Reference'!$A$8:$W$8,1,FLOOR(($A66-1)/23,1)+1)&amp;INDEX('Serial Reference'!$A$8:$W$8,1,MOD($A66-1,23)+1)&amp;TEXT(AN$2+FLOOR((AN$2-1)/9,1),"000"),"")</f>
        <v>CU043</v>
      </c>
      <c r="AO66" s="23" t="str">
        <f>IF(INDEX('Shot Map'!$B$6:$V$26,CEILING($A66/5,1),CEILING(AO$2/5,1))=1,INDEX('Serial Reference'!$A$8:$W$8,1,FLOOR(($A66-1)/23,1)+1)&amp;INDEX('Serial Reference'!$A$8:$W$8,1,MOD($A66-1,23)+1)&amp;TEXT(AO$2+FLOOR((AO$2-1)/9,1),"000"),"")</f>
        <v>CU044</v>
      </c>
      <c r="AP66" s="21" t="str">
        <f>IF(INDEX('Shot Map'!$B$6:$V$26,CEILING($A66/5,1),CEILING(AP$2/5,1))=1,INDEX('Serial Reference'!$A$8:$W$8,1,FLOOR(($A66-1)/23,1)+1)&amp;INDEX('Serial Reference'!$A$8:$W$8,1,MOD($A66-1,23)+1)&amp;TEXT(AP$2+FLOOR((AP$2-1)/9,1),"000"),"")</f>
        <v>CU045</v>
      </c>
      <c r="AQ66" s="22" t="str">
        <f>IF(INDEX('Shot Map'!$B$6:$V$26,CEILING($A66/5,1),CEILING(AQ$2/5,1))=1,INDEX('Serial Reference'!$A$8:$W$8,1,FLOOR(($A66-1)/23,1)+1)&amp;INDEX('Serial Reference'!$A$8:$W$8,1,MOD($A66-1,23)+1)&amp;TEXT(AQ$2+FLOOR((AQ$2-1)/9,1),"000"),"")</f>
        <v>CU046</v>
      </c>
      <c r="AR66" s="22" t="str">
        <f>IF(INDEX('Shot Map'!$B$6:$V$26,CEILING($A66/5,1),CEILING(AR$2/5,1))=1,INDEX('Serial Reference'!$A$8:$W$8,1,FLOOR(($A66-1)/23,1)+1)&amp;INDEX('Serial Reference'!$A$8:$W$8,1,MOD($A66-1,23)+1)&amp;TEXT(AR$2+FLOOR((AR$2-1)/9,1),"000"),"")</f>
        <v>CU047</v>
      </c>
      <c r="AS66" s="22" t="str">
        <f>IF(INDEX('Shot Map'!$B$6:$V$26,CEILING($A66/5,1),CEILING(AS$2/5,1))=1,INDEX('Serial Reference'!$A$8:$W$8,1,FLOOR(($A66-1)/23,1)+1)&amp;INDEX('Serial Reference'!$A$8:$W$8,1,MOD($A66-1,23)+1)&amp;TEXT(AS$2+FLOOR((AS$2-1)/9,1),"000"),"")</f>
        <v>CU048</v>
      </c>
      <c r="AT66" s="23" t="str">
        <f>IF(INDEX('Shot Map'!$B$6:$V$26,CEILING($A66/5,1),CEILING(AT$2/5,1))=1,INDEX('Serial Reference'!$A$8:$W$8,1,FLOOR(($A66-1)/23,1)+1)&amp;INDEX('Serial Reference'!$A$8:$W$8,1,MOD($A66-1,23)+1)&amp;TEXT(AT$2+FLOOR((AT$2-1)/9,1),"000"),"")</f>
        <v>CU049</v>
      </c>
      <c r="AU66" s="21" t="str">
        <f>IF(INDEX('Shot Map'!$B$6:$V$26,CEILING($A66/5,1),CEILING(AU$2/5,1))=1,INDEX('Serial Reference'!$A$8:$W$8,1,FLOOR(($A66-1)/23,1)+1)&amp;INDEX('Serial Reference'!$A$8:$W$8,1,MOD($A66-1,23)+1)&amp;TEXT(AU$2+FLOOR((AU$2-1)/9,1),"000"),"")</f>
        <v>CU051</v>
      </c>
      <c r="AV66" s="22" t="str">
        <f>IF(INDEX('Shot Map'!$B$6:$V$26,CEILING($A66/5,1),CEILING(AV$2/5,1))=1,INDEX('Serial Reference'!$A$8:$W$8,1,FLOOR(($A66-1)/23,1)+1)&amp;INDEX('Serial Reference'!$A$8:$W$8,1,MOD($A66-1,23)+1)&amp;TEXT(AV$2+FLOOR((AV$2-1)/9,1),"000"),"")</f>
        <v>CU052</v>
      </c>
      <c r="AW66" s="22" t="str">
        <f>IF(INDEX('Shot Map'!$B$6:$V$26,CEILING($A66/5,1),CEILING(AW$2/5,1))=1,INDEX('Serial Reference'!$A$8:$W$8,1,FLOOR(($A66-1)/23,1)+1)&amp;INDEX('Serial Reference'!$A$8:$W$8,1,MOD($A66-1,23)+1)&amp;TEXT(AW$2+FLOOR((AW$2-1)/9,1),"000"),"")</f>
        <v>CU053</v>
      </c>
      <c r="AX66" s="22" t="str">
        <f>IF(INDEX('Shot Map'!$B$6:$V$26,CEILING($A66/5,1),CEILING(AX$2/5,1))=1,INDEX('Serial Reference'!$A$8:$W$8,1,FLOOR(($A66-1)/23,1)+1)&amp;INDEX('Serial Reference'!$A$8:$W$8,1,MOD($A66-1,23)+1)&amp;TEXT(AX$2+FLOOR((AX$2-1)/9,1),"000"),"")</f>
        <v>CU054</v>
      </c>
      <c r="AY66" s="23" t="str">
        <f>IF(INDEX('Shot Map'!$B$6:$V$26,CEILING($A66/5,1),CEILING(AY$2/5,1))=1,INDEX('Serial Reference'!$A$8:$W$8,1,FLOOR(($A66-1)/23,1)+1)&amp;INDEX('Serial Reference'!$A$8:$W$8,1,MOD($A66-1,23)+1)&amp;TEXT(AY$2+FLOOR((AY$2-1)/9,1),"000"),"")</f>
        <v>CU055</v>
      </c>
      <c r="AZ66" s="21" t="str">
        <f>IF(INDEX('Shot Map'!$B$6:$V$26,CEILING($A66/5,1),CEILING(AZ$2/5,1))=1,INDEX('Serial Reference'!$A$8:$W$8,1,FLOOR(($A66-1)/23,1)+1)&amp;INDEX('Serial Reference'!$A$8:$W$8,1,MOD($A66-1,23)+1)&amp;TEXT(AZ$2+FLOOR((AZ$2-1)/9,1),"000"),"")</f>
        <v>CU056</v>
      </c>
      <c r="BA66" s="22" t="str">
        <f>IF(INDEX('Shot Map'!$B$6:$V$26,CEILING($A66/5,1),CEILING(BA$2/5,1))=1,INDEX('Serial Reference'!$A$8:$W$8,1,FLOOR(($A66-1)/23,1)+1)&amp;INDEX('Serial Reference'!$A$8:$W$8,1,MOD($A66-1,23)+1)&amp;TEXT(BA$2+FLOOR((BA$2-1)/9,1),"000"),"")</f>
        <v>CU057</v>
      </c>
      <c r="BB66" s="22" t="str">
        <f>IF(INDEX('Shot Map'!$B$6:$V$26,CEILING($A66/5,1),CEILING(BB$2/5,1))=1,INDEX('Serial Reference'!$A$8:$W$8,1,FLOOR(($A66-1)/23,1)+1)&amp;INDEX('Serial Reference'!$A$8:$W$8,1,MOD($A66-1,23)+1)&amp;TEXT(BB$2+FLOOR((BB$2-1)/9,1),"000"),"")</f>
        <v>CU058</v>
      </c>
      <c r="BC66" s="22" t="str">
        <f>IF(INDEX('Shot Map'!$B$6:$V$26,CEILING($A66/5,1),CEILING(BC$2/5,1))=1,INDEX('Serial Reference'!$A$8:$W$8,1,FLOOR(($A66-1)/23,1)+1)&amp;INDEX('Serial Reference'!$A$8:$W$8,1,MOD($A66-1,23)+1)&amp;TEXT(BC$2+FLOOR((BC$2-1)/9,1),"000"),"")</f>
        <v>CU059</v>
      </c>
      <c r="BD66" s="23" t="str">
        <f>IF(INDEX('Shot Map'!$B$6:$V$26,CEILING($A66/5,1),CEILING(BD$2/5,1))=1,INDEX('Serial Reference'!$A$8:$W$8,1,FLOOR(($A66-1)/23,1)+1)&amp;INDEX('Serial Reference'!$A$8:$W$8,1,MOD($A66-1,23)+1)&amp;TEXT(BD$2+FLOOR((BD$2-1)/9,1),"000"),"")</f>
        <v>CU061</v>
      </c>
      <c r="BE66" s="21" t="str">
        <f>IF(INDEX('Shot Map'!$B$6:$V$26,CEILING($A66/5,1),CEILING(BE$2/5,1))=1,INDEX('Serial Reference'!$A$8:$W$8,1,FLOOR(($A66-1)/23,1)+1)&amp;INDEX('Serial Reference'!$A$8:$W$8,1,MOD($A66-1,23)+1)&amp;TEXT(BE$2+FLOOR((BE$2-1)/9,1),"000"),"")</f>
        <v>CU062</v>
      </c>
      <c r="BF66" s="22" t="str">
        <f>IF(INDEX('Shot Map'!$B$6:$V$26,CEILING($A66/5,1),CEILING(BF$2/5,1))=1,INDEX('Serial Reference'!$A$8:$W$8,1,FLOOR(($A66-1)/23,1)+1)&amp;INDEX('Serial Reference'!$A$8:$W$8,1,MOD($A66-1,23)+1)&amp;TEXT(BF$2+FLOOR((BF$2-1)/9,1),"000"),"")</f>
        <v>CU063</v>
      </c>
      <c r="BG66" s="22" t="str">
        <f>IF(INDEX('Shot Map'!$B$6:$V$26,CEILING($A66/5,1),CEILING(BG$2/5,1))=1,INDEX('Serial Reference'!$A$8:$W$8,1,FLOOR(($A66-1)/23,1)+1)&amp;INDEX('Serial Reference'!$A$8:$W$8,1,MOD($A66-1,23)+1)&amp;TEXT(BG$2+FLOOR((BG$2-1)/9,1),"000"),"")</f>
        <v>CU064</v>
      </c>
      <c r="BH66" s="22" t="str">
        <f>IF(INDEX('Shot Map'!$B$6:$V$26,CEILING($A66/5,1),CEILING(BH$2/5,1))=1,INDEX('Serial Reference'!$A$8:$W$8,1,FLOOR(($A66-1)/23,1)+1)&amp;INDEX('Serial Reference'!$A$8:$W$8,1,MOD($A66-1,23)+1)&amp;TEXT(BH$2+FLOOR((BH$2-1)/9,1),"000"),"")</f>
        <v>CU065</v>
      </c>
      <c r="BI66" s="23" t="str">
        <f>IF(INDEX('Shot Map'!$B$6:$V$26,CEILING($A66/5,1),CEILING(BI$2/5,1))=1,INDEX('Serial Reference'!$A$8:$W$8,1,FLOOR(($A66-1)/23,1)+1)&amp;INDEX('Serial Reference'!$A$8:$W$8,1,MOD($A66-1,23)+1)&amp;TEXT(BI$2+FLOOR((BI$2-1)/9,1),"000"),"")</f>
        <v>CU066</v>
      </c>
      <c r="BJ66" s="21" t="str">
        <f>IF(INDEX('Shot Map'!$B$6:$V$26,CEILING($A66/5,1),CEILING(BJ$2/5,1))=1,INDEX('Serial Reference'!$A$8:$W$8,1,FLOOR(($A66-1)/23,1)+1)&amp;INDEX('Serial Reference'!$A$8:$W$8,1,MOD($A66-1,23)+1)&amp;TEXT(BJ$2+FLOOR((BJ$2-1)/9,1),"000"),"")</f>
        <v>CU067</v>
      </c>
      <c r="BK66" s="22" t="str">
        <f>IF(INDEX('Shot Map'!$B$6:$V$26,CEILING($A66/5,1),CEILING(BK$2/5,1))=1,INDEX('Serial Reference'!$A$8:$W$8,1,FLOOR(($A66-1)/23,1)+1)&amp;INDEX('Serial Reference'!$A$8:$W$8,1,MOD($A66-1,23)+1)&amp;TEXT(BK$2+FLOOR((BK$2-1)/9,1),"000"),"")</f>
        <v>CU068</v>
      </c>
      <c r="BL66" s="22" t="str">
        <f>IF(INDEX('Shot Map'!$B$6:$V$26,CEILING($A66/5,1),CEILING(BL$2/5,1))=1,INDEX('Serial Reference'!$A$8:$W$8,1,FLOOR(($A66-1)/23,1)+1)&amp;INDEX('Serial Reference'!$A$8:$W$8,1,MOD($A66-1,23)+1)&amp;TEXT(BL$2+FLOOR((BL$2-1)/9,1),"000"),"")</f>
        <v>CU069</v>
      </c>
      <c r="BM66" s="22" t="str">
        <f>IF(INDEX('Shot Map'!$B$6:$V$26,CEILING($A66/5,1),CEILING(BM$2/5,1))=1,INDEX('Serial Reference'!$A$8:$W$8,1,FLOOR(($A66-1)/23,1)+1)&amp;INDEX('Serial Reference'!$A$8:$W$8,1,MOD($A66-1,23)+1)&amp;TEXT(BM$2+FLOOR((BM$2-1)/9,1),"000"),"")</f>
        <v>CU071</v>
      </c>
      <c r="BN66" s="23" t="str">
        <f>IF(INDEX('Shot Map'!$B$6:$V$26,CEILING($A66/5,1),CEILING(BN$2/5,1))=1,INDEX('Serial Reference'!$A$8:$W$8,1,FLOOR(($A66-1)/23,1)+1)&amp;INDEX('Serial Reference'!$A$8:$W$8,1,MOD($A66-1,23)+1)&amp;TEXT(BN$2+FLOOR((BN$2-1)/9,1),"000"),"")</f>
        <v>CU072</v>
      </c>
      <c r="BO66" s="21" t="str">
        <f>IF(INDEX('Shot Map'!$B$6:$V$26,CEILING($A66/5,1),CEILING(BO$2/5,1))=1,INDEX('Serial Reference'!$A$8:$W$8,1,FLOOR(($A66-1)/23,1)+1)&amp;INDEX('Serial Reference'!$A$8:$W$8,1,MOD($A66-1,23)+1)&amp;TEXT(BO$2+FLOOR((BO$2-1)/9,1),"000"),"")</f>
        <v>CU073</v>
      </c>
      <c r="BP66" s="22" t="str">
        <f>IF(INDEX('Shot Map'!$B$6:$V$26,CEILING($A66/5,1),CEILING(BP$2/5,1))=1,INDEX('Serial Reference'!$A$8:$W$8,1,FLOOR(($A66-1)/23,1)+1)&amp;INDEX('Serial Reference'!$A$8:$W$8,1,MOD($A66-1,23)+1)&amp;TEXT(BP$2+FLOOR((BP$2-1)/9,1),"000"),"")</f>
        <v>CU074</v>
      </c>
      <c r="BQ66" s="22" t="str">
        <f>IF(INDEX('Shot Map'!$B$6:$V$26,CEILING($A66/5,1),CEILING(BQ$2/5,1))=1,INDEX('Serial Reference'!$A$8:$W$8,1,FLOOR(($A66-1)/23,1)+1)&amp;INDEX('Serial Reference'!$A$8:$W$8,1,MOD($A66-1,23)+1)&amp;TEXT(BQ$2+FLOOR((BQ$2-1)/9,1),"000"),"")</f>
        <v>CU075</v>
      </c>
      <c r="BR66" s="22" t="str">
        <f>IF(INDEX('Shot Map'!$B$6:$V$26,CEILING($A66/5,1),CEILING(BR$2/5,1))=1,INDEX('Serial Reference'!$A$8:$W$8,1,FLOOR(($A66-1)/23,1)+1)&amp;INDEX('Serial Reference'!$A$8:$W$8,1,MOD($A66-1,23)+1)&amp;TEXT(BR$2+FLOOR((BR$2-1)/9,1),"000"),"")</f>
        <v>CU076</v>
      </c>
      <c r="BS66" s="23" t="str">
        <f>IF(INDEX('Shot Map'!$B$6:$V$26,CEILING($A66/5,1),CEILING(BS$2/5,1))=1,INDEX('Serial Reference'!$A$8:$W$8,1,FLOOR(($A66-1)/23,1)+1)&amp;INDEX('Serial Reference'!$A$8:$W$8,1,MOD($A66-1,23)+1)&amp;TEXT(BS$2+FLOOR((BS$2-1)/9,1),"000"),"")</f>
        <v>CU077</v>
      </c>
      <c r="BT66" s="21" t="str">
        <f>IF(INDEX('Shot Map'!$B$6:$V$26,CEILING($A66/5,1),CEILING(BT$2/5,1))=1,INDEX('Serial Reference'!$A$8:$W$8,1,FLOOR(($A66-1)/23,1)+1)&amp;INDEX('Serial Reference'!$A$8:$W$8,1,MOD($A66-1,23)+1)&amp;TEXT(BT$2+FLOOR((BT$2-1)/9,1),"000"),"")</f>
        <v>CU078</v>
      </c>
      <c r="BU66" s="22" t="str">
        <f>IF(INDEX('Shot Map'!$B$6:$V$26,CEILING($A66/5,1),CEILING(BU$2/5,1))=1,INDEX('Serial Reference'!$A$8:$W$8,1,FLOOR(($A66-1)/23,1)+1)&amp;INDEX('Serial Reference'!$A$8:$W$8,1,MOD($A66-1,23)+1)&amp;TEXT(BU$2+FLOOR((BU$2-1)/9,1),"000"),"")</f>
        <v>CU079</v>
      </c>
      <c r="BV66" s="22" t="str">
        <f>IF(INDEX('Shot Map'!$B$6:$V$26,CEILING($A66/5,1),CEILING(BV$2/5,1))=1,INDEX('Serial Reference'!$A$8:$W$8,1,FLOOR(($A66-1)/23,1)+1)&amp;INDEX('Serial Reference'!$A$8:$W$8,1,MOD($A66-1,23)+1)&amp;TEXT(BV$2+FLOOR((BV$2-1)/9,1),"000"),"")</f>
        <v>CU081</v>
      </c>
      <c r="BW66" s="22" t="str">
        <f>IF(INDEX('Shot Map'!$B$6:$V$26,CEILING($A66/5,1),CEILING(BW$2/5,1))=1,INDEX('Serial Reference'!$A$8:$W$8,1,FLOOR(($A66-1)/23,1)+1)&amp;INDEX('Serial Reference'!$A$8:$W$8,1,MOD($A66-1,23)+1)&amp;TEXT(BW$2+FLOOR((BW$2-1)/9,1),"000"),"")</f>
        <v>CU082</v>
      </c>
      <c r="BX66" s="23" t="str">
        <f>IF(INDEX('Shot Map'!$B$6:$V$26,CEILING($A66/5,1),CEILING(BX$2/5,1))=1,INDEX('Serial Reference'!$A$8:$W$8,1,FLOOR(($A66-1)/23,1)+1)&amp;INDEX('Serial Reference'!$A$8:$W$8,1,MOD($A66-1,23)+1)&amp;TEXT(BX$2+FLOOR((BX$2-1)/9,1),"000"),"")</f>
        <v>CU083</v>
      </c>
      <c r="BY66" s="21" t="str">
        <f>IF(INDEX('Shot Map'!$B$6:$V$26,CEILING($A66/5,1),CEILING(BY$2/5,1))=1,INDEX('Serial Reference'!$A$8:$W$8,1,FLOOR(($A66-1)/23,1)+1)&amp;INDEX('Serial Reference'!$A$8:$W$8,1,MOD($A66-1,23)+1)&amp;TEXT(BY$2+FLOOR((BY$2-1)/9,1),"000"),"")</f>
        <v>CU084</v>
      </c>
      <c r="BZ66" s="22" t="str">
        <f>IF(INDEX('Shot Map'!$B$6:$V$26,CEILING($A66/5,1),CEILING(BZ$2/5,1))=1,INDEX('Serial Reference'!$A$8:$W$8,1,FLOOR(($A66-1)/23,1)+1)&amp;INDEX('Serial Reference'!$A$8:$W$8,1,MOD($A66-1,23)+1)&amp;TEXT(BZ$2+FLOOR((BZ$2-1)/9,1),"000"),"")</f>
        <v>CU085</v>
      </c>
      <c r="CA66" s="22" t="str">
        <f>IF(INDEX('Shot Map'!$B$6:$V$26,CEILING($A66/5,1),CEILING(CA$2/5,1))=1,INDEX('Serial Reference'!$A$8:$W$8,1,FLOOR(($A66-1)/23,1)+1)&amp;INDEX('Serial Reference'!$A$8:$W$8,1,MOD($A66-1,23)+1)&amp;TEXT(CA$2+FLOOR((CA$2-1)/9,1),"000"),"")</f>
        <v>CU086</v>
      </c>
      <c r="CB66" s="22" t="str">
        <f>IF(INDEX('Shot Map'!$B$6:$V$26,CEILING($A66/5,1),CEILING(CB$2/5,1))=1,INDEX('Serial Reference'!$A$8:$W$8,1,FLOOR(($A66-1)/23,1)+1)&amp;INDEX('Serial Reference'!$A$8:$W$8,1,MOD($A66-1,23)+1)&amp;TEXT(CB$2+FLOOR((CB$2-1)/9,1),"000"),"")</f>
        <v>CU087</v>
      </c>
      <c r="CC66" s="23" t="str">
        <f>IF(INDEX('Shot Map'!$B$6:$V$26,CEILING($A66/5,1),CEILING(CC$2/5,1))=1,INDEX('Serial Reference'!$A$8:$W$8,1,FLOOR(($A66-1)/23,1)+1)&amp;INDEX('Serial Reference'!$A$8:$W$8,1,MOD($A66-1,23)+1)&amp;TEXT(CC$2+FLOOR((CC$2-1)/9,1),"000"),"")</f>
        <v>CU088</v>
      </c>
      <c r="CD66" s="21" t="str">
        <f>IF(INDEX('Shot Map'!$B$6:$V$26,CEILING($A66/5,1),CEILING(CD$2/5,1))=1,INDEX('Serial Reference'!$A$8:$W$8,1,FLOOR(($A66-1)/23,1)+1)&amp;INDEX('Serial Reference'!$A$8:$W$8,1,MOD($A66-1,23)+1)&amp;TEXT(CD$2+FLOOR((CD$2-1)/9,1),"000"),"")</f>
        <v>CU089</v>
      </c>
      <c r="CE66" s="22" t="str">
        <f>IF(INDEX('Shot Map'!$B$6:$V$26,CEILING($A66/5,1),CEILING(CE$2/5,1))=1,INDEX('Serial Reference'!$A$8:$W$8,1,FLOOR(($A66-1)/23,1)+1)&amp;INDEX('Serial Reference'!$A$8:$W$8,1,MOD($A66-1,23)+1)&amp;TEXT(CE$2+FLOOR((CE$2-1)/9,1),"000"),"")</f>
        <v>CU091</v>
      </c>
      <c r="CF66" s="22" t="str">
        <f>IF(INDEX('Shot Map'!$B$6:$V$26,CEILING($A66/5,1),CEILING(CF$2/5,1))=1,INDEX('Serial Reference'!$A$8:$W$8,1,FLOOR(($A66-1)/23,1)+1)&amp;INDEX('Serial Reference'!$A$8:$W$8,1,MOD($A66-1,23)+1)&amp;TEXT(CF$2+FLOOR((CF$2-1)/9,1),"000"),"")</f>
        <v>CU092</v>
      </c>
      <c r="CG66" s="22" t="str">
        <f>IF(INDEX('Shot Map'!$B$6:$V$26,CEILING($A66/5,1),CEILING(CG$2/5,1))=1,INDEX('Serial Reference'!$A$8:$W$8,1,FLOOR(($A66-1)/23,1)+1)&amp;INDEX('Serial Reference'!$A$8:$W$8,1,MOD($A66-1,23)+1)&amp;TEXT(CG$2+FLOOR((CG$2-1)/9,1),"000"),"")</f>
        <v>CU093</v>
      </c>
      <c r="CH66" s="23" t="str">
        <f>IF(INDEX('Shot Map'!$B$6:$V$26,CEILING($A66/5,1),CEILING(CH$2/5,1))=1,INDEX('Serial Reference'!$A$8:$W$8,1,FLOOR(($A66-1)/23,1)+1)&amp;INDEX('Serial Reference'!$A$8:$W$8,1,MOD($A66-1,23)+1)&amp;TEXT(CH$2+FLOOR((CH$2-1)/9,1),"000"),"")</f>
        <v>CU094</v>
      </c>
      <c r="CI66" s="21" t="str">
        <f>IF(INDEX('Shot Map'!$B$6:$V$26,CEILING($A66/5,1),CEILING(CI$2/5,1))=1,INDEX('Serial Reference'!$A$8:$W$8,1,FLOOR(($A66-1)/23,1)+1)&amp;INDEX('Serial Reference'!$A$8:$W$8,1,MOD($A66-1,23)+1)&amp;TEXT(CI$2+FLOOR((CI$2-1)/9,1),"000"),"")</f>
        <v>CU095</v>
      </c>
      <c r="CJ66" s="22" t="str">
        <f>IF(INDEX('Shot Map'!$B$6:$V$26,CEILING($A66/5,1),CEILING(CJ$2/5,1))=1,INDEX('Serial Reference'!$A$8:$W$8,1,FLOOR(($A66-1)/23,1)+1)&amp;INDEX('Serial Reference'!$A$8:$W$8,1,MOD($A66-1,23)+1)&amp;TEXT(CJ$2+FLOOR((CJ$2-1)/9,1),"000"),"")</f>
        <v>CU096</v>
      </c>
      <c r="CK66" s="22" t="str">
        <f>IF(INDEX('Shot Map'!$B$6:$V$26,CEILING($A66/5,1),CEILING(CK$2/5,1))=1,INDEX('Serial Reference'!$A$8:$W$8,1,FLOOR(($A66-1)/23,1)+1)&amp;INDEX('Serial Reference'!$A$8:$W$8,1,MOD($A66-1,23)+1)&amp;TEXT(CK$2+FLOOR((CK$2-1)/9,1),"000"),"")</f>
        <v>CU097</v>
      </c>
      <c r="CL66" s="22" t="str">
        <f>IF(INDEX('Shot Map'!$B$6:$V$26,CEILING($A66/5,1),CEILING(CL$2/5,1))=1,INDEX('Serial Reference'!$A$8:$W$8,1,FLOOR(($A66-1)/23,1)+1)&amp;INDEX('Serial Reference'!$A$8:$W$8,1,MOD($A66-1,23)+1)&amp;TEXT(CL$2+FLOOR((CL$2-1)/9,1),"000"),"")</f>
        <v>CU098</v>
      </c>
      <c r="CM66" s="23" t="str">
        <f>IF(INDEX('Shot Map'!$B$6:$V$26,CEILING($A66/5,1),CEILING(CM$2/5,1))=1,INDEX('Serial Reference'!$A$8:$W$8,1,FLOOR(($A66-1)/23,1)+1)&amp;INDEX('Serial Reference'!$A$8:$W$8,1,MOD($A66-1,23)+1)&amp;TEXT(CM$2+FLOOR((CM$2-1)/9,1),"000"),"")</f>
        <v>CU099</v>
      </c>
      <c r="CN66" s="21" t="str">
        <f>IF(INDEX('Shot Map'!$B$6:$V$26,CEILING($A66/5,1),CEILING(CN$2/5,1))=1,INDEX('Serial Reference'!$A$8:$W$8,1,FLOOR(($A66-1)/23,1)+1)&amp;INDEX('Serial Reference'!$A$8:$W$8,1,MOD($A66-1,23)+1)&amp;TEXT(CN$2+FLOOR((CN$2-1)/9,1),"000"),"")</f>
        <v>CU101</v>
      </c>
      <c r="CO66" s="22" t="str">
        <f>IF(INDEX('Shot Map'!$B$6:$V$26,CEILING($A66/5,1),CEILING(CO$2/5,1))=1,INDEX('Serial Reference'!$A$8:$W$8,1,FLOOR(($A66-1)/23,1)+1)&amp;INDEX('Serial Reference'!$A$8:$W$8,1,MOD($A66-1,23)+1)&amp;TEXT(CO$2+FLOOR((CO$2-1)/9,1),"000"),"")</f>
        <v>CU102</v>
      </c>
      <c r="CP66" s="22" t="str">
        <f>IF(INDEX('Shot Map'!$B$6:$V$26,CEILING($A66/5,1),CEILING(CP$2/5,1))=1,INDEX('Serial Reference'!$A$8:$W$8,1,FLOOR(($A66-1)/23,1)+1)&amp;INDEX('Serial Reference'!$A$8:$W$8,1,MOD($A66-1,23)+1)&amp;TEXT(CP$2+FLOOR((CP$2-1)/9,1),"000"),"")</f>
        <v>CU103</v>
      </c>
      <c r="CQ66" s="22" t="str">
        <f>IF(INDEX('Shot Map'!$B$6:$V$26,CEILING($A66/5,1),CEILING(CQ$2/5,1))=1,INDEX('Serial Reference'!$A$8:$W$8,1,FLOOR(($A66-1)/23,1)+1)&amp;INDEX('Serial Reference'!$A$8:$W$8,1,MOD($A66-1,23)+1)&amp;TEXT(CQ$2+FLOOR((CQ$2-1)/9,1),"000"),"")</f>
        <v>CU104</v>
      </c>
      <c r="CR66" s="23" t="str">
        <f>IF(INDEX('Shot Map'!$B$6:$V$26,CEILING($A66/5,1),CEILING(CR$2/5,1))=1,INDEX('Serial Reference'!$A$8:$W$8,1,FLOOR(($A66-1)/23,1)+1)&amp;INDEX('Serial Reference'!$A$8:$W$8,1,MOD($A66-1,23)+1)&amp;TEXT(CR$2+FLOOR((CR$2-1)/9,1),"000"),"")</f>
        <v>CU105</v>
      </c>
      <c r="CS66" s="21" t="str">
        <f>IF(INDEX('Shot Map'!$B$6:$V$26,CEILING($A66/5,1),CEILING(CS$2/5,1))=1,INDEX('Serial Reference'!$A$8:$W$8,1,FLOOR(($A66-1)/23,1)+1)&amp;INDEX('Serial Reference'!$A$8:$W$8,1,MOD($A66-1,23)+1)&amp;TEXT(CS$2+FLOOR((CS$2-1)/9,1),"000"),"")</f>
        <v>CU106</v>
      </c>
      <c r="CT66" s="22" t="str">
        <f>IF(INDEX('Shot Map'!$B$6:$V$26,CEILING($A66/5,1),CEILING(CT$2/5,1))=1,INDEX('Serial Reference'!$A$8:$W$8,1,FLOOR(($A66-1)/23,1)+1)&amp;INDEX('Serial Reference'!$A$8:$W$8,1,MOD($A66-1,23)+1)&amp;TEXT(CT$2+FLOOR((CT$2-1)/9,1),"000"),"")</f>
        <v>CU107</v>
      </c>
      <c r="CU66" s="22" t="str">
        <f>IF(INDEX('Shot Map'!$B$6:$V$26,CEILING($A66/5,1),CEILING(CU$2/5,1))=1,INDEX('Serial Reference'!$A$8:$W$8,1,FLOOR(($A66-1)/23,1)+1)&amp;INDEX('Serial Reference'!$A$8:$W$8,1,MOD($A66-1,23)+1)&amp;TEXT(CU$2+FLOOR((CU$2-1)/9,1),"000"),"")</f>
        <v>CU108</v>
      </c>
      <c r="CV66" s="22" t="str">
        <f>IF(INDEX('Shot Map'!$B$6:$V$26,CEILING($A66/5,1),CEILING(CV$2/5,1))=1,INDEX('Serial Reference'!$A$8:$W$8,1,FLOOR(($A66-1)/23,1)+1)&amp;INDEX('Serial Reference'!$A$8:$W$8,1,MOD($A66-1,23)+1)&amp;TEXT(CV$2+FLOOR((CV$2-1)/9,1),"000"),"")</f>
        <v>CU109</v>
      </c>
      <c r="CW66" s="23" t="str">
        <f>IF(INDEX('Shot Map'!$B$6:$V$26,CEILING($A66/5,1),CEILING(CW$2/5,1))=1,INDEX('Serial Reference'!$A$8:$W$8,1,FLOOR(($A66-1)/23,1)+1)&amp;INDEX('Serial Reference'!$A$8:$W$8,1,MOD($A66-1,23)+1)&amp;TEXT(CW$2+FLOOR((CW$2-1)/9,1),"000"),"")</f>
        <v>CU111</v>
      </c>
      <c r="CX66" s="21" t="str">
        <f>IF(INDEX('Shot Map'!$B$6:$V$26,CEILING($A66/5,1),CEILING(CX$2/5,1))=1,INDEX('Serial Reference'!$A$8:$W$8,1,FLOOR(($A66-1)/23,1)+1)&amp;INDEX('Serial Reference'!$A$8:$W$8,1,MOD($A66-1,23)+1)&amp;TEXT(CX$2+FLOOR((CX$2-1)/9,1),"000"),"")</f>
        <v/>
      </c>
      <c r="CY66" s="22" t="str">
        <f>IF(INDEX('Shot Map'!$B$6:$V$26,CEILING($A66/5,1),CEILING(CY$2/5,1))=1,INDEX('Serial Reference'!$A$8:$W$8,1,FLOOR(($A66-1)/23,1)+1)&amp;INDEX('Serial Reference'!$A$8:$W$8,1,MOD($A66-1,23)+1)&amp;TEXT(CY$2+FLOOR((CY$2-1)/9,1),"000"),"")</f>
        <v/>
      </c>
      <c r="CZ66" s="22" t="str">
        <f>IF(INDEX('Shot Map'!$B$6:$V$26,CEILING($A66/5,1),CEILING(CZ$2/5,1))=1,INDEX('Serial Reference'!$A$8:$W$8,1,FLOOR(($A66-1)/23,1)+1)&amp;INDEX('Serial Reference'!$A$8:$W$8,1,MOD($A66-1,23)+1)&amp;TEXT(CZ$2+FLOOR((CZ$2-1)/9,1),"000"),"")</f>
        <v/>
      </c>
      <c r="DA66" s="22" t="str">
        <f>IF(INDEX('Shot Map'!$B$6:$V$26,CEILING($A66/5,1),CEILING(DA$2/5,1))=1,INDEX('Serial Reference'!$A$8:$W$8,1,FLOOR(($A66-1)/23,1)+1)&amp;INDEX('Serial Reference'!$A$8:$W$8,1,MOD($A66-1,23)+1)&amp;TEXT(DA$2+FLOOR((DA$2-1)/9,1),"000"),"")</f>
        <v/>
      </c>
      <c r="DB66" s="23" t="str">
        <f>IF(INDEX('Shot Map'!$B$6:$V$26,CEILING($A66/5,1),CEILING(DB$2/5,1))=1,INDEX('Serial Reference'!$A$8:$W$8,1,FLOOR(($A66-1)/23,1)+1)&amp;INDEX('Serial Reference'!$A$8:$W$8,1,MOD($A66-1,23)+1)&amp;TEXT(DB$2+FLOOR((DB$2-1)/9,1),"000"),"")</f>
        <v/>
      </c>
    </row>
    <row r="67" spans="1:106" ht="12.75" customHeight="1" x14ac:dyDescent="0.25">
      <c r="A67" s="17">
        <v>65</v>
      </c>
      <c r="B67" s="24" t="str">
        <f>IF(INDEX('Shot Map'!$B$6:$V$26,CEILING($A67/5,1),CEILING(B$2/5,1))=1,INDEX('Serial Reference'!$A$8:$W$8,1,FLOOR(($A67-1)/23,1)+1)&amp;INDEX('Serial Reference'!$A$8:$W$8,1,MOD($A67-1,23)+1)&amp;TEXT(B$2+FLOOR((B$2-1)/9,1),"000"),"")</f>
        <v/>
      </c>
      <c r="C67" s="25" t="str">
        <f>IF(INDEX('Shot Map'!$B$6:$V$26,CEILING($A67/5,1),CEILING(C$2/5,1))=1,INDEX('Serial Reference'!$A$8:$W$8,1,FLOOR(($A67-1)/23,1)+1)&amp;INDEX('Serial Reference'!$A$8:$W$8,1,MOD($A67-1,23)+1)&amp;TEXT(C$2+FLOOR((C$2-1)/9,1),"000"),"")</f>
        <v/>
      </c>
      <c r="D67" s="25" t="str">
        <f>IF(INDEX('Shot Map'!$B$6:$V$26,CEILING($A67/5,1),CEILING(D$2/5,1))=1,INDEX('Serial Reference'!$A$8:$W$8,1,FLOOR(($A67-1)/23,1)+1)&amp;INDEX('Serial Reference'!$A$8:$W$8,1,MOD($A67-1,23)+1)&amp;TEXT(D$2+FLOOR((D$2-1)/9,1),"000"),"")</f>
        <v/>
      </c>
      <c r="E67" s="25" t="str">
        <f>IF(INDEX('Shot Map'!$B$6:$V$26,CEILING($A67/5,1),CEILING(E$2/5,1))=1,INDEX('Serial Reference'!$A$8:$W$8,1,FLOOR(($A67-1)/23,1)+1)&amp;INDEX('Serial Reference'!$A$8:$W$8,1,MOD($A67-1,23)+1)&amp;TEXT(E$2+FLOOR((E$2-1)/9,1),"000"),"")</f>
        <v/>
      </c>
      <c r="F67" s="26" t="str">
        <f>IF(INDEX('Shot Map'!$B$6:$V$26,CEILING($A67/5,1),CEILING(F$2/5,1))=1,INDEX('Serial Reference'!$A$8:$W$8,1,FLOOR(($A67-1)/23,1)+1)&amp;INDEX('Serial Reference'!$A$8:$W$8,1,MOD($A67-1,23)+1)&amp;TEXT(F$2+FLOOR((F$2-1)/9,1),"000"),"")</f>
        <v/>
      </c>
      <c r="G67" s="24" t="str">
        <f>IF(INDEX('Shot Map'!$B$6:$V$26,CEILING($A67/5,1),CEILING(G$2/5,1))=1,INDEX('Serial Reference'!$A$8:$W$8,1,FLOOR(($A67-1)/23,1)+1)&amp;INDEX('Serial Reference'!$A$8:$W$8,1,MOD($A67-1,23)+1)&amp;TEXT(G$2+FLOOR((G$2-1)/9,1),"000"),"")</f>
        <v>CV006</v>
      </c>
      <c r="H67" s="25" t="str">
        <f>IF(INDEX('Shot Map'!$B$6:$V$26,CEILING($A67/5,1),CEILING(H$2/5,1))=1,INDEX('Serial Reference'!$A$8:$W$8,1,FLOOR(($A67-1)/23,1)+1)&amp;INDEX('Serial Reference'!$A$8:$W$8,1,MOD($A67-1,23)+1)&amp;TEXT(H$2+FLOOR((H$2-1)/9,1),"000"),"")</f>
        <v>CV007</v>
      </c>
      <c r="I67" s="25" t="str">
        <f>IF(INDEX('Shot Map'!$B$6:$V$26,CEILING($A67/5,1),CEILING(I$2/5,1))=1,INDEX('Serial Reference'!$A$8:$W$8,1,FLOOR(($A67-1)/23,1)+1)&amp;INDEX('Serial Reference'!$A$8:$W$8,1,MOD($A67-1,23)+1)&amp;TEXT(I$2+FLOOR((I$2-1)/9,1),"000"),"")</f>
        <v>CV008</v>
      </c>
      <c r="J67" s="25" t="str">
        <f>IF(INDEX('Shot Map'!$B$6:$V$26,CEILING($A67/5,1),CEILING(J$2/5,1))=1,INDEX('Serial Reference'!$A$8:$W$8,1,FLOOR(($A67-1)/23,1)+1)&amp;INDEX('Serial Reference'!$A$8:$W$8,1,MOD($A67-1,23)+1)&amp;TEXT(J$2+FLOOR((J$2-1)/9,1),"000"),"")</f>
        <v>CV009</v>
      </c>
      <c r="K67" s="26" t="str">
        <f>IF(INDEX('Shot Map'!$B$6:$V$26,CEILING($A67/5,1),CEILING(K$2/5,1))=1,INDEX('Serial Reference'!$A$8:$W$8,1,FLOOR(($A67-1)/23,1)+1)&amp;INDEX('Serial Reference'!$A$8:$W$8,1,MOD($A67-1,23)+1)&amp;TEXT(K$2+FLOOR((K$2-1)/9,1),"000"),"")</f>
        <v>CV011</v>
      </c>
      <c r="L67" s="24" t="str">
        <f>IF(INDEX('Shot Map'!$B$6:$V$26,CEILING($A67/5,1),CEILING(L$2/5,1))=1,INDEX('Serial Reference'!$A$8:$W$8,1,FLOOR(($A67-1)/23,1)+1)&amp;INDEX('Serial Reference'!$A$8:$W$8,1,MOD($A67-1,23)+1)&amp;TEXT(L$2+FLOOR((L$2-1)/9,1),"000"),"")</f>
        <v>CV012</v>
      </c>
      <c r="M67" s="25" t="str">
        <f>IF(INDEX('Shot Map'!$B$6:$V$26,CEILING($A67/5,1),CEILING(M$2/5,1))=1,INDEX('Serial Reference'!$A$8:$W$8,1,FLOOR(($A67-1)/23,1)+1)&amp;INDEX('Serial Reference'!$A$8:$W$8,1,MOD($A67-1,23)+1)&amp;TEXT(M$2+FLOOR((M$2-1)/9,1),"000"),"")</f>
        <v>CV013</v>
      </c>
      <c r="N67" s="25" t="str">
        <f>IF(INDEX('Shot Map'!$B$6:$V$26,CEILING($A67/5,1),CEILING(N$2/5,1))=1,INDEX('Serial Reference'!$A$8:$W$8,1,FLOOR(($A67-1)/23,1)+1)&amp;INDEX('Serial Reference'!$A$8:$W$8,1,MOD($A67-1,23)+1)&amp;TEXT(N$2+FLOOR((N$2-1)/9,1),"000"),"")</f>
        <v>CV014</v>
      </c>
      <c r="O67" s="25" t="str">
        <f>IF(INDEX('Shot Map'!$B$6:$V$26,CEILING($A67/5,1),CEILING(O$2/5,1))=1,INDEX('Serial Reference'!$A$8:$W$8,1,FLOOR(($A67-1)/23,1)+1)&amp;INDEX('Serial Reference'!$A$8:$W$8,1,MOD($A67-1,23)+1)&amp;TEXT(O$2+FLOOR((O$2-1)/9,1),"000"),"")</f>
        <v>CV015</v>
      </c>
      <c r="P67" s="26" t="str">
        <f>IF(INDEX('Shot Map'!$B$6:$V$26,CEILING($A67/5,1),CEILING(P$2/5,1))=1,INDEX('Serial Reference'!$A$8:$W$8,1,FLOOR(($A67-1)/23,1)+1)&amp;INDEX('Serial Reference'!$A$8:$W$8,1,MOD($A67-1,23)+1)&amp;TEXT(P$2+FLOOR((P$2-1)/9,1),"000"),"")</f>
        <v>CV016</v>
      </c>
      <c r="Q67" s="24" t="str">
        <f>IF(INDEX('Shot Map'!$B$6:$V$26,CEILING($A67/5,1),CEILING(Q$2/5,1))=1,INDEX('Serial Reference'!$A$8:$W$8,1,FLOOR(($A67-1)/23,1)+1)&amp;INDEX('Serial Reference'!$A$8:$W$8,1,MOD($A67-1,23)+1)&amp;TEXT(Q$2+FLOOR((Q$2-1)/9,1),"000"),"")</f>
        <v>CV017</v>
      </c>
      <c r="R67" s="25" t="str">
        <f>IF(INDEX('Shot Map'!$B$6:$V$26,CEILING($A67/5,1),CEILING(R$2/5,1))=1,INDEX('Serial Reference'!$A$8:$W$8,1,FLOOR(($A67-1)/23,1)+1)&amp;INDEX('Serial Reference'!$A$8:$W$8,1,MOD($A67-1,23)+1)&amp;TEXT(R$2+FLOOR((R$2-1)/9,1),"000"),"")</f>
        <v>CV018</v>
      </c>
      <c r="S67" s="25" t="str">
        <f>IF(INDEX('Shot Map'!$B$6:$V$26,CEILING($A67/5,1),CEILING(S$2/5,1))=1,INDEX('Serial Reference'!$A$8:$W$8,1,FLOOR(($A67-1)/23,1)+1)&amp;INDEX('Serial Reference'!$A$8:$W$8,1,MOD($A67-1,23)+1)&amp;TEXT(S$2+FLOOR((S$2-1)/9,1),"000"),"")</f>
        <v>CV019</v>
      </c>
      <c r="T67" s="25" t="str">
        <f>IF(INDEX('Shot Map'!$B$6:$V$26,CEILING($A67/5,1),CEILING(T$2/5,1))=1,INDEX('Serial Reference'!$A$8:$W$8,1,FLOOR(($A67-1)/23,1)+1)&amp;INDEX('Serial Reference'!$A$8:$W$8,1,MOD($A67-1,23)+1)&amp;TEXT(T$2+FLOOR((T$2-1)/9,1),"000"),"")</f>
        <v>CV021</v>
      </c>
      <c r="U67" s="26" t="str">
        <f>IF(INDEX('Shot Map'!$B$6:$V$26,CEILING($A67/5,1),CEILING(U$2/5,1))=1,INDEX('Serial Reference'!$A$8:$W$8,1,FLOOR(($A67-1)/23,1)+1)&amp;INDEX('Serial Reference'!$A$8:$W$8,1,MOD($A67-1,23)+1)&amp;TEXT(U$2+FLOOR((U$2-1)/9,1),"000"),"")</f>
        <v>CV022</v>
      </c>
      <c r="V67" s="24" t="str">
        <f>IF(INDEX('Shot Map'!$B$6:$V$26,CEILING($A67/5,1),CEILING(V$2/5,1))=1,INDEX('Serial Reference'!$A$8:$W$8,1,FLOOR(($A67-1)/23,1)+1)&amp;INDEX('Serial Reference'!$A$8:$W$8,1,MOD($A67-1,23)+1)&amp;TEXT(V$2+FLOOR((V$2-1)/9,1),"000"),"")</f>
        <v>CV023</v>
      </c>
      <c r="W67" s="25" t="str">
        <f>IF(INDEX('Shot Map'!$B$6:$V$26,CEILING($A67/5,1),CEILING(W$2/5,1))=1,INDEX('Serial Reference'!$A$8:$W$8,1,FLOOR(($A67-1)/23,1)+1)&amp;INDEX('Serial Reference'!$A$8:$W$8,1,MOD($A67-1,23)+1)&amp;TEXT(W$2+FLOOR((W$2-1)/9,1),"000"),"")</f>
        <v>CV024</v>
      </c>
      <c r="X67" s="25" t="str">
        <f>IF(INDEX('Shot Map'!$B$6:$V$26,CEILING($A67/5,1),CEILING(X$2/5,1))=1,INDEX('Serial Reference'!$A$8:$W$8,1,FLOOR(($A67-1)/23,1)+1)&amp;INDEX('Serial Reference'!$A$8:$W$8,1,MOD($A67-1,23)+1)&amp;TEXT(X$2+FLOOR((X$2-1)/9,1),"000"),"")</f>
        <v>CV025</v>
      </c>
      <c r="Y67" s="25" t="str">
        <f>IF(INDEX('Shot Map'!$B$6:$V$26,CEILING($A67/5,1),CEILING(Y$2/5,1))=1,INDEX('Serial Reference'!$A$8:$W$8,1,FLOOR(($A67-1)/23,1)+1)&amp;INDEX('Serial Reference'!$A$8:$W$8,1,MOD($A67-1,23)+1)&amp;TEXT(Y$2+FLOOR((Y$2-1)/9,1),"000"),"")</f>
        <v>CV026</v>
      </c>
      <c r="Z67" s="26" t="str">
        <f>IF(INDEX('Shot Map'!$B$6:$V$26,CEILING($A67/5,1),CEILING(Z$2/5,1))=1,INDEX('Serial Reference'!$A$8:$W$8,1,FLOOR(($A67-1)/23,1)+1)&amp;INDEX('Serial Reference'!$A$8:$W$8,1,MOD($A67-1,23)+1)&amp;TEXT(Z$2+FLOOR((Z$2-1)/9,1),"000"),"")</f>
        <v>CV027</v>
      </c>
      <c r="AA67" s="24" t="str">
        <f>IF(INDEX('Shot Map'!$B$6:$V$26,CEILING($A67/5,1),CEILING(AA$2/5,1))=1,INDEX('Serial Reference'!$A$8:$W$8,1,FLOOR(($A67-1)/23,1)+1)&amp;INDEX('Serial Reference'!$A$8:$W$8,1,MOD($A67-1,23)+1)&amp;TEXT(AA$2+FLOOR((AA$2-1)/9,1),"000"),"")</f>
        <v>CV028</v>
      </c>
      <c r="AB67" s="25" t="str">
        <f>IF(INDEX('Shot Map'!$B$6:$V$26,CEILING($A67/5,1),CEILING(AB$2/5,1))=1,INDEX('Serial Reference'!$A$8:$W$8,1,FLOOR(($A67-1)/23,1)+1)&amp;INDEX('Serial Reference'!$A$8:$W$8,1,MOD($A67-1,23)+1)&amp;TEXT(AB$2+FLOOR((AB$2-1)/9,1),"000"),"")</f>
        <v>CV029</v>
      </c>
      <c r="AC67" s="25" t="str">
        <f>IF(INDEX('Shot Map'!$B$6:$V$26,CEILING($A67/5,1),CEILING(AC$2/5,1))=1,INDEX('Serial Reference'!$A$8:$W$8,1,FLOOR(($A67-1)/23,1)+1)&amp;INDEX('Serial Reference'!$A$8:$W$8,1,MOD($A67-1,23)+1)&amp;TEXT(AC$2+FLOOR((AC$2-1)/9,1),"000"),"")</f>
        <v>CV031</v>
      </c>
      <c r="AD67" s="25" t="str">
        <f>IF(INDEX('Shot Map'!$B$6:$V$26,CEILING($A67/5,1),CEILING(AD$2/5,1))=1,INDEX('Serial Reference'!$A$8:$W$8,1,FLOOR(($A67-1)/23,1)+1)&amp;INDEX('Serial Reference'!$A$8:$W$8,1,MOD($A67-1,23)+1)&amp;TEXT(AD$2+FLOOR((AD$2-1)/9,1),"000"),"")</f>
        <v>CV032</v>
      </c>
      <c r="AE67" s="26" t="str">
        <f>IF(INDEX('Shot Map'!$B$6:$V$26,CEILING($A67/5,1),CEILING(AE$2/5,1))=1,INDEX('Serial Reference'!$A$8:$W$8,1,FLOOR(($A67-1)/23,1)+1)&amp;INDEX('Serial Reference'!$A$8:$W$8,1,MOD($A67-1,23)+1)&amp;TEXT(AE$2+FLOOR((AE$2-1)/9,1),"000"),"")</f>
        <v>CV033</v>
      </c>
      <c r="AF67" s="24" t="str">
        <f>IF(INDEX('Shot Map'!$B$6:$V$26,CEILING($A67/5,1),CEILING(AF$2/5,1))=1,INDEX('Serial Reference'!$A$8:$W$8,1,FLOOR(($A67-1)/23,1)+1)&amp;INDEX('Serial Reference'!$A$8:$W$8,1,MOD($A67-1,23)+1)&amp;TEXT(AF$2+FLOOR((AF$2-1)/9,1),"000"),"")</f>
        <v>CV034</v>
      </c>
      <c r="AG67" s="25" t="str">
        <f>IF(INDEX('Shot Map'!$B$6:$V$26,CEILING($A67/5,1),CEILING(AG$2/5,1))=1,INDEX('Serial Reference'!$A$8:$W$8,1,FLOOR(($A67-1)/23,1)+1)&amp;INDEX('Serial Reference'!$A$8:$W$8,1,MOD($A67-1,23)+1)&amp;TEXT(AG$2+FLOOR((AG$2-1)/9,1),"000"),"")</f>
        <v>CV035</v>
      </c>
      <c r="AH67" s="25" t="str">
        <f>IF(INDEX('Shot Map'!$B$6:$V$26,CEILING($A67/5,1),CEILING(AH$2/5,1))=1,INDEX('Serial Reference'!$A$8:$W$8,1,FLOOR(($A67-1)/23,1)+1)&amp;INDEX('Serial Reference'!$A$8:$W$8,1,MOD($A67-1,23)+1)&amp;TEXT(AH$2+FLOOR((AH$2-1)/9,1),"000"),"")</f>
        <v>CV036</v>
      </c>
      <c r="AI67" s="25" t="str">
        <f>IF(INDEX('Shot Map'!$B$6:$V$26,CEILING($A67/5,1),CEILING(AI$2/5,1))=1,INDEX('Serial Reference'!$A$8:$W$8,1,FLOOR(($A67-1)/23,1)+1)&amp;INDEX('Serial Reference'!$A$8:$W$8,1,MOD($A67-1,23)+1)&amp;TEXT(AI$2+FLOOR((AI$2-1)/9,1),"000"),"")</f>
        <v>CV037</v>
      </c>
      <c r="AJ67" s="26" t="str">
        <f>IF(INDEX('Shot Map'!$B$6:$V$26,CEILING($A67/5,1),CEILING(AJ$2/5,1))=1,INDEX('Serial Reference'!$A$8:$W$8,1,FLOOR(($A67-1)/23,1)+1)&amp;INDEX('Serial Reference'!$A$8:$W$8,1,MOD($A67-1,23)+1)&amp;TEXT(AJ$2+FLOOR((AJ$2-1)/9,1),"000"),"")</f>
        <v>CV038</v>
      </c>
      <c r="AK67" s="24" t="str">
        <f>IF(INDEX('Shot Map'!$B$6:$V$26,CEILING($A67/5,1),CEILING(AK$2/5,1))=1,INDEX('Serial Reference'!$A$8:$W$8,1,FLOOR(($A67-1)/23,1)+1)&amp;INDEX('Serial Reference'!$A$8:$W$8,1,MOD($A67-1,23)+1)&amp;TEXT(AK$2+FLOOR((AK$2-1)/9,1),"000"),"")</f>
        <v>CV039</v>
      </c>
      <c r="AL67" s="25" t="str">
        <f>IF(INDEX('Shot Map'!$B$6:$V$26,CEILING($A67/5,1),CEILING(AL$2/5,1))=1,INDEX('Serial Reference'!$A$8:$W$8,1,FLOOR(($A67-1)/23,1)+1)&amp;INDEX('Serial Reference'!$A$8:$W$8,1,MOD($A67-1,23)+1)&amp;TEXT(AL$2+FLOOR((AL$2-1)/9,1),"000"),"")</f>
        <v>CV041</v>
      </c>
      <c r="AM67" s="25" t="str">
        <f>IF(INDEX('Shot Map'!$B$6:$V$26,CEILING($A67/5,1),CEILING(AM$2/5,1))=1,INDEX('Serial Reference'!$A$8:$W$8,1,FLOOR(($A67-1)/23,1)+1)&amp;INDEX('Serial Reference'!$A$8:$W$8,1,MOD($A67-1,23)+1)&amp;TEXT(AM$2+FLOOR((AM$2-1)/9,1),"000"),"")</f>
        <v>CV042</v>
      </c>
      <c r="AN67" s="25" t="str">
        <f>IF(INDEX('Shot Map'!$B$6:$V$26,CEILING($A67/5,1),CEILING(AN$2/5,1))=1,INDEX('Serial Reference'!$A$8:$W$8,1,FLOOR(($A67-1)/23,1)+1)&amp;INDEX('Serial Reference'!$A$8:$W$8,1,MOD($A67-1,23)+1)&amp;TEXT(AN$2+FLOOR((AN$2-1)/9,1),"000"),"")</f>
        <v>CV043</v>
      </c>
      <c r="AO67" s="26" t="str">
        <f>IF(INDEX('Shot Map'!$B$6:$V$26,CEILING($A67/5,1),CEILING(AO$2/5,1))=1,INDEX('Serial Reference'!$A$8:$W$8,1,FLOOR(($A67-1)/23,1)+1)&amp;INDEX('Serial Reference'!$A$8:$W$8,1,MOD($A67-1,23)+1)&amp;TEXT(AO$2+FLOOR((AO$2-1)/9,1),"000"),"")</f>
        <v>CV044</v>
      </c>
      <c r="AP67" s="24" t="str">
        <f>IF(INDEX('Shot Map'!$B$6:$V$26,CEILING($A67/5,1),CEILING(AP$2/5,1))=1,INDEX('Serial Reference'!$A$8:$W$8,1,FLOOR(($A67-1)/23,1)+1)&amp;INDEX('Serial Reference'!$A$8:$W$8,1,MOD($A67-1,23)+1)&amp;TEXT(AP$2+FLOOR((AP$2-1)/9,1),"000"),"")</f>
        <v>CV045</v>
      </c>
      <c r="AQ67" s="25" t="str">
        <f>IF(INDEX('Shot Map'!$B$6:$V$26,CEILING($A67/5,1),CEILING(AQ$2/5,1))=1,INDEX('Serial Reference'!$A$8:$W$8,1,FLOOR(($A67-1)/23,1)+1)&amp;INDEX('Serial Reference'!$A$8:$W$8,1,MOD($A67-1,23)+1)&amp;TEXT(AQ$2+FLOOR((AQ$2-1)/9,1),"000"),"")</f>
        <v>CV046</v>
      </c>
      <c r="AR67" s="25" t="str">
        <f>IF(INDEX('Shot Map'!$B$6:$V$26,CEILING($A67/5,1),CEILING(AR$2/5,1))=1,INDEX('Serial Reference'!$A$8:$W$8,1,FLOOR(($A67-1)/23,1)+1)&amp;INDEX('Serial Reference'!$A$8:$W$8,1,MOD($A67-1,23)+1)&amp;TEXT(AR$2+FLOOR((AR$2-1)/9,1),"000"),"")</f>
        <v>CV047</v>
      </c>
      <c r="AS67" s="25" t="str">
        <f>IF(INDEX('Shot Map'!$B$6:$V$26,CEILING($A67/5,1),CEILING(AS$2/5,1))=1,INDEX('Serial Reference'!$A$8:$W$8,1,FLOOR(($A67-1)/23,1)+1)&amp;INDEX('Serial Reference'!$A$8:$W$8,1,MOD($A67-1,23)+1)&amp;TEXT(AS$2+FLOOR((AS$2-1)/9,1),"000"),"")</f>
        <v>CV048</v>
      </c>
      <c r="AT67" s="26" t="str">
        <f>IF(INDEX('Shot Map'!$B$6:$V$26,CEILING($A67/5,1),CEILING(AT$2/5,1))=1,INDEX('Serial Reference'!$A$8:$W$8,1,FLOOR(($A67-1)/23,1)+1)&amp;INDEX('Serial Reference'!$A$8:$W$8,1,MOD($A67-1,23)+1)&amp;TEXT(AT$2+FLOOR((AT$2-1)/9,1),"000"),"")</f>
        <v>CV049</v>
      </c>
      <c r="AU67" s="24" t="str">
        <f>IF(INDEX('Shot Map'!$B$6:$V$26,CEILING($A67/5,1),CEILING(AU$2/5,1))=1,INDEX('Serial Reference'!$A$8:$W$8,1,FLOOR(($A67-1)/23,1)+1)&amp;INDEX('Serial Reference'!$A$8:$W$8,1,MOD($A67-1,23)+1)&amp;TEXT(AU$2+FLOOR((AU$2-1)/9,1),"000"),"")</f>
        <v>CV051</v>
      </c>
      <c r="AV67" s="25" t="str">
        <f>IF(INDEX('Shot Map'!$B$6:$V$26,CEILING($A67/5,1),CEILING(AV$2/5,1))=1,INDEX('Serial Reference'!$A$8:$W$8,1,FLOOR(($A67-1)/23,1)+1)&amp;INDEX('Serial Reference'!$A$8:$W$8,1,MOD($A67-1,23)+1)&amp;TEXT(AV$2+FLOOR((AV$2-1)/9,1),"000"),"")</f>
        <v>CV052</v>
      </c>
      <c r="AW67" s="25" t="str">
        <f>IF(INDEX('Shot Map'!$B$6:$V$26,CEILING($A67/5,1),CEILING(AW$2/5,1))=1,INDEX('Serial Reference'!$A$8:$W$8,1,FLOOR(($A67-1)/23,1)+1)&amp;INDEX('Serial Reference'!$A$8:$W$8,1,MOD($A67-1,23)+1)&amp;TEXT(AW$2+FLOOR((AW$2-1)/9,1),"000"),"")</f>
        <v>CV053</v>
      </c>
      <c r="AX67" s="25" t="str">
        <f>IF(INDEX('Shot Map'!$B$6:$V$26,CEILING($A67/5,1),CEILING(AX$2/5,1))=1,INDEX('Serial Reference'!$A$8:$W$8,1,FLOOR(($A67-1)/23,1)+1)&amp;INDEX('Serial Reference'!$A$8:$W$8,1,MOD($A67-1,23)+1)&amp;TEXT(AX$2+FLOOR((AX$2-1)/9,1),"000"),"")</f>
        <v>CV054</v>
      </c>
      <c r="AY67" s="26" t="str">
        <f>IF(INDEX('Shot Map'!$B$6:$V$26,CEILING($A67/5,1),CEILING(AY$2/5,1))=1,INDEX('Serial Reference'!$A$8:$W$8,1,FLOOR(($A67-1)/23,1)+1)&amp;INDEX('Serial Reference'!$A$8:$W$8,1,MOD($A67-1,23)+1)&amp;TEXT(AY$2+FLOOR((AY$2-1)/9,1),"000"),"")</f>
        <v>CV055</v>
      </c>
      <c r="AZ67" s="24" t="str">
        <f>IF(INDEX('Shot Map'!$B$6:$V$26,CEILING($A67/5,1),CEILING(AZ$2/5,1))=1,INDEX('Serial Reference'!$A$8:$W$8,1,FLOOR(($A67-1)/23,1)+1)&amp;INDEX('Serial Reference'!$A$8:$W$8,1,MOD($A67-1,23)+1)&amp;TEXT(AZ$2+FLOOR((AZ$2-1)/9,1),"000"),"")</f>
        <v>CV056</v>
      </c>
      <c r="BA67" s="25" t="str">
        <f>IF(INDEX('Shot Map'!$B$6:$V$26,CEILING($A67/5,1),CEILING(BA$2/5,1))=1,INDEX('Serial Reference'!$A$8:$W$8,1,FLOOR(($A67-1)/23,1)+1)&amp;INDEX('Serial Reference'!$A$8:$W$8,1,MOD($A67-1,23)+1)&amp;TEXT(BA$2+FLOOR((BA$2-1)/9,1),"000"),"")</f>
        <v>CV057</v>
      </c>
      <c r="BB67" s="25" t="str">
        <f>IF(INDEX('Shot Map'!$B$6:$V$26,CEILING($A67/5,1),CEILING(BB$2/5,1))=1,INDEX('Serial Reference'!$A$8:$W$8,1,FLOOR(($A67-1)/23,1)+1)&amp;INDEX('Serial Reference'!$A$8:$W$8,1,MOD($A67-1,23)+1)&amp;TEXT(BB$2+FLOOR((BB$2-1)/9,1),"000"),"")</f>
        <v>CV058</v>
      </c>
      <c r="BC67" s="25" t="str">
        <f>IF(INDEX('Shot Map'!$B$6:$V$26,CEILING($A67/5,1),CEILING(BC$2/5,1))=1,INDEX('Serial Reference'!$A$8:$W$8,1,FLOOR(($A67-1)/23,1)+1)&amp;INDEX('Serial Reference'!$A$8:$W$8,1,MOD($A67-1,23)+1)&amp;TEXT(BC$2+FLOOR((BC$2-1)/9,1),"000"),"")</f>
        <v>CV059</v>
      </c>
      <c r="BD67" s="26" t="str">
        <f>IF(INDEX('Shot Map'!$B$6:$V$26,CEILING($A67/5,1),CEILING(BD$2/5,1))=1,INDEX('Serial Reference'!$A$8:$W$8,1,FLOOR(($A67-1)/23,1)+1)&amp;INDEX('Serial Reference'!$A$8:$W$8,1,MOD($A67-1,23)+1)&amp;TEXT(BD$2+FLOOR((BD$2-1)/9,1),"000"),"")</f>
        <v>CV061</v>
      </c>
      <c r="BE67" s="24" t="str">
        <f>IF(INDEX('Shot Map'!$B$6:$V$26,CEILING($A67/5,1),CEILING(BE$2/5,1))=1,INDEX('Serial Reference'!$A$8:$W$8,1,FLOOR(($A67-1)/23,1)+1)&amp;INDEX('Serial Reference'!$A$8:$W$8,1,MOD($A67-1,23)+1)&amp;TEXT(BE$2+FLOOR((BE$2-1)/9,1),"000"),"")</f>
        <v>CV062</v>
      </c>
      <c r="BF67" s="25" t="str">
        <f>IF(INDEX('Shot Map'!$B$6:$V$26,CEILING($A67/5,1),CEILING(BF$2/5,1))=1,INDEX('Serial Reference'!$A$8:$W$8,1,FLOOR(($A67-1)/23,1)+1)&amp;INDEX('Serial Reference'!$A$8:$W$8,1,MOD($A67-1,23)+1)&amp;TEXT(BF$2+FLOOR((BF$2-1)/9,1),"000"),"")</f>
        <v>CV063</v>
      </c>
      <c r="BG67" s="25" t="str">
        <f>IF(INDEX('Shot Map'!$B$6:$V$26,CEILING($A67/5,1),CEILING(BG$2/5,1))=1,INDEX('Serial Reference'!$A$8:$W$8,1,FLOOR(($A67-1)/23,1)+1)&amp;INDEX('Serial Reference'!$A$8:$W$8,1,MOD($A67-1,23)+1)&amp;TEXT(BG$2+FLOOR((BG$2-1)/9,1),"000"),"")</f>
        <v>CV064</v>
      </c>
      <c r="BH67" s="25" t="str">
        <f>IF(INDEX('Shot Map'!$B$6:$V$26,CEILING($A67/5,1),CEILING(BH$2/5,1))=1,INDEX('Serial Reference'!$A$8:$W$8,1,FLOOR(($A67-1)/23,1)+1)&amp;INDEX('Serial Reference'!$A$8:$W$8,1,MOD($A67-1,23)+1)&amp;TEXT(BH$2+FLOOR((BH$2-1)/9,1),"000"),"")</f>
        <v>CV065</v>
      </c>
      <c r="BI67" s="26" t="str">
        <f>IF(INDEX('Shot Map'!$B$6:$V$26,CEILING($A67/5,1),CEILING(BI$2/5,1))=1,INDEX('Serial Reference'!$A$8:$W$8,1,FLOOR(($A67-1)/23,1)+1)&amp;INDEX('Serial Reference'!$A$8:$W$8,1,MOD($A67-1,23)+1)&amp;TEXT(BI$2+FLOOR((BI$2-1)/9,1),"000"),"")</f>
        <v>CV066</v>
      </c>
      <c r="BJ67" s="24" t="str">
        <f>IF(INDEX('Shot Map'!$B$6:$V$26,CEILING($A67/5,1),CEILING(BJ$2/5,1))=1,INDEX('Serial Reference'!$A$8:$W$8,1,FLOOR(($A67-1)/23,1)+1)&amp;INDEX('Serial Reference'!$A$8:$W$8,1,MOD($A67-1,23)+1)&amp;TEXT(BJ$2+FLOOR((BJ$2-1)/9,1),"000"),"")</f>
        <v>CV067</v>
      </c>
      <c r="BK67" s="25" t="str">
        <f>IF(INDEX('Shot Map'!$B$6:$V$26,CEILING($A67/5,1),CEILING(BK$2/5,1))=1,INDEX('Serial Reference'!$A$8:$W$8,1,FLOOR(($A67-1)/23,1)+1)&amp;INDEX('Serial Reference'!$A$8:$W$8,1,MOD($A67-1,23)+1)&amp;TEXT(BK$2+FLOOR((BK$2-1)/9,1),"000"),"")</f>
        <v>CV068</v>
      </c>
      <c r="BL67" s="25" t="str">
        <f>IF(INDEX('Shot Map'!$B$6:$V$26,CEILING($A67/5,1),CEILING(BL$2/5,1))=1,INDEX('Serial Reference'!$A$8:$W$8,1,FLOOR(($A67-1)/23,1)+1)&amp;INDEX('Serial Reference'!$A$8:$W$8,1,MOD($A67-1,23)+1)&amp;TEXT(BL$2+FLOOR((BL$2-1)/9,1),"000"),"")</f>
        <v>CV069</v>
      </c>
      <c r="BM67" s="25" t="str">
        <f>IF(INDEX('Shot Map'!$B$6:$V$26,CEILING($A67/5,1),CEILING(BM$2/5,1))=1,INDEX('Serial Reference'!$A$8:$W$8,1,FLOOR(($A67-1)/23,1)+1)&amp;INDEX('Serial Reference'!$A$8:$W$8,1,MOD($A67-1,23)+1)&amp;TEXT(BM$2+FLOOR((BM$2-1)/9,1),"000"),"")</f>
        <v>CV071</v>
      </c>
      <c r="BN67" s="26" t="str">
        <f>IF(INDEX('Shot Map'!$B$6:$V$26,CEILING($A67/5,1),CEILING(BN$2/5,1))=1,INDEX('Serial Reference'!$A$8:$W$8,1,FLOOR(($A67-1)/23,1)+1)&amp;INDEX('Serial Reference'!$A$8:$W$8,1,MOD($A67-1,23)+1)&amp;TEXT(BN$2+FLOOR((BN$2-1)/9,1),"000"),"")</f>
        <v>CV072</v>
      </c>
      <c r="BO67" s="24" t="str">
        <f>IF(INDEX('Shot Map'!$B$6:$V$26,CEILING($A67/5,1),CEILING(BO$2/5,1))=1,INDEX('Serial Reference'!$A$8:$W$8,1,FLOOR(($A67-1)/23,1)+1)&amp;INDEX('Serial Reference'!$A$8:$W$8,1,MOD($A67-1,23)+1)&amp;TEXT(BO$2+FLOOR((BO$2-1)/9,1),"000"),"")</f>
        <v>CV073</v>
      </c>
      <c r="BP67" s="25" t="str">
        <f>IF(INDEX('Shot Map'!$B$6:$V$26,CEILING($A67/5,1),CEILING(BP$2/5,1))=1,INDEX('Serial Reference'!$A$8:$W$8,1,FLOOR(($A67-1)/23,1)+1)&amp;INDEX('Serial Reference'!$A$8:$W$8,1,MOD($A67-1,23)+1)&amp;TEXT(BP$2+FLOOR((BP$2-1)/9,1),"000"),"")</f>
        <v>CV074</v>
      </c>
      <c r="BQ67" s="25" t="str">
        <f>IF(INDEX('Shot Map'!$B$6:$V$26,CEILING($A67/5,1),CEILING(BQ$2/5,1))=1,INDEX('Serial Reference'!$A$8:$W$8,1,FLOOR(($A67-1)/23,1)+1)&amp;INDEX('Serial Reference'!$A$8:$W$8,1,MOD($A67-1,23)+1)&amp;TEXT(BQ$2+FLOOR((BQ$2-1)/9,1),"000"),"")</f>
        <v>CV075</v>
      </c>
      <c r="BR67" s="25" t="str">
        <f>IF(INDEX('Shot Map'!$B$6:$V$26,CEILING($A67/5,1),CEILING(BR$2/5,1))=1,INDEX('Serial Reference'!$A$8:$W$8,1,FLOOR(($A67-1)/23,1)+1)&amp;INDEX('Serial Reference'!$A$8:$W$8,1,MOD($A67-1,23)+1)&amp;TEXT(BR$2+FLOOR((BR$2-1)/9,1),"000"),"")</f>
        <v>CV076</v>
      </c>
      <c r="BS67" s="26" t="str">
        <f>IF(INDEX('Shot Map'!$B$6:$V$26,CEILING($A67/5,1),CEILING(BS$2/5,1))=1,INDEX('Serial Reference'!$A$8:$W$8,1,FLOOR(($A67-1)/23,1)+1)&amp;INDEX('Serial Reference'!$A$8:$W$8,1,MOD($A67-1,23)+1)&amp;TEXT(BS$2+FLOOR((BS$2-1)/9,1),"000"),"")</f>
        <v>CV077</v>
      </c>
      <c r="BT67" s="24" t="str">
        <f>IF(INDEX('Shot Map'!$B$6:$V$26,CEILING($A67/5,1),CEILING(BT$2/5,1))=1,INDEX('Serial Reference'!$A$8:$W$8,1,FLOOR(($A67-1)/23,1)+1)&amp;INDEX('Serial Reference'!$A$8:$W$8,1,MOD($A67-1,23)+1)&amp;TEXT(BT$2+FLOOR((BT$2-1)/9,1),"000"),"")</f>
        <v>CV078</v>
      </c>
      <c r="BU67" s="25" t="str">
        <f>IF(INDEX('Shot Map'!$B$6:$V$26,CEILING($A67/5,1),CEILING(BU$2/5,1))=1,INDEX('Serial Reference'!$A$8:$W$8,1,FLOOR(($A67-1)/23,1)+1)&amp;INDEX('Serial Reference'!$A$8:$W$8,1,MOD($A67-1,23)+1)&amp;TEXT(BU$2+FLOOR((BU$2-1)/9,1),"000"),"")</f>
        <v>CV079</v>
      </c>
      <c r="BV67" s="25" t="str">
        <f>IF(INDEX('Shot Map'!$B$6:$V$26,CEILING($A67/5,1),CEILING(BV$2/5,1))=1,INDEX('Serial Reference'!$A$8:$W$8,1,FLOOR(($A67-1)/23,1)+1)&amp;INDEX('Serial Reference'!$A$8:$W$8,1,MOD($A67-1,23)+1)&amp;TEXT(BV$2+FLOOR((BV$2-1)/9,1),"000"),"")</f>
        <v>CV081</v>
      </c>
      <c r="BW67" s="25" t="str">
        <f>IF(INDEX('Shot Map'!$B$6:$V$26,CEILING($A67/5,1),CEILING(BW$2/5,1))=1,INDEX('Serial Reference'!$A$8:$W$8,1,FLOOR(($A67-1)/23,1)+1)&amp;INDEX('Serial Reference'!$A$8:$W$8,1,MOD($A67-1,23)+1)&amp;TEXT(BW$2+FLOOR((BW$2-1)/9,1),"000"),"")</f>
        <v>CV082</v>
      </c>
      <c r="BX67" s="26" t="str">
        <f>IF(INDEX('Shot Map'!$B$6:$V$26,CEILING($A67/5,1),CEILING(BX$2/5,1))=1,INDEX('Serial Reference'!$A$8:$W$8,1,FLOOR(($A67-1)/23,1)+1)&amp;INDEX('Serial Reference'!$A$8:$W$8,1,MOD($A67-1,23)+1)&amp;TEXT(BX$2+FLOOR((BX$2-1)/9,1),"000"),"")</f>
        <v>CV083</v>
      </c>
      <c r="BY67" s="24" t="str">
        <f>IF(INDEX('Shot Map'!$B$6:$V$26,CEILING($A67/5,1),CEILING(BY$2/5,1))=1,INDEX('Serial Reference'!$A$8:$W$8,1,FLOOR(($A67-1)/23,1)+1)&amp;INDEX('Serial Reference'!$A$8:$W$8,1,MOD($A67-1,23)+1)&amp;TEXT(BY$2+FLOOR((BY$2-1)/9,1),"000"),"")</f>
        <v>CV084</v>
      </c>
      <c r="BZ67" s="25" t="str">
        <f>IF(INDEX('Shot Map'!$B$6:$V$26,CEILING($A67/5,1),CEILING(BZ$2/5,1))=1,INDEX('Serial Reference'!$A$8:$W$8,1,FLOOR(($A67-1)/23,1)+1)&amp;INDEX('Serial Reference'!$A$8:$W$8,1,MOD($A67-1,23)+1)&amp;TEXT(BZ$2+FLOOR((BZ$2-1)/9,1),"000"),"")</f>
        <v>CV085</v>
      </c>
      <c r="CA67" s="25" t="str">
        <f>IF(INDEX('Shot Map'!$B$6:$V$26,CEILING($A67/5,1),CEILING(CA$2/5,1))=1,INDEX('Serial Reference'!$A$8:$W$8,1,FLOOR(($A67-1)/23,1)+1)&amp;INDEX('Serial Reference'!$A$8:$W$8,1,MOD($A67-1,23)+1)&amp;TEXT(CA$2+FLOOR((CA$2-1)/9,1),"000"),"")</f>
        <v>CV086</v>
      </c>
      <c r="CB67" s="25" t="str">
        <f>IF(INDEX('Shot Map'!$B$6:$V$26,CEILING($A67/5,1),CEILING(CB$2/5,1))=1,INDEX('Serial Reference'!$A$8:$W$8,1,FLOOR(($A67-1)/23,1)+1)&amp;INDEX('Serial Reference'!$A$8:$W$8,1,MOD($A67-1,23)+1)&amp;TEXT(CB$2+FLOOR((CB$2-1)/9,1),"000"),"")</f>
        <v>CV087</v>
      </c>
      <c r="CC67" s="26" t="str">
        <f>IF(INDEX('Shot Map'!$B$6:$V$26,CEILING($A67/5,1),CEILING(CC$2/5,1))=1,INDEX('Serial Reference'!$A$8:$W$8,1,FLOOR(($A67-1)/23,1)+1)&amp;INDEX('Serial Reference'!$A$8:$W$8,1,MOD($A67-1,23)+1)&amp;TEXT(CC$2+FLOOR((CC$2-1)/9,1),"000"),"")</f>
        <v>CV088</v>
      </c>
      <c r="CD67" s="24" t="str">
        <f>IF(INDEX('Shot Map'!$B$6:$V$26,CEILING($A67/5,1),CEILING(CD$2/5,1))=1,INDEX('Serial Reference'!$A$8:$W$8,1,FLOOR(($A67-1)/23,1)+1)&amp;INDEX('Serial Reference'!$A$8:$W$8,1,MOD($A67-1,23)+1)&amp;TEXT(CD$2+FLOOR((CD$2-1)/9,1),"000"),"")</f>
        <v>CV089</v>
      </c>
      <c r="CE67" s="25" t="str">
        <f>IF(INDEX('Shot Map'!$B$6:$V$26,CEILING($A67/5,1),CEILING(CE$2/5,1))=1,INDEX('Serial Reference'!$A$8:$W$8,1,FLOOR(($A67-1)/23,1)+1)&amp;INDEX('Serial Reference'!$A$8:$W$8,1,MOD($A67-1,23)+1)&amp;TEXT(CE$2+FLOOR((CE$2-1)/9,1),"000"),"")</f>
        <v>CV091</v>
      </c>
      <c r="CF67" s="25" t="str">
        <f>IF(INDEX('Shot Map'!$B$6:$V$26,CEILING($A67/5,1),CEILING(CF$2/5,1))=1,INDEX('Serial Reference'!$A$8:$W$8,1,FLOOR(($A67-1)/23,1)+1)&amp;INDEX('Serial Reference'!$A$8:$W$8,1,MOD($A67-1,23)+1)&amp;TEXT(CF$2+FLOOR((CF$2-1)/9,1),"000"),"")</f>
        <v>CV092</v>
      </c>
      <c r="CG67" s="25" t="str">
        <f>IF(INDEX('Shot Map'!$B$6:$V$26,CEILING($A67/5,1),CEILING(CG$2/5,1))=1,INDEX('Serial Reference'!$A$8:$W$8,1,FLOOR(($A67-1)/23,1)+1)&amp;INDEX('Serial Reference'!$A$8:$W$8,1,MOD($A67-1,23)+1)&amp;TEXT(CG$2+FLOOR((CG$2-1)/9,1),"000"),"")</f>
        <v>CV093</v>
      </c>
      <c r="CH67" s="26" t="str">
        <f>IF(INDEX('Shot Map'!$B$6:$V$26,CEILING($A67/5,1),CEILING(CH$2/5,1))=1,INDEX('Serial Reference'!$A$8:$W$8,1,FLOOR(($A67-1)/23,1)+1)&amp;INDEX('Serial Reference'!$A$8:$W$8,1,MOD($A67-1,23)+1)&amp;TEXT(CH$2+FLOOR((CH$2-1)/9,1),"000"),"")</f>
        <v>CV094</v>
      </c>
      <c r="CI67" s="24" t="str">
        <f>IF(INDEX('Shot Map'!$B$6:$V$26,CEILING($A67/5,1),CEILING(CI$2/5,1))=1,INDEX('Serial Reference'!$A$8:$W$8,1,FLOOR(($A67-1)/23,1)+1)&amp;INDEX('Serial Reference'!$A$8:$W$8,1,MOD($A67-1,23)+1)&amp;TEXT(CI$2+FLOOR((CI$2-1)/9,1),"000"),"")</f>
        <v>CV095</v>
      </c>
      <c r="CJ67" s="25" t="str">
        <f>IF(INDEX('Shot Map'!$B$6:$V$26,CEILING($A67/5,1),CEILING(CJ$2/5,1))=1,INDEX('Serial Reference'!$A$8:$W$8,1,FLOOR(($A67-1)/23,1)+1)&amp;INDEX('Serial Reference'!$A$8:$W$8,1,MOD($A67-1,23)+1)&amp;TEXT(CJ$2+FLOOR((CJ$2-1)/9,1),"000"),"")</f>
        <v>CV096</v>
      </c>
      <c r="CK67" s="25" t="str">
        <f>IF(INDEX('Shot Map'!$B$6:$V$26,CEILING($A67/5,1),CEILING(CK$2/5,1))=1,INDEX('Serial Reference'!$A$8:$W$8,1,FLOOR(($A67-1)/23,1)+1)&amp;INDEX('Serial Reference'!$A$8:$W$8,1,MOD($A67-1,23)+1)&amp;TEXT(CK$2+FLOOR((CK$2-1)/9,1),"000"),"")</f>
        <v>CV097</v>
      </c>
      <c r="CL67" s="25" t="str">
        <f>IF(INDEX('Shot Map'!$B$6:$V$26,CEILING($A67/5,1),CEILING(CL$2/5,1))=1,INDEX('Serial Reference'!$A$8:$W$8,1,FLOOR(($A67-1)/23,1)+1)&amp;INDEX('Serial Reference'!$A$8:$W$8,1,MOD($A67-1,23)+1)&amp;TEXT(CL$2+FLOOR((CL$2-1)/9,1),"000"),"")</f>
        <v>CV098</v>
      </c>
      <c r="CM67" s="26" t="str">
        <f>IF(INDEX('Shot Map'!$B$6:$V$26,CEILING($A67/5,1),CEILING(CM$2/5,1))=1,INDEX('Serial Reference'!$A$8:$W$8,1,FLOOR(($A67-1)/23,1)+1)&amp;INDEX('Serial Reference'!$A$8:$W$8,1,MOD($A67-1,23)+1)&amp;TEXT(CM$2+FLOOR((CM$2-1)/9,1),"000"),"")</f>
        <v>CV099</v>
      </c>
      <c r="CN67" s="24" t="str">
        <f>IF(INDEX('Shot Map'!$B$6:$V$26,CEILING($A67/5,1),CEILING(CN$2/5,1))=1,INDEX('Serial Reference'!$A$8:$W$8,1,FLOOR(($A67-1)/23,1)+1)&amp;INDEX('Serial Reference'!$A$8:$W$8,1,MOD($A67-1,23)+1)&amp;TEXT(CN$2+FLOOR((CN$2-1)/9,1),"000"),"")</f>
        <v>CV101</v>
      </c>
      <c r="CO67" s="25" t="str">
        <f>IF(INDEX('Shot Map'!$B$6:$V$26,CEILING($A67/5,1),CEILING(CO$2/5,1))=1,INDEX('Serial Reference'!$A$8:$W$8,1,FLOOR(($A67-1)/23,1)+1)&amp;INDEX('Serial Reference'!$A$8:$W$8,1,MOD($A67-1,23)+1)&amp;TEXT(CO$2+FLOOR((CO$2-1)/9,1),"000"),"")</f>
        <v>CV102</v>
      </c>
      <c r="CP67" s="25" t="str">
        <f>IF(INDEX('Shot Map'!$B$6:$V$26,CEILING($A67/5,1),CEILING(CP$2/5,1))=1,INDEX('Serial Reference'!$A$8:$W$8,1,FLOOR(($A67-1)/23,1)+1)&amp;INDEX('Serial Reference'!$A$8:$W$8,1,MOD($A67-1,23)+1)&amp;TEXT(CP$2+FLOOR((CP$2-1)/9,1),"000"),"")</f>
        <v>CV103</v>
      </c>
      <c r="CQ67" s="25" t="str">
        <f>IF(INDEX('Shot Map'!$B$6:$V$26,CEILING($A67/5,1),CEILING(CQ$2/5,1))=1,INDEX('Serial Reference'!$A$8:$W$8,1,FLOOR(($A67-1)/23,1)+1)&amp;INDEX('Serial Reference'!$A$8:$W$8,1,MOD($A67-1,23)+1)&amp;TEXT(CQ$2+FLOOR((CQ$2-1)/9,1),"000"),"")</f>
        <v>CV104</v>
      </c>
      <c r="CR67" s="26" t="str">
        <f>IF(INDEX('Shot Map'!$B$6:$V$26,CEILING($A67/5,1),CEILING(CR$2/5,1))=1,INDEX('Serial Reference'!$A$8:$W$8,1,FLOOR(($A67-1)/23,1)+1)&amp;INDEX('Serial Reference'!$A$8:$W$8,1,MOD($A67-1,23)+1)&amp;TEXT(CR$2+FLOOR((CR$2-1)/9,1),"000"),"")</f>
        <v>CV105</v>
      </c>
      <c r="CS67" s="24" t="str">
        <f>IF(INDEX('Shot Map'!$B$6:$V$26,CEILING($A67/5,1),CEILING(CS$2/5,1))=1,INDEX('Serial Reference'!$A$8:$W$8,1,FLOOR(($A67-1)/23,1)+1)&amp;INDEX('Serial Reference'!$A$8:$W$8,1,MOD($A67-1,23)+1)&amp;TEXT(CS$2+FLOOR((CS$2-1)/9,1),"000"),"")</f>
        <v>CV106</v>
      </c>
      <c r="CT67" s="25" t="str">
        <f>IF(INDEX('Shot Map'!$B$6:$V$26,CEILING($A67/5,1),CEILING(CT$2/5,1))=1,INDEX('Serial Reference'!$A$8:$W$8,1,FLOOR(($A67-1)/23,1)+1)&amp;INDEX('Serial Reference'!$A$8:$W$8,1,MOD($A67-1,23)+1)&amp;TEXT(CT$2+FLOOR((CT$2-1)/9,1),"000"),"")</f>
        <v>CV107</v>
      </c>
      <c r="CU67" s="25" t="str">
        <f>IF(INDEX('Shot Map'!$B$6:$V$26,CEILING($A67/5,1),CEILING(CU$2/5,1))=1,INDEX('Serial Reference'!$A$8:$W$8,1,FLOOR(($A67-1)/23,1)+1)&amp;INDEX('Serial Reference'!$A$8:$W$8,1,MOD($A67-1,23)+1)&amp;TEXT(CU$2+FLOOR((CU$2-1)/9,1),"000"),"")</f>
        <v>CV108</v>
      </c>
      <c r="CV67" s="25" t="str">
        <f>IF(INDEX('Shot Map'!$B$6:$V$26,CEILING($A67/5,1),CEILING(CV$2/5,1))=1,INDEX('Serial Reference'!$A$8:$W$8,1,FLOOR(($A67-1)/23,1)+1)&amp;INDEX('Serial Reference'!$A$8:$W$8,1,MOD($A67-1,23)+1)&amp;TEXT(CV$2+FLOOR((CV$2-1)/9,1),"000"),"")</f>
        <v>CV109</v>
      </c>
      <c r="CW67" s="26" t="str">
        <f>IF(INDEX('Shot Map'!$B$6:$V$26,CEILING($A67/5,1),CEILING(CW$2/5,1))=1,INDEX('Serial Reference'!$A$8:$W$8,1,FLOOR(($A67-1)/23,1)+1)&amp;INDEX('Serial Reference'!$A$8:$W$8,1,MOD($A67-1,23)+1)&amp;TEXT(CW$2+FLOOR((CW$2-1)/9,1),"000"),"")</f>
        <v>CV111</v>
      </c>
      <c r="CX67" s="24" t="str">
        <f>IF(INDEX('Shot Map'!$B$6:$V$26,CEILING($A67/5,1),CEILING(CX$2/5,1))=1,INDEX('Serial Reference'!$A$8:$W$8,1,FLOOR(($A67-1)/23,1)+1)&amp;INDEX('Serial Reference'!$A$8:$W$8,1,MOD($A67-1,23)+1)&amp;TEXT(CX$2+FLOOR((CX$2-1)/9,1),"000"),"")</f>
        <v/>
      </c>
      <c r="CY67" s="25" t="str">
        <f>IF(INDEX('Shot Map'!$B$6:$V$26,CEILING($A67/5,1),CEILING(CY$2/5,1))=1,INDEX('Serial Reference'!$A$8:$W$8,1,FLOOR(($A67-1)/23,1)+1)&amp;INDEX('Serial Reference'!$A$8:$W$8,1,MOD($A67-1,23)+1)&amp;TEXT(CY$2+FLOOR((CY$2-1)/9,1),"000"),"")</f>
        <v/>
      </c>
      <c r="CZ67" s="25" t="str">
        <f>IF(INDEX('Shot Map'!$B$6:$V$26,CEILING($A67/5,1),CEILING(CZ$2/5,1))=1,INDEX('Serial Reference'!$A$8:$W$8,1,FLOOR(($A67-1)/23,1)+1)&amp;INDEX('Serial Reference'!$A$8:$W$8,1,MOD($A67-1,23)+1)&amp;TEXT(CZ$2+FLOOR((CZ$2-1)/9,1),"000"),"")</f>
        <v/>
      </c>
      <c r="DA67" s="25" t="str">
        <f>IF(INDEX('Shot Map'!$B$6:$V$26,CEILING($A67/5,1),CEILING(DA$2/5,1))=1,INDEX('Serial Reference'!$A$8:$W$8,1,FLOOR(($A67-1)/23,1)+1)&amp;INDEX('Serial Reference'!$A$8:$W$8,1,MOD($A67-1,23)+1)&amp;TEXT(DA$2+FLOOR((DA$2-1)/9,1),"000"),"")</f>
        <v/>
      </c>
      <c r="DB67" s="26" t="str">
        <f>IF(INDEX('Shot Map'!$B$6:$V$26,CEILING($A67/5,1),CEILING(DB$2/5,1))=1,INDEX('Serial Reference'!$A$8:$W$8,1,FLOOR(($A67-1)/23,1)+1)&amp;INDEX('Serial Reference'!$A$8:$W$8,1,MOD($A67-1,23)+1)&amp;TEXT(DB$2+FLOOR((DB$2-1)/9,1),"000"),"")</f>
        <v/>
      </c>
    </row>
    <row r="68" spans="1:106" ht="12.75" customHeight="1" x14ac:dyDescent="0.25">
      <c r="A68" s="17">
        <v>66</v>
      </c>
      <c r="B68" s="18" t="str">
        <f>IF(INDEX('Shot Map'!$B$6:$V$26,CEILING($A68/5,1),CEILING(B$2/5,1))=1,INDEX('Serial Reference'!$A$8:$W$8,1,FLOOR(($A68-1)/23,1)+1)&amp;INDEX('Serial Reference'!$A$8:$W$8,1,MOD($A68-1,23)+1)&amp;TEXT(B$2+FLOOR((B$2-1)/9,1),"000"),"")</f>
        <v/>
      </c>
      <c r="C68" s="19" t="str">
        <f>IF(INDEX('Shot Map'!$B$6:$V$26,CEILING($A68/5,1),CEILING(C$2/5,1))=1,INDEX('Serial Reference'!$A$8:$W$8,1,FLOOR(($A68-1)/23,1)+1)&amp;INDEX('Serial Reference'!$A$8:$W$8,1,MOD($A68-1,23)+1)&amp;TEXT(C$2+FLOOR((C$2-1)/9,1),"000"),"")</f>
        <v/>
      </c>
      <c r="D68" s="19" t="str">
        <f>IF(INDEX('Shot Map'!$B$6:$V$26,CEILING($A68/5,1),CEILING(D$2/5,1))=1,INDEX('Serial Reference'!$A$8:$W$8,1,FLOOR(($A68-1)/23,1)+1)&amp;INDEX('Serial Reference'!$A$8:$W$8,1,MOD($A68-1,23)+1)&amp;TEXT(D$2+FLOOR((D$2-1)/9,1),"000"),"")</f>
        <v/>
      </c>
      <c r="E68" s="19" t="str">
        <f>IF(INDEX('Shot Map'!$B$6:$V$26,CEILING($A68/5,1),CEILING(E$2/5,1))=1,INDEX('Serial Reference'!$A$8:$W$8,1,FLOOR(($A68-1)/23,1)+1)&amp;INDEX('Serial Reference'!$A$8:$W$8,1,MOD($A68-1,23)+1)&amp;TEXT(E$2+FLOOR((E$2-1)/9,1),"000"),"")</f>
        <v/>
      </c>
      <c r="F68" s="20" t="str">
        <f>IF(INDEX('Shot Map'!$B$6:$V$26,CEILING($A68/5,1),CEILING(F$2/5,1))=1,INDEX('Serial Reference'!$A$8:$W$8,1,FLOOR(($A68-1)/23,1)+1)&amp;INDEX('Serial Reference'!$A$8:$W$8,1,MOD($A68-1,23)+1)&amp;TEXT(F$2+FLOOR((F$2-1)/9,1),"000"),"")</f>
        <v/>
      </c>
      <c r="G68" s="18" t="str">
        <f>IF(INDEX('Shot Map'!$B$6:$V$26,CEILING($A68/5,1),CEILING(G$2/5,1))=1,INDEX('Serial Reference'!$A$8:$W$8,1,FLOOR(($A68-1)/23,1)+1)&amp;INDEX('Serial Reference'!$A$8:$W$8,1,MOD($A68-1,23)+1)&amp;TEXT(G$2+FLOOR((G$2-1)/9,1),"000"),"")</f>
        <v>CW006</v>
      </c>
      <c r="H68" s="19" t="str">
        <f>IF(INDEX('Shot Map'!$B$6:$V$26,CEILING($A68/5,1),CEILING(H$2/5,1))=1,INDEX('Serial Reference'!$A$8:$W$8,1,FLOOR(($A68-1)/23,1)+1)&amp;INDEX('Serial Reference'!$A$8:$W$8,1,MOD($A68-1,23)+1)&amp;TEXT(H$2+FLOOR((H$2-1)/9,1),"000"),"")</f>
        <v>CW007</v>
      </c>
      <c r="I68" s="19" t="str">
        <f>IF(INDEX('Shot Map'!$B$6:$V$26,CEILING($A68/5,1),CEILING(I$2/5,1))=1,INDEX('Serial Reference'!$A$8:$W$8,1,FLOOR(($A68-1)/23,1)+1)&amp;INDEX('Serial Reference'!$A$8:$W$8,1,MOD($A68-1,23)+1)&amp;TEXT(I$2+FLOOR((I$2-1)/9,1),"000"),"")</f>
        <v>CW008</v>
      </c>
      <c r="J68" s="19" t="str">
        <f>IF(INDEX('Shot Map'!$B$6:$V$26,CEILING($A68/5,1),CEILING(J$2/5,1))=1,INDEX('Serial Reference'!$A$8:$W$8,1,FLOOR(($A68-1)/23,1)+1)&amp;INDEX('Serial Reference'!$A$8:$W$8,1,MOD($A68-1,23)+1)&amp;TEXT(J$2+FLOOR((J$2-1)/9,1),"000"),"")</f>
        <v>CW009</v>
      </c>
      <c r="K68" s="20" t="str">
        <f>IF(INDEX('Shot Map'!$B$6:$V$26,CEILING($A68/5,1),CEILING(K$2/5,1))=1,INDEX('Serial Reference'!$A$8:$W$8,1,FLOOR(($A68-1)/23,1)+1)&amp;INDEX('Serial Reference'!$A$8:$W$8,1,MOD($A68-1,23)+1)&amp;TEXT(K$2+FLOOR((K$2-1)/9,1),"000"),"")</f>
        <v>CW011</v>
      </c>
      <c r="L68" s="18" t="str">
        <f>IF(INDEX('Shot Map'!$B$6:$V$26,CEILING($A68/5,1),CEILING(L$2/5,1))=1,INDEX('Serial Reference'!$A$8:$W$8,1,FLOOR(($A68-1)/23,1)+1)&amp;INDEX('Serial Reference'!$A$8:$W$8,1,MOD($A68-1,23)+1)&amp;TEXT(L$2+FLOOR((L$2-1)/9,1),"000"),"")</f>
        <v>CW012</v>
      </c>
      <c r="M68" s="19" t="str">
        <f>IF(INDEX('Shot Map'!$B$6:$V$26,CEILING($A68/5,1),CEILING(M$2/5,1))=1,INDEX('Serial Reference'!$A$8:$W$8,1,FLOOR(($A68-1)/23,1)+1)&amp;INDEX('Serial Reference'!$A$8:$W$8,1,MOD($A68-1,23)+1)&amp;TEXT(M$2+FLOOR((M$2-1)/9,1),"000"),"")</f>
        <v>CW013</v>
      </c>
      <c r="N68" s="19" t="str">
        <f>IF(INDEX('Shot Map'!$B$6:$V$26,CEILING($A68/5,1),CEILING(N$2/5,1))=1,INDEX('Serial Reference'!$A$8:$W$8,1,FLOOR(($A68-1)/23,1)+1)&amp;INDEX('Serial Reference'!$A$8:$W$8,1,MOD($A68-1,23)+1)&amp;TEXT(N$2+FLOOR((N$2-1)/9,1),"000"),"")</f>
        <v>CW014</v>
      </c>
      <c r="O68" s="19" t="str">
        <f>IF(INDEX('Shot Map'!$B$6:$V$26,CEILING($A68/5,1),CEILING(O$2/5,1))=1,INDEX('Serial Reference'!$A$8:$W$8,1,FLOOR(($A68-1)/23,1)+1)&amp;INDEX('Serial Reference'!$A$8:$W$8,1,MOD($A68-1,23)+1)&amp;TEXT(O$2+FLOOR((O$2-1)/9,1),"000"),"")</f>
        <v>CW015</v>
      </c>
      <c r="P68" s="20" t="str">
        <f>IF(INDEX('Shot Map'!$B$6:$V$26,CEILING($A68/5,1),CEILING(P$2/5,1))=1,INDEX('Serial Reference'!$A$8:$W$8,1,FLOOR(($A68-1)/23,1)+1)&amp;INDEX('Serial Reference'!$A$8:$W$8,1,MOD($A68-1,23)+1)&amp;TEXT(P$2+FLOOR((P$2-1)/9,1),"000"),"")</f>
        <v>CW016</v>
      </c>
      <c r="Q68" s="18" t="str">
        <f>IF(INDEX('Shot Map'!$B$6:$V$26,CEILING($A68/5,1),CEILING(Q$2/5,1))=1,INDEX('Serial Reference'!$A$8:$W$8,1,FLOOR(($A68-1)/23,1)+1)&amp;INDEX('Serial Reference'!$A$8:$W$8,1,MOD($A68-1,23)+1)&amp;TEXT(Q$2+FLOOR((Q$2-1)/9,1),"000"),"")</f>
        <v>CW017</v>
      </c>
      <c r="R68" s="19" t="str">
        <f>IF(INDEX('Shot Map'!$B$6:$V$26,CEILING($A68/5,1),CEILING(R$2/5,1))=1,INDEX('Serial Reference'!$A$8:$W$8,1,FLOOR(($A68-1)/23,1)+1)&amp;INDEX('Serial Reference'!$A$8:$W$8,1,MOD($A68-1,23)+1)&amp;TEXT(R$2+FLOOR((R$2-1)/9,1),"000"),"")</f>
        <v>CW018</v>
      </c>
      <c r="S68" s="19" t="str">
        <f>IF(INDEX('Shot Map'!$B$6:$V$26,CEILING($A68/5,1),CEILING(S$2/5,1))=1,INDEX('Serial Reference'!$A$8:$W$8,1,FLOOR(($A68-1)/23,1)+1)&amp;INDEX('Serial Reference'!$A$8:$W$8,1,MOD($A68-1,23)+1)&amp;TEXT(S$2+FLOOR((S$2-1)/9,1),"000"),"")</f>
        <v>CW019</v>
      </c>
      <c r="T68" s="19" t="str">
        <f>IF(INDEX('Shot Map'!$B$6:$V$26,CEILING($A68/5,1),CEILING(T$2/5,1))=1,INDEX('Serial Reference'!$A$8:$W$8,1,FLOOR(($A68-1)/23,1)+1)&amp;INDEX('Serial Reference'!$A$8:$W$8,1,MOD($A68-1,23)+1)&amp;TEXT(T$2+FLOOR((T$2-1)/9,1),"000"),"")</f>
        <v>CW021</v>
      </c>
      <c r="U68" s="20" t="str">
        <f>IF(INDEX('Shot Map'!$B$6:$V$26,CEILING($A68/5,1),CEILING(U$2/5,1))=1,INDEX('Serial Reference'!$A$8:$W$8,1,FLOOR(($A68-1)/23,1)+1)&amp;INDEX('Serial Reference'!$A$8:$W$8,1,MOD($A68-1,23)+1)&amp;TEXT(U$2+FLOOR((U$2-1)/9,1),"000"),"")</f>
        <v>CW022</v>
      </c>
      <c r="V68" s="18" t="str">
        <f>IF(INDEX('Shot Map'!$B$6:$V$26,CEILING($A68/5,1),CEILING(V$2/5,1))=1,INDEX('Serial Reference'!$A$8:$W$8,1,FLOOR(($A68-1)/23,1)+1)&amp;INDEX('Serial Reference'!$A$8:$W$8,1,MOD($A68-1,23)+1)&amp;TEXT(V$2+FLOOR((V$2-1)/9,1),"000"),"")</f>
        <v>CW023</v>
      </c>
      <c r="W68" s="19" t="str">
        <f>IF(INDEX('Shot Map'!$B$6:$V$26,CEILING($A68/5,1),CEILING(W$2/5,1))=1,INDEX('Serial Reference'!$A$8:$W$8,1,FLOOR(($A68-1)/23,1)+1)&amp;INDEX('Serial Reference'!$A$8:$W$8,1,MOD($A68-1,23)+1)&amp;TEXT(W$2+FLOOR((W$2-1)/9,1),"000"),"")</f>
        <v>CW024</v>
      </c>
      <c r="X68" s="19" t="str">
        <f>IF(INDEX('Shot Map'!$B$6:$V$26,CEILING($A68/5,1),CEILING(X$2/5,1))=1,INDEX('Serial Reference'!$A$8:$W$8,1,FLOOR(($A68-1)/23,1)+1)&amp;INDEX('Serial Reference'!$A$8:$W$8,1,MOD($A68-1,23)+1)&amp;TEXT(X$2+FLOOR((X$2-1)/9,1),"000"),"")</f>
        <v>CW025</v>
      </c>
      <c r="Y68" s="19" t="str">
        <f>IF(INDEX('Shot Map'!$B$6:$V$26,CEILING($A68/5,1),CEILING(Y$2/5,1))=1,INDEX('Serial Reference'!$A$8:$W$8,1,FLOOR(($A68-1)/23,1)+1)&amp;INDEX('Serial Reference'!$A$8:$W$8,1,MOD($A68-1,23)+1)&amp;TEXT(Y$2+FLOOR((Y$2-1)/9,1),"000"),"")</f>
        <v>CW026</v>
      </c>
      <c r="Z68" s="20" t="str">
        <f>IF(INDEX('Shot Map'!$B$6:$V$26,CEILING($A68/5,1),CEILING(Z$2/5,1))=1,INDEX('Serial Reference'!$A$8:$W$8,1,FLOOR(($A68-1)/23,1)+1)&amp;INDEX('Serial Reference'!$A$8:$W$8,1,MOD($A68-1,23)+1)&amp;TEXT(Z$2+FLOOR((Z$2-1)/9,1),"000"),"")</f>
        <v>CW027</v>
      </c>
      <c r="AA68" s="18" t="str">
        <f>IF(INDEX('Shot Map'!$B$6:$V$26,CEILING($A68/5,1),CEILING(AA$2/5,1))=1,INDEX('Serial Reference'!$A$8:$W$8,1,FLOOR(($A68-1)/23,1)+1)&amp;INDEX('Serial Reference'!$A$8:$W$8,1,MOD($A68-1,23)+1)&amp;TEXT(AA$2+FLOOR((AA$2-1)/9,1),"000"),"")</f>
        <v>CW028</v>
      </c>
      <c r="AB68" s="19" t="str">
        <f>IF(INDEX('Shot Map'!$B$6:$V$26,CEILING($A68/5,1),CEILING(AB$2/5,1))=1,INDEX('Serial Reference'!$A$8:$W$8,1,FLOOR(($A68-1)/23,1)+1)&amp;INDEX('Serial Reference'!$A$8:$W$8,1,MOD($A68-1,23)+1)&amp;TEXT(AB$2+FLOOR((AB$2-1)/9,1),"000"),"")</f>
        <v>CW029</v>
      </c>
      <c r="AC68" s="19" t="str">
        <f>IF(INDEX('Shot Map'!$B$6:$V$26,CEILING($A68/5,1),CEILING(AC$2/5,1))=1,INDEX('Serial Reference'!$A$8:$W$8,1,FLOOR(($A68-1)/23,1)+1)&amp;INDEX('Serial Reference'!$A$8:$W$8,1,MOD($A68-1,23)+1)&amp;TEXT(AC$2+FLOOR((AC$2-1)/9,1),"000"),"")</f>
        <v>CW031</v>
      </c>
      <c r="AD68" s="19" t="str">
        <f>IF(INDEX('Shot Map'!$B$6:$V$26,CEILING($A68/5,1),CEILING(AD$2/5,1))=1,INDEX('Serial Reference'!$A$8:$W$8,1,FLOOR(($A68-1)/23,1)+1)&amp;INDEX('Serial Reference'!$A$8:$W$8,1,MOD($A68-1,23)+1)&amp;TEXT(AD$2+FLOOR((AD$2-1)/9,1),"000"),"")</f>
        <v>CW032</v>
      </c>
      <c r="AE68" s="20" t="str">
        <f>IF(INDEX('Shot Map'!$B$6:$V$26,CEILING($A68/5,1),CEILING(AE$2/5,1))=1,INDEX('Serial Reference'!$A$8:$W$8,1,FLOOR(($A68-1)/23,1)+1)&amp;INDEX('Serial Reference'!$A$8:$W$8,1,MOD($A68-1,23)+1)&amp;TEXT(AE$2+FLOOR((AE$2-1)/9,1),"000"),"")</f>
        <v>CW033</v>
      </c>
      <c r="AF68" s="18" t="str">
        <f>IF(INDEX('Shot Map'!$B$6:$V$26,CEILING($A68/5,1),CEILING(AF$2/5,1))=1,INDEX('Serial Reference'!$A$8:$W$8,1,FLOOR(($A68-1)/23,1)+1)&amp;INDEX('Serial Reference'!$A$8:$W$8,1,MOD($A68-1,23)+1)&amp;TEXT(AF$2+FLOOR((AF$2-1)/9,1),"000"),"")</f>
        <v>CW034</v>
      </c>
      <c r="AG68" s="19" t="str">
        <f>IF(INDEX('Shot Map'!$B$6:$V$26,CEILING($A68/5,1),CEILING(AG$2/5,1))=1,INDEX('Serial Reference'!$A$8:$W$8,1,FLOOR(($A68-1)/23,1)+1)&amp;INDEX('Serial Reference'!$A$8:$W$8,1,MOD($A68-1,23)+1)&amp;TEXT(AG$2+FLOOR((AG$2-1)/9,1),"000"),"")</f>
        <v>CW035</v>
      </c>
      <c r="AH68" s="19" t="str">
        <f>IF(INDEX('Shot Map'!$B$6:$V$26,CEILING($A68/5,1),CEILING(AH$2/5,1))=1,INDEX('Serial Reference'!$A$8:$W$8,1,FLOOR(($A68-1)/23,1)+1)&amp;INDEX('Serial Reference'!$A$8:$W$8,1,MOD($A68-1,23)+1)&amp;TEXT(AH$2+FLOOR((AH$2-1)/9,1),"000"),"")</f>
        <v>CW036</v>
      </c>
      <c r="AI68" s="19" t="str">
        <f>IF(INDEX('Shot Map'!$B$6:$V$26,CEILING($A68/5,1),CEILING(AI$2/5,1))=1,INDEX('Serial Reference'!$A$8:$W$8,1,FLOOR(($A68-1)/23,1)+1)&amp;INDEX('Serial Reference'!$A$8:$W$8,1,MOD($A68-1,23)+1)&amp;TEXT(AI$2+FLOOR((AI$2-1)/9,1),"000"),"")</f>
        <v>CW037</v>
      </c>
      <c r="AJ68" s="20" t="str">
        <f>IF(INDEX('Shot Map'!$B$6:$V$26,CEILING($A68/5,1),CEILING(AJ$2/5,1))=1,INDEX('Serial Reference'!$A$8:$W$8,1,FLOOR(($A68-1)/23,1)+1)&amp;INDEX('Serial Reference'!$A$8:$W$8,1,MOD($A68-1,23)+1)&amp;TEXT(AJ$2+FLOOR((AJ$2-1)/9,1),"000"),"")</f>
        <v>CW038</v>
      </c>
      <c r="AK68" s="18" t="str">
        <f>IF(INDEX('Shot Map'!$B$6:$V$26,CEILING($A68/5,1),CEILING(AK$2/5,1))=1,INDEX('Serial Reference'!$A$8:$W$8,1,FLOOR(($A68-1)/23,1)+1)&amp;INDEX('Serial Reference'!$A$8:$W$8,1,MOD($A68-1,23)+1)&amp;TEXT(AK$2+FLOOR((AK$2-1)/9,1),"000"),"")</f>
        <v>CW039</v>
      </c>
      <c r="AL68" s="19" t="str">
        <f>IF(INDEX('Shot Map'!$B$6:$V$26,CEILING($A68/5,1),CEILING(AL$2/5,1))=1,INDEX('Serial Reference'!$A$8:$W$8,1,FLOOR(($A68-1)/23,1)+1)&amp;INDEX('Serial Reference'!$A$8:$W$8,1,MOD($A68-1,23)+1)&amp;TEXT(AL$2+FLOOR((AL$2-1)/9,1),"000"),"")</f>
        <v>CW041</v>
      </c>
      <c r="AM68" s="19" t="str">
        <f>IF(INDEX('Shot Map'!$B$6:$V$26,CEILING($A68/5,1),CEILING(AM$2/5,1))=1,INDEX('Serial Reference'!$A$8:$W$8,1,FLOOR(($A68-1)/23,1)+1)&amp;INDEX('Serial Reference'!$A$8:$W$8,1,MOD($A68-1,23)+1)&amp;TEXT(AM$2+FLOOR((AM$2-1)/9,1),"000"),"")</f>
        <v>CW042</v>
      </c>
      <c r="AN68" s="19" t="str">
        <f>IF(INDEX('Shot Map'!$B$6:$V$26,CEILING($A68/5,1),CEILING(AN$2/5,1))=1,INDEX('Serial Reference'!$A$8:$W$8,1,FLOOR(($A68-1)/23,1)+1)&amp;INDEX('Serial Reference'!$A$8:$W$8,1,MOD($A68-1,23)+1)&amp;TEXT(AN$2+FLOOR((AN$2-1)/9,1),"000"),"")</f>
        <v>CW043</v>
      </c>
      <c r="AO68" s="20" t="str">
        <f>IF(INDEX('Shot Map'!$B$6:$V$26,CEILING($A68/5,1),CEILING(AO$2/5,1))=1,INDEX('Serial Reference'!$A$8:$W$8,1,FLOOR(($A68-1)/23,1)+1)&amp;INDEX('Serial Reference'!$A$8:$W$8,1,MOD($A68-1,23)+1)&amp;TEXT(AO$2+FLOOR((AO$2-1)/9,1),"000"),"")</f>
        <v>CW044</v>
      </c>
      <c r="AP68" s="18" t="str">
        <f>IF(INDEX('Shot Map'!$B$6:$V$26,CEILING($A68/5,1),CEILING(AP$2/5,1))=1,INDEX('Serial Reference'!$A$8:$W$8,1,FLOOR(($A68-1)/23,1)+1)&amp;INDEX('Serial Reference'!$A$8:$W$8,1,MOD($A68-1,23)+1)&amp;TEXT(AP$2+FLOOR((AP$2-1)/9,1),"000"),"")</f>
        <v>CW045</v>
      </c>
      <c r="AQ68" s="19" t="str">
        <f>IF(INDEX('Shot Map'!$B$6:$V$26,CEILING($A68/5,1),CEILING(AQ$2/5,1))=1,INDEX('Serial Reference'!$A$8:$W$8,1,FLOOR(($A68-1)/23,1)+1)&amp;INDEX('Serial Reference'!$A$8:$W$8,1,MOD($A68-1,23)+1)&amp;TEXT(AQ$2+FLOOR((AQ$2-1)/9,1),"000"),"")</f>
        <v>CW046</v>
      </c>
      <c r="AR68" s="19" t="str">
        <f>IF(INDEX('Shot Map'!$B$6:$V$26,CEILING($A68/5,1),CEILING(AR$2/5,1))=1,INDEX('Serial Reference'!$A$8:$W$8,1,FLOOR(($A68-1)/23,1)+1)&amp;INDEX('Serial Reference'!$A$8:$W$8,1,MOD($A68-1,23)+1)&amp;TEXT(AR$2+FLOOR((AR$2-1)/9,1),"000"),"")</f>
        <v>CW047</v>
      </c>
      <c r="AS68" s="19" t="str">
        <f>IF(INDEX('Shot Map'!$B$6:$V$26,CEILING($A68/5,1),CEILING(AS$2/5,1))=1,INDEX('Serial Reference'!$A$8:$W$8,1,FLOOR(($A68-1)/23,1)+1)&amp;INDEX('Serial Reference'!$A$8:$W$8,1,MOD($A68-1,23)+1)&amp;TEXT(AS$2+FLOOR((AS$2-1)/9,1),"000"),"")</f>
        <v>CW048</v>
      </c>
      <c r="AT68" s="20" t="str">
        <f>IF(INDEX('Shot Map'!$B$6:$V$26,CEILING($A68/5,1),CEILING(AT$2/5,1))=1,INDEX('Serial Reference'!$A$8:$W$8,1,FLOOR(($A68-1)/23,1)+1)&amp;INDEX('Serial Reference'!$A$8:$W$8,1,MOD($A68-1,23)+1)&amp;TEXT(AT$2+FLOOR((AT$2-1)/9,1),"000"),"")</f>
        <v>CW049</v>
      </c>
      <c r="AU68" s="18" t="str">
        <f>IF(INDEX('Shot Map'!$B$6:$V$26,CEILING($A68/5,1),CEILING(AU$2/5,1))=1,INDEX('Serial Reference'!$A$8:$W$8,1,FLOOR(($A68-1)/23,1)+1)&amp;INDEX('Serial Reference'!$A$8:$W$8,1,MOD($A68-1,23)+1)&amp;TEXT(AU$2+FLOOR((AU$2-1)/9,1),"000"),"")</f>
        <v>CW051</v>
      </c>
      <c r="AV68" s="19" t="str">
        <f>IF(INDEX('Shot Map'!$B$6:$V$26,CEILING($A68/5,1),CEILING(AV$2/5,1))=1,INDEX('Serial Reference'!$A$8:$W$8,1,FLOOR(($A68-1)/23,1)+1)&amp;INDEX('Serial Reference'!$A$8:$W$8,1,MOD($A68-1,23)+1)&amp;TEXT(AV$2+FLOOR((AV$2-1)/9,1),"000"),"")</f>
        <v>CW052</v>
      </c>
      <c r="AW68" s="19" t="str">
        <f>IF(INDEX('Shot Map'!$B$6:$V$26,CEILING($A68/5,1),CEILING(AW$2/5,1))=1,INDEX('Serial Reference'!$A$8:$W$8,1,FLOOR(($A68-1)/23,1)+1)&amp;INDEX('Serial Reference'!$A$8:$W$8,1,MOD($A68-1,23)+1)&amp;TEXT(AW$2+FLOOR((AW$2-1)/9,1),"000"),"")</f>
        <v>CW053</v>
      </c>
      <c r="AX68" s="19" t="str">
        <f>IF(INDEX('Shot Map'!$B$6:$V$26,CEILING($A68/5,1),CEILING(AX$2/5,1))=1,INDEX('Serial Reference'!$A$8:$W$8,1,FLOOR(($A68-1)/23,1)+1)&amp;INDEX('Serial Reference'!$A$8:$W$8,1,MOD($A68-1,23)+1)&amp;TEXT(AX$2+FLOOR((AX$2-1)/9,1),"000"),"")</f>
        <v>CW054</v>
      </c>
      <c r="AY68" s="20" t="str">
        <f>IF(INDEX('Shot Map'!$B$6:$V$26,CEILING($A68/5,1),CEILING(AY$2/5,1))=1,INDEX('Serial Reference'!$A$8:$W$8,1,FLOOR(($A68-1)/23,1)+1)&amp;INDEX('Serial Reference'!$A$8:$W$8,1,MOD($A68-1,23)+1)&amp;TEXT(AY$2+FLOOR((AY$2-1)/9,1),"000"),"")</f>
        <v>CW055</v>
      </c>
      <c r="AZ68" s="18" t="str">
        <f>IF(INDEX('Shot Map'!$B$6:$V$26,CEILING($A68/5,1),CEILING(AZ$2/5,1))=1,INDEX('Serial Reference'!$A$8:$W$8,1,FLOOR(($A68-1)/23,1)+1)&amp;INDEX('Serial Reference'!$A$8:$W$8,1,MOD($A68-1,23)+1)&amp;TEXT(AZ$2+FLOOR((AZ$2-1)/9,1),"000"),"")</f>
        <v>CW056</v>
      </c>
      <c r="BA68" s="19" t="str">
        <f>IF(INDEX('Shot Map'!$B$6:$V$26,CEILING($A68/5,1),CEILING(BA$2/5,1))=1,INDEX('Serial Reference'!$A$8:$W$8,1,FLOOR(($A68-1)/23,1)+1)&amp;INDEX('Serial Reference'!$A$8:$W$8,1,MOD($A68-1,23)+1)&amp;TEXT(BA$2+FLOOR((BA$2-1)/9,1),"000"),"")</f>
        <v>CW057</v>
      </c>
      <c r="BB68" s="19" t="str">
        <f>IF(INDEX('Shot Map'!$B$6:$V$26,CEILING($A68/5,1),CEILING(BB$2/5,1))=1,INDEX('Serial Reference'!$A$8:$W$8,1,FLOOR(($A68-1)/23,1)+1)&amp;INDEX('Serial Reference'!$A$8:$W$8,1,MOD($A68-1,23)+1)&amp;TEXT(BB$2+FLOOR((BB$2-1)/9,1),"000"),"")</f>
        <v>CW058</v>
      </c>
      <c r="BC68" s="19" t="str">
        <f>IF(INDEX('Shot Map'!$B$6:$V$26,CEILING($A68/5,1),CEILING(BC$2/5,1))=1,INDEX('Serial Reference'!$A$8:$W$8,1,FLOOR(($A68-1)/23,1)+1)&amp;INDEX('Serial Reference'!$A$8:$W$8,1,MOD($A68-1,23)+1)&amp;TEXT(BC$2+FLOOR((BC$2-1)/9,1),"000"),"")</f>
        <v>CW059</v>
      </c>
      <c r="BD68" s="20" t="str">
        <f>IF(INDEX('Shot Map'!$B$6:$V$26,CEILING($A68/5,1),CEILING(BD$2/5,1))=1,INDEX('Serial Reference'!$A$8:$W$8,1,FLOOR(($A68-1)/23,1)+1)&amp;INDEX('Serial Reference'!$A$8:$W$8,1,MOD($A68-1,23)+1)&amp;TEXT(BD$2+FLOOR((BD$2-1)/9,1),"000"),"")</f>
        <v>CW061</v>
      </c>
      <c r="BE68" s="18" t="str">
        <f>IF(INDEX('Shot Map'!$B$6:$V$26,CEILING($A68/5,1),CEILING(BE$2/5,1))=1,INDEX('Serial Reference'!$A$8:$W$8,1,FLOOR(($A68-1)/23,1)+1)&amp;INDEX('Serial Reference'!$A$8:$W$8,1,MOD($A68-1,23)+1)&amp;TEXT(BE$2+FLOOR((BE$2-1)/9,1),"000"),"")</f>
        <v>CW062</v>
      </c>
      <c r="BF68" s="19" t="str">
        <f>IF(INDEX('Shot Map'!$B$6:$V$26,CEILING($A68/5,1),CEILING(BF$2/5,1))=1,INDEX('Serial Reference'!$A$8:$W$8,1,FLOOR(($A68-1)/23,1)+1)&amp;INDEX('Serial Reference'!$A$8:$W$8,1,MOD($A68-1,23)+1)&amp;TEXT(BF$2+FLOOR((BF$2-1)/9,1),"000"),"")</f>
        <v>CW063</v>
      </c>
      <c r="BG68" s="19" t="str">
        <f>IF(INDEX('Shot Map'!$B$6:$V$26,CEILING($A68/5,1),CEILING(BG$2/5,1))=1,INDEX('Serial Reference'!$A$8:$W$8,1,FLOOR(($A68-1)/23,1)+1)&amp;INDEX('Serial Reference'!$A$8:$W$8,1,MOD($A68-1,23)+1)&amp;TEXT(BG$2+FLOOR((BG$2-1)/9,1),"000"),"")</f>
        <v>CW064</v>
      </c>
      <c r="BH68" s="19" t="str">
        <f>IF(INDEX('Shot Map'!$B$6:$V$26,CEILING($A68/5,1),CEILING(BH$2/5,1))=1,INDEX('Serial Reference'!$A$8:$W$8,1,FLOOR(($A68-1)/23,1)+1)&amp;INDEX('Serial Reference'!$A$8:$W$8,1,MOD($A68-1,23)+1)&amp;TEXT(BH$2+FLOOR((BH$2-1)/9,1),"000"),"")</f>
        <v>CW065</v>
      </c>
      <c r="BI68" s="20" t="str">
        <f>IF(INDEX('Shot Map'!$B$6:$V$26,CEILING($A68/5,1),CEILING(BI$2/5,1))=1,INDEX('Serial Reference'!$A$8:$W$8,1,FLOOR(($A68-1)/23,1)+1)&amp;INDEX('Serial Reference'!$A$8:$W$8,1,MOD($A68-1,23)+1)&amp;TEXT(BI$2+FLOOR((BI$2-1)/9,1),"000"),"")</f>
        <v>CW066</v>
      </c>
      <c r="BJ68" s="18" t="str">
        <f>IF(INDEX('Shot Map'!$B$6:$V$26,CEILING($A68/5,1),CEILING(BJ$2/5,1))=1,INDEX('Serial Reference'!$A$8:$W$8,1,FLOOR(($A68-1)/23,1)+1)&amp;INDEX('Serial Reference'!$A$8:$W$8,1,MOD($A68-1,23)+1)&amp;TEXT(BJ$2+FLOOR((BJ$2-1)/9,1),"000"),"")</f>
        <v>CW067</v>
      </c>
      <c r="BK68" s="19" t="str">
        <f>IF(INDEX('Shot Map'!$B$6:$V$26,CEILING($A68/5,1),CEILING(BK$2/5,1))=1,INDEX('Serial Reference'!$A$8:$W$8,1,FLOOR(($A68-1)/23,1)+1)&amp;INDEX('Serial Reference'!$A$8:$W$8,1,MOD($A68-1,23)+1)&amp;TEXT(BK$2+FLOOR((BK$2-1)/9,1),"000"),"")</f>
        <v>CW068</v>
      </c>
      <c r="BL68" s="19" t="str">
        <f>IF(INDEX('Shot Map'!$B$6:$V$26,CEILING($A68/5,1),CEILING(BL$2/5,1))=1,INDEX('Serial Reference'!$A$8:$W$8,1,FLOOR(($A68-1)/23,1)+1)&amp;INDEX('Serial Reference'!$A$8:$W$8,1,MOD($A68-1,23)+1)&amp;TEXT(BL$2+FLOOR((BL$2-1)/9,1),"000"),"")</f>
        <v>CW069</v>
      </c>
      <c r="BM68" s="19" t="str">
        <f>IF(INDEX('Shot Map'!$B$6:$V$26,CEILING($A68/5,1),CEILING(BM$2/5,1))=1,INDEX('Serial Reference'!$A$8:$W$8,1,FLOOR(($A68-1)/23,1)+1)&amp;INDEX('Serial Reference'!$A$8:$W$8,1,MOD($A68-1,23)+1)&amp;TEXT(BM$2+FLOOR((BM$2-1)/9,1),"000"),"")</f>
        <v>CW071</v>
      </c>
      <c r="BN68" s="20" t="str">
        <f>IF(INDEX('Shot Map'!$B$6:$V$26,CEILING($A68/5,1),CEILING(BN$2/5,1))=1,INDEX('Serial Reference'!$A$8:$W$8,1,FLOOR(($A68-1)/23,1)+1)&amp;INDEX('Serial Reference'!$A$8:$W$8,1,MOD($A68-1,23)+1)&amp;TEXT(BN$2+FLOOR((BN$2-1)/9,1),"000"),"")</f>
        <v>CW072</v>
      </c>
      <c r="BO68" s="18" t="str">
        <f>IF(INDEX('Shot Map'!$B$6:$V$26,CEILING($A68/5,1),CEILING(BO$2/5,1))=1,INDEX('Serial Reference'!$A$8:$W$8,1,FLOOR(($A68-1)/23,1)+1)&amp;INDEX('Serial Reference'!$A$8:$W$8,1,MOD($A68-1,23)+1)&amp;TEXT(BO$2+FLOOR((BO$2-1)/9,1),"000"),"")</f>
        <v>CW073</v>
      </c>
      <c r="BP68" s="19" t="str">
        <f>IF(INDEX('Shot Map'!$B$6:$V$26,CEILING($A68/5,1),CEILING(BP$2/5,1))=1,INDEX('Serial Reference'!$A$8:$W$8,1,FLOOR(($A68-1)/23,1)+1)&amp;INDEX('Serial Reference'!$A$8:$W$8,1,MOD($A68-1,23)+1)&amp;TEXT(BP$2+FLOOR((BP$2-1)/9,1),"000"),"")</f>
        <v>CW074</v>
      </c>
      <c r="BQ68" s="19" t="str">
        <f>IF(INDEX('Shot Map'!$B$6:$V$26,CEILING($A68/5,1),CEILING(BQ$2/5,1))=1,INDEX('Serial Reference'!$A$8:$W$8,1,FLOOR(($A68-1)/23,1)+1)&amp;INDEX('Serial Reference'!$A$8:$W$8,1,MOD($A68-1,23)+1)&amp;TEXT(BQ$2+FLOOR((BQ$2-1)/9,1),"000"),"")</f>
        <v>CW075</v>
      </c>
      <c r="BR68" s="19" t="str">
        <f>IF(INDEX('Shot Map'!$B$6:$V$26,CEILING($A68/5,1),CEILING(BR$2/5,1))=1,INDEX('Serial Reference'!$A$8:$W$8,1,FLOOR(($A68-1)/23,1)+1)&amp;INDEX('Serial Reference'!$A$8:$W$8,1,MOD($A68-1,23)+1)&amp;TEXT(BR$2+FLOOR((BR$2-1)/9,1),"000"),"")</f>
        <v>CW076</v>
      </c>
      <c r="BS68" s="20" t="str">
        <f>IF(INDEX('Shot Map'!$B$6:$V$26,CEILING($A68/5,1),CEILING(BS$2/5,1))=1,INDEX('Serial Reference'!$A$8:$W$8,1,FLOOR(($A68-1)/23,1)+1)&amp;INDEX('Serial Reference'!$A$8:$W$8,1,MOD($A68-1,23)+1)&amp;TEXT(BS$2+FLOOR((BS$2-1)/9,1),"000"),"")</f>
        <v>CW077</v>
      </c>
      <c r="BT68" s="18" t="str">
        <f>IF(INDEX('Shot Map'!$B$6:$V$26,CEILING($A68/5,1),CEILING(BT$2/5,1))=1,INDEX('Serial Reference'!$A$8:$W$8,1,FLOOR(($A68-1)/23,1)+1)&amp;INDEX('Serial Reference'!$A$8:$W$8,1,MOD($A68-1,23)+1)&amp;TEXT(BT$2+FLOOR((BT$2-1)/9,1),"000"),"")</f>
        <v>CW078</v>
      </c>
      <c r="BU68" s="19" t="str">
        <f>IF(INDEX('Shot Map'!$B$6:$V$26,CEILING($A68/5,1),CEILING(BU$2/5,1))=1,INDEX('Serial Reference'!$A$8:$W$8,1,FLOOR(($A68-1)/23,1)+1)&amp;INDEX('Serial Reference'!$A$8:$W$8,1,MOD($A68-1,23)+1)&amp;TEXT(BU$2+FLOOR((BU$2-1)/9,1),"000"),"")</f>
        <v>CW079</v>
      </c>
      <c r="BV68" s="19" t="str">
        <f>IF(INDEX('Shot Map'!$B$6:$V$26,CEILING($A68/5,1),CEILING(BV$2/5,1))=1,INDEX('Serial Reference'!$A$8:$W$8,1,FLOOR(($A68-1)/23,1)+1)&amp;INDEX('Serial Reference'!$A$8:$W$8,1,MOD($A68-1,23)+1)&amp;TEXT(BV$2+FLOOR((BV$2-1)/9,1),"000"),"")</f>
        <v>CW081</v>
      </c>
      <c r="BW68" s="19" t="str">
        <f>IF(INDEX('Shot Map'!$B$6:$V$26,CEILING($A68/5,1),CEILING(BW$2/5,1))=1,INDEX('Serial Reference'!$A$8:$W$8,1,FLOOR(($A68-1)/23,1)+1)&amp;INDEX('Serial Reference'!$A$8:$W$8,1,MOD($A68-1,23)+1)&amp;TEXT(BW$2+FLOOR((BW$2-1)/9,1),"000"),"")</f>
        <v>CW082</v>
      </c>
      <c r="BX68" s="20" t="str">
        <f>IF(INDEX('Shot Map'!$B$6:$V$26,CEILING($A68/5,1),CEILING(BX$2/5,1))=1,INDEX('Serial Reference'!$A$8:$W$8,1,FLOOR(($A68-1)/23,1)+1)&amp;INDEX('Serial Reference'!$A$8:$W$8,1,MOD($A68-1,23)+1)&amp;TEXT(BX$2+FLOOR((BX$2-1)/9,1),"000"),"")</f>
        <v>CW083</v>
      </c>
      <c r="BY68" s="18" t="str">
        <f>IF(INDEX('Shot Map'!$B$6:$V$26,CEILING($A68/5,1),CEILING(BY$2/5,1))=1,INDEX('Serial Reference'!$A$8:$W$8,1,FLOOR(($A68-1)/23,1)+1)&amp;INDEX('Serial Reference'!$A$8:$W$8,1,MOD($A68-1,23)+1)&amp;TEXT(BY$2+FLOOR((BY$2-1)/9,1),"000"),"")</f>
        <v>CW084</v>
      </c>
      <c r="BZ68" s="19" t="str">
        <f>IF(INDEX('Shot Map'!$B$6:$V$26,CEILING($A68/5,1),CEILING(BZ$2/5,1))=1,INDEX('Serial Reference'!$A$8:$W$8,1,FLOOR(($A68-1)/23,1)+1)&amp;INDEX('Serial Reference'!$A$8:$W$8,1,MOD($A68-1,23)+1)&amp;TEXT(BZ$2+FLOOR((BZ$2-1)/9,1),"000"),"")</f>
        <v>CW085</v>
      </c>
      <c r="CA68" s="19" t="str">
        <f>IF(INDEX('Shot Map'!$B$6:$V$26,CEILING($A68/5,1),CEILING(CA$2/5,1))=1,INDEX('Serial Reference'!$A$8:$W$8,1,FLOOR(($A68-1)/23,1)+1)&amp;INDEX('Serial Reference'!$A$8:$W$8,1,MOD($A68-1,23)+1)&amp;TEXT(CA$2+FLOOR((CA$2-1)/9,1),"000"),"")</f>
        <v>CW086</v>
      </c>
      <c r="CB68" s="19" t="str">
        <f>IF(INDEX('Shot Map'!$B$6:$V$26,CEILING($A68/5,1),CEILING(CB$2/5,1))=1,INDEX('Serial Reference'!$A$8:$W$8,1,FLOOR(($A68-1)/23,1)+1)&amp;INDEX('Serial Reference'!$A$8:$W$8,1,MOD($A68-1,23)+1)&amp;TEXT(CB$2+FLOOR((CB$2-1)/9,1),"000"),"")</f>
        <v>CW087</v>
      </c>
      <c r="CC68" s="20" t="str">
        <f>IF(INDEX('Shot Map'!$B$6:$V$26,CEILING($A68/5,1),CEILING(CC$2/5,1))=1,INDEX('Serial Reference'!$A$8:$W$8,1,FLOOR(($A68-1)/23,1)+1)&amp;INDEX('Serial Reference'!$A$8:$W$8,1,MOD($A68-1,23)+1)&amp;TEXT(CC$2+FLOOR((CC$2-1)/9,1),"000"),"")</f>
        <v>CW088</v>
      </c>
      <c r="CD68" s="18" t="str">
        <f>IF(INDEX('Shot Map'!$B$6:$V$26,CEILING($A68/5,1),CEILING(CD$2/5,1))=1,INDEX('Serial Reference'!$A$8:$W$8,1,FLOOR(($A68-1)/23,1)+1)&amp;INDEX('Serial Reference'!$A$8:$W$8,1,MOD($A68-1,23)+1)&amp;TEXT(CD$2+FLOOR((CD$2-1)/9,1),"000"),"")</f>
        <v>CW089</v>
      </c>
      <c r="CE68" s="19" t="str">
        <f>IF(INDEX('Shot Map'!$B$6:$V$26,CEILING($A68/5,1),CEILING(CE$2/5,1))=1,INDEX('Serial Reference'!$A$8:$W$8,1,FLOOR(($A68-1)/23,1)+1)&amp;INDEX('Serial Reference'!$A$8:$W$8,1,MOD($A68-1,23)+1)&amp;TEXT(CE$2+FLOOR((CE$2-1)/9,1),"000"),"")</f>
        <v>CW091</v>
      </c>
      <c r="CF68" s="19" t="str">
        <f>IF(INDEX('Shot Map'!$B$6:$V$26,CEILING($A68/5,1),CEILING(CF$2/5,1))=1,INDEX('Serial Reference'!$A$8:$W$8,1,FLOOR(($A68-1)/23,1)+1)&amp;INDEX('Serial Reference'!$A$8:$W$8,1,MOD($A68-1,23)+1)&amp;TEXT(CF$2+FLOOR((CF$2-1)/9,1),"000"),"")</f>
        <v>CW092</v>
      </c>
      <c r="CG68" s="19" t="str">
        <f>IF(INDEX('Shot Map'!$B$6:$V$26,CEILING($A68/5,1),CEILING(CG$2/5,1))=1,INDEX('Serial Reference'!$A$8:$W$8,1,FLOOR(($A68-1)/23,1)+1)&amp;INDEX('Serial Reference'!$A$8:$W$8,1,MOD($A68-1,23)+1)&amp;TEXT(CG$2+FLOOR((CG$2-1)/9,1),"000"),"")</f>
        <v>CW093</v>
      </c>
      <c r="CH68" s="20" t="str">
        <f>IF(INDEX('Shot Map'!$B$6:$V$26,CEILING($A68/5,1),CEILING(CH$2/5,1))=1,INDEX('Serial Reference'!$A$8:$W$8,1,FLOOR(($A68-1)/23,1)+1)&amp;INDEX('Serial Reference'!$A$8:$W$8,1,MOD($A68-1,23)+1)&amp;TEXT(CH$2+FLOOR((CH$2-1)/9,1),"000"),"")</f>
        <v>CW094</v>
      </c>
      <c r="CI68" s="18" t="str">
        <f>IF(INDEX('Shot Map'!$B$6:$V$26,CEILING($A68/5,1),CEILING(CI$2/5,1))=1,INDEX('Serial Reference'!$A$8:$W$8,1,FLOOR(($A68-1)/23,1)+1)&amp;INDEX('Serial Reference'!$A$8:$W$8,1,MOD($A68-1,23)+1)&amp;TEXT(CI$2+FLOOR((CI$2-1)/9,1),"000"),"")</f>
        <v>CW095</v>
      </c>
      <c r="CJ68" s="19" t="str">
        <f>IF(INDEX('Shot Map'!$B$6:$V$26,CEILING($A68/5,1),CEILING(CJ$2/5,1))=1,INDEX('Serial Reference'!$A$8:$W$8,1,FLOOR(($A68-1)/23,1)+1)&amp;INDEX('Serial Reference'!$A$8:$W$8,1,MOD($A68-1,23)+1)&amp;TEXT(CJ$2+FLOOR((CJ$2-1)/9,1),"000"),"")</f>
        <v>CW096</v>
      </c>
      <c r="CK68" s="19" t="str">
        <f>IF(INDEX('Shot Map'!$B$6:$V$26,CEILING($A68/5,1),CEILING(CK$2/5,1))=1,INDEX('Serial Reference'!$A$8:$W$8,1,FLOOR(($A68-1)/23,1)+1)&amp;INDEX('Serial Reference'!$A$8:$W$8,1,MOD($A68-1,23)+1)&amp;TEXT(CK$2+FLOOR((CK$2-1)/9,1),"000"),"")</f>
        <v>CW097</v>
      </c>
      <c r="CL68" s="19" t="str">
        <f>IF(INDEX('Shot Map'!$B$6:$V$26,CEILING($A68/5,1),CEILING(CL$2/5,1))=1,INDEX('Serial Reference'!$A$8:$W$8,1,FLOOR(($A68-1)/23,1)+1)&amp;INDEX('Serial Reference'!$A$8:$W$8,1,MOD($A68-1,23)+1)&amp;TEXT(CL$2+FLOOR((CL$2-1)/9,1),"000"),"")</f>
        <v>CW098</v>
      </c>
      <c r="CM68" s="20" t="str">
        <f>IF(INDEX('Shot Map'!$B$6:$V$26,CEILING($A68/5,1),CEILING(CM$2/5,1))=1,INDEX('Serial Reference'!$A$8:$W$8,1,FLOOR(($A68-1)/23,1)+1)&amp;INDEX('Serial Reference'!$A$8:$W$8,1,MOD($A68-1,23)+1)&amp;TEXT(CM$2+FLOOR((CM$2-1)/9,1),"000"),"")</f>
        <v>CW099</v>
      </c>
      <c r="CN68" s="18" t="str">
        <f>IF(INDEX('Shot Map'!$B$6:$V$26,CEILING($A68/5,1),CEILING(CN$2/5,1))=1,INDEX('Serial Reference'!$A$8:$W$8,1,FLOOR(($A68-1)/23,1)+1)&amp;INDEX('Serial Reference'!$A$8:$W$8,1,MOD($A68-1,23)+1)&amp;TEXT(CN$2+FLOOR((CN$2-1)/9,1),"000"),"")</f>
        <v>CW101</v>
      </c>
      <c r="CO68" s="19" t="str">
        <f>IF(INDEX('Shot Map'!$B$6:$V$26,CEILING($A68/5,1),CEILING(CO$2/5,1))=1,INDEX('Serial Reference'!$A$8:$W$8,1,FLOOR(($A68-1)/23,1)+1)&amp;INDEX('Serial Reference'!$A$8:$W$8,1,MOD($A68-1,23)+1)&amp;TEXT(CO$2+FLOOR((CO$2-1)/9,1),"000"),"")</f>
        <v>CW102</v>
      </c>
      <c r="CP68" s="19" t="str">
        <f>IF(INDEX('Shot Map'!$B$6:$V$26,CEILING($A68/5,1),CEILING(CP$2/5,1))=1,INDEX('Serial Reference'!$A$8:$W$8,1,FLOOR(($A68-1)/23,1)+1)&amp;INDEX('Serial Reference'!$A$8:$W$8,1,MOD($A68-1,23)+1)&amp;TEXT(CP$2+FLOOR((CP$2-1)/9,1),"000"),"")</f>
        <v>CW103</v>
      </c>
      <c r="CQ68" s="19" t="str">
        <f>IF(INDEX('Shot Map'!$B$6:$V$26,CEILING($A68/5,1),CEILING(CQ$2/5,1))=1,INDEX('Serial Reference'!$A$8:$W$8,1,FLOOR(($A68-1)/23,1)+1)&amp;INDEX('Serial Reference'!$A$8:$W$8,1,MOD($A68-1,23)+1)&amp;TEXT(CQ$2+FLOOR((CQ$2-1)/9,1),"000"),"")</f>
        <v>CW104</v>
      </c>
      <c r="CR68" s="20" t="str">
        <f>IF(INDEX('Shot Map'!$B$6:$V$26,CEILING($A68/5,1),CEILING(CR$2/5,1))=1,INDEX('Serial Reference'!$A$8:$W$8,1,FLOOR(($A68-1)/23,1)+1)&amp;INDEX('Serial Reference'!$A$8:$W$8,1,MOD($A68-1,23)+1)&amp;TEXT(CR$2+FLOOR((CR$2-1)/9,1),"000"),"")</f>
        <v>CW105</v>
      </c>
      <c r="CS68" s="18" t="str">
        <f>IF(INDEX('Shot Map'!$B$6:$V$26,CEILING($A68/5,1),CEILING(CS$2/5,1))=1,INDEX('Serial Reference'!$A$8:$W$8,1,FLOOR(($A68-1)/23,1)+1)&amp;INDEX('Serial Reference'!$A$8:$W$8,1,MOD($A68-1,23)+1)&amp;TEXT(CS$2+FLOOR((CS$2-1)/9,1),"000"),"")</f>
        <v>CW106</v>
      </c>
      <c r="CT68" s="19" t="str">
        <f>IF(INDEX('Shot Map'!$B$6:$V$26,CEILING($A68/5,1),CEILING(CT$2/5,1))=1,INDEX('Serial Reference'!$A$8:$W$8,1,FLOOR(($A68-1)/23,1)+1)&amp;INDEX('Serial Reference'!$A$8:$W$8,1,MOD($A68-1,23)+1)&amp;TEXT(CT$2+FLOOR((CT$2-1)/9,1),"000"),"")</f>
        <v>CW107</v>
      </c>
      <c r="CU68" s="19" t="str">
        <f>IF(INDEX('Shot Map'!$B$6:$V$26,CEILING($A68/5,1),CEILING(CU$2/5,1))=1,INDEX('Serial Reference'!$A$8:$W$8,1,FLOOR(($A68-1)/23,1)+1)&amp;INDEX('Serial Reference'!$A$8:$W$8,1,MOD($A68-1,23)+1)&amp;TEXT(CU$2+FLOOR((CU$2-1)/9,1),"000"),"")</f>
        <v>CW108</v>
      </c>
      <c r="CV68" s="19" t="str">
        <f>IF(INDEX('Shot Map'!$B$6:$V$26,CEILING($A68/5,1),CEILING(CV$2/5,1))=1,INDEX('Serial Reference'!$A$8:$W$8,1,FLOOR(($A68-1)/23,1)+1)&amp;INDEX('Serial Reference'!$A$8:$W$8,1,MOD($A68-1,23)+1)&amp;TEXT(CV$2+FLOOR((CV$2-1)/9,1),"000"),"")</f>
        <v>CW109</v>
      </c>
      <c r="CW68" s="20" t="str">
        <f>IF(INDEX('Shot Map'!$B$6:$V$26,CEILING($A68/5,1),CEILING(CW$2/5,1))=1,INDEX('Serial Reference'!$A$8:$W$8,1,FLOOR(($A68-1)/23,1)+1)&amp;INDEX('Serial Reference'!$A$8:$W$8,1,MOD($A68-1,23)+1)&amp;TEXT(CW$2+FLOOR((CW$2-1)/9,1),"000"),"")</f>
        <v>CW111</v>
      </c>
      <c r="CX68" s="18" t="str">
        <f>IF(INDEX('Shot Map'!$B$6:$V$26,CEILING($A68/5,1),CEILING(CX$2/5,1))=1,INDEX('Serial Reference'!$A$8:$W$8,1,FLOOR(($A68-1)/23,1)+1)&amp;INDEX('Serial Reference'!$A$8:$W$8,1,MOD($A68-1,23)+1)&amp;TEXT(CX$2+FLOOR((CX$2-1)/9,1),"000"),"")</f>
        <v/>
      </c>
      <c r="CY68" s="19" t="str">
        <f>IF(INDEX('Shot Map'!$B$6:$V$26,CEILING($A68/5,1),CEILING(CY$2/5,1))=1,INDEX('Serial Reference'!$A$8:$W$8,1,FLOOR(($A68-1)/23,1)+1)&amp;INDEX('Serial Reference'!$A$8:$W$8,1,MOD($A68-1,23)+1)&amp;TEXT(CY$2+FLOOR((CY$2-1)/9,1),"000"),"")</f>
        <v/>
      </c>
      <c r="CZ68" s="19" t="str">
        <f>IF(INDEX('Shot Map'!$B$6:$V$26,CEILING($A68/5,1),CEILING(CZ$2/5,1))=1,INDEX('Serial Reference'!$A$8:$W$8,1,FLOOR(($A68-1)/23,1)+1)&amp;INDEX('Serial Reference'!$A$8:$W$8,1,MOD($A68-1,23)+1)&amp;TEXT(CZ$2+FLOOR((CZ$2-1)/9,1),"000"),"")</f>
        <v/>
      </c>
      <c r="DA68" s="19" t="str">
        <f>IF(INDEX('Shot Map'!$B$6:$V$26,CEILING($A68/5,1),CEILING(DA$2/5,1))=1,INDEX('Serial Reference'!$A$8:$W$8,1,FLOOR(($A68-1)/23,1)+1)&amp;INDEX('Serial Reference'!$A$8:$W$8,1,MOD($A68-1,23)+1)&amp;TEXT(DA$2+FLOOR((DA$2-1)/9,1),"000"),"")</f>
        <v/>
      </c>
      <c r="DB68" s="20" t="str">
        <f>IF(INDEX('Shot Map'!$B$6:$V$26,CEILING($A68/5,1),CEILING(DB$2/5,1))=1,INDEX('Serial Reference'!$A$8:$W$8,1,FLOOR(($A68-1)/23,1)+1)&amp;INDEX('Serial Reference'!$A$8:$W$8,1,MOD($A68-1,23)+1)&amp;TEXT(DB$2+FLOOR((DB$2-1)/9,1),"000"),"")</f>
        <v/>
      </c>
    </row>
    <row r="69" spans="1:106" ht="12.75" customHeight="1" x14ac:dyDescent="0.25">
      <c r="A69" s="17">
        <v>67</v>
      </c>
      <c r="B69" s="21" t="str">
        <f>IF(INDEX('Shot Map'!$B$6:$V$26,CEILING($A69/5,1),CEILING(B$2/5,1))=1,INDEX('Serial Reference'!$A$8:$W$8,1,FLOOR(($A69-1)/23,1)+1)&amp;INDEX('Serial Reference'!$A$8:$W$8,1,MOD($A69-1,23)+1)&amp;TEXT(B$2+FLOOR((B$2-1)/9,1),"000"),"")</f>
        <v/>
      </c>
      <c r="C69" s="22" t="str">
        <f>IF(INDEX('Shot Map'!$B$6:$V$26,CEILING($A69/5,1),CEILING(C$2/5,1))=1,INDEX('Serial Reference'!$A$8:$W$8,1,FLOOR(($A69-1)/23,1)+1)&amp;INDEX('Serial Reference'!$A$8:$W$8,1,MOD($A69-1,23)+1)&amp;TEXT(C$2+FLOOR((C$2-1)/9,1),"000"),"")</f>
        <v/>
      </c>
      <c r="D69" s="22" t="str">
        <f>IF(INDEX('Shot Map'!$B$6:$V$26,CEILING($A69/5,1),CEILING(D$2/5,1))=1,INDEX('Serial Reference'!$A$8:$W$8,1,FLOOR(($A69-1)/23,1)+1)&amp;INDEX('Serial Reference'!$A$8:$W$8,1,MOD($A69-1,23)+1)&amp;TEXT(D$2+FLOOR((D$2-1)/9,1),"000"),"")</f>
        <v/>
      </c>
      <c r="E69" s="22" t="str">
        <f>IF(INDEX('Shot Map'!$B$6:$V$26,CEILING($A69/5,1),CEILING(E$2/5,1))=1,INDEX('Serial Reference'!$A$8:$W$8,1,FLOOR(($A69-1)/23,1)+1)&amp;INDEX('Serial Reference'!$A$8:$W$8,1,MOD($A69-1,23)+1)&amp;TEXT(E$2+FLOOR((E$2-1)/9,1),"000"),"")</f>
        <v/>
      </c>
      <c r="F69" s="23" t="str">
        <f>IF(INDEX('Shot Map'!$B$6:$V$26,CEILING($A69/5,1),CEILING(F$2/5,1))=1,INDEX('Serial Reference'!$A$8:$W$8,1,FLOOR(($A69-1)/23,1)+1)&amp;INDEX('Serial Reference'!$A$8:$W$8,1,MOD($A69-1,23)+1)&amp;TEXT(F$2+FLOOR((F$2-1)/9,1),"000"),"")</f>
        <v/>
      </c>
      <c r="G69" s="21" t="str">
        <f>IF(INDEX('Shot Map'!$B$6:$V$26,CEILING($A69/5,1),CEILING(G$2/5,1))=1,INDEX('Serial Reference'!$A$8:$W$8,1,FLOOR(($A69-1)/23,1)+1)&amp;INDEX('Serial Reference'!$A$8:$W$8,1,MOD($A69-1,23)+1)&amp;TEXT(G$2+FLOOR((G$2-1)/9,1),"000"),"")</f>
        <v>CX006</v>
      </c>
      <c r="H69" s="22" t="str">
        <f>IF(INDEX('Shot Map'!$B$6:$V$26,CEILING($A69/5,1),CEILING(H$2/5,1))=1,INDEX('Serial Reference'!$A$8:$W$8,1,FLOOR(($A69-1)/23,1)+1)&amp;INDEX('Serial Reference'!$A$8:$W$8,1,MOD($A69-1,23)+1)&amp;TEXT(H$2+FLOOR((H$2-1)/9,1),"000"),"")</f>
        <v>CX007</v>
      </c>
      <c r="I69" s="22" t="str">
        <f>IF(INDEX('Shot Map'!$B$6:$V$26,CEILING($A69/5,1),CEILING(I$2/5,1))=1,INDEX('Serial Reference'!$A$8:$W$8,1,FLOOR(($A69-1)/23,1)+1)&amp;INDEX('Serial Reference'!$A$8:$W$8,1,MOD($A69-1,23)+1)&amp;TEXT(I$2+FLOOR((I$2-1)/9,1),"000"),"")</f>
        <v>CX008</v>
      </c>
      <c r="J69" s="22" t="str">
        <f>IF(INDEX('Shot Map'!$B$6:$V$26,CEILING($A69/5,1),CEILING(J$2/5,1))=1,INDEX('Serial Reference'!$A$8:$W$8,1,FLOOR(($A69-1)/23,1)+1)&amp;INDEX('Serial Reference'!$A$8:$W$8,1,MOD($A69-1,23)+1)&amp;TEXT(J$2+FLOOR((J$2-1)/9,1),"000"),"")</f>
        <v>CX009</v>
      </c>
      <c r="K69" s="23" t="str">
        <f>IF(INDEX('Shot Map'!$B$6:$V$26,CEILING($A69/5,1),CEILING(K$2/5,1))=1,INDEX('Serial Reference'!$A$8:$W$8,1,FLOOR(($A69-1)/23,1)+1)&amp;INDEX('Serial Reference'!$A$8:$W$8,1,MOD($A69-1,23)+1)&amp;TEXT(K$2+FLOOR((K$2-1)/9,1),"000"),"")</f>
        <v>CX011</v>
      </c>
      <c r="L69" s="21" t="str">
        <f>IF(INDEX('Shot Map'!$B$6:$V$26,CEILING($A69/5,1),CEILING(L$2/5,1))=1,INDEX('Serial Reference'!$A$8:$W$8,1,FLOOR(($A69-1)/23,1)+1)&amp;INDEX('Serial Reference'!$A$8:$W$8,1,MOD($A69-1,23)+1)&amp;TEXT(L$2+FLOOR((L$2-1)/9,1),"000"),"")</f>
        <v>CX012</v>
      </c>
      <c r="M69" s="22" t="str">
        <f>IF(INDEX('Shot Map'!$B$6:$V$26,CEILING($A69/5,1),CEILING(M$2/5,1))=1,INDEX('Serial Reference'!$A$8:$W$8,1,FLOOR(($A69-1)/23,1)+1)&amp;INDEX('Serial Reference'!$A$8:$W$8,1,MOD($A69-1,23)+1)&amp;TEXT(M$2+FLOOR((M$2-1)/9,1),"000"),"")</f>
        <v>CX013</v>
      </c>
      <c r="N69" s="22" t="str">
        <f>IF(INDEX('Shot Map'!$B$6:$V$26,CEILING($A69/5,1),CEILING(N$2/5,1))=1,INDEX('Serial Reference'!$A$8:$W$8,1,FLOOR(($A69-1)/23,1)+1)&amp;INDEX('Serial Reference'!$A$8:$W$8,1,MOD($A69-1,23)+1)&amp;TEXT(N$2+FLOOR((N$2-1)/9,1),"000"),"")</f>
        <v>CX014</v>
      </c>
      <c r="O69" s="22" t="str">
        <f>IF(INDEX('Shot Map'!$B$6:$V$26,CEILING($A69/5,1),CEILING(O$2/5,1))=1,INDEX('Serial Reference'!$A$8:$W$8,1,FLOOR(($A69-1)/23,1)+1)&amp;INDEX('Serial Reference'!$A$8:$W$8,1,MOD($A69-1,23)+1)&amp;TEXT(O$2+FLOOR((O$2-1)/9,1),"000"),"")</f>
        <v>CX015</v>
      </c>
      <c r="P69" s="23" t="str">
        <f>IF(INDEX('Shot Map'!$B$6:$V$26,CEILING($A69/5,1),CEILING(P$2/5,1))=1,INDEX('Serial Reference'!$A$8:$W$8,1,FLOOR(($A69-1)/23,1)+1)&amp;INDEX('Serial Reference'!$A$8:$W$8,1,MOD($A69-1,23)+1)&amp;TEXT(P$2+FLOOR((P$2-1)/9,1),"000"),"")</f>
        <v>CX016</v>
      </c>
      <c r="Q69" s="21" t="str">
        <f>IF(INDEX('Shot Map'!$B$6:$V$26,CEILING($A69/5,1),CEILING(Q$2/5,1))=1,INDEX('Serial Reference'!$A$8:$W$8,1,FLOOR(($A69-1)/23,1)+1)&amp;INDEX('Serial Reference'!$A$8:$W$8,1,MOD($A69-1,23)+1)&amp;TEXT(Q$2+FLOOR((Q$2-1)/9,1),"000"),"")</f>
        <v>CX017</v>
      </c>
      <c r="R69" s="22" t="str">
        <f>IF(INDEX('Shot Map'!$B$6:$V$26,CEILING($A69/5,1),CEILING(R$2/5,1))=1,INDEX('Serial Reference'!$A$8:$W$8,1,FLOOR(($A69-1)/23,1)+1)&amp;INDEX('Serial Reference'!$A$8:$W$8,1,MOD($A69-1,23)+1)&amp;TEXT(R$2+FLOOR((R$2-1)/9,1),"000"),"")</f>
        <v>CX018</v>
      </c>
      <c r="S69" s="22" t="str">
        <f>IF(INDEX('Shot Map'!$B$6:$V$26,CEILING($A69/5,1),CEILING(S$2/5,1))=1,INDEX('Serial Reference'!$A$8:$W$8,1,FLOOR(($A69-1)/23,1)+1)&amp;INDEX('Serial Reference'!$A$8:$W$8,1,MOD($A69-1,23)+1)&amp;TEXT(S$2+FLOOR((S$2-1)/9,1),"000"),"")</f>
        <v>CX019</v>
      </c>
      <c r="T69" s="22" t="str">
        <f>IF(INDEX('Shot Map'!$B$6:$V$26,CEILING($A69/5,1),CEILING(T$2/5,1))=1,INDEX('Serial Reference'!$A$8:$W$8,1,FLOOR(($A69-1)/23,1)+1)&amp;INDEX('Serial Reference'!$A$8:$W$8,1,MOD($A69-1,23)+1)&amp;TEXT(T$2+FLOOR((T$2-1)/9,1),"000"),"")</f>
        <v>CX021</v>
      </c>
      <c r="U69" s="23" t="str">
        <f>IF(INDEX('Shot Map'!$B$6:$V$26,CEILING($A69/5,1),CEILING(U$2/5,1))=1,INDEX('Serial Reference'!$A$8:$W$8,1,FLOOR(($A69-1)/23,1)+1)&amp;INDEX('Serial Reference'!$A$8:$W$8,1,MOD($A69-1,23)+1)&amp;TEXT(U$2+FLOOR((U$2-1)/9,1),"000"),"")</f>
        <v>CX022</v>
      </c>
      <c r="V69" s="21" t="str">
        <f>IF(INDEX('Shot Map'!$B$6:$V$26,CEILING($A69/5,1),CEILING(V$2/5,1))=1,INDEX('Serial Reference'!$A$8:$W$8,1,FLOOR(($A69-1)/23,1)+1)&amp;INDEX('Serial Reference'!$A$8:$W$8,1,MOD($A69-1,23)+1)&amp;TEXT(V$2+FLOOR((V$2-1)/9,1),"000"),"")</f>
        <v>CX023</v>
      </c>
      <c r="W69" s="22" t="str">
        <f>IF(INDEX('Shot Map'!$B$6:$V$26,CEILING($A69/5,1),CEILING(W$2/5,1))=1,INDEX('Serial Reference'!$A$8:$W$8,1,FLOOR(($A69-1)/23,1)+1)&amp;INDEX('Serial Reference'!$A$8:$W$8,1,MOD($A69-1,23)+1)&amp;TEXT(W$2+FLOOR((W$2-1)/9,1),"000"),"")</f>
        <v>CX024</v>
      </c>
      <c r="X69" s="22" t="str">
        <f>IF(INDEX('Shot Map'!$B$6:$V$26,CEILING($A69/5,1),CEILING(X$2/5,1))=1,INDEX('Serial Reference'!$A$8:$W$8,1,FLOOR(($A69-1)/23,1)+1)&amp;INDEX('Serial Reference'!$A$8:$W$8,1,MOD($A69-1,23)+1)&amp;TEXT(X$2+FLOOR((X$2-1)/9,1),"000"),"")</f>
        <v>CX025</v>
      </c>
      <c r="Y69" s="22" t="str">
        <f>IF(INDEX('Shot Map'!$B$6:$V$26,CEILING($A69/5,1),CEILING(Y$2/5,1))=1,INDEX('Serial Reference'!$A$8:$W$8,1,FLOOR(($A69-1)/23,1)+1)&amp;INDEX('Serial Reference'!$A$8:$W$8,1,MOD($A69-1,23)+1)&amp;TEXT(Y$2+FLOOR((Y$2-1)/9,1),"000"),"")</f>
        <v>CX026</v>
      </c>
      <c r="Z69" s="23" t="str">
        <f>IF(INDEX('Shot Map'!$B$6:$V$26,CEILING($A69/5,1),CEILING(Z$2/5,1))=1,INDEX('Serial Reference'!$A$8:$W$8,1,FLOOR(($A69-1)/23,1)+1)&amp;INDEX('Serial Reference'!$A$8:$W$8,1,MOD($A69-1,23)+1)&amp;TEXT(Z$2+FLOOR((Z$2-1)/9,1),"000"),"")</f>
        <v>CX027</v>
      </c>
      <c r="AA69" s="21" t="str">
        <f>IF(INDEX('Shot Map'!$B$6:$V$26,CEILING($A69/5,1),CEILING(AA$2/5,1))=1,INDEX('Serial Reference'!$A$8:$W$8,1,FLOOR(($A69-1)/23,1)+1)&amp;INDEX('Serial Reference'!$A$8:$W$8,1,MOD($A69-1,23)+1)&amp;TEXT(AA$2+FLOOR((AA$2-1)/9,1),"000"),"")</f>
        <v>CX028</v>
      </c>
      <c r="AB69" s="22" t="str">
        <f>IF(INDEX('Shot Map'!$B$6:$V$26,CEILING($A69/5,1),CEILING(AB$2/5,1))=1,INDEX('Serial Reference'!$A$8:$W$8,1,FLOOR(($A69-1)/23,1)+1)&amp;INDEX('Serial Reference'!$A$8:$W$8,1,MOD($A69-1,23)+1)&amp;TEXT(AB$2+FLOOR((AB$2-1)/9,1),"000"),"")</f>
        <v>CX029</v>
      </c>
      <c r="AC69" s="22" t="str">
        <f>IF(INDEX('Shot Map'!$B$6:$V$26,CEILING($A69/5,1),CEILING(AC$2/5,1))=1,INDEX('Serial Reference'!$A$8:$W$8,1,FLOOR(($A69-1)/23,1)+1)&amp;INDEX('Serial Reference'!$A$8:$W$8,1,MOD($A69-1,23)+1)&amp;TEXT(AC$2+FLOOR((AC$2-1)/9,1),"000"),"")</f>
        <v>CX031</v>
      </c>
      <c r="AD69" s="22" t="str">
        <f>IF(INDEX('Shot Map'!$B$6:$V$26,CEILING($A69/5,1),CEILING(AD$2/5,1))=1,INDEX('Serial Reference'!$A$8:$W$8,1,FLOOR(($A69-1)/23,1)+1)&amp;INDEX('Serial Reference'!$A$8:$W$8,1,MOD($A69-1,23)+1)&amp;TEXT(AD$2+FLOOR((AD$2-1)/9,1),"000"),"")</f>
        <v>CX032</v>
      </c>
      <c r="AE69" s="23" t="str">
        <f>IF(INDEX('Shot Map'!$B$6:$V$26,CEILING($A69/5,1),CEILING(AE$2/5,1))=1,INDEX('Serial Reference'!$A$8:$W$8,1,FLOOR(($A69-1)/23,1)+1)&amp;INDEX('Serial Reference'!$A$8:$W$8,1,MOD($A69-1,23)+1)&amp;TEXT(AE$2+FLOOR((AE$2-1)/9,1),"000"),"")</f>
        <v>CX033</v>
      </c>
      <c r="AF69" s="21" t="str">
        <f>IF(INDEX('Shot Map'!$B$6:$V$26,CEILING($A69/5,1),CEILING(AF$2/5,1))=1,INDEX('Serial Reference'!$A$8:$W$8,1,FLOOR(($A69-1)/23,1)+1)&amp;INDEX('Serial Reference'!$A$8:$W$8,1,MOD($A69-1,23)+1)&amp;TEXT(AF$2+FLOOR((AF$2-1)/9,1),"000"),"")</f>
        <v>CX034</v>
      </c>
      <c r="AG69" s="22" t="str">
        <f>IF(INDEX('Shot Map'!$B$6:$V$26,CEILING($A69/5,1),CEILING(AG$2/5,1))=1,INDEX('Serial Reference'!$A$8:$W$8,1,FLOOR(($A69-1)/23,1)+1)&amp;INDEX('Serial Reference'!$A$8:$W$8,1,MOD($A69-1,23)+1)&amp;TEXT(AG$2+FLOOR((AG$2-1)/9,1),"000"),"")</f>
        <v>CX035</v>
      </c>
      <c r="AH69" s="22" t="str">
        <f>IF(INDEX('Shot Map'!$B$6:$V$26,CEILING($A69/5,1),CEILING(AH$2/5,1))=1,INDEX('Serial Reference'!$A$8:$W$8,1,FLOOR(($A69-1)/23,1)+1)&amp;INDEX('Serial Reference'!$A$8:$W$8,1,MOD($A69-1,23)+1)&amp;TEXT(AH$2+FLOOR((AH$2-1)/9,1),"000"),"")</f>
        <v>CX036</v>
      </c>
      <c r="AI69" s="22" t="str">
        <f>IF(INDEX('Shot Map'!$B$6:$V$26,CEILING($A69/5,1),CEILING(AI$2/5,1))=1,INDEX('Serial Reference'!$A$8:$W$8,1,FLOOR(($A69-1)/23,1)+1)&amp;INDEX('Serial Reference'!$A$8:$W$8,1,MOD($A69-1,23)+1)&amp;TEXT(AI$2+FLOOR((AI$2-1)/9,1),"000"),"")</f>
        <v>CX037</v>
      </c>
      <c r="AJ69" s="23" t="str">
        <f>IF(INDEX('Shot Map'!$B$6:$V$26,CEILING($A69/5,1),CEILING(AJ$2/5,1))=1,INDEX('Serial Reference'!$A$8:$W$8,1,FLOOR(($A69-1)/23,1)+1)&amp;INDEX('Serial Reference'!$A$8:$W$8,1,MOD($A69-1,23)+1)&amp;TEXT(AJ$2+FLOOR((AJ$2-1)/9,1),"000"),"")</f>
        <v>CX038</v>
      </c>
      <c r="AK69" s="21" t="str">
        <f>IF(INDEX('Shot Map'!$B$6:$V$26,CEILING($A69/5,1),CEILING(AK$2/5,1))=1,INDEX('Serial Reference'!$A$8:$W$8,1,FLOOR(($A69-1)/23,1)+1)&amp;INDEX('Serial Reference'!$A$8:$W$8,1,MOD($A69-1,23)+1)&amp;TEXT(AK$2+FLOOR((AK$2-1)/9,1),"000"),"")</f>
        <v>CX039</v>
      </c>
      <c r="AL69" s="22" t="str">
        <f>IF(INDEX('Shot Map'!$B$6:$V$26,CEILING($A69/5,1),CEILING(AL$2/5,1))=1,INDEX('Serial Reference'!$A$8:$W$8,1,FLOOR(($A69-1)/23,1)+1)&amp;INDEX('Serial Reference'!$A$8:$W$8,1,MOD($A69-1,23)+1)&amp;TEXT(AL$2+FLOOR((AL$2-1)/9,1),"000"),"")</f>
        <v>CX041</v>
      </c>
      <c r="AM69" s="22" t="str">
        <f>IF(INDEX('Shot Map'!$B$6:$V$26,CEILING($A69/5,1),CEILING(AM$2/5,1))=1,INDEX('Serial Reference'!$A$8:$W$8,1,FLOOR(($A69-1)/23,1)+1)&amp;INDEX('Serial Reference'!$A$8:$W$8,1,MOD($A69-1,23)+1)&amp;TEXT(AM$2+FLOOR((AM$2-1)/9,1),"000"),"")</f>
        <v>CX042</v>
      </c>
      <c r="AN69" s="22" t="str">
        <f>IF(INDEX('Shot Map'!$B$6:$V$26,CEILING($A69/5,1),CEILING(AN$2/5,1))=1,INDEX('Serial Reference'!$A$8:$W$8,1,FLOOR(($A69-1)/23,1)+1)&amp;INDEX('Serial Reference'!$A$8:$W$8,1,MOD($A69-1,23)+1)&amp;TEXT(AN$2+FLOOR((AN$2-1)/9,1),"000"),"")</f>
        <v>CX043</v>
      </c>
      <c r="AO69" s="23" t="str">
        <f>IF(INDEX('Shot Map'!$B$6:$V$26,CEILING($A69/5,1),CEILING(AO$2/5,1))=1,INDEX('Serial Reference'!$A$8:$W$8,1,FLOOR(($A69-1)/23,1)+1)&amp;INDEX('Serial Reference'!$A$8:$W$8,1,MOD($A69-1,23)+1)&amp;TEXT(AO$2+FLOOR((AO$2-1)/9,1),"000"),"")</f>
        <v>CX044</v>
      </c>
      <c r="AP69" s="21" t="str">
        <f>IF(INDEX('Shot Map'!$B$6:$V$26,CEILING($A69/5,1),CEILING(AP$2/5,1))=1,INDEX('Serial Reference'!$A$8:$W$8,1,FLOOR(($A69-1)/23,1)+1)&amp;INDEX('Serial Reference'!$A$8:$W$8,1,MOD($A69-1,23)+1)&amp;TEXT(AP$2+FLOOR((AP$2-1)/9,1),"000"),"")</f>
        <v>CX045</v>
      </c>
      <c r="AQ69" s="22" t="str">
        <f>IF(INDEX('Shot Map'!$B$6:$V$26,CEILING($A69/5,1),CEILING(AQ$2/5,1))=1,INDEX('Serial Reference'!$A$8:$W$8,1,FLOOR(($A69-1)/23,1)+1)&amp;INDEX('Serial Reference'!$A$8:$W$8,1,MOD($A69-1,23)+1)&amp;TEXT(AQ$2+FLOOR((AQ$2-1)/9,1),"000"),"")</f>
        <v>CX046</v>
      </c>
      <c r="AR69" s="22" t="str">
        <f>IF(INDEX('Shot Map'!$B$6:$V$26,CEILING($A69/5,1),CEILING(AR$2/5,1))=1,INDEX('Serial Reference'!$A$8:$W$8,1,FLOOR(($A69-1)/23,1)+1)&amp;INDEX('Serial Reference'!$A$8:$W$8,1,MOD($A69-1,23)+1)&amp;TEXT(AR$2+FLOOR((AR$2-1)/9,1),"000"),"")</f>
        <v>CX047</v>
      </c>
      <c r="AS69" s="22" t="str">
        <f>IF(INDEX('Shot Map'!$B$6:$V$26,CEILING($A69/5,1),CEILING(AS$2/5,1))=1,INDEX('Serial Reference'!$A$8:$W$8,1,FLOOR(($A69-1)/23,1)+1)&amp;INDEX('Serial Reference'!$A$8:$W$8,1,MOD($A69-1,23)+1)&amp;TEXT(AS$2+FLOOR((AS$2-1)/9,1),"000"),"")</f>
        <v>CX048</v>
      </c>
      <c r="AT69" s="23" t="str">
        <f>IF(INDEX('Shot Map'!$B$6:$V$26,CEILING($A69/5,1),CEILING(AT$2/5,1))=1,INDEX('Serial Reference'!$A$8:$W$8,1,FLOOR(($A69-1)/23,1)+1)&amp;INDEX('Serial Reference'!$A$8:$W$8,1,MOD($A69-1,23)+1)&amp;TEXT(AT$2+FLOOR((AT$2-1)/9,1),"000"),"")</f>
        <v>CX049</v>
      </c>
      <c r="AU69" s="21" t="str">
        <f>IF(INDEX('Shot Map'!$B$6:$V$26,CEILING($A69/5,1),CEILING(AU$2/5,1))=1,INDEX('Serial Reference'!$A$8:$W$8,1,FLOOR(($A69-1)/23,1)+1)&amp;INDEX('Serial Reference'!$A$8:$W$8,1,MOD($A69-1,23)+1)&amp;TEXT(AU$2+FLOOR((AU$2-1)/9,1),"000"),"")</f>
        <v>CX051</v>
      </c>
      <c r="AV69" s="22" t="str">
        <f>IF(INDEX('Shot Map'!$B$6:$V$26,CEILING($A69/5,1),CEILING(AV$2/5,1))=1,INDEX('Serial Reference'!$A$8:$W$8,1,FLOOR(($A69-1)/23,1)+1)&amp;INDEX('Serial Reference'!$A$8:$W$8,1,MOD($A69-1,23)+1)&amp;TEXT(AV$2+FLOOR((AV$2-1)/9,1),"000"),"")</f>
        <v>CX052</v>
      </c>
      <c r="AW69" s="22" t="str">
        <f>IF(INDEX('Shot Map'!$B$6:$V$26,CEILING($A69/5,1),CEILING(AW$2/5,1))=1,INDEX('Serial Reference'!$A$8:$W$8,1,FLOOR(($A69-1)/23,1)+1)&amp;INDEX('Serial Reference'!$A$8:$W$8,1,MOD($A69-1,23)+1)&amp;TEXT(AW$2+FLOOR((AW$2-1)/9,1),"000"),"")</f>
        <v>CX053</v>
      </c>
      <c r="AX69" s="22" t="str">
        <f>IF(INDEX('Shot Map'!$B$6:$V$26,CEILING($A69/5,1),CEILING(AX$2/5,1))=1,INDEX('Serial Reference'!$A$8:$W$8,1,FLOOR(($A69-1)/23,1)+1)&amp;INDEX('Serial Reference'!$A$8:$W$8,1,MOD($A69-1,23)+1)&amp;TEXT(AX$2+FLOOR((AX$2-1)/9,1),"000"),"")</f>
        <v>CX054</v>
      </c>
      <c r="AY69" s="23" t="str">
        <f>IF(INDEX('Shot Map'!$B$6:$V$26,CEILING($A69/5,1),CEILING(AY$2/5,1))=1,INDEX('Serial Reference'!$A$8:$W$8,1,FLOOR(($A69-1)/23,1)+1)&amp;INDEX('Serial Reference'!$A$8:$W$8,1,MOD($A69-1,23)+1)&amp;TEXT(AY$2+FLOOR((AY$2-1)/9,1),"000"),"")</f>
        <v>CX055</v>
      </c>
      <c r="AZ69" s="21" t="str">
        <f>IF(INDEX('Shot Map'!$B$6:$V$26,CEILING($A69/5,1),CEILING(AZ$2/5,1))=1,INDEX('Serial Reference'!$A$8:$W$8,1,FLOOR(($A69-1)/23,1)+1)&amp;INDEX('Serial Reference'!$A$8:$W$8,1,MOD($A69-1,23)+1)&amp;TEXT(AZ$2+FLOOR((AZ$2-1)/9,1),"000"),"")</f>
        <v>CX056</v>
      </c>
      <c r="BA69" s="22" t="str">
        <f>IF(INDEX('Shot Map'!$B$6:$V$26,CEILING($A69/5,1),CEILING(BA$2/5,1))=1,INDEX('Serial Reference'!$A$8:$W$8,1,FLOOR(($A69-1)/23,1)+1)&amp;INDEX('Serial Reference'!$A$8:$W$8,1,MOD($A69-1,23)+1)&amp;TEXT(BA$2+FLOOR((BA$2-1)/9,1),"000"),"")</f>
        <v>CX057</v>
      </c>
      <c r="BB69" s="22" t="str">
        <f>IF(INDEX('Shot Map'!$B$6:$V$26,CEILING($A69/5,1),CEILING(BB$2/5,1))=1,INDEX('Serial Reference'!$A$8:$W$8,1,FLOOR(($A69-1)/23,1)+1)&amp;INDEX('Serial Reference'!$A$8:$W$8,1,MOD($A69-1,23)+1)&amp;TEXT(BB$2+FLOOR((BB$2-1)/9,1),"000"),"")</f>
        <v>CX058</v>
      </c>
      <c r="BC69" s="22" t="str">
        <f>IF(INDEX('Shot Map'!$B$6:$V$26,CEILING($A69/5,1),CEILING(BC$2/5,1))=1,INDEX('Serial Reference'!$A$8:$W$8,1,FLOOR(($A69-1)/23,1)+1)&amp;INDEX('Serial Reference'!$A$8:$W$8,1,MOD($A69-1,23)+1)&amp;TEXT(BC$2+FLOOR((BC$2-1)/9,1),"000"),"")</f>
        <v>CX059</v>
      </c>
      <c r="BD69" s="23" t="str">
        <f>IF(INDEX('Shot Map'!$B$6:$V$26,CEILING($A69/5,1),CEILING(BD$2/5,1))=1,INDEX('Serial Reference'!$A$8:$W$8,1,FLOOR(($A69-1)/23,1)+1)&amp;INDEX('Serial Reference'!$A$8:$W$8,1,MOD($A69-1,23)+1)&amp;TEXT(BD$2+FLOOR((BD$2-1)/9,1),"000"),"")</f>
        <v>CX061</v>
      </c>
      <c r="BE69" s="21" t="str">
        <f>IF(INDEX('Shot Map'!$B$6:$V$26,CEILING($A69/5,1),CEILING(BE$2/5,1))=1,INDEX('Serial Reference'!$A$8:$W$8,1,FLOOR(($A69-1)/23,1)+1)&amp;INDEX('Serial Reference'!$A$8:$W$8,1,MOD($A69-1,23)+1)&amp;TEXT(BE$2+FLOOR((BE$2-1)/9,1),"000"),"")</f>
        <v>CX062</v>
      </c>
      <c r="BF69" s="22" t="str">
        <f>IF(INDEX('Shot Map'!$B$6:$V$26,CEILING($A69/5,1),CEILING(BF$2/5,1))=1,INDEX('Serial Reference'!$A$8:$W$8,1,FLOOR(($A69-1)/23,1)+1)&amp;INDEX('Serial Reference'!$A$8:$W$8,1,MOD($A69-1,23)+1)&amp;TEXT(BF$2+FLOOR((BF$2-1)/9,1),"000"),"")</f>
        <v>CX063</v>
      </c>
      <c r="BG69" s="22" t="str">
        <f>IF(INDEX('Shot Map'!$B$6:$V$26,CEILING($A69/5,1),CEILING(BG$2/5,1))=1,INDEX('Serial Reference'!$A$8:$W$8,1,FLOOR(($A69-1)/23,1)+1)&amp;INDEX('Serial Reference'!$A$8:$W$8,1,MOD($A69-1,23)+1)&amp;TEXT(BG$2+FLOOR((BG$2-1)/9,1),"000"),"")</f>
        <v>CX064</v>
      </c>
      <c r="BH69" s="22" t="str">
        <f>IF(INDEX('Shot Map'!$B$6:$V$26,CEILING($A69/5,1),CEILING(BH$2/5,1))=1,INDEX('Serial Reference'!$A$8:$W$8,1,FLOOR(($A69-1)/23,1)+1)&amp;INDEX('Serial Reference'!$A$8:$W$8,1,MOD($A69-1,23)+1)&amp;TEXT(BH$2+FLOOR((BH$2-1)/9,1),"000"),"")</f>
        <v>CX065</v>
      </c>
      <c r="BI69" s="23" t="str">
        <f>IF(INDEX('Shot Map'!$B$6:$V$26,CEILING($A69/5,1),CEILING(BI$2/5,1))=1,INDEX('Serial Reference'!$A$8:$W$8,1,FLOOR(($A69-1)/23,1)+1)&amp;INDEX('Serial Reference'!$A$8:$W$8,1,MOD($A69-1,23)+1)&amp;TEXT(BI$2+FLOOR((BI$2-1)/9,1),"000"),"")</f>
        <v>CX066</v>
      </c>
      <c r="BJ69" s="21" t="str">
        <f>IF(INDEX('Shot Map'!$B$6:$V$26,CEILING($A69/5,1),CEILING(BJ$2/5,1))=1,INDEX('Serial Reference'!$A$8:$W$8,1,FLOOR(($A69-1)/23,1)+1)&amp;INDEX('Serial Reference'!$A$8:$W$8,1,MOD($A69-1,23)+1)&amp;TEXT(BJ$2+FLOOR((BJ$2-1)/9,1),"000"),"")</f>
        <v>CX067</v>
      </c>
      <c r="BK69" s="22" t="str">
        <f>IF(INDEX('Shot Map'!$B$6:$V$26,CEILING($A69/5,1),CEILING(BK$2/5,1))=1,INDEX('Serial Reference'!$A$8:$W$8,1,FLOOR(($A69-1)/23,1)+1)&amp;INDEX('Serial Reference'!$A$8:$W$8,1,MOD($A69-1,23)+1)&amp;TEXT(BK$2+FLOOR((BK$2-1)/9,1),"000"),"")</f>
        <v>CX068</v>
      </c>
      <c r="BL69" s="22" t="str">
        <f>IF(INDEX('Shot Map'!$B$6:$V$26,CEILING($A69/5,1),CEILING(BL$2/5,1))=1,INDEX('Serial Reference'!$A$8:$W$8,1,FLOOR(($A69-1)/23,1)+1)&amp;INDEX('Serial Reference'!$A$8:$W$8,1,MOD($A69-1,23)+1)&amp;TEXT(BL$2+FLOOR((BL$2-1)/9,1),"000"),"")</f>
        <v>CX069</v>
      </c>
      <c r="BM69" s="22" t="str">
        <f>IF(INDEX('Shot Map'!$B$6:$V$26,CEILING($A69/5,1),CEILING(BM$2/5,1))=1,INDEX('Serial Reference'!$A$8:$W$8,1,FLOOR(($A69-1)/23,1)+1)&amp;INDEX('Serial Reference'!$A$8:$W$8,1,MOD($A69-1,23)+1)&amp;TEXT(BM$2+FLOOR((BM$2-1)/9,1),"000"),"")</f>
        <v>CX071</v>
      </c>
      <c r="BN69" s="23" t="str">
        <f>IF(INDEX('Shot Map'!$B$6:$V$26,CEILING($A69/5,1),CEILING(BN$2/5,1))=1,INDEX('Serial Reference'!$A$8:$W$8,1,FLOOR(($A69-1)/23,1)+1)&amp;INDEX('Serial Reference'!$A$8:$W$8,1,MOD($A69-1,23)+1)&amp;TEXT(BN$2+FLOOR((BN$2-1)/9,1),"000"),"")</f>
        <v>CX072</v>
      </c>
      <c r="BO69" s="21" t="str">
        <f>IF(INDEX('Shot Map'!$B$6:$V$26,CEILING($A69/5,1),CEILING(BO$2/5,1))=1,INDEX('Serial Reference'!$A$8:$W$8,1,FLOOR(($A69-1)/23,1)+1)&amp;INDEX('Serial Reference'!$A$8:$W$8,1,MOD($A69-1,23)+1)&amp;TEXT(BO$2+FLOOR((BO$2-1)/9,1),"000"),"")</f>
        <v>CX073</v>
      </c>
      <c r="BP69" s="22" t="str">
        <f>IF(INDEX('Shot Map'!$B$6:$V$26,CEILING($A69/5,1),CEILING(BP$2/5,1))=1,INDEX('Serial Reference'!$A$8:$W$8,1,FLOOR(($A69-1)/23,1)+1)&amp;INDEX('Serial Reference'!$A$8:$W$8,1,MOD($A69-1,23)+1)&amp;TEXT(BP$2+FLOOR((BP$2-1)/9,1),"000"),"")</f>
        <v>CX074</v>
      </c>
      <c r="BQ69" s="22" t="str">
        <f>IF(INDEX('Shot Map'!$B$6:$V$26,CEILING($A69/5,1),CEILING(BQ$2/5,1))=1,INDEX('Serial Reference'!$A$8:$W$8,1,FLOOR(($A69-1)/23,1)+1)&amp;INDEX('Serial Reference'!$A$8:$W$8,1,MOD($A69-1,23)+1)&amp;TEXT(BQ$2+FLOOR((BQ$2-1)/9,1),"000"),"")</f>
        <v>CX075</v>
      </c>
      <c r="BR69" s="22" t="str">
        <f>IF(INDEX('Shot Map'!$B$6:$V$26,CEILING($A69/5,1),CEILING(BR$2/5,1))=1,INDEX('Serial Reference'!$A$8:$W$8,1,FLOOR(($A69-1)/23,1)+1)&amp;INDEX('Serial Reference'!$A$8:$W$8,1,MOD($A69-1,23)+1)&amp;TEXT(BR$2+FLOOR((BR$2-1)/9,1),"000"),"")</f>
        <v>CX076</v>
      </c>
      <c r="BS69" s="23" t="str">
        <f>IF(INDEX('Shot Map'!$B$6:$V$26,CEILING($A69/5,1),CEILING(BS$2/5,1))=1,INDEX('Serial Reference'!$A$8:$W$8,1,FLOOR(($A69-1)/23,1)+1)&amp;INDEX('Serial Reference'!$A$8:$W$8,1,MOD($A69-1,23)+1)&amp;TEXT(BS$2+FLOOR((BS$2-1)/9,1),"000"),"")</f>
        <v>CX077</v>
      </c>
      <c r="BT69" s="21" t="str">
        <f>IF(INDEX('Shot Map'!$B$6:$V$26,CEILING($A69/5,1),CEILING(BT$2/5,1))=1,INDEX('Serial Reference'!$A$8:$W$8,1,FLOOR(($A69-1)/23,1)+1)&amp;INDEX('Serial Reference'!$A$8:$W$8,1,MOD($A69-1,23)+1)&amp;TEXT(BT$2+FLOOR((BT$2-1)/9,1),"000"),"")</f>
        <v>CX078</v>
      </c>
      <c r="BU69" s="22" t="str">
        <f>IF(INDEX('Shot Map'!$B$6:$V$26,CEILING($A69/5,1),CEILING(BU$2/5,1))=1,INDEX('Serial Reference'!$A$8:$W$8,1,FLOOR(($A69-1)/23,1)+1)&amp;INDEX('Serial Reference'!$A$8:$W$8,1,MOD($A69-1,23)+1)&amp;TEXT(BU$2+FLOOR((BU$2-1)/9,1),"000"),"")</f>
        <v>CX079</v>
      </c>
      <c r="BV69" s="22" t="str">
        <f>IF(INDEX('Shot Map'!$B$6:$V$26,CEILING($A69/5,1),CEILING(BV$2/5,1))=1,INDEX('Serial Reference'!$A$8:$W$8,1,FLOOR(($A69-1)/23,1)+1)&amp;INDEX('Serial Reference'!$A$8:$W$8,1,MOD($A69-1,23)+1)&amp;TEXT(BV$2+FLOOR((BV$2-1)/9,1),"000"),"")</f>
        <v>CX081</v>
      </c>
      <c r="BW69" s="22" t="str">
        <f>IF(INDEX('Shot Map'!$B$6:$V$26,CEILING($A69/5,1),CEILING(BW$2/5,1))=1,INDEX('Serial Reference'!$A$8:$W$8,1,FLOOR(($A69-1)/23,1)+1)&amp;INDEX('Serial Reference'!$A$8:$W$8,1,MOD($A69-1,23)+1)&amp;TEXT(BW$2+FLOOR((BW$2-1)/9,1),"000"),"")</f>
        <v>CX082</v>
      </c>
      <c r="BX69" s="23" t="str">
        <f>IF(INDEX('Shot Map'!$B$6:$V$26,CEILING($A69/5,1),CEILING(BX$2/5,1))=1,INDEX('Serial Reference'!$A$8:$W$8,1,FLOOR(($A69-1)/23,1)+1)&amp;INDEX('Serial Reference'!$A$8:$W$8,1,MOD($A69-1,23)+1)&amp;TEXT(BX$2+FLOOR((BX$2-1)/9,1),"000"),"")</f>
        <v>CX083</v>
      </c>
      <c r="BY69" s="21" t="str">
        <f>IF(INDEX('Shot Map'!$B$6:$V$26,CEILING($A69/5,1),CEILING(BY$2/5,1))=1,INDEX('Serial Reference'!$A$8:$W$8,1,FLOOR(($A69-1)/23,1)+1)&amp;INDEX('Serial Reference'!$A$8:$W$8,1,MOD($A69-1,23)+1)&amp;TEXT(BY$2+FLOOR((BY$2-1)/9,1),"000"),"")</f>
        <v>CX084</v>
      </c>
      <c r="BZ69" s="22" t="str">
        <f>IF(INDEX('Shot Map'!$B$6:$V$26,CEILING($A69/5,1),CEILING(BZ$2/5,1))=1,INDEX('Serial Reference'!$A$8:$W$8,1,FLOOR(($A69-1)/23,1)+1)&amp;INDEX('Serial Reference'!$A$8:$W$8,1,MOD($A69-1,23)+1)&amp;TEXT(BZ$2+FLOOR((BZ$2-1)/9,1),"000"),"")</f>
        <v>CX085</v>
      </c>
      <c r="CA69" s="22" t="str">
        <f>IF(INDEX('Shot Map'!$B$6:$V$26,CEILING($A69/5,1),CEILING(CA$2/5,1))=1,INDEX('Serial Reference'!$A$8:$W$8,1,FLOOR(($A69-1)/23,1)+1)&amp;INDEX('Serial Reference'!$A$8:$W$8,1,MOD($A69-1,23)+1)&amp;TEXT(CA$2+FLOOR((CA$2-1)/9,1),"000"),"")</f>
        <v>CX086</v>
      </c>
      <c r="CB69" s="22" t="str">
        <f>IF(INDEX('Shot Map'!$B$6:$V$26,CEILING($A69/5,1),CEILING(CB$2/5,1))=1,INDEX('Serial Reference'!$A$8:$W$8,1,FLOOR(($A69-1)/23,1)+1)&amp;INDEX('Serial Reference'!$A$8:$W$8,1,MOD($A69-1,23)+1)&amp;TEXT(CB$2+FLOOR((CB$2-1)/9,1),"000"),"")</f>
        <v>CX087</v>
      </c>
      <c r="CC69" s="23" t="str">
        <f>IF(INDEX('Shot Map'!$B$6:$V$26,CEILING($A69/5,1),CEILING(CC$2/5,1))=1,INDEX('Serial Reference'!$A$8:$W$8,1,FLOOR(($A69-1)/23,1)+1)&amp;INDEX('Serial Reference'!$A$8:$W$8,1,MOD($A69-1,23)+1)&amp;TEXT(CC$2+FLOOR((CC$2-1)/9,1),"000"),"")</f>
        <v>CX088</v>
      </c>
      <c r="CD69" s="21" t="str">
        <f>IF(INDEX('Shot Map'!$B$6:$V$26,CEILING($A69/5,1),CEILING(CD$2/5,1))=1,INDEX('Serial Reference'!$A$8:$W$8,1,FLOOR(($A69-1)/23,1)+1)&amp;INDEX('Serial Reference'!$A$8:$W$8,1,MOD($A69-1,23)+1)&amp;TEXT(CD$2+FLOOR((CD$2-1)/9,1),"000"),"")</f>
        <v>CX089</v>
      </c>
      <c r="CE69" s="22" t="str">
        <f>IF(INDEX('Shot Map'!$B$6:$V$26,CEILING($A69/5,1),CEILING(CE$2/5,1))=1,INDEX('Serial Reference'!$A$8:$W$8,1,FLOOR(($A69-1)/23,1)+1)&amp;INDEX('Serial Reference'!$A$8:$W$8,1,MOD($A69-1,23)+1)&amp;TEXT(CE$2+FLOOR((CE$2-1)/9,1),"000"),"")</f>
        <v>CX091</v>
      </c>
      <c r="CF69" s="22" t="str">
        <f>IF(INDEX('Shot Map'!$B$6:$V$26,CEILING($A69/5,1),CEILING(CF$2/5,1))=1,INDEX('Serial Reference'!$A$8:$W$8,1,FLOOR(($A69-1)/23,1)+1)&amp;INDEX('Serial Reference'!$A$8:$W$8,1,MOD($A69-1,23)+1)&amp;TEXT(CF$2+FLOOR((CF$2-1)/9,1),"000"),"")</f>
        <v>CX092</v>
      </c>
      <c r="CG69" s="22" t="str">
        <f>IF(INDEX('Shot Map'!$B$6:$V$26,CEILING($A69/5,1),CEILING(CG$2/5,1))=1,INDEX('Serial Reference'!$A$8:$W$8,1,FLOOR(($A69-1)/23,1)+1)&amp;INDEX('Serial Reference'!$A$8:$W$8,1,MOD($A69-1,23)+1)&amp;TEXT(CG$2+FLOOR((CG$2-1)/9,1),"000"),"")</f>
        <v>CX093</v>
      </c>
      <c r="CH69" s="23" t="str">
        <f>IF(INDEX('Shot Map'!$B$6:$V$26,CEILING($A69/5,1),CEILING(CH$2/5,1))=1,INDEX('Serial Reference'!$A$8:$W$8,1,FLOOR(($A69-1)/23,1)+1)&amp;INDEX('Serial Reference'!$A$8:$W$8,1,MOD($A69-1,23)+1)&amp;TEXT(CH$2+FLOOR((CH$2-1)/9,1),"000"),"")</f>
        <v>CX094</v>
      </c>
      <c r="CI69" s="21" t="str">
        <f>IF(INDEX('Shot Map'!$B$6:$V$26,CEILING($A69/5,1),CEILING(CI$2/5,1))=1,INDEX('Serial Reference'!$A$8:$W$8,1,FLOOR(($A69-1)/23,1)+1)&amp;INDEX('Serial Reference'!$A$8:$W$8,1,MOD($A69-1,23)+1)&amp;TEXT(CI$2+FLOOR((CI$2-1)/9,1),"000"),"")</f>
        <v>CX095</v>
      </c>
      <c r="CJ69" s="22" t="str">
        <f>IF(INDEX('Shot Map'!$B$6:$V$26,CEILING($A69/5,1),CEILING(CJ$2/5,1))=1,INDEX('Serial Reference'!$A$8:$W$8,1,FLOOR(($A69-1)/23,1)+1)&amp;INDEX('Serial Reference'!$A$8:$W$8,1,MOD($A69-1,23)+1)&amp;TEXT(CJ$2+FLOOR((CJ$2-1)/9,1),"000"),"")</f>
        <v>CX096</v>
      </c>
      <c r="CK69" s="22" t="str">
        <f>IF(INDEX('Shot Map'!$B$6:$V$26,CEILING($A69/5,1),CEILING(CK$2/5,1))=1,INDEX('Serial Reference'!$A$8:$W$8,1,FLOOR(($A69-1)/23,1)+1)&amp;INDEX('Serial Reference'!$A$8:$W$8,1,MOD($A69-1,23)+1)&amp;TEXT(CK$2+FLOOR((CK$2-1)/9,1),"000"),"")</f>
        <v>CX097</v>
      </c>
      <c r="CL69" s="22" t="str">
        <f>IF(INDEX('Shot Map'!$B$6:$V$26,CEILING($A69/5,1),CEILING(CL$2/5,1))=1,INDEX('Serial Reference'!$A$8:$W$8,1,FLOOR(($A69-1)/23,1)+1)&amp;INDEX('Serial Reference'!$A$8:$W$8,1,MOD($A69-1,23)+1)&amp;TEXT(CL$2+FLOOR((CL$2-1)/9,1),"000"),"")</f>
        <v>CX098</v>
      </c>
      <c r="CM69" s="23" t="str">
        <f>IF(INDEX('Shot Map'!$B$6:$V$26,CEILING($A69/5,1),CEILING(CM$2/5,1))=1,INDEX('Serial Reference'!$A$8:$W$8,1,FLOOR(($A69-1)/23,1)+1)&amp;INDEX('Serial Reference'!$A$8:$W$8,1,MOD($A69-1,23)+1)&amp;TEXT(CM$2+FLOOR((CM$2-1)/9,1),"000"),"")</f>
        <v>CX099</v>
      </c>
      <c r="CN69" s="21" t="str">
        <f>IF(INDEX('Shot Map'!$B$6:$V$26,CEILING($A69/5,1),CEILING(CN$2/5,1))=1,INDEX('Serial Reference'!$A$8:$W$8,1,FLOOR(($A69-1)/23,1)+1)&amp;INDEX('Serial Reference'!$A$8:$W$8,1,MOD($A69-1,23)+1)&amp;TEXT(CN$2+FLOOR((CN$2-1)/9,1),"000"),"")</f>
        <v>CX101</v>
      </c>
      <c r="CO69" s="22" t="str">
        <f>IF(INDEX('Shot Map'!$B$6:$V$26,CEILING($A69/5,1),CEILING(CO$2/5,1))=1,INDEX('Serial Reference'!$A$8:$W$8,1,FLOOR(($A69-1)/23,1)+1)&amp;INDEX('Serial Reference'!$A$8:$W$8,1,MOD($A69-1,23)+1)&amp;TEXT(CO$2+FLOOR((CO$2-1)/9,1),"000"),"")</f>
        <v>CX102</v>
      </c>
      <c r="CP69" s="22" t="str">
        <f>IF(INDEX('Shot Map'!$B$6:$V$26,CEILING($A69/5,1),CEILING(CP$2/5,1))=1,INDEX('Serial Reference'!$A$8:$W$8,1,FLOOR(($A69-1)/23,1)+1)&amp;INDEX('Serial Reference'!$A$8:$W$8,1,MOD($A69-1,23)+1)&amp;TEXT(CP$2+FLOOR((CP$2-1)/9,1),"000"),"")</f>
        <v>CX103</v>
      </c>
      <c r="CQ69" s="22" t="str">
        <f>IF(INDEX('Shot Map'!$B$6:$V$26,CEILING($A69/5,1),CEILING(CQ$2/5,1))=1,INDEX('Serial Reference'!$A$8:$W$8,1,FLOOR(($A69-1)/23,1)+1)&amp;INDEX('Serial Reference'!$A$8:$W$8,1,MOD($A69-1,23)+1)&amp;TEXT(CQ$2+FLOOR((CQ$2-1)/9,1),"000"),"")</f>
        <v>CX104</v>
      </c>
      <c r="CR69" s="23" t="str">
        <f>IF(INDEX('Shot Map'!$B$6:$V$26,CEILING($A69/5,1),CEILING(CR$2/5,1))=1,INDEX('Serial Reference'!$A$8:$W$8,1,FLOOR(($A69-1)/23,1)+1)&amp;INDEX('Serial Reference'!$A$8:$W$8,1,MOD($A69-1,23)+1)&amp;TEXT(CR$2+FLOOR((CR$2-1)/9,1),"000"),"")</f>
        <v>CX105</v>
      </c>
      <c r="CS69" s="21" t="str">
        <f>IF(INDEX('Shot Map'!$B$6:$V$26,CEILING($A69/5,1),CEILING(CS$2/5,1))=1,INDEX('Serial Reference'!$A$8:$W$8,1,FLOOR(($A69-1)/23,1)+1)&amp;INDEX('Serial Reference'!$A$8:$W$8,1,MOD($A69-1,23)+1)&amp;TEXT(CS$2+FLOOR((CS$2-1)/9,1),"000"),"")</f>
        <v>CX106</v>
      </c>
      <c r="CT69" s="22" t="str">
        <f>IF(INDEX('Shot Map'!$B$6:$V$26,CEILING($A69/5,1),CEILING(CT$2/5,1))=1,INDEX('Serial Reference'!$A$8:$W$8,1,FLOOR(($A69-1)/23,1)+1)&amp;INDEX('Serial Reference'!$A$8:$W$8,1,MOD($A69-1,23)+1)&amp;TEXT(CT$2+FLOOR((CT$2-1)/9,1),"000"),"")</f>
        <v>CX107</v>
      </c>
      <c r="CU69" s="22" t="str">
        <f>IF(INDEX('Shot Map'!$B$6:$V$26,CEILING($A69/5,1),CEILING(CU$2/5,1))=1,INDEX('Serial Reference'!$A$8:$W$8,1,FLOOR(($A69-1)/23,1)+1)&amp;INDEX('Serial Reference'!$A$8:$W$8,1,MOD($A69-1,23)+1)&amp;TEXT(CU$2+FLOOR((CU$2-1)/9,1),"000"),"")</f>
        <v>CX108</v>
      </c>
      <c r="CV69" s="22" t="str">
        <f>IF(INDEX('Shot Map'!$B$6:$V$26,CEILING($A69/5,1),CEILING(CV$2/5,1))=1,INDEX('Serial Reference'!$A$8:$W$8,1,FLOOR(($A69-1)/23,1)+1)&amp;INDEX('Serial Reference'!$A$8:$W$8,1,MOD($A69-1,23)+1)&amp;TEXT(CV$2+FLOOR((CV$2-1)/9,1),"000"),"")</f>
        <v>CX109</v>
      </c>
      <c r="CW69" s="23" t="str">
        <f>IF(INDEX('Shot Map'!$B$6:$V$26,CEILING($A69/5,1),CEILING(CW$2/5,1))=1,INDEX('Serial Reference'!$A$8:$W$8,1,FLOOR(($A69-1)/23,1)+1)&amp;INDEX('Serial Reference'!$A$8:$W$8,1,MOD($A69-1,23)+1)&amp;TEXT(CW$2+FLOOR((CW$2-1)/9,1),"000"),"")</f>
        <v>CX111</v>
      </c>
      <c r="CX69" s="21" t="str">
        <f>IF(INDEX('Shot Map'!$B$6:$V$26,CEILING($A69/5,1),CEILING(CX$2/5,1))=1,INDEX('Serial Reference'!$A$8:$W$8,1,FLOOR(($A69-1)/23,1)+1)&amp;INDEX('Serial Reference'!$A$8:$W$8,1,MOD($A69-1,23)+1)&amp;TEXT(CX$2+FLOOR((CX$2-1)/9,1),"000"),"")</f>
        <v/>
      </c>
      <c r="CY69" s="22" t="str">
        <f>IF(INDEX('Shot Map'!$B$6:$V$26,CEILING($A69/5,1),CEILING(CY$2/5,1))=1,INDEX('Serial Reference'!$A$8:$W$8,1,FLOOR(($A69-1)/23,1)+1)&amp;INDEX('Serial Reference'!$A$8:$W$8,1,MOD($A69-1,23)+1)&amp;TEXT(CY$2+FLOOR((CY$2-1)/9,1),"000"),"")</f>
        <v/>
      </c>
      <c r="CZ69" s="22" t="str">
        <f>IF(INDEX('Shot Map'!$B$6:$V$26,CEILING($A69/5,1),CEILING(CZ$2/5,1))=1,INDEX('Serial Reference'!$A$8:$W$8,1,FLOOR(($A69-1)/23,1)+1)&amp;INDEX('Serial Reference'!$A$8:$W$8,1,MOD($A69-1,23)+1)&amp;TEXT(CZ$2+FLOOR((CZ$2-1)/9,1),"000"),"")</f>
        <v/>
      </c>
      <c r="DA69" s="22" t="str">
        <f>IF(INDEX('Shot Map'!$B$6:$V$26,CEILING($A69/5,1),CEILING(DA$2/5,1))=1,INDEX('Serial Reference'!$A$8:$W$8,1,FLOOR(($A69-1)/23,1)+1)&amp;INDEX('Serial Reference'!$A$8:$W$8,1,MOD($A69-1,23)+1)&amp;TEXT(DA$2+FLOOR((DA$2-1)/9,1),"000"),"")</f>
        <v/>
      </c>
      <c r="DB69" s="23" t="str">
        <f>IF(INDEX('Shot Map'!$B$6:$V$26,CEILING($A69/5,1),CEILING(DB$2/5,1))=1,INDEX('Serial Reference'!$A$8:$W$8,1,FLOOR(($A69-1)/23,1)+1)&amp;INDEX('Serial Reference'!$A$8:$W$8,1,MOD($A69-1,23)+1)&amp;TEXT(DB$2+FLOOR((DB$2-1)/9,1),"000"),"")</f>
        <v/>
      </c>
    </row>
    <row r="70" spans="1:106" ht="12.75" customHeight="1" x14ac:dyDescent="0.25">
      <c r="A70" s="17">
        <v>68</v>
      </c>
      <c r="B70" s="21" t="str">
        <f>IF(INDEX('Shot Map'!$B$6:$V$26,CEILING($A70/5,1),CEILING(B$2/5,1))=1,INDEX('Serial Reference'!$A$8:$W$8,1,FLOOR(($A70-1)/23,1)+1)&amp;INDEX('Serial Reference'!$A$8:$W$8,1,MOD($A70-1,23)+1)&amp;TEXT(B$2+FLOOR((B$2-1)/9,1),"000"),"")</f>
        <v/>
      </c>
      <c r="C70" s="22" t="str">
        <f>IF(INDEX('Shot Map'!$B$6:$V$26,CEILING($A70/5,1),CEILING(C$2/5,1))=1,INDEX('Serial Reference'!$A$8:$W$8,1,FLOOR(($A70-1)/23,1)+1)&amp;INDEX('Serial Reference'!$A$8:$W$8,1,MOD($A70-1,23)+1)&amp;TEXT(C$2+FLOOR((C$2-1)/9,1),"000"),"")</f>
        <v/>
      </c>
      <c r="D70" s="22" t="str">
        <f>IF(INDEX('Shot Map'!$B$6:$V$26,CEILING($A70/5,1),CEILING(D$2/5,1))=1,INDEX('Serial Reference'!$A$8:$W$8,1,FLOOR(($A70-1)/23,1)+1)&amp;INDEX('Serial Reference'!$A$8:$W$8,1,MOD($A70-1,23)+1)&amp;TEXT(D$2+FLOOR((D$2-1)/9,1),"000"),"")</f>
        <v/>
      </c>
      <c r="E70" s="22" t="str">
        <f>IF(INDEX('Shot Map'!$B$6:$V$26,CEILING($A70/5,1),CEILING(E$2/5,1))=1,INDEX('Serial Reference'!$A$8:$W$8,1,FLOOR(($A70-1)/23,1)+1)&amp;INDEX('Serial Reference'!$A$8:$W$8,1,MOD($A70-1,23)+1)&amp;TEXT(E$2+FLOOR((E$2-1)/9,1),"000"),"")</f>
        <v/>
      </c>
      <c r="F70" s="23" t="str">
        <f>IF(INDEX('Shot Map'!$B$6:$V$26,CEILING($A70/5,1),CEILING(F$2/5,1))=1,INDEX('Serial Reference'!$A$8:$W$8,1,FLOOR(($A70-1)/23,1)+1)&amp;INDEX('Serial Reference'!$A$8:$W$8,1,MOD($A70-1,23)+1)&amp;TEXT(F$2+FLOOR((F$2-1)/9,1),"000"),"")</f>
        <v/>
      </c>
      <c r="G70" s="21" t="str">
        <f>IF(INDEX('Shot Map'!$B$6:$V$26,CEILING($A70/5,1),CEILING(G$2/5,1))=1,INDEX('Serial Reference'!$A$8:$W$8,1,FLOOR(($A70-1)/23,1)+1)&amp;INDEX('Serial Reference'!$A$8:$W$8,1,MOD($A70-1,23)+1)&amp;TEXT(G$2+FLOOR((G$2-1)/9,1),"000"),"")</f>
        <v>CY006</v>
      </c>
      <c r="H70" s="22" t="str">
        <f>IF(INDEX('Shot Map'!$B$6:$V$26,CEILING($A70/5,1),CEILING(H$2/5,1))=1,INDEX('Serial Reference'!$A$8:$W$8,1,FLOOR(($A70-1)/23,1)+1)&amp;INDEX('Serial Reference'!$A$8:$W$8,1,MOD($A70-1,23)+1)&amp;TEXT(H$2+FLOOR((H$2-1)/9,1),"000"),"")</f>
        <v>CY007</v>
      </c>
      <c r="I70" s="22" t="str">
        <f>IF(INDEX('Shot Map'!$B$6:$V$26,CEILING($A70/5,1),CEILING(I$2/5,1))=1,INDEX('Serial Reference'!$A$8:$W$8,1,FLOOR(($A70-1)/23,1)+1)&amp;INDEX('Serial Reference'!$A$8:$W$8,1,MOD($A70-1,23)+1)&amp;TEXT(I$2+FLOOR((I$2-1)/9,1),"000"),"")</f>
        <v>CY008</v>
      </c>
      <c r="J70" s="22" t="str">
        <f>IF(INDEX('Shot Map'!$B$6:$V$26,CEILING($A70/5,1),CEILING(J$2/5,1))=1,INDEX('Serial Reference'!$A$8:$W$8,1,FLOOR(($A70-1)/23,1)+1)&amp;INDEX('Serial Reference'!$A$8:$W$8,1,MOD($A70-1,23)+1)&amp;TEXT(J$2+FLOOR((J$2-1)/9,1),"000"),"")</f>
        <v>CY009</v>
      </c>
      <c r="K70" s="23" t="str">
        <f>IF(INDEX('Shot Map'!$B$6:$V$26,CEILING($A70/5,1),CEILING(K$2/5,1))=1,INDEX('Serial Reference'!$A$8:$W$8,1,FLOOR(($A70-1)/23,1)+1)&amp;INDEX('Serial Reference'!$A$8:$W$8,1,MOD($A70-1,23)+1)&amp;TEXT(K$2+FLOOR((K$2-1)/9,1),"000"),"")</f>
        <v>CY011</v>
      </c>
      <c r="L70" s="21" t="str">
        <f>IF(INDEX('Shot Map'!$B$6:$V$26,CEILING($A70/5,1),CEILING(L$2/5,1))=1,INDEX('Serial Reference'!$A$8:$W$8,1,FLOOR(($A70-1)/23,1)+1)&amp;INDEX('Serial Reference'!$A$8:$W$8,1,MOD($A70-1,23)+1)&amp;TEXT(L$2+FLOOR((L$2-1)/9,1),"000"),"")</f>
        <v>CY012</v>
      </c>
      <c r="M70" s="22" t="str">
        <f>IF(INDEX('Shot Map'!$B$6:$V$26,CEILING($A70/5,1),CEILING(M$2/5,1))=1,INDEX('Serial Reference'!$A$8:$W$8,1,FLOOR(($A70-1)/23,1)+1)&amp;INDEX('Serial Reference'!$A$8:$W$8,1,MOD($A70-1,23)+1)&amp;TEXT(M$2+FLOOR((M$2-1)/9,1),"000"),"")</f>
        <v>CY013</v>
      </c>
      <c r="N70" s="22" t="str">
        <f>IF(INDEX('Shot Map'!$B$6:$V$26,CEILING($A70/5,1),CEILING(N$2/5,1))=1,INDEX('Serial Reference'!$A$8:$W$8,1,FLOOR(($A70-1)/23,1)+1)&amp;INDEX('Serial Reference'!$A$8:$W$8,1,MOD($A70-1,23)+1)&amp;TEXT(N$2+FLOOR((N$2-1)/9,1),"000"),"")</f>
        <v>CY014</v>
      </c>
      <c r="O70" s="22" t="str">
        <f>IF(INDEX('Shot Map'!$B$6:$V$26,CEILING($A70/5,1),CEILING(O$2/5,1))=1,INDEX('Serial Reference'!$A$8:$W$8,1,FLOOR(($A70-1)/23,1)+1)&amp;INDEX('Serial Reference'!$A$8:$W$8,1,MOD($A70-1,23)+1)&amp;TEXT(O$2+FLOOR((O$2-1)/9,1),"000"),"")</f>
        <v>CY015</v>
      </c>
      <c r="P70" s="23" t="str">
        <f>IF(INDEX('Shot Map'!$B$6:$V$26,CEILING($A70/5,1),CEILING(P$2/5,1))=1,INDEX('Serial Reference'!$A$8:$W$8,1,FLOOR(($A70-1)/23,1)+1)&amp;INDEX('Serial Reference'!$A$8:$W$8,1,MOD($A70-1,23)+1)&amp;TEXT(P$2+FLOOR((P$2-1)/9,1),"000"),"")</f>
        <v>CY016</v>
      </c>
      <c r="Q70" s="21" t="str">
        <f>IF(INDEX('Shot Map'!$B$6:$V$26,CEILING($A70/5,1),CEILING(Q$2/5,1))=1,INDEX('Serial Reference'!$A$8:$W$8,1,FLOOR(($A70-1)/23,1)+1)&amp;INDEX('Serial Reference'!$A$8:$W$8,1,MOD($A70-1,23)+1)&amp;TEXT(Q$2+FLOOR((Q$2-1)/9,1),"000"),"")</f>
        <v>CY017</v>
      </c>
      <c r="R70" s="22" t="str">
        <f>IF(INDEX('Shot Map'!$B$6:$V$26,CEILING($A70/5,1),CEILING(R$2/5,1))=1,INDEX('Serial Reference'!$A$8:$W$8,1,FLOOR(($A70-1)/23,1)+1)&amp;INDEX('Serial Reference'!$A$8:$W$8,1,MOD($A70-1,23)+1)&amp;TEXT(R$2+FLOOR((R$2-1)/9,1),"000"),"")</f>
        <v>CY018</v>
      </c>
      <c r="S70" s="22" t="str">
        <f>IF(INDEX('Shot Map'!$B$6:$V$26,CEILING($A70/5,1),CEILING(S$2/5,1))=1,INDEX('Serial Reference'!$A$8:$W$8,1,FLOOR(($A70-1)/23,1)+1)&amp;INDEX('Serial Reference'!$A$8:$W$8,1,MOD($A70-1,23)+1)&amp;TEXT(S$2+FLOOR((S$2-1)/9,1),"000"),"")</f>
        <v>CY019</v>
      </c>
      <c r="T70" s="22" t="str">
        <f>IF(INDEX('Shot Map'!$B$6:$V$26,CEILING($A70/5,1),CEILING(T$2/5,1))=1,INDEX('Serial Reference'!$A$8:$W$8,1,FLOOR(($A70-1)/23,1)+1)&amp;INDEX('Serial Reference'!$A$8:$W$8,1,MOD($A70-1,23)+1)&amp;TEXT(T$2+FLOOR((T$2-1)/9,1),"000"),"")</f>
        <v>CY021</v>
      </c>
      <c r="U70" s="23" t="str">
        <f>IF(INDEX('Shot Map'!$B$6:$V$26,CEILING($A70/5,1),CEILING(U$2/5,1))=1,INDEX('Serial Reference'!$A$8:$W$8,1,FLOOR(($A70-1)/23,1)+1)&amp;INDEX('Serial Reference'!$A$8:$W$8,1,MOD($A70-1,23)+1)&amp;TEXT(U$2+FLOOR((U$2-1)/9,1),"000"),"")</f>
        <v>CY022</v>
      </c>
      <c r="V70" s="21" t="str">
        <f>IF(INDEX('Shot Map'!$B$6:$V$26,CEILING($A70/5,1),CEILING(V$2/5,1))=1,INDEX('Serial Reference'!$A$8:$W$8,1,FLOOR(($A70-1)/23,1)+1)&amp;INDEX('Serial Reference'!$A$8:$W$8,1,MOD($A70-1,23)+1)&amp;TEXT(V$2+FLOOR((V$2-1)/9,1),"000"),"")</f>
        <v>CY023</v>
      </c>
      <c r="W70" s="22" t="str">
        <f>IF(INDEX('Shot Map'!$B$6:$V$26,CEILING($A70/5,1),CEILING(W$2/5,1))=1,INDEX('Serial Reference'!$A$8:$W$8,1,FLOOR(($A70-1)/23,1)+1)&amp;INDEX('Serial Reference'!$A$8:$W$8,1,MOD($A70-1,23)+1)&amp;TEXT(W$2+FLOOR((W$2-1)/9,1),"000"),"")</f>
        <v>CY024</v>
      </c>
      <c r="X70" s="22" t="str">
        <f>IF(INDEX('Shot Map'!$B$6:$V$26,CEILING($A70/5,1),CEILING(X$2/5,1))=1,INDEX('Serial Reference'!$A$8:$W$8,1,FLOOR(($A70-1)/23,1)+1)&amp;INDEX('Serial Reference'!$A$8:$W$8,1,MOD($A70-1,23)+1)&amp;TEXT(X$2+FLOOR((X$2-1)/9,1),"000"),"")</f>
        <v>CY025</v>
      </c>
      <c r="Y70" s="22" t="str">
        <f>IF(INDEX('Shot Map'!$B$6:$V$26,CEILING($A70/5,1),CEILING(Y$2/5,1))=1,INDEX('Serial Reference'!$A$8:$W$8,1,FLOOR(($A70-1)/23,1)+1)&amp;INDEX('Serial Reference'!$A$8:$W$8,1,MOD($A70-1,23)+1)&amp;TEXT(Y$2+FLOOR((Y$2-1)/9,1),"000"),"")</f>
        <v>CY026</v>
      </c>
      <c r="Z70" s="23" t="str">
        <f>IF(INDEX('Shot Map'!$B$6:$V$26,CEILING($A70/5,1),CEILING(Z$2/5,1))=1,INDEX('Serial Reference'!$A$8:$W$8,1,FLOOR(($A70-1)/23,1)+1)&amp;INDEX('Serial Reference'!$A$8:$W$8,1,MOD($A70-1,23)+1)&amp;TEXT(Z$2+FLOOR((Z$2-1)/9,1),"000"),"")</f>
        <v>CY027</v>
      </c>
      <c r="AA70" s="21" t="str">
        <f>IF(INDEX('Shot Map'!$B$6:$V$26,CEILING($A70/5,1),CEILING(AA$2/5,1))=1,INDEX('Serial Reference'!$A$8:$W$8,1,FLOOR(($A70-1)/23,1)+1)&amp;INDEX('Serial Reference'!$A$8:$W$8,1,MOD($A70-1,23)+1)&amp;TEXT(AA$2+FLOOR((AA$2-1)/9,1),"000"),"")</f>
        <v>CY028</v>
      </c>
      <c r="AB70" s="22" t="str">
        <f>IF(INDEX('Shot Map'!$B$6:$V$26,CEILING($A70/5,1),CEILING(AB$2/5,1))=1,INDEX('Serial Reference'!$A$8:$W$8,1,FLOOR(($A70-1)/23,1)+1)&amp;INDEX('Serial Reference'!$A$8:$W$8,1,MOD($A70-1,23)+1)&amp;TEXT(AB$2+FLOOR((AB$2-1)/9,1),"000"),"")</f>
        <v>CY029</v>
      </c>
      <c r="AC70" s="22" t="str">
        <f>IF(INDEX('Shot Map'!$B$6:$V$26,CEILING($A70/5,1),CEILING(AC$2/5,1))=1,INDEX('Serial Reference'!$A$8:$W$8,1,FLOOR(($A70-1)/23,1)+1)&amp;INDEX('Serial Reference'!$A$8:$W$8,1,MOD($A70-1,23)+1)&amp;TEXT(AC$2+FLOOR((AC$2-1)/9,1),"000"),"")</f>
        <v>CY031</v>
      </c>
      <c r="AD70" s="22" t="str">
        <f>IF(INDEX('Shot Map'!$B$6:$V$26,CEILING($A70/5,1),CEILING(AD$2/5,1))=1,INDEX('Serial Reference'!$A$8:$W$8,1,FLOOR(($A70-1)/23,1)+1)&amp;INDEX('Serial Reference'!$A$8:$W$8,1,MOD($A70-1,23)+1)&amp;TEXT(AD$2+FLOOR((AD$2-1)/9,1),"000"),"")</f>
        <v>CY032</v>
      </c>
      <c r="AE70" s="23" t="str">
        <f>IF(INDEX('Shot Map'!$B$6:$V$26,CEILING($A70/5,1),CEILING(AE$2/5,1))=1,INDEX('Serial Reference'!$A$8:$W$8,1,FLOOR(($A70-1)/23,1)+1)&amp;INDEX('Serial Reference'!$A$8:$W$8,1,MOD($A70-1,23)+1)&amp;TEXT(AE$2+FLOOR((AE$2-1)/9,1),"000"),"")</f>
        <v>CY033</v>
      </c>
      <c r="AF70" s="21" t="str">
        <f>IF(INDEX('Shot Map'!$B$6:$V$26,CEILING($A70/5,1),CEILING(AF$2/5,1))=1,INDEX('Serial Reference'!$A$8:$W$8,1,FLOOR(($A70-1)/23,1)+1)&amp;INDEX('Serial Reference'!$A$8:$W$8,1,MOD($A70-1,23)+1)&amp;TEXT(AF$2+FLOOR((AF$2-1)/9,1),"000"),"")</f>
        <v>CY034</v>
      </c>
      <c r="AG70" s="22" t="str">
        <f>IF(INDEX('Shot Map'!$B$6:$V$26,CEILING($A70/5,1),CEILING(AG$2/5,1))=1,INDEX('Serial Reference'!$A$8:$W$8,1,FLOOR(($A70-1)/23,1)+1)&amp;INDEX('Serial Reference'!$A$8:$W$8,1,MOD($A70-1,23)+1)&amp;TEXT(AG$2+FLOOR((AG$2-1)/9,1),"000"),"")</f>
        <v>CY035</v>
      </c>
      <c r="AH70" s="22" t="str">
        <f>IF(INDEX('Shot Map'!$B$6:$V$26,CEILING($A70/5,1),CEILING(AH$2/5,1))=1,INDEX('Serial Reference'!$A$8:$W$8,1,FLOOR(($A70-1)/23,1)+1)&amp;INDEX('Serial Reference'!$A$8:$W$8,1,MOD($A70-1,23)+1)&amp;TEXT(AH$2+FLOOR((AH$2-1)/9,1),"000"),"")</f>
        <v>CY036</v>
      </c>
      <c r="AI70" s="22" t="str">
        <f>IF(INDEX('Shot Map'!$B$6:$V$26,CEILING($A70/5,1),CEILING(AI$2/5,1))=1,INDEX('Serial Reference'!$A$8:$W$8,1,FLOOR(($A70-1)/23,1)+1)&amp;INDEX('Serial Reference'!$A$8:$W$8,1,MOD($A70-1,23)+1)&amp;TEXT(AI$2+FLOOR((AI$2-1)/9,1),"000"),"")</f>
        <v>CY037</v>
      </c>
      <c r="AJ70" s="23" t="str">
        <f>IF(INDEX('Shot Map'!$B$6:$V$26,CEILING($A70/5,1),CEILING(AJ$2/5,1))=1,INDEX('Serial Reference'!$A$8:$W$8,1,FLOOR(($A70-1)/23,1)+1)&amp;INDEX('Serial Reference'!$A$8:$W$8,1,MOD($A70-1,23)+1)&amp;TEXT(AJ$2+FLOOR((AJ$2-1)/9,1),"000"),"")</f>
        <v>CY038</v>
      </c>
      <c r="AK70" s="21" t="str">
        <f>IF(INDEX('Shot Map'!$B$6:$V$26,CEILING($A70/5,1),CEILING(AK$2/5,1))=1,INDEX('Serial Reference'!$A$8:$W$8,1,FLOOR(($A70-1)/23,1)+1)&amp;INDEX('Serial Reference'!$A$8:$W$8,1,MOD($A70-1,23)+1)&amp;TEXT(AK$2+FLOOR((AK$2-1)/9,1),"000"),"")</f>
        <v>CY039</v>
      </c>
      <c r="AL70" s="22" t="str">
        <f>IF(INDEX('Shot Map'!$B$6:$V$26,CEILING($A70/5,1),CEILING(AL$2/5,1))=1,INDEX('Serial Reference'!$A$8:$W$8,1,FLOOR(($A70-1)/23,1)+1)&amp;INDEX('Serial Reference'!$A$8:$W$8,1,MOD($A70-1,23)+1)&amp;TEXT(AL$2+FLOOR((AL$2-1)/9,1),"000"),"")</f>
        <v>CY041</v>
      </c>
      <c r="AM70" s="22" t="str">
        <f>IF(INDEX('Shot Map'!$B$6:$V$26,CEILING($A70/5,1),CEILING(AM$2/5,1))=1,INDEX('Serial Reference'!$A$8:$W$8,1,FLOOR(($A70-1)/23,1)+1)&amp;INDEX('Serial Reference'!$A$8:$W$8,1,MOD($A70-1,23)+1)&amp;TEXT(AM$2+FLOOR((AM$2-1)/9,1),"000"),"")</f>
        <v>CY042</v>
      </c>
      <c r="AN70" s="22" t="str">
        <f>IF(INDEX('Shot Map'!$B$6:$V$26,CEILING($A70/5,1),CEILING(AN$2/5,1))=1,INDEX('Serial Reference'!$A$8:$W$8,1,FLOOR(($A70-1)/23,1)+1)&amp;INDEX('Serial Reference'!$A$8:$W$8,1,MOD($A70-1,23)+1)&amp;TEXT(AN$2+FLOOR((AN$2-1)/9,1),"000"),"")</f>
        <v>CY043</v>
      </c>
      <c r="AO70" s="23" t="str">
        <f>IF(INDEX('Shot Map'!$B$6:$V$26,CEILING($A70/5,1),CEILING(AO$2/5,1))=1,INDEX('Serial Reference'!$A$8:$W$8,1,FLOOR(($A70-1)/23,1)+1)&amp;INDEX('Serial Reference'!$A$8:$W$8,1,MOD($A70-1,23)+1)&amp;TEXT(AO$2+FLOOR((AO$2-1)/9,1),"000"),"")</f>
        <v>CY044</v>
      </c>
      <c r="AP70" s="21" t="str">
        <f>IF(INDEX('Shot Map'!$B$6:$V$26,CEILING($A70/5,1),CEILING(AP$2/5,1))=1,INDEX('Serial Reference'!$A$8:$W$8,1,FLOOR(($A70-1)/23,1)+1)&amp;INDEX('Serial Reference'!$A$8:$W$8,1,MOD($A70-1,23)+1)&amp;TEXT(AP$2+FLOOR((AP$2-1)/9,1),"000"),"")</f>
        <v>CY045</v>
      </c>
      <c r="AQ70" s="22" t="str">
        <f>IF(INDEX('Shot Map'!$B$6:$V$26,CEILING($A70/5,1),CEILING(AQ$2/5,1))=1,INDEX('Serial Reference'!$A$8:$W$8,1,FLOOR(($A70-1)/23,1)+1)&amp;INDEX('Serial Reference'!$A$8:$W$8,1,MOD($A70-1,23)+1)&amp;TEXT(AQ$2+FLOOR((AQ$2-1)/9,1),"000"),"")</f>
        <v>CY046</v>
      </c>
      <c r="AR70" s="22" t="str">
        <f>IF(INDEX('Shot Map'!$B$6:$V$26,CEILING($A70/5,1),CEILING(AR$2/5,1))=1,INDEX('Serial Reference'!$A$8:$W$8,1,FLOOR(($A70-1)/23,1)+1)&amp;INDEX('Serial Reference'!$A$8:$W$8,1,MOD($A70-1,23)+1)&amp;TEXT(AR$2+FLOOR((AR$2-1)/9,1),"000"),"")</f>
        <v>CY047</v>
      </c>
      <c r="AS70" s="22" t="str">
        <f>IF(INDEX('Shot Map'!$B$6:$V$26,CEILING($A70/5,1),CEILING(AS$2/5,1))=1,INDEX('Serial Reference'!$A$8:$W$8,1,FLOOR(($A70-1)/23,1)+1)&amp;INDEX('Serial Reference'!$A$8:$W$8,1,MOD($A70-1,23)+1)&amp;TEXT(AS$2+FLOOR((AS$2-1)/9,1),"000"),"")</f>
        <v>CY048</v>
      </c>
      <c r="AT70" s="23" t="str">
        <f>IF(INDEX('Shot Map'!$B$6:$V$26,CEILING($A70/5,1),CEILING(AT$2/5,1))=1,INDEX('Serial Reference'!$A$8:$W$8,1,FLOOR(($A70-1)/23,1)+1)&amp;INDEX('Serial Reference'!$A$8:$W$8,1,MOD($A70-1,23)+1)&amp;TEXT(AT$2+FLOOR((AT$2-1)/9,1),"000"),"")</f>
        <v>CY049</v>
      </c>
      <c r="AU70" s="21" t="str">
        <f>IF(INDEX('Shot Map'!$B$6:$V$26,CEILING($A70/5,1),CEILING(AU$2/5,1))=1,INDEX('Serial Reference'!$A$8:$W$8,1,FLOOR(($A70-1)/23,1)+1)&amp;INDEX('Serial Reference'!$A$8:$W$8,1,MOD($A70-1,23)+1)&amp;TEXT(AU$2+FLOOR((AU$2-1)/9,1),"000"),"")</f>
        <v>CY051</v>
      </c>
      <c r="AV70" s="22" t="str">
        <f>IF(INDEX('Shot Map'!$B$6:$V$26,CEILING($A70/5,1),CEILING(AV$2/5,1))=1,INDEX('Serial Reference'!$A$8:$W$8,1,FLOOR(($A70-1)/23,1)+1)&amp;INDEX('Serial Reference'!$A$8:$W$8,1,MOD($A70-1,23)+1)&amp;TEXT(AV$2+FLOOR((AV$2-1)/9,1),"000"),"")</f>
        <v>CY052</v>
      </c>
      <c r="AW70" s="22" t="str">
        <f>IF(INDEX('Shot Map'!$B$6:$V$26,CEILING($A70/5,1),CEILING(AW$2/5,1))=1,INDEX('Serial Reference'!$A$8:$W$8,1,FLOOR(($A70-1)/23,1)+1)&amp;INDEX('Serial Reference'!$A$8:$W$8,1,MOD($A70-1,23)+1)&amp;TEXT(AW$2+FLOOR((AW$2-1)/9,1),"000"),"")</f>
        <v>CY053</v>
      </c>
      <c r="AX70" s="22" t="str">
        <f>IF(INDEX('Shot Map'!$B$6:$V$26,CEILING($A70/5,1),CEILING(AX$2/5,1))=1,INDEX('Serial Reference'!$A$8:$W$8,1,FLOOR(($A70-1)/23,1)+1)&amp;INDEX('Serial Reference'!$A$8:$W$8,1,MOD($A70-1,23)+1)&amp;TEXT(AX$2+FLOOR((AX$2-1)/9,1),"000"),"")</f>
        <v>CY054</v>
      </c>
      <c r="AY70" s="23" t="str">
        <f>IF(INDEX('Shot Map'!$B$6:$V$26,CEILING($A70/5,1),CEILING(AY$2/5,1))=1,INDEX('Serial Reference'!$A$8:$W$8,1,FLOOR(($A70-1)/23,1)+1)&amp;INDEX('Serial Reference'!$A$8:$W$8,1,MOD($A70-1,23)+1)&amp;TEXT(AY$2+FLOOR((AY$2-1)/9,1),"000"),"")</f>
        <v>CY055</v>
      </c>
      <c r="AZ70" s="21" t="str">
        <f>IF(INDEX('Shot Map'!$B$6:$V$26,CEILING($A70/5,1),CEILING(AZ$2/5,1))=1,INDEX('Serial Reference'!$A$8:$W$8,1,FLOOR(($A70-1)/23,1)+1)&amp;INDEX('Serial Reference'!$A$8:$W$8,1,MOD($A70-1,23)+1)&amp;TEXT(AZ$2+FLOOR((AZ$2-1)/9,1),"000"),"")</f>
        <v>CY056</v>
      </c>
      <c r="BA70" s="22" t="str">
        <f>IF(INDEX('Shot Map'!$B$6:$V$26,CEILING($A70/5,1),CEILING(BA$2/5,1))=1,INDEX('Serial Reference'!$A$8:$W$8,1,FLOOR(($A70-1)/23,1)+1)&amp;INDEX('Serial Reference'!$A$8:$W$8,1,MOD($A70-1,23)+1)&amp;TEXT(BA$2+FLOOR((BA$2-1)/9,1),"000"),"")</f>
        <v>CY057</v>
      </c>
      <c r="BB70" s="22" t="str">
        <f>IF(INDEX('Shot Map'!$B$6:$V$26,CEILING($A70/5,1),CEILING(BB$2/5,1))=1,INDEX('Serial Reference'!$A$8:$W$8,1,FLOOR(($A70-1)/23,1)+1)&amp;INDEX('Serial Reference'!$A$8:$W$8,1,MOD($A70-1,23)+1)&amp;TEXT(BB$2+FLOOR((BB$2-1)/9,1),"000"),"")</f>
        <v>CY058</v>
      </c>
      <c r="BC70" s="22" t="str">
        <f>IF(INDEX('Shot Map'!$B$6:$V$26,CEILING($A70/5,1),CEILING(BC$2/5,1))=1,INDEX('Serial Reference'!$A$8:$W$8,1,FLOOR(($A70-1)/23,1)+1)&amp;INDEX('Serial Reference'!$A$8:$W$8,1,MOD($A70-1,23)+1)&amp;TEXT(BC$2+FLOOR((BC$2-1)/9,1),"000"),"")</f>
        <v>CY059</v>
      </c>
      <c r="BD70" s="23" t="str">
        <f>IF(INDEX('Shot Map'!$B$6:$V$26,CEILING($A70/5,1),CEILING(BD$2/5,1))=1,INDEX('Serial Reference'!$A$8:$W$8,1,FLOOR(($A70-1)/23,1)+1)&amp;INDEX('Serial Reference'!$A$8:$W$8,1,MOD($A70-1,23)+1)&amp;TEXT(BD$2+FLOOR((BD$2-1)/9,1),"000"),"")</f>
        <v>CY061</v>
      </c>
      <c r="BE70" s="21" t="str">
        <f>IF(INDEX('Shot Map'!$B$6:$V$26,CEILING($A70/5,1),CEILING(BE$2/5,1))=1,INDEX('Serial Reference'!$A$8:$W$8,1,FLOOR(($A70-1)/23,1)+1)&amp;INDEX('Serial Reference'!$A$8:$W$8,1,MOD($A70-1,23)+1)&amp;TEXT(BE$2+FLOOR((BE$2-1)/9,1),"000"),"")</f>
        <v>CY062</v>
      </c>
      <c r="BF70" s="22" t="str">
        <f>IF(INDEX('Shot Map'!$B$6:$V$26,CEILING($A70/5,1),CEILING(BF$2/5,1))=1,INDEX('Serial Reference'!$A$8:$W$8,1,FLOOR(($A70-1)/23,1)+1)&amp;INDEX('Serial Reference'!$A$8:$W$8,1,MOD($A70-1,23)+1)&amp;TEXT(BF$2+FLOOR((BF$2-1)/9,1),"000"),"")</f>
        <v>CY063</v>
      </c>
      <c r="BG70" s="22" t="str">
        <f>IF(INDEX('Shot Map'!$B$6:$V$26,CEILING($A70/5,1),CEILING(BG$2/5,1))=1,INDEX('Serial Reference'!$A$8:$W$8,1,FLOOR(($A70-1)/23,1)+1)&amp;INDEX('Serial Reference'!$A$8:$W$8,1,MOD($A70-1,23)+1)&amp;TEXT(BG$2+FLOOR((BG$2-1)/9,1),"000"),"")</f>
        <v>CY064</v>
      </c>
      <c r="BH70" s="22" t="str">
        <f>IF(INDEX('Shot Map'!$B$6:$V$26,CEILING($A70/5,1),CEILING(BH$2/5,1))=1,INDEX('Serial Reference'!$A$8:$W$8,1,FLOOR(($A70-1)/23,1)+1)&amp;INDEX('Serial Reference'!$A$8:$W$8,1,MOD($A70-1,23)+1)&amp;TEXT(BH$2+FLOOR((BH$2-1)/9,1),"000"),"")</f>
        <v>CY065</v>
      </c>
      <c r="BI70" s="23" t="str">
        <f>IF(INDEX('Shot Map'!$B$6:$V$26,CEILING($A70/5,1),CEILING(BI$2/5,1))=1,INDEX('Serial Reference'!$A$8:$W$8,1,FLOOR(($A70-1)/23,1)+1)&amp;INDEX('Serial Reference'!$A$8:$W$8,1,MOD($A70-1,23)+1)&amp;TEXT(BI$2+FLOOR((BI$2-1)/9,1),"000"),"")</f>
        <v>CY066</v>
      </c>
      <c r="BJ70" s="21" t="str">
        <f>IF(INDEX('Shot Map'!$B$6:$V$26,CEILING($A70/5,1),CEILING(BJ$2/5,1))=1,INDEX('Serial Reference'!$A$8:$W$8,1,FLOOR(($A70-1)/23,1)+1)&amp;INDEX('Serial Reference'!$A$8:$W$8,1,MOD($A70-1,23)+1)&amp;TEXT(BJ$2+FLOOR((BJ$2-1)/9,1),"000"),"")</f>
        <v>CY067</v>
      </c>
      <c r="BK70" s="22" t="str">
        <f>IF(INDEX('Shot Map'!$B$6:$V$26,CEILING($A70/5,1),CEILING(BK$2/5,1))=1,INDEX('Serial Reference'!$A$8:$W$8,1,FLOOR(($A70-1)/23,1)+1)&amp;INDEX('Serial Reference'!$A$8:$W$8,1,MOD($A70-1,23)+1)&amp;TEXT(BK$2+FLOOR((BK$2-1)/9,1),"000"),"")</f>
        <v>CY068</v>
      </c>
      <c r="BL70" s="22" t="str">
        <f>IF(INDEX('Shot Map'!$B$6:$V$26,CEILING($A70/5,1),CEILING(BL$2/5,1))=1,INDEX('Serial Reference'!$A$8:$W$8,1,FLOOR(($A70-1)/23,1)+1)&amp;INDEX('Serial Reference'!$A$8:$W$8,1,MOD($A70-1,23)+1)&amp;TEXT(BL$2+FLOOR((BL$2-1)/9,1),"000"),"")</f>
        <v>CY069</v>
      </c>
      <c r="BM70" s="22" t="str">
        <f>IF(INDEX('Shot Map'!$B$6:$V$26,CEILING($A70/5,1),CEILING(BM$2/5,1))=1,INDEX('Serial Reference'!$A$8:$W$8,1,FLOOR(($A70-1)/23,1)+1)&amp;INDEX('Serial Reference'!$A$8:$W$8,1,MOD($A70-1,23)+1)&amp;TEXT(BM$2+FLOOR((BM$2-1)/9,1),"000"),"")</f>
        <v>CY071</v>
      </c>
      <c r="BN70" s="23" t="str">
        <f>IF(INDEX('Shot Map'!$B$6:$V$26,CEILING($A70/5,1),CEILING(BN$2/5,1))=1,INDEX('Serial Reference'!$A$8:$W$8,1,FLOOR(($A70-1)/23,1)+1)&amp;INDEX('Serial Reference'!$A$8:$W$8,1,MOD($A70-1,23)+1)&amp;TEXT(BN$2+FLOOR((BN$2-1)/9,1),"000"),"")</f>
        <v>CY072</v>
      </c>
      <c r="BO70" s="21" t="str">
        <f>IF(INDEX('Shot Map'!$B$6:$V$26,CEILING($A70/5,1),CEILING(BO$2/5,1))=1,INDEX('Serial Reference'!$A$8:$W$8,1,FLOOR(($A70-1)/23,1)+1)&amp;INDEX('Serial Reference'!$A$8:$W$8,1,MOD($A70-1,23)+1)&amp;TEXT(BO$2+FLOOR((BO$2-1)/9,1),"000"),"")</f>
        <v>CY073</v>
      </c>
      <c r="BP70" s="22" t="str">
        <f>IF(INDEX('Shot Map'!$B$6:$V$26,CEILING($A70/5,1),CEILING(BP$2/5,1))=1,INDEX('Serial Reference'!$A$8:$W$8,1,FLOOR(($A70-1)/23,1)+1)&amp;INDEX('Serial Reference'!$A$8:$W$8,1,MOD($A70-1,23)+1)&amp;TEXT(BP$2+FLOOR((BP$2-1)/9,1),"000"),"")</f>
        <v>CY074</v>
      </c>
      <c r="BQ70" s="22" t="str">
        <f>IF(INDEX('Shot Map'!$B$6:$V$26,CEILING($A70/5,1),CEILING(BQ$2/5,1))=1,INDEX('Serial Reference'!$A$8:$W$8,1,FLOOR(($A70-1)/23,1)+1)&amp;INDEX('Serial Reference'!$A$8:$W$8,1,MOD($A70-1,23)+1)&amp;TEXT(BQ$2+FLOOR((BQ$2-1)/9,1),"000"),"")</f>
        <v>CY075</v>
      </c>
      <c r="BR70" s="22" t="str">
        <f>IF(INDEX('Shot Map'!$B$6:$V$26,CEILING($A70/5,1),CEILING(BR$2/5,1))=1,INDEX('Serial Reference'!$A$8:$W$8,1,FLOOR(($A70-1)/23,1)+1)&amp;INDEX('Serial Reference'!$A$8:$W$8,1,MOD($A70-1,23)+1)&amp;TEXT(BR$2+FLOOR((BR$2-1)/9,1),"000"),"")</f>
        <v>CY076</v>
      </c>
      <c r="BS70" s="23" t="str">
        <f>IF(INDEX('Shot Map'!$B$6:$V$26,CEILING($A70/5,1),CEILING(BS$2/5,1))=1,INDEX('Serial Reference'!$A$8:$W$8,1,FLOOR(($A70-1)/23,1)+1)&amp;INDEX('Serial Reference'!$A$8:$W$8,1,MOD($A70-1,23)+1)&amp;TEXT(BS$2+FLOOR((BS$2-1)/9,1),"000"),"")</f>
        <v>CY077</v>
      </c>
      <c r="BT70" s="21" t="str">
        <f>IF(INDEX('Shot Map'!$B$6:$V$26,CEILING($A70/5,1),CEILING(BT$2/5,1))=1,INDEX('Serial Reference'!$A$8:$W$8,1,FLOOR(($A70-1)/23,1)+1)&amp;INDEX('Serial Reference'!$A$8:$W$8,1,MOD($A70-1,23)+1)&amp;TEXT(BT$2+FLOOR((BT$2-1)/9,1),"000"),"")</f>
        <v>CY078</v>
      </c>
      <c r="BU70" s="22" t="str">
        <f>IF(INDEX('Shot Map'!$B$6:$V$26,CEILING($A70/5,1),CEILING(BU$2/5,1))=1,INDEX('Serial Reference'!$A$8:$W$8,1,FLOOR(($A70-1)/23,1)+1)&amp;INDEX('Serial Reference'!$A$8:$W$8,1,MOD($A70-1,23)+1)&amp;TEXT(BU$2+FLOOR((BU$2-1)/9,1),"000"),"")</f>
        <v>CY079</v>
      </c>
      <c r="BV70" s="22" t="str">
        <f>IF(INDEX('Shot Map'!$B$6:$V$26,CEILING($A70/5,1),CEILING(BV$2/5,1))=1,INDEX('Serial Reference'!$A$8:$W$8,1,FLOOR(($A70-1)/23,1)+1)&amp;INDEX('Serial Reference'!$A$8:$W$8,1,MOD($A70-1,23)+1)&amp;TEXT(BV$2+FLOOR((BV$2-1)/9,1),"000"),"")</f>
        <v>CY081</v>
      </c>
      <c r="BW70" s="22" t="str">
        <f>IF(INDEX('Shot Map'!$B$6:$V$26,CEILING($A70/5,1),CEILING(BW$2/5,1))=1,INDEX('Serial Reference'!$A$8:$W$8,1,FLOOR(($A70-1)/23,1)+1)&amp;INDEX('Serial Reference'!$A$8:$W$8,1,MOD($A70-1,23)+1)&amp;TEXT(BW$2+FLOOR((BW$2-1)/9,1),"000"),"")</f>
        <v>CY082</v>
      </c>
      <c r="BX70" s="23" t="str">
        <f>IF(INDEX('Shot Map'!$B$6:$V$26,CEILING($A70/5,1),CEILING(BX$2/5,1))=1,INDEX('Serial Reference'!$A$8:$W$8,1,FLOOR(($A70-1)/23,1)+1)&amp;INDEX('Serial Reference'!$A$8:$W$8,1,MOD($A70-1,23)+1)&amp;TEXT(BX$2+FLOOR((BX$2-1)/9,1),"000"),"")</f>
        <v>CY083</v>
      </c>
      <c r="BY70" s="21" t="str">
        <f>IF(INDEX('Shot Map'!$B$6:$V$26,CEILING($A70/5,1),CEILING(BY$2/5,1))=1,INDEX('Serial Reference'!$A$8:$W$8,1,FLOOR(($A70-1)/23,1)+1)&amp;INDEX('Serial Reference'!$A$8:$W$8,1,MOD($A70-1,23)+1)&amp;TEXT(BY$2+FLOOR((BY$2-1)/9,1),"000"),"")</f>
        <v>CY084</v>
      </c>
      <c r="BZ70" s="22" t="str">
        <f>IF(INDEX('Shot Map'!$B$6:$V$26,CEILING($A70/5,1),CEILING(BZ$2/5,1))=1,INDEX('Serial Reference'!$A$8:$W$8,1,FLOOR(($A70-1)/23,1)+1)&amp;INDEX('Serial Reference'!$A$8:$W$8,1,MOD($A70-1,23)+1)&amp;TEXT(BZ$2+FLOOR((BZ$2-1)/9,1),"000"),"")</f>
        <v>CY085</v>
      </c>
      <c r="CA70" s="22" t="str">
        <f>IF(INDEX('Shot Map'!$B$6:$V$26,CEILING($A70/5,1),CEILING(CA$2/5,1))=1,INDEX('Serial Reference'!$A$8:$W$8,1,FLOOR(($A70-1)/23,1)+1)&amp;INDEX('Serial Reference'!$A$8:$W$8,1,MOD($A70-1,23)+1)&amp;TEXT(CA$2+FLOOR((CA$2-1)/9,1),"000"),"")</f>
        <v>CY086</v>
      </c>
      <c r="CB70" s="22" t="str">
        <f>IF(INDEX('Shot Map'!$B$6:$V$26,CEILING($A70/5,1),CEILING(CB$2/5,1))=1,INDEX('Serial Reference'!$A$8:$W$8,1,FLOOR(($A70-1)/23,1)+1)&amp;INDEX('Serial Reference'!$A$8:$W$8,1,MOD($A70-1,23)+1)&amp;TEXT(CB$2+FLOOR((CB$2-1)/9,1),"000"),"")</f>
        <v>CY087</v>
      </c>
      <c r="CC70" s="23" t="str">
        <f>IF(INDEX('Shot Map'!$B$6:$V$26,CEILING($A70/5,1),CEILING(CC$2/5,1))=1,INDEX('Serial Reference'!$A$8:$W$8,1,FLOOR(($A70-1)/23,1)+1)&amp;INDEX('Serial Reference'!$A$8:$W$8,1,MOD($A70-1,23)+1)&amp;TEXT(CC$2+FLOOR((CC$2-1)/9,1),"000"),"")</f>
        <v>CY088</v>
      </c>
      <c r="CD70" s="21" t="str">
        <f>IF(INDEX('Shot Map'!$B$6:$V$26,CEILING($A70/5,1),CEILING(CD$2/5,1))=1,INDEX('Serial Reference'!$A$8:$W$8,1,FLOOR(($A70-1)/23,1)+1)&amp;INDEX('Serial Reference'!$A$8:$W$8,1,MOD($A70-1,23)+1)&amp;TEXT(CD$2+FLOOR((CD$2-1)/9,1),"000"),"")</f>
        <v>CY089</v>
      </c>
      <c r="CE70" s="22" t="str">
        <f>IF(INDEX('Shot Map'!$B$6:$V$26,CEILING($A70/5,1),CEILING(CE$2/5,1))=1,INDEX('Serial Reference'!$A$8:$W$8,1,FLOOR(($A70-1)/23,1)+1)&amp;INDEX('Serial Reference'!$A$8:$W$8,1,MOD($A70-1,23)+1)&amp;TEXT(CE$2+FLOOR((CE$2-1)/9,1),"000"),"")</f>
        <v>CY091</v>
      </c>
      <c r="CF70" s="22" t="str">
        <f>IF(INDEX('Shot Map'!$B$6:$V$26,CEILING($A70/5,1),CEILING(CF$2/5,1))=1,INDEX('Serial Reference'!$A$8:$W$8,1,FLOOR(($A70-1)/23,1)+1)&amp;INDEX('Serial Reference'!$A$8:$W$8,1,MOD($A70-1,23)+1)&amp;TEXT(CF$2+FLOOR((CF$2-1)/9,1),"000"),"")</f>
        <v>CY092</v>
      </c>
      <c r="CG70" s="22" t="str">
        <f>IF(INDEX('Shot Map'!$B$6:$V$26,CEILING($A70/5,1),CEILING(CG$2/5,1))=1,INDEX('Serial Reference'!$A$8:$W$8,1,FLOOR(($A70-1)/23,1)+1)&amp;INDEX('Serial Reference'!$A$8:$W$8,1,MOD($A70-1,23)+1)&amp;TEXT(CG$2+FLOOR((CG$2-1)/9,1),"000"),"")</f>
        <v>CY093</v>
      </c>
      <c r="CH70" s="23" t="str">
        <f>IF(INDEX('Shot Map'!$B$6:$V$26,CEILING($A70/5,1),CEILING(CH$2/5,1))=1,INDEX('Serial Reference'!$A$8:$W$8,1,FLOOR(($A70-1)/23,1)+1)&amp;INDEX('Serial Reference'!$A$8:$W$8,1,MOD($A70-1,23)+1)&amp;TEXT(CH$2+FLOOR((CH$2-1)/9,1),"000"),"")</f>
        <v>CY094</v>
      </c>
      <c r="CI70" s="21" t="str">
        <f>IF(INDEX('Shot Map'!$B$6:$V$26,CEILING($A70/5,1),CEILING(CI$2/5,1))=1,INDEX('Serial Reference'!$A$8:$W$8,1,FLOOR(($A70-1)/23,1)+1)&amp;INDEX('Serial Reference'!$A$8:$W$8,1,MOD($A70-1,23)+1)&amp;TEXT(CI$2+FLOOR((CI$2-1)/9,1),"000"),"")</f>
        <v>CY095</v>
      </c>
      <c r="CJ70" s="22" t="str">
        <f>IF(INDEX('Shot Map'!$B$6:$V$26,CEILING($A70/5,1),CEILING(CJ$2/5,1))=1,INDEX('Serial Reference'!$A$8:$W$8,1,FLOOR(($A70-1)/23,1)+1)&amp;INDEX('Serial Reference'!$A$8:$W$8,1,MOD($A70-1,23)+1)&amp;TEXT(CJ$2+FLOOR((CJ$2-1)/9,1),"000"),"")</f>
        <v>CY096</v>
      </c>
      <c r="CK70" s="22" t="str">
        <f>IF(INDEX('Shot Map'!$B$6:$V$26,CEILING($A70/5,1),CEILING(CK$2/5,1))=1,INDEX('Serial Reference'!$A$8:$W$8,1,FLOOR(($A70-1)/23,1)+1)&amp;INDEX('Serial Reference'!$A$8:$W$8,1,MOD($A70-1,23)+1)&amp;TEXT(CK$2+FLOOR((CK$2-1)/9,1),"000"),"")</f>
        <v>CY097</v>
      </c>
      <c r="CL70" s="22" t="str">
        <f>IF(INDEX('Shot Map'!$B$6:$V$26,CEILING($A70/5,1),CEILING(CL$2/5,1))=1,INDEX('Serial Reference'!$A$8:$W$8,1,FLOOR(($A70-1)/23,1)+1)&amp;INDEX('Serial Reference'!$A$8:$W$8,1,MOD($A70-1,23)+1)&amp;TEXT(CL$2+FLOOR((CL$2-1)/9,1),"000"),"")</f>
        <v>CY098</v>
      </c>
      <c r="CM70" s="23" t="str">
        <f>IF(INDEX('Shot Map'!$B$6:$V$26,CEILING($A70/5,1),CEILING(CM$2/5,1))=1,INDEX('Serial Reference'!$A$8:$W$8,1,FLOOR(($A70-1)/23,1)+1)&amp;INDEX('Serial Reference'!$A$8:$W$8,1,MOD($A70-1,23)+1)&amp;TEXT(CM$2+FLOOR((CM$2-1)/9,1),"000"),"")</f>
        <v>CY099</v>
      </c>
      <c r="CN70" s="21" t="str">
        <f>IF(INDEX('Shot Map'!$B$6:$V$26,CEILING($A70/5,1),CEILING(CN$2/5,1))=1,INDEX('Serial Reference'!$A$8:$W$8,1,FLOOR(($A70-1)/23,1)+1)&amp;INDEX('Serial Reference'!$A$8:$W$8,1,MOD($A70-1,23)+1)&amp;TEXT(CN$2+FLOOR((CN$2-1)/9,1),"000"),"")</f>
        <v>CY101</v>
      </c>
      <c r="CO70" s="22" t="str">
        <f>IF(INDEX('Shot Map'!$B$6:$V$26,CEILING($A70/5,1),CEILING(CO$2/5,1))=1,INDEX('Serial Reference'!$A$8:$W$8,1,FLOOR(($A70-1)/23,1)+1)&amp;INDEX('Serial Reference'!$A$8:$W$8,1,MOD($A70-1,23)+1)&amp;TEXT(CO$2+FLOOR((CO$2-1)/9,1),"000"),"")</f>
        <v>CY102</v>
      </c>
      <c r="CP70" s="22" t="str">
        <f>IF(INDEX('Shot Map'!$B$6:$V$26,CEILING($A70/5,1),CEILING(CP$2/5,1))=1,INDEX('Serial Reference'!$A$8:$W$8,1,FLOOR(($A70-1)/23,1)+1)&amp;INDEX('Serial Reference'!$A$8:$W$8,1,MOD($A70-1,23)+1)&amp;TEXT(CP$2+FLOOR((CP$2-1)/9,1),"000"),"")</f>
        <v>CY103</v>
      </c>
      <c r="CQ70" s="22" t="str">
        <f>IF(INDEX('Shot Map'!$B$6:$V$26,CEILING($A70/5,1),CEILING(CQ$2/5,1))=1,INDEX('Serial Reference'!$A$8:$W$8,1,FLOOR(($A70-1)/23,1)+1)&amp;INDEX('Serial Reference'!$A$8:$W$8,1,MOD($A70-1,23)+1)&amp;TEXT(CQ$2+FLOOR((CQ$2-1)/9,1),"000"),"")</f>
        <v>CY104</v>
      </c>
      <c r="CR70" s="23" t="str">
        <f>IF(INDEX('Shot Map'!$B$6:$V$26,CEILING($A70/5,1),CEILING(CR$2/5,1))=1,INDEX('Serial Reference'!$A$8:$W$8,1,FLOOR(($A70-1)/23,1)+1)&amp;INDEX('Serial Reference'!$A$8:$W$8,1,MOD($A70-1,23)+1)&amp;TEXT(CR$2+FLOOR((CR$2-1)/9,1),"000"),"")</f>
        <v>CY105</v>
      </c>
      <c r="CS70" s="21" t="str">
        <f>IF(INDEX('Shot Map'!$B$6:$V$26,CEILING($A70/5,1),CEILING(CS$2/5,1))=1,INDEX('Serial Reference'!$A$8:$W$8,1,FLOOR(($A70-1)/23,1)+1)&amp;INDEX('Serial Reference'!$A$8:$W$8,1,MOD($A70-1,23)+1)&amp;TEXT(CS$2+FLOOR((CS$2-1)/9,1),"000"),"")</f>
        <v>CY106</v>
      </c>
      <c r="CT70" s="22" t="str">
        <f>IF(INDEX('Shot Map'!$B$6:$V$26,CEILING($A70/5,1),CEILING(CT$2/5,1))=1,INDEX('Serial Reference'!$A$8:$W$8,1,FLOOR(($A70-1)/23,1)+1)&amp;INDEX('Serial Reference'!$A$8:$W$8,1,MOD($A70-1,23)+1)&amp;TEXT(CT$2+FLOOR((CT$2-1)/9,1),"000"),"")</f>
        <v>CY107</v>
      </c>
      <c r="CU70" s="22" t="str">
        <f>IF(INDEX('Shot Map'!$B$6:$V$26,CEILING($A70/5,1),CEILING(CU$2/5,1))=1,INDEX('Serial Reference'!$A$8:$W$8,1,FLOOR(($A70-1)/23,1)+1)&amp;INDEX('Serial Reference'!$A$8:$W$8,1,MOD($A70-1,23)+1)&amp;TEXT(CU$2+FLOOR((CU$2-1)/9,1),"000"),"")</f>
        <v>CY108</v>
      </c>
      <c r="CV70" s="22" t="str">
        <f>IF(INDEX('Shot Map'!$B$6:$V$26,CEILING($A70/5,1),CEILING(CV$2/5,1))=1,INDEX('Serial Reference'!$A$8:$W$8,1,FLOOR(($A70-1)/23,1)+1)&amp;INDEX('Serial Reference'!$A$8:$W$8,1,MOD($A70-1,23)+1)&amp;TEXT(CV$2+FLOOR((CV$2-1)/9,1),"000"),"")</f>
        <v>CY109</v>
      </c>
      <c r="CW70" s="23" t="str">
        <f>IF(INDEX('Shot Map'!$B$6:$V$26,CEILING($A70/5,1),CEILING(CW$2/5,1))=1,INDEX('Serial Reference'!$A$8:$W$8,1,FLOOR(($A70-1)/23,1)+1)&amp;INDEX('Serial Reference'!$A$8:$W$8,1,MOD($A70-1,23)+1)&amp;TEXT(CW$2+FLOOR((CW$2-1)/9,1),"000"),"")</f>
        <v>CY111</v>
      </c>
      <c r="CX70" s="21" t="str">
        <f>IF(INDEX('Shot Map'!$B$6:$V$26,CEILING($A70/5,1),CEILING(CX$2/5,1))=1,INDEX('Serial Reference'!$A$8:$W$8,1,FLOOR(($A70-1)/23,1)+1)&amp;INDEX('Serial Reference'!$A$8:$W$8,1,MOD($A70-1,23)+1)&amp;TEXT(CX$2+FLOOR((CX$2-1)/9,1),"000"),"")</f>
        <v/>
      </c>
      <c r="CY70" s="22" t="str">
        <f>IF(INDEX('Shot Map'!$B$6:$V$26,CEILING($A70/5,1),CEILING(CY$2/5,1))=1,INDEX('Serial Reference'!$A$8:$W$8,1,FLOOR(($A70-1)/23,1)+1)&amp;INDEX('Serial Reference'!$A$8:$W$8,1,MOD($A70-1,23)+1)&amp;TEXT(CY$2+FLOOR((CY$2-1)/9,1),"000"),"")</f>
        <v/>
      </c>
      <c r="CZ70" s="22" t="str">
        <f>IF(INDEX('Shot Map'!$B$6:$V$26,CEILING($A70/5,1),CEILING(CZ$2/5,1))=1,INDEX('Serial Reference'!$A$8:$W$8,1,FLOOR(($A70-1)/23,1)+1)&amp;INDEX('Serial Reference'!$A$8:$W$8,1,MOD($A70-1,23)+1)&amp;TEXT(CZ$2+FLOOR((CZ$2-1)/9,1),"000"),"")</f>
        <v/>
      </c>
      <c r="DA70" s="22" t="str">
        <f>IF(INDEX('Shot Map'!$B$6:$V$26,CEILING($A70/5,1),CEILING(DA$2/5,1))=1,INDEX('Serial Reference'!$A$8:$W$8,1,FLOOR(($A70-1)/23,1)+1)&amp;INDEX('Serial Reference'!$A$8:$W$8,1,MOD($A70-1,23)+1)&amp;TEXT(DA$2+FLOOR((DA$2-1)/9,1),"000"),"")</f>
        <v/>
      </c>
      <c r="DB70" s="23" t="str">
        <f>IF(INDEX('Shot Map'!$B$6:$V$26,CEILING($A70/5,1),CEILING(DB$2/5,1))=1,INDEX('Serial Reference'!$A$8:$W$8,1,FLOOR(($A70-1)/23,1)+1)&amp;INDEX('Serial Reference'!$A$8:$W$8,1,MOD($A70-1,23)+1)&amp;TEXT(DB$2+FLOOR((DB$2-1)/9,1),"000"),"")</f>
        <v/>
      </c>
    </row>
    <row r="71" spans="1:106" ht="12.75" customHeight="1" x14ac:dyDescent="0.25">
      <c r="A71" s="17">
        <v>69</v>
      </c>
      <c r="B71" s="21" t="str">
        <f>IF(INDEX('Shot Map'!$B$6:$V$26,CEILING($A71/5,1),CEILING(B$2/5,1))=1,INDEX('Serial Reference'!$A$8:$W$8,1,FLOOR(($A71-1)/23,1)+1)&amp;INDEX('Serial Reference'!$A$8:$W$8,1,MOD($A71-1,23)+1)&amp;TEXT(B$2+FLOOR((B$2-1)/9,1),"000"),"")</f>
        <v/>
      </c>
      <c r="C71" s="22" t="str">
        <f>IF(INDEX('Shot Map'!$B$6:$V$26,CEILING($A71/5,1),CEILING(C$2/5,1))=1,INDEX('Serial Reference'!$A$8:$W$8,1,FLOOR(($A71-1)/23,1)+1)&amp;INDEX('Serial Reference'!$A$8:$W$8,1,MOD($A71-1,23)+1)&amp;TEXT(C$2+FLOOR((C$2-1)/9,1),"000"),"")</f>
        <v/>
      </c>
      <c r="D71" s="22" t="str">
        <f>IF(INDEX('Shot Map'!$B$6:$V$26,CEILING($A71/5,1),CEILING(D$2/5,1))=1,INDEX('Serial Reference'!$A$8:$W$8,1,FLOOR(($A71-1)/23,1)+1)&amp;INDEX('Serial Reference'!$A$8:$W$8,1,MOD($A71-1,23)+1)&amp;TEXT(D$2+FLOOR((D$2-1)/9,1),"000"),"")</f>
        <v/>
      </c>
      <c r="E71" s="22" t="str">
        <f>IF(INDEX('Shot Map'!$B$6:$V$26,CEILING($A71/5,1),CEILING(E$2/5,1))=1,INDEX('Serial Reference'!$A$8:$W$8,1,FLOOR(($A71-1)/23,1)+1)&amp;INDEX('Serial Reference'!$A$8:$W$8,1,MOD($A71-1,23)+1)&amp;TEXT(E$2+FLOOR((E$2-1)/9,1),"000"),"")</f>
        <v/>
      </c>
      <c r="F71" s="23" t="str">
        <f>IF(INDEX('Shot Map'!$B$6:$V$26,CEILING($A71/5,1),CEILING(F$2/5,1))=1,INDEX('Serial Reference'!$A$8:$W$8,1,FLOOR(($A71-1)/23,1)+1)&amp;INDEX('Serial Reference'!$A$8:$W$8,1,MOD($A71-1,23)+1)&amp;TEXT(F$2+FLOOR((F$2-1)/9,1),"000"),"")</f>
        <v/>
      </c>
      <c r="G71" s="21" t="str">
        <f>IF(INDEX('Shot Map'!$B$6:$V$26,CEILING($A71/5,1),CEILING(G$2/5,1))=1,INDEX('Serial Reference'!$A$8:$W$8,1,FLOOR(($A71-1)/23,1)+1)&amp;INDEX('Serial Reference'!$A$8:$W$8,1,MOD($A71-1,23)+1)&amp;TEXT(G$2+FLOOR((G$2-1)/9,1),"000"),"")</f>
        <v>CZ006</v>
      </c>
      <c r="H71" s="22" t="str">
        <f>IF(INDEX('Shot Map'!$B$6:$V$26,CEILING($A71/5,1),CEILING(H$2/5,1))=1,INDEX('Serial Reference'!$A$8:$W$8,1,FLOOR(($A71-1)/23,1)+1)&amp;INDEX('Serial Reference'!$A$8:$W$8,1,MOD($A71-1,23)+1)&amp;TEXT(H$2+FLOOR((H$2-1)/9,1),"000"),"")</f>
        <v>CZ007</v>
      </c>
      <c r="I71" s="22" t="str">
        <f>IF(INDEX('Shot Map'!$B$6:$V$26,CEILING($A71/5,1),CEILING(I$2/5,1))=1,INDEX('Serial Reference'!$A$8:$W$8,1,FLOOR(($A71-1)/23,1)+1)&amp;INDEX('Serial Reference'!$A$8:$W$8,1,MOD($A71-1,23)+1)&amp;TEXT(I$2+FLOOR((I$2-1)/9,1),"000"),"")</f>
        <v>CZ008</v>
      </c>
      <c r="J71" s="22" t="str">
        <f>IF(INDEX('Shot Map'!$B$6:$V$26,CEILING($A71/5,1),CEILING(J$2/5,1))=1,INDEX('Serial Reference'!$A$8:$W$8,1,FLOOR(($A71-1)/23,1)+1)&amp;INDEX('Serial Reference'!$A$8:$W$8,1,MOD($A71-1,23)+1)&amp;TEXT(J$2+FLOOR((J$2-1)/9,1),"000"),"")</f>
        <v>CZ009</v>
      </c>
      <c r="K71" s="23" t="str">
        <f>IF(INDEX('Shot Map'!$B$6:$V$26,CEILING($A71/5,1),CEILING(K$2/5,1))=1,INDEX('Serial Reference'!$A$8:$W$8,1,FLOOR(($A71-1)/23,1)+1)&amp;INDEX('Serial Reference'!$A$8:$W$8,1,MOD($A71-1,23)+1)&amp;TEXT(K$2+FLOOR((K$2-1)/9,1),"000"),"")</f>
        <v>CZ011</v>
      </c>
      <c r="L71" s="21" t="str">
        <f>IF(INDEX('Shot Map'!$B$6:$V$26,CEILING($A71/5,1),CEILING(L$2/5,1))=1,INDEX('Serial Reference'!$A$8:$W$8,1,FLOOR(($A71-1)/23,1)+1)&amp;INDEX('Serial Reference'!$A$8:$W$8,1,MOD($A71-1,23)+1)&amp;TEXT(L$2+FLOOR((L$2-1)/9,1),"000"),"")</f>
        <v>CZ012</v>
      </c>
      <c r="M71" s="22" t="str">
        <f>IF(INDEX('Shot Map'!$B$6:$V$26,CEILING($A71/5,1),CEILING(M$2/5,1))=1,INDEX('Serial Reference'!$A$8:$W$8,1,FLOOR(($A71-1)/23,1)+1)&amp;INDEX('Serial Reference'!$A$8:$W$8,1,MOD($A71-1,23)+1)&amp;TEXT(M$2+FLOOR((M$2-1)/9,1),"000"),"")</f>
        <v>CZ013</v>
      </c>
      <c r="N71" s="22" t="str">
        <f>IF(INDEX('Shot Map'!$B$6:$V$26,CEILING($A71/5,1),CEILING(N$2/5,1))=1,INDEX('Serial Reference'!$A$8:$W$8,1,FLOOR(($A71-1)/23,1)+1)&amp;INDEX('Serial Reference'!$A$8:$W$8,1,MOD($A71-1,23)+1)&amp;TEXT(N$2+FLOOR((N$2-1)/9,1),"000"),"")</f>
        <v>CZ014</v>
      </c>
      <c r="O71" s="22" t="str">
        <f>IF(INDEX('Shot Map'!$B$6:$V$26,CEILING($A71/5,1),CEILING(O$2/5,1))=1,INDEX('Serial Reference'!$A$8:$W$8,1,FLOOR(($A71-1)/23,1)+1)&amp;INDEX('Serial Reference'!$A$8:$W$8,1,MOD($A71-1,23)+1)&amp;TEXT(O$2+FLOOR((O$2-1)/9,1),"000"),"")</f>
        <v>CZ015</v>
      </c>
      <c r="P71" s="23" t="str">
        <f>IF(INDEX('Shot Map'!$B$6:$V$26,CEILING($A71/5,1),CEILING(P$2/5,1))=1,INDEX('Serial Reference'!$A$8:$W$8,1,FLOOR(($A71-1)/23,1)+1)&amp;INDEX('Serial Reference'!$A$8:$W$8,1,MOD($A71-1,23)+1)&amp;TEXT(P$2+FLOOR((P$2-1)/9,1),"000"),"")</f>
        <v>CZ016</v>
      </c>
      <c r="Q71" s="21" t="str">
        <f>IF(INDEX('Shot Map'!$B$6:$V$26,CEILING($A71/5,1),CEILING(Q$2/5,1))=1,INDEX('Serial Reference'!$A$8:$W$8,1,FLOOR(($A71-1)/23,1)+1)&amp;INDEX('Serial Reference'!$A$8:$W$8,1,MOD($A71-1,23)+1)&amp;TEXT(Q$2+FLOOR((Q$2-1)/9,1),"000"),"")</f>
        <v>CZ017</v>
      </c>
      <c r="R71" s="22" t="str">
        <f>IF(INDEX('Shot Map'!$B$6:$V$26,CEILING($A71/5,1),CEILING(R$2/5,1))=1,INDEX('Serial Reference'!$A$8:$W$8,1,FLOOR(($A71-1)/23,1)+1)&amp;INDEX('Serial Reference'!$A$8:$W$8,1,MOD($A71-1,23)+1)&amp;TEXT(R$2+FLOOR((R$2-1)/9,1),"000"),"")</f>
        <v>CZ018</v>
      </c>
      <c r="S71" s="22" t="str">
        <f>IF(INDEX('Shot Map'!$B$6:$V$26,CEILING($A71/5,1),CEILING(S$2/5,1))=1,INDEX('Serial Reference'!$A$8:$W$8,1,FLOOR(($A71-1)/23,1)+1)&amp;INDEX('Serial Reference'!$A$8:$W$8,1,MOD($A71-1,23)+1)&amp;TEXT(S$2+FLOOR((S$2-1)/9,1),"000"),"")</f>
        <v>CZ019</v>
      </c>
      <c r="T71" s="22" t="str">
        <f>IF(INDEX('Shot Map'!$B$6:$V$26,CEILING($A71/5,1),CEILING(T$2/5,1))=1,INDEX('Serial Reference'!$A$8:$W$8,1,FLOOR(($A71-1)/23,1)+1)&amp;INDEX('Serial Reference'!$A$8:$W$8,1,MOD($A71-1,23)+1)&amp;TEXT(T$2+FLOOR((T$2-1)/9,1),"000"),"")</f>
        <v>CZ021</v>
      </c>
      <c r="U71" s="23" t="str">
        <f>IF(INDEX('Shot Map'!$B$6:$V$26,CEILING($A71/5,1),CEILING(U$2/5,1))=1,INDEX('Serial Reference'!$A$8:$W$8,1,FLOOR(($A71-1)/23,1)+1)&amp;INDEX('Serial Reference'!$A$8:$W$8,1,MOD($A71-1,23)+1)&amp;TEXT(U$2+FLOOR((U$2-1)/9,1),"000"),"")</f>
        <v>CZ022</v>
      </c>
      <c r="V71" s="21" t="str">
        <f>IF(INDEX('Shot Map'!$B$6:$V$26,CEILING($A71/5,1),CEILING(V$2/5,1))=1,INDEX('Serial Reference'!$A$8:$W$8,1,FLOOR(($A71-1)/23,1)+1)&amp;INDEX('Serial Reference'!$A$8:$W$8,1,MOD($A71-1,23)+1)&amp;TEXT(V$2+FLOOR((V$2-1)/9,1),"000"),"")</f>
        <v>CZ023</v>
      </c>
      <c r="W71" s="22" t="str">
        <f>IF(INDEX('Shot Map'!$B$6:$V$26,CEILING($A71/5,1),CEILING(W$2/5,1))=1,INDEX('Serial Reference'!$A$8:$W$8,1,FLOOR(($A71-1)/23,1)+1)&amp;INDEX('Serial Reference'!$A$8:$W$8,1,MOD($A71-1,23)+1)&amp;TEXT(W$2+FLOOR((W$2-1)/9,1),"000"),"")</f>
        <v>CZ024</v>
      </c>
      <c r="X71" s="22" t="str">
        <f>IF(INDEX('Shot Map'!$B$6:$V$26,CEILING($A71/5,1),CEILING(X$2/5,1))=1,INDEX('Serial Reference'!$A$8:$W$8,1,FLOOR(($A71-1)/23,1)+1)&amp;INDEX('Serial Reference'!$A$8:$W$8,1,MOD($A71-1,23)+1)&amp;TEXT(X$2+FLOOR((X$2-1)/9,1),"000"),"")</f>
        <v>CZ025</v>
      </c>
      <c r="Y71" s="22" t="str">
        <f>IF(INDEX('Shot Map'!$B$6:$V$26,CEILING($A71/5,1),CEILING(Y$2/5,1))=1,INDEX('Serial Reference'!$A$8:$W$8,1,FLOOR(($A71-1)/23,1)+1)&amp;INDEX('Serial Reference'!$A$8:$W$8,1,MOD($A71-1,23)+1)&amp;TEXT(Y$2+FLOOR((Y$2-1)/9,1),"000"),"")</f>
        <v>CZ026</v>
      </c>
      <c r="Z71" s="23" t="str">
        <f>IF(INDEX('Shot Map'!$B$6:$V$26,CEILING($A71/5,1),CEILING(Z$2/5,1))=1,INDEX('Serial Reference'!$A$8:$W$8,1,FLOOR(($A71-1)/23,1)+1)&amp;INDEX('Serial Reference'!$A$8:$W$8,1,MOD($A71-1,23)+1)&amp;TEXT(Z$2+FLOOR((Z$2-1)/9,1),"000"),"")</f>
        <v>CZ027</v>
      </c>
      <c r="AA71" s="21" t="str">
        <f>IF(INDEX('Shot Map'!$B$6:$V$26,CEILING($A71/5,1),CEILING(AA$2/5,1))=1,INDEX('Serial Reference'!$A$8:$W$8,1,FLOOR(($A71-1)/23,1)+1)&amp;INDEX('Serial Reference'!$A$8:$W$8,1,MOD($A71-1,23)+1)&amp;TEXT(AA$2+FLOOR((AA$2-1)/9,1),"000"),"")</f>
        <v>CZ028</v>
      </c>
      <c r="AB71" s="22" t="str">
        <f>IF(INDEX('Shot Map'!$B$6:$V$26,CEILING($A71/5,1),CEILING(AB$2/5,1))=1,INDEX('Serial Reference'!$A$8:$W$8,1,FLOOR(($A71-1)/23,1)+1)&amp;INDEX('Serial Reference'!$A$8:$W$8,1,MOD($A71-1,23)+1)&amp;TEXT(AB$2+FLOOR((AB$2-1)/9,1),"000"),"")</f>
        <v>CZ029</v>
      </c>
      <c r="AC71" s="22" t="str">
        <f>IF(INDEX('Shot Map'!$B$6:$V$26,CEILING($A71/5,1),CEILING(AC$2/5,1))=1,INDEX('Serial Reference'!$A$8:$W$8,1,FLOOR(($A71-1)/23,1)+1)&amp;INDEX('Serial Reference'!$A$8:$W$8,1,MOD($A71-1,23)+1)&amp;TEXT(AC$2+FLOOR((AC$2-1)/9,1),"000"),"")</f>
        <v>CZ031</v>
      </c>
      <c r="AD71" s="22" t="str">
        <f>IF(INDEX('Shot Map'!$B$6:$V$26,CEILING($A71/5,1),CEILING(AD$2/5,1))=1,INDEX('Serial Reference'!$A$8:$W$8,1,FLOOR(($A71-1)/23,1)+1)&amp;INDEX('Serial Reference'!$A$8:$W$8,1,MOD($A71-1,23)+1)&amp;TEXT(AD$2+FLOOR((AD$2-1)/9,1),"000"),"")</f>
        <v>CZ032</v>
      </c>
      <c r="AE71" s="23" t="str">
        <f>IF(INDEX('Shot Map'!$B$6:$V$26,CEILING($A71/5,1),CEILING(AE$2/5,1))=1,INDEX('Serial Reference'!$A$8:$W$8,1,FLOOR(($A71-1)/23,1)+1)&amp;INDEX('Serial Reference'!$A$8:$W$8,1,MOD($A71-1,23)+1)&amp;TEXT(AE$2+FLOOR((AE$2-1)/9,1),"000"),"")</f>
        <v>CZ033</v>
      </c>
      <c r="AF71" s="21" t="str">
        <f>IF(INDEX('Shot Map'!$B$6:$V$26,CEILING($A71/5,1),CEILING(AF$2/5,1))=1,INDEX('Serial Reference'!$A$8:$W$8,1,FLOOR(($A71-1)/23,1)+1)&amp;INDEX('Serial Reference'!$A$8:$W$8,1,MOD($A71-1,23)+1)&amp;TEXT(AF$2+FLOOR((AF$2-1)/9,1),"000"),"")</f>
        <v>CZ034</v>
      </c>
      <c r="AG71" s="22" t="str">
        <f>IF(INDEX('Shot Map'!$B$6:$V$26,CEILING($A71/5,1),CEILING(AG$2/5,1))=1,INDEX('Serial Reference'!$A$8:$W$8,1,FLOOR(($A71-1)/23,1)+1)&amp;INDEX('Serial Reference'!$A$8:$W$8,1,MOD($A71-1,23)+1)&amp;TEXT(AG$2+FLOOR((AG$2-1)/9,1),"000"),"")</f>
        <v>CZ035</v>
      </c>
      <c r="AH71" s="22" t="str">
        <f>IF(INDEX('Shot Map'!$B$6:$V$26,CEILING($A71/5,1),CEILING(AH$2/5,1))=1,INDEX('Serial Reference'!$A$8:$W$8,1,FLOOR(($A71-1)/23,1)+1)&amp;INDEX('Serial Reference'!$A$8:$W$8,1,MOD($A71-1,23)+1)&amp;TEXT(AH$2+FLOOR((AH$2-1)/9,1),"000"),"")</f>
        <v>CZ036</v>
      </c>
      <c r="AI71" s="22" t="str">
        <f>IF(INDEX('Shot Map'!$B$6:$V$26,CEILING($A71/5,1),CEILING(AI$2/5,1))=1,INDEX('Serial Reference'!$A$8:$W$8,1,FLOOR(($A71-1)/23,1)+1)&amp;INDEX('Serial Reference'!$A$8:$W$8,1,MOD($A71-1,23)+1)&amp;TEXT(AI$2+FLOOR((AI$2-1)/9,1),"000"),"")</f>
        <v>CZ037</v>
      </c>
      <c r="AJ71" s="23" t="str">
        <f>IF(INDEX('Shot Map'!$B$6:$V$26,CEILING($A71/5,1),CEILING(AJ$2/5,1))=1,INDEX('Serial Reference'!$A$8:$W$8,1,FLOOR(($A71-1)/23,1)+1)&amp;INDEX('Serial Reference'!$A$8:$W$8,1,MOD($A71-1,23)+1)&amp;TEXT(AJ$2+FLOOR((AJ$2-1)/9,1),"000"),"")</f>
        <v>CZ038</v>
      </c>
      <c r="AK71" s="21" t="str">
        <f>IF(INDEX('Shot Map'!$B$6:$V$26,CEILING($A71/5,1),CEILING(AK$2/5,1))=1,INDEX('Serial Reference'!$A$8:$W$8,1,FLOOR(($A71-1)/23,1)+1)&amp;INDEX('Serial Reference'!$A$8:$W$8,1,MOD($A71-1,23)+1)&amp;TEXT(AK$2+FLOOR((AK$2-1)/9,1),"000"),"")</f>
        <v>CZ039</v>
      </c>
      <c r="AL71" s="22" t="str">
        <f>IF(INDEX('Shot Map'!$B$6:$V$26,CEILING($A71/5,1),CEILING(AL$2/5,1))=1,INDEX('Serial Reference'!$A$8:$W$8,1,FLOOR(($A71-1)/23,1)+1)&amp;INDEX('Serial Reference'!$A$8:$W$8,1,MOD($A71-1,23)+1)&amp;TEXT(AL$2+FLOOR((AL$2-1)/9,1),"000"),"")</f>
        <v>CZ041</v>
      </c>
      <c r="AM71" s="22" t="str">
        <f>IF(INDEX('Shot Map'!$B$6:$V$26,CEILING($A71/5,1),CEILING(AM$2/5,1))=1,INDEX('Serial Reference'!$A$8:$W$8,1,FLOOR(($A71-1)/23,1)+1)&amp;INDEX('Serial Reference'!$A$8:$W$8,1,MOD($A71-1,23)+1)&amp;TEXT(AM$2+FLOOR((AM$2-1)/9,1),"000"),"")</f>
        <v>CZ042</v>
      </c>
      <c r="AN71" s="22" t="str">
        <f>IF(INDEX('Shot Map'!$B$6:$V$26,CEILING($A71/5,1),CEILING(AN$2/5,1))=1,INDEX('Serial Reference'!$A$8:$W$8,1,FLOOR(($A71-1)/23,1)+1)&amp;INDEX('Serial Reference'!$A$8:$W$8,1,MOD($A71-1,23)+1)&amp;TEXT(AN$2+FLOOR((AN$2-1)/9,1),"000"),"")</f>
        <v>CZ043</v>
      </c>
      <c r="AO71" s="23" t="str">
        <f>IF(INDEX('Shot Map'!$B$6:$V$26,CEILING($A71/5,1),CEILING(AO$2/5,1))=1,INDEX('Serial Reference'!$A$8:$W$8,1,FLOOR(($A71-1)/23,1)+1)&amp;INDEX('Serial Reference'!$A$8:$W$8,1,MOD($A71-1,23)+1)&amp;TEXT(AO$2+FLOOR((AO$2-1)/9,1),"000"),"")</f>
        <v>CZ044</v>
      </c>
      <c r="AP71" s="21" t="str">
        <f>IF(INDEX('Shot Map'!$B$6:$V$26,CEILING($A71/5,1),CEILING(AP$2/5,1))=1,INDEX('Serial Reference'!$A$8:$W$8,1,FLOOR(($A71-1)/23,1)+1)&amp;INDEX('Serial Reference'!$A$8:$W$8,1,MOD($A71-1,23)+1)&amp;TEXT(AP$2+FLOOR((AP$2-1)/9,1),"000"),"")</f>
        <v>CZ045</v>
      </c>
      <c r="AQ71" s="22" t="str">
        <f>IF(INDEX('Shot Map'!$B$6:$V$26,CEILING($A71/5,1),CEILING(AQ$2/5,1))=1,INDEX('Serial Reference'!$A$8:$W$8,1,FLOOR(($A71-1)/23,1)+1)&amp;INDEX('Serial Reference'!$A$8:$W$8,1,MOD($A71-1,23)+1)&amp;TEXT(AQ$2+FLOOR((AQ$2-1)/9,1),"000"),"")</f>
        <v>CZ046</v>
      </c>
      <c r="AR71" s="22" t="str">
        <f>IF(INDEX('Shot Map'!$B$6:$V$26,CEILING($A71/5,1),CEILING(AR$2/5,1))=1,INDEX('Serial Reference'!$A$8:$W$8,1,FLOOR(($A71-1)/23,1)+1)&amp;INDEX('Serial Reference'!$A$8:$W$8,1,MOD($A71-1,23)+1)&amp;TEXT(AR$2+FLOOR((AR$2-1)/9,1),"000"),"")</f>
        <v>CZ047</v>
      </c>
      <c r="AS71" s="22" t="str">
        <f>IF(INDEX('Shot Map'!$B$6:$V$26,CEILING($A71/5,1),CEILING(AS$2/5,1))=1,INDEX('Serial Reference'!$A$8:$W$8,1,FLOOR(($A71-1)/23,1)+1)&amp;INDEX('Serial Reference'!$A$8:$W$8,1,MOD($A71-1,23)+1)&amp;TEXT(AS$2+FLOOR((AS$2-1)/9,1),"000"),"")</f>
        <v>CZ048</v>
      </c>
      <c r="AT71" s="23" t="str">
        <f>IF(INDEX('Shot Map'!$B$6:$V$26,CEILING($A71/5,1),CEILING(AT$2/5,1))=1,INDEX('Serial Reference'!$A$8:$W$8,1,FLOOR(($A71-1)/23,1)+1)&amp;INDEX('Serial Reference'!$A$8:$W$8,1,MOD($A71-1,23)+1)&amp;TEXT(AT$2+FLOOR((AT$2-1)/9,1),"000"),"")</f>
        <v>CZ049</v>
      </c>
      <c r="AU71" s="21" t="str">
        <f>IF(INDEX('Shot Map'!$B$6:$V$26,CEILING($A71/5,1),CEILING(AU$2/5,1))=1,INDEX('Serial Reference'!$A$8:$W$8,1,FLOOR(($A71-1)/23,1)+1)&amp;INDEX('Serial Reference'!$A$8:$W$8,1,MOD($A71-1,23)+1)&amp;TEXT(AU$2+FLOOR((AU$2-1)/9,1),"000"),"")</f>
        <v>CZ051</v>
      </c>
      <c r="AV71" s="22" t="str">
        <f>IF(INDEX('Shot Map'!$B$6:$V$26,CEILING($A71/5,1),CEILING(AV$2/5,1))=1,INDEX('Serial Reference'!$A$8:$W$8,1,FLOOR(($A71-1)/23,1)+1)&amp;INDEX('Serial Reference'!$A$8:$W$8,1,MOD($A71-1,23)+1)&amp;TEXT(AV$2+FLOOR((AV$2-1)/9,1),"000"),"")</f>
        <v>CZ052</v>
      </c>
      <c r="AW71" s="22" t="str">
        <f>IF(INDEX('Shot Map'!$B$6:$V$26,CEILING($A71/5,1),CEILING(AW$2/5,1))=1,INDEX('Serial Reference'!$A$8:$W$8,1,FLOOR(($A71-1)/23,1)+1)&amp;INDEX('Serial Reference'!$A$8:$W$8,1,MOD($A71-1,23)+1)&amp;TEXT(AW$2+FLOOR((AW$2-1)/9,1),"000"),"")</f>
        <v>CZ053</v>
      </c>
      <c r="AX71" s="22" t="str">
        <f>IF(INDEX('Shot Map'!$B$6:$V$26,CEILING($A71/5,1),CEILING(AX$2/5,1))=1,INDEX('Serial Reference'!$A$8:$W$8,1,FLOOR(($A71-1)/23,1)+1)&amp;INDEX('Serial Reference'!$A$8:$W$8,1,MOD($A71-1,23)+1)&amp;TEXT(AX$2+FLOOR((AX$2-1)/9,1),"000"),"")</f>
        <v>CZ054</v>
      </c>
      <c r="AY71" s="23" t="str">
        <f>IF(INDEX('Shot Map'!$B$6:$V$26,CEILING($A71/5,1),CEILING(AY$2/5,1))=1,INDEX('Serial Reference'!$A$8:$W$8,1,FLOOR(($A71-1)/23,1)+1)&amp;INDEX('Serial Reference'!$A$8:$W$8,1,MOD($A71-1,23)+1)&amp;TEXT(AY$2+FLOOR((AY$2-1)/9,1),"000"),"")</f>
        <v>CZ055</v>
      </c>
      <c r="AZ71" s="21" t="str">
        <f>IF(INDEX('Shot Map'!$B$6:$V$26,CEILING($A71/5,1),CEILING(AZ$2/5,1))=1,INDEX('Serial Reference'!$A$8:$W$8,1,FLOOR(($A71-1)/23,1)+1)&amp;INDEX('Serial Reference'!$A$8:$W$8,1,MOD($A71-1,23)+1)&amp;TEXT(AZ$2+FLOOR((AZ$2-1)/9,1),"000"),"")</f>
        <v>CZ056</v>
      </c>
      <c r="BA71" s="22" t="str">
        <f>IF(INDEX('Shot Map'!$B$6:$V$26,CEILING($A71/5,1),CEILING(BA$2/5,1))=1,INDEX('Serial Reference'!$A$8:$W$8,1,FLOOR(($A71-1)/23,1)+1)&amp;INDEX('Serial Reference'!$A$8:$W$8,1,MOD($A71-1,23)+1)&amp;TEXT(BA$2+FLOOR((BA$2-1)/9,1),"000"),"")</f>
        <v>CZ057</v>
      </c>
      <c r="BB71" s="22" t="str">
        <f>IF(INDEX('Shot Map'!$B$6:$V$26,CEILING($A71/5,1),CEILING(BB$2/5,1))=1,INDEX('Serial Reference'!$A$8:$W$8,1,FLOOR(($A71-1)/23,1)+1)&amp;INDEX('Serial Reference'!$A$8:$W$8,1,MOD($A71-1,23)+1)&amp;TEXT(BB$2+FLOOR((BB$2-1)/9,1),"000"),"")</f>
        <v>CZ058</v>
      </c>
      <c r="BC71" s="22" t="str">
        <f>IF(INDEX('Shot Map'!$B$6:$V$26,CEILING($A71/5,1),CEILING(BC$2/5,1))=1,INDEX('Serial Reference'!$A$8:$W$8,1,FLOOR(($A71-1)/23,1)+1)&amp;INDEX('Serial Reference'!$A$8:$W$8,1,MOD($A71-1,23)+1)&amp;TEXT(BC$2+FLOOR((BC$2-1)/9,1),"000"),"")</f>
        <v>CZ059</v>
      </c>
      <c r="BD71" s="23" t="str">
        <f>IF(INDEX('Shot Map'!$B$6:$V$26,CEILING($A71/5,1),CEILING(BD$2/5,1))=1,INDEX('Serial Reference'!$A$8:$W$8,1,FLOOR(($A71-1)/23,1)+1)&amp;INDEX('Serial Reference'!$A$8:$W$8,1,MOD($A71-1,23)+1)&amp;TEXT(BD$2+FLOOR((BD$2-1)/9,1),"000"),"")</f>
        <v>CZ061</v>
      </c>
      <c r="BE71" s="21" t="str">
        <f>IF(INDEX('Shot Map'!$B$6:$V$26,CEILING($A71/5,1),CEILING(BE$2/5,1))=1,INDEX('Serial Reference'!$A$8:$W$8,1,FLOOR(($A71-1)/23,1)+1)&amp;INDEX('Serial Reference'!$A$8:$W$8,1,MOD($A71-1,23)+1)&amp;TEXT(BE$2+FLOOR((BE$2-1)/9,1),"000"),"")</f>
        <v>CZ062</v>
      </c>
      <c r="BF71" s="22" t="str">
        <f>IF(INDEX('Shot Map'!$B$6:$V$26,CEILING($A71/5,1),CEILING(BF$2/5,1))=1,INDEX('Serial Reference'!$A$8:$W$8,1,FLOOR(($A71-1)/23,1)+1)&amp;INDEX('Serial Reference'!$A$8:$W$8,1,MOD($A71-1,23)+1)&amp;TEXT(BF$2+FLOOR((BF$2-1)/9,1),"000"),"")</f>
        <v>CZ063</v>
      </c>
      <c r="BG71" s="22" t="str">
        <f>IF(INDEX('Shot Map'!$B$6:$V$26,CEILING($A71/5,1),CEILING(BG$2/5,1))=1,INDEX('Serial Reference'!$A$8:$W$8,1,FLOOR(($A71-1)/23,1)+1)&amp;INDEX('Serial Reference'!$A$8:$W$8,1,MOD($A71-1,23)+1)&amp;TEXT(BG$2+FLOOR((BG$2-1)/9,1),"000"),"")</f>
        <v>CZ064</v>
      </c>
      <c r="BH71" s="22" t="str">
        <f>IF(INDEX('Shot Map'!$B$6:$V$26,CEILING($A71/5,1),CEILING(BH$2/5,1))=1,INDEX('Serial Reference'!$A$8:$W$8,1,FLOOR(($A71-1)/23,1)+1)&amp;INDEX('Serial Reference'!$A$8:$W$8,1,MOD($A71-1,23)+1)&amp;TEXT(BH$2+FLOOR((BH$2-1)/9,1),"000"),"")</f>
        <v>CZ065</v>
      </c>
      <c r="BI71" s="23" t="str">
        <f>IF(INDEX('Shot Map'!$B$6:$V$26,CEILING($A71/5,1),CEILING(BI$2/5,1))=1,INDEX('Serial Reference'!$A$8:$W$8,1,FLOOR(($A71-1)/23,1)+1)&amp;INDEX('Serial Reference'!$A$8:$W$8,1,MOD($A71-1,23)+1)&amp;TEXT(BI$2+FLOOR((BI$2-1)/9,1),"000"),"")</f>
        <v>CZ066</v>
      </c>
      <c r="BJ71" s="21" t="str">
        <f>IF(INDEX('Shot Map'!$B$6:$V$26,CEILING($A71/5,1),CEILING(BJ$2/5,1))=1,INDEX('Serial Reference'!$A$8:$W$8,1,FLOOR(($A71-1)/23,1)+1)&amp;INDEX('Serial Reference'!$A$8:$W$8,1,MOD($A71-1,23)+1)&amp;TEXT(BJ$2+FLOOR((BJ$2-1)/9,1),"000"),"")</f>
        <v>CZ067</v>
      </c>
      <c r="BK71" s="22" t="str">
        <f>IF(INDEX('Shot Map'!$B$6:$V$26,CEILING($A71/5,1),CEILING(BK$2/5,1))=1,INDEX('Serial Reference'!$A$8:$W$8,1,FLOOR(($A71-1)/23,1)+1)&amp;INDEX('Serial Reference'!$A$8:$W$8,1,MOD($A71-1,23)+1)&amp;TEXT(BK$2+FLOOR((BK$2-1)/9,1),"000"),"")</f>
        <v>CZ068</v>
      </c>
      <c r="BL71" s="22" t="str">
        <f>IF(INDEX('Shot Map'!$B$6:$V$26,CEILING($A71/5,1),CEILING(BL$2/5,1))=1,INDEX('Serial Reference'!$A$8:$W$8,1,FLOOR(($A71-1)/23,1)+1)&amp;INDEX('Serial Reference'!$A$8:$W$8,1,MOD($A71-1,23)+1)&amp;TEXT(BL$2+FLOOR((BL$2-1)/9,1),"000"),"")</f>
        <v>CZ069</v>
      </c>
      <c r="BM71" s="22" t="str">
        <f>IF(INDEX('Shot Map'!$B$6:$V$26,CEILING($A71/5,1),CEILING(BM$2/5,1))=1,INDEX('Serial Reference'!$A$8:$W$8,1,FLOOR(($A71-1)/23,1)+1)&amp;INDEX('Serial Reference'!$A$8:$W$8,1,MOD($A71-1,23)+1)&amp;TEXT(BM$2+FLOOR((BM$2-1)/9,1),"000"),"")</f>
        <v>CZ071</v>
      </c>
      <c r="BN71" s="23" t="str">
        <f>IF(INDEX('Shot Map'!$B$6:$V$26,CEILING($A71/5,1),CEILING(BN$2/5,1))=1,INDEX('Serial Reference'!$A$8:$W$8,1,FLOOR(($A71-1)/23,1)+1)&amp;INDEX('Serial Reference'!$A$8:$W$8,1,MOD($A71-1,23)+1)&amp;TEXT(BN$2+FLOOR((BN$2-1)/9,1),"000"),"")</f>
        <v>CZ072</v>
      </c>
      <c r="BO71" s="21" t="str">
        <f>IF(INDEX('Shot Map'!$B$6:$V$26,CEILING($A71/5,1),CEILING(BO$2/5,1))=1,INDEX('Serial Reference'!$A$8:$W$8,1,FLOOR(($A71-1)/23,1)+1)&amp;INDEX('Serial Reference'!$A$8:$W$8,1,MOD($A71-1,23)+1)&amp;TEXT(BO$2+FLOOR((BO$2-1)/9,1),"000"),"")</f>
        <v>CZ073</v>
      </c>
      <c r="BP71" s="22" t="str">
        <f>IF(INDEX('Shot Map'!$B$6:$V$26,CEILING($A71/5,1),CEILING(BP$2/5,1))=1,INDEX('Serial Reference'!$A$8:$W$8,1,FLOOR(($A71-1)/23,1)+1)&amp;INDEX('Serial Reference'!$A$8:$W$8,1,MOD($A71-1,23)+1)&amp;TEXT(BP$2+FLOOR((BP$2-1)/9,1),"000"),"")</f>
        <v>CZ074</v>
      </c>
      <c r="BQ71" s="22" t="str">
        <f>IF(INDEX('Shot Map'!$B$6:$V$26,CEILING($A71/5,1),CEILING(BQ$2/5,1))=1,INDEX('Serial Reference'!$A$8:$W$8,1,FLOOR(($A71-1)/23,1)+1)&amp;INDEX('Serial Reference'!$A$8:$W$8,1,MOD($A71-1,23)+1)&amp;TEXT(BQ$2+FLOOR((BQ$2-1)/9,1),"000"),"")</f>
        <v>CZ075</v>
      </c>
      <c r="BR71" s="22" t="str">
        <f>IF(INDEX('Shot Map'!$B$6:$V$26,CEILING($A71/5,1),CEILING(BR$2/5,1))=1,INDEX('Serial Reference'!$A$8:$W$8,1,FLOOR(($A71-1)/23,1)+1)&amp;INDEX('Serial Reference'!$A$8:$W$8,1,MOD($A71-1,23)+1)&amp;TEXT(BR$2+FLOOR((BR$2-1)/9,1),"000"),"")</f>
        <v>CZ076</v>
      </c>
      <c r="BS71" s="23" t="str">
        <f>IF(INDEX('Shot Map'!$B$6:$V$26,CEILING($A71/5,1),CEILING(BS$2/5,1))=1,INDEX('Serial Reference'!$A$8:$W$8,1,FLOOR(($A71-1)/23,1)+1)&amp;INDEX('Serial Reference'!$A$8:$W$8,1,MOD($A71-1,23)+1)&amp;TEXT(BS$2+FLOOR((BS$2-1)/9,1),"000"),"")</f>
        <v>CZ077</v>
      </c>
      <c r="BT71" s="21" t="str">
        <f>IF(INDEX('Shot Map'!$B$6:$V$26,CEILING($A71/5,1),CEILING(BT$2/5,1))=1,INDEX('Serial Reference'!$A$8:$W$8,1,FLOOR(($A71-1)/23,1)+1)&amp;INDEX('Serial Reference'!$A$8:$W$8,1,MOD($A71-1,23)+1)&amp;TEXT(BT$2+FLOOR((BT$2-1)/9,1),"000"),"")</f>
        <v>CZ078</v>
      </c>
      <c r="BU71" s="22" t="str">
        <f>IF(INDEX('Shot Map'!$B$6:$V$26,CEILING($A71/5,1),CEILING(BU$2/5,1))=1,INDEX('Serial Reference'!$A$8:$W$8,1,FLOOR(($A71-1)/23,1)+1)&amp;INDEX('Serial Reference'!$A$8:$W$8,1,MOD($A71-1,23)+1)&amp;TEXT(BU$2+FLOOR((BU$2-1)/9,1),"000"),"")</f>
        <v>CZ079</v>
      </c>
      <c r="BV71" s="22" t="str">
        <f>IF(INDEX('Shot Map'!$B$6:$V$26,CEILING($A71/5,1),CEILING(BV$2/5,1))=1,INDEX('Serial Reference'!$A$8:$W$8,1,FLOOR(($A71-1)/23,1)+1)&amp;INDEX('Serial Reference'!$A$8:$W$8,1,MOD($A71-1,23)+1)&amp;TEXT(BV$2+FLOOR((BV$2-1)/9,1),"000"),"")</f>
        <v>CZ081</v>
      </c>
      <c r="BW71" s="22" t="str">
        <f>IF(INDEX('Shot Map'!$B$6:$V$26,CEILING($A71/5,1),CEILING(BW$2/5,1))=1,INDEX('Serial Reference'!$A$8:$W$8,1,FLOOR(($A71-1)/23,1)+1)&amp;INDEX('Serial Reference'!$A$8:$W$8,1,MOD($A71-1,23)+1)&amp;TEXT(BW$2+FLOOR((BW$2-1)/9,1),"000"),"")</f>
        <v>CZ082</v>
      </c>
      <c r="BX71" s="23" t="str">
        <f>IF(INDEX('Shot Map'!$B$6:$V$26,CEILING($A71/5,1),CEILING(BX$2/5,1))=1,INDEX('Serial Reference'!$A$8:$W$8,1,FLOOR(($A71-1)/23,1)+1)&amp;INDEX('Serial Reference'!$A$8:$W$8,1,MOD($A71-1,23)+1)&amp;TEXT(BX$2+FLOOR((BX$2-1)/9,1),"000"),"")</f>
        <v>CZ083</v>
      </c>
      <c r="BY71" s="21" t="str">
        <f>IF(INDEX('Shot Map'!$B$6:$V$26,CEILING($A71/5,1),CEILING(BY$2/5,1))=1,INDEX('Serial Reference'!$A$8:$W$8,1,FLOOR(($A71-1)/23,1)+1)&amp;INDEX('Serial Reference'!$A$8:$W$8,1,MOD($A71-1,23)+1)&amp;TEXT(BY$2+FLOOR((BY$2-1)/9,1),"000"),"")</f>
        <v>CZ084</v>
      </c>
      <c r="BZ71" s="22" t="str">
        <f>IF(INDEX('Shot Map'!$B$6:$V$26,CEILING($A71/5,1),CEILING(BZ$2/5,1))=1,INDEX('Serial Reference'!$A$8:$W$8,1,FLOOR(($A71-1)/23,1)+1)&amp;INDEX('Serial Reference'!$A$8:$W$8,1,MOD($A71-1,23)+1)&amp;TEXT(BZ$2+FLOOR((BZ$2-1)/9,1),"000"),"")</f>
        <v>CZ085</v>
      </c>
      <c r="CA71" s="22" t="str">
        <f>IF(INDEX('Shot Map'!$B$6:$V$26,CEILING($A71/5,1),CEILING(CA$2/5,1))=1,INDEX('Serial Reference'!$A$8:$W$8,1,FLOOR(($A71-1)/23,1)+1)&amp;INDEX('Serial Reference'!$A$8:$W$8,1,MOD($A71-1,23)+1)&amp;TEXT(CA$2+FLOOR((CA$2-1)/9,1),"000"),"")</f>
        <v>CZ086</v>
      </c>
      <c r="CB71" s="22" t="str">
        <f>IF(INDEX('Shot Map'!$B$6:$V$26,CEILING($A71/5,1),CEILING(CB$2/5,1))=1,INDEX('Serial Reference'!$A$8:$W$8,1,FLOOR(($A71-1)/23,1)+1)&amp;INDEX('Serial Reference'!$A$8:$W$8,1,MOD($A71-1,23)+1)&amp;TEXT(CB$2+FLOOR((CB$2-1)/9,1),"000"),"")</f>
        <v>CZ087</v>
      </c>
      <c r="CC71" s="23" t="str">
        <f>IF(INDEX('Shot Map'!$B$6:$V$26,CEILING($A71/5,1),CEILING(CC$2/5,1))=1,INDEX('Serial Reference'!$A$8:$W$8,1,FLOOR(($A71-1)/23,1)+1)&amp;INDEX('Serial Reference'!$A$8:$W$8,1,MOD($A71-1,23)+1)&amp;TEXT(CC$2+FLOOR((CC$2-1)/9,1),"000"),"")</f>
        <v>CZ088</v>
      </c>
      <c r="CD71" s="21" t="str">
        <f>IF(INDEX('Shot Map'!$B$6:$V$26,CEILING($A71/5,1),CEILING(CD$2/5,1))=1,INDEX('Serial Reference'!$A$8:$W$8,1,FLOOR(($A71-1)/23,1)+1)&amp;INDEX('Serial Reference'!$A$8:$W$8,1,MOD($A71-1,23)+1)&amp;TEXT(CD$2+FLOOR((CD$2-1)/9,1),"000"),"")</f>
        <v>CZ089</v>
      </c>
      <c r="CE71" s="22" t="str">
        <f>IF(INDEX('Shot Map'!$B$6:$V$26,CEILING($A71/5,1),CEILING(CE$2/5,1))=1,INDEX('Serial Reference'!$A$8:$W$8,1,FLOOR(($A71-1)/23,1)+1)&amp;INDEX('Serial Reference'!$A$8:$W$8,1,MOD($A71-1,23)+1)&amp;TEXT(CE$2+FLOOR((CE$2-1)/9,1),"000"),"")</f>
        <v>CZ091</v>
      </c>
      <c r="CF71" s="22" t="str">
        <f>IF(INDEX('Shot Map'!$B$6:$V$26,CEILING($A71/5,1),CEILING(CF$2/5,1))=1,INDEX('Serial Reference'!$A$8:$W$8,1,FLOOR(($A71-1)/23,1)+1)&amp;INDEX('Serial Reference'!$A$8:$W$8,1,MOD($A71-1,23)+1)&amp;TEXT(CF$2+FLOOR((CF$2-1)/9,1),"000"),"")</f>
        <v>CZ092</v>
      </c>
      <c r="CG71" s="22" t="str">
        <f>IF(INDEX('Shot Map'!$B$6:$V$26,CEILING($A71/5,1),CEILING(CG$2/5,1))=1,INDEX('Serial Reference'!$A$8:$W$8,1,FLOOR(($A71-1)/23,1)+1)&amp;INDEX('Serial Reference'!$A$8:$W$8,1,MOD($A71-1,23)+1)&amp;TEXT(CG$2+FLOOR((CG$2-1)/9,1),"000"),"")</f>
        <v>CZ093</v>
      </c>
      <c r="CH71" s="23" t="str">
        <f>IF(INDEX('Shot Map'!$B$6:$V$26,CEILING($A71/5,1),CEILING(CH$2/5,1))=1,INDEX('Serial Reference'!$A$8:$W$8,1,FLOOR(($A71-1)/23,1)+1)&amp;INDEX('Serial Reference'!$A$8:$W$8,1,MOD($A71-1,23)+1)&amp;TEXT(CH$2+FLOOR((CH$2-1)/9,1),"000"),"")</f>
        <v>CZ094</v>
      </c>
      <c r="CI71" s="21" t="str">
        <f>IF(INDEX('Shot Map'!$B$6:$V$26,CEILING($A71/5,1),CEILING(CI$2/5,1))=1,INDEX('Serial Reference'!$A$8:$W$8,1,FLOOR(($A71-1)/23,1)+1)&amp;INDEX('Serial Reference'!$A$8:$W$8,1,MOD($A71-1,23)+1)&amp;TEXT(CI$2+FLOOR((CI$2-1)/9,1),"000"),"")</f>
        <v>CZ095</v>
      </c>
      <c r="CJ71" s="22" t="str">
        <f>IF(INDEX('Shot Map'!$B$6:$V$26,CEILING($A71/5,1),CEILING(CJ$2/5,1))=1,INDEX('Serial Reference'!$A$8:$W$8,1,FLOOR(($A71-1)/23,1)+1)&amp;INDEX('Serial Reference'!$A$8:$W$8,1,MOD($A71-1,23)+1)&amp;TEXT(CJ$2+FLOOR((CJ$2-1)/9,1),"000"),"")</f>
        <v>CZ096</v>
      </c>
      <c r="CK71" s="22" t="str">
        <f>IF(INDEX('Shot Map'!$B$6:$V$26,CEILING($A71/5,1),CEILING(CK$2/5,1))=1,INDEX('Serial Reference'!$A$8:$W$8,1,FLOOR(($A71-1)/23,1)+1)&amp;INDEX('Serial Reference'!$A$8:$W$8,1,MOD($A71-1,23)+1)&amp;TEXT(CK$2+FLOOR((CK$2-1)/9,1),"000"),"")</f>
        <v>CZ097</v>
      </c>
      <c r="CL71" s="22" t="str">
        <f>IF(INDEX('Shot Map'!$B$6:$V$26,CEILING($A71/5,1),CEILING(CL$2/5,1))=1,INDEX('Serial Reference'!$A$8:$W$8,1,FLOOR(($A71-1)/23,1)+1)&amp;INDEX('Serial Reference'!$A$8:$W$8,1,MOD($A71-1,23)+1)&amp;TEXT(CL$2+FLOOR((CL$2-1)/9,1),"000"),"")</f>
        <v>CZ098</v>
      </c>
      <c r="CM71" s="23" t="str">
        <f>IF(INDEX('Shot Map'!$B$6:$V$26,CEILING($A71/5,1),CEILING(CM$2/5,1))=1,INDEX('Serial Reference'!$A$8:$W$8,1,FLOOR(($A71-1)/23,1)+1)&amp;INDEX('Serial Reference'!$A$8:$W$8,1,MOD($A71-1,23)+1)&amp;TEXT(CM$2+FLOOR((CM$2-1)/9,1),"000"),"")</f>
        <v>CZ099</v>
      </c>
      <c r="CN71" s="21" t="str">
        <f>IF(INDEX('Shot Map'!$B$6:$V$26,CEILING($A71/5,1),CEILING(CN$2/5,1))=1,INDEX('Serial Reference'!$A$8:$W$8,1,FLOOR(($A71-1)/23,1)+1)&amp;INDEX('Serial Reference'!$A$8:$W$8,1,MOD($A71-1,23)+1)&amp;TEXT(CN$2+FLOOR((CN$2-1)/9,1),"000"),"")</f>
        <v>CZ101</v>
      </c>
      <c r="CO71" s="22" t="str">
        <f>IF(INDEX('Shot Map'!$B$6:$V$26,CEILING($A71/5,1),CEILING(CO$2/5,1))=1,INDEX('Serial Reference'!$A$8:$W$8,1,FLOOR(($A71-1)/23,1)+1)&amp;INDEX('Serial Reference'!$A$8:$W$8,1,MOD($A71-1,23)+1)&amp;TEXT(CO$2+FLOOR((CO$2-1)/9,1),"000"),"")</f>
        <v>CZ102</v>
      </c>
      <c r="CP71" s="22" t="str">
        <f>IF(INDEX('Shot Map'!$B$6:$V$26,CEILING($A71/5,1),CEILING(CP$2/5,1))=1,INDEX('Serial Reference'!$A$8:$W$8,1,FLOOR(($A71-1)/23,1)+1)&amp;INDEX('Serial Reference'!$A$8:$W$8,1,MOD($A71-1,23)+1)&amp;TEXT(CP$2+FLOOR((CP$2-1)/9,1),"000"),"")</f>
        <v>CZ103</v>
      </c>
      <c r="CQ71" s="22" t="str">
        <f>IF(INDEX('Shot Map'!$B$6:$V$26,CEILING($A71/5,1),CEILING(CQ$2/5,1))=1,INDEX('Serial Reference'!$A$8:$W$8,1,FLOOR(($A71-1)/23,1)+1)&amp;INDEX('Serial Reference'!$A$8:$W$8,1,MOD($A71-1,23)+1)&amp;TEXT(CQ$2+FLOOR((CQ$2-1)/9,1),"000"),"")</f>
        <v>CZ104</v>
      </c>
      <c r="CR71" s="23" t="str">
        <f>IF(INDEX('Shot Map'!$B$6:$V$26,CEILING($A71/5,1),CEILING(CR$2/5,1))=1,INDEX('Serial Reference'!$A$8:$W$8,1,FLOOR(($A71-1)/23,1)+1)&amp;INDEX('Serial Reference'!$A$8:$W$8,1,MOD($A71-1,23)+1)&amp;TEXT(CR$2+FLOOR((CR$2-1)/9,1),"000"),"")</f>
        <v>CZ105</v>
      </c>
      <c r="CS71" s="21" t="str">
        <f>IF(INDEX('Shot Map'!$B$6:$V$26,CEILING($A71/5,1),CEILING(CS$2/5,1))=1,INDEX('Serial Reference'!$A$8:$W$8,1,FLOOR(($A71-1)/23,1)+1)&amp;INDEX('Serial Reference'!$A$8:$W$8,1,MOD($A71-1,23)+1)&amp;TEXT(CS$2+FLOOR((CS$2-1)/9,1),"000"),"")</f>
        <v>CZ106</v>
      </c>
      <c r="CT71" s="22" t="str">
        <f>IF(INDEX('Shot Map'!$B$6:$V$26,CEILING($A71/5,1),CEILING(CT$2/5,1))=1,INDEX('Serial Reference'!$A$8:$W$8,1,FLOOR(($A71-1)/23,1)+1)&amp;INDEX('Serial Reference'!$A$8:$W$8,1,MOD($A71-1,23)+1)&amp;TEXT(CT$2+FLOOR((CT$2-1)/9,1),"000"),"")</f>
        <v>CZ107</v>
      </c>
      <c r="CU71" s="22" t="str">
        <f>IF(INDEX('Shot Map'!$B$6:$V$26,CEILING($A71/5,1),CEILING(CU$2/5,1))=1,INDEX('Serial Reference'!$A$8:$W$8,1,FLOOR(($A71-1)/23,1)+1)&amp;INDEX('Serial Reference'!$A$8:$W$8,1,MOD($A71-1,23)+1)&amp;TEXT(CU$2+FLOOR((CU$2-1)/9,1),"000"),"")</f>
        <v>CZ108</v>
      </c>
      <c r="CV71" s="22" t="str">
        <f>IF(INDEX('Shot Map'!$B$6:$V$26,CEILING($A71/5,1),CEILING(CV$2/5,1))=1,INDEX('Serial Reference'!$A$8:$W$8,1,FLOOR(($A71-1)/23,1)+1)&amp;INDEX('Serial Reference'!$A$8:$W$8,1,MOD($A71-1,23)+1)&amp;TEXT(CV$2+FLOOR((CV$2-1)/9,1),"000"),"")</f>
        <v>CZ109</v>
      </c>
      <c r="CW71" s="23" t="str">
        <f>IF(INDEX('Shot Map'!$B$6:$V$26,CEILING($A71/5,1),CEILING(CW$2/5,1))=1,INDEX('Serial Reference'!$A$8:$W$8,1,FLOOR(($A71-1)/23,1)+1)&amp;INDEX('Serial Reference'!$A$8:$W$8,1,MOD($A71-1,23)+1)&amp;TEXT(CW$2+FLOOR((CW$2-1)/9,1),"000"),"")</f>
        <v>CZ111</v>
      </c>
      <c r="CX71" s="21" t="str">
        <f>IF(INDEX('Shot Map'!$B$6:$V$26,CEILING($A71/5,1),CEILING(CX$2/5,1))=1,INDEX('Serial Reference'!$A$8:$W$8,1,FLOOR(($A71-1)/23,1)+1)&amp;INDEX('Serial Reference'!$A$8:$W$8,1,MOD($A71-1,23)+1)&amp;TEXT(CX$2+FLOOR((CX$2-1)/9,1),"000"),"")</f>
        <v/>
      </c>
      <c r="CY71" s="22" t="str">
        <f>IF(INDEX('Shot Map'!$B$6:$V$26,CEILING($A71/5,1),CEILING(CY$2/5,1))=1,INDEX('Serial Reference'!$A$8:$W$8,1,FLOOR(($A71-1)/23,1)+1)&amp;INDEX('Serial Reference'!$A$8:$W$8,1,MOD($A71-1,23)+1)&amp;TEXT(CY$2+FLOOR((CY$2-1)/9,1),"000"),"")</f>
        <v/>
      </c>
      <c r="CZ71" s="22" t="str">
        <f>IF(INDEX('Shot Map'!$B$6:$V$26,CEILING($A71/5,1),CEILING(CZ$2/5,1))=1,INDEX('Serial Reference'!$A$8:$W$8,1,FLOOR(($A71-1)/23,1)+1)&amp;INDEX('Serial Reference'!$A$8:$W$8,1,MOD($A71-1,23)+1)&amp;TEXT(CZ$2+FLOOR((CZ$2-1)/9,1),"000"),"")</f>
        <v/>
      </c>
      <c r="DA71" s="22" t="str">
        <f>IF(INDEX('Shot Map'!$B$6:$V$26,CEILING($A71/5,1),CEILING(DA$2/5,1))=1,INDEX('Serial Reference'!$A$8:$W$8,1,FLOOR(($A71-1)/23,1)+1)&amp;INDEX('Serial Reference'!$A$8:$W$8,1,MOD($A71-1,23)+1)&amp;TEXT(DA$2+FLOOR((DA$2-1)/9,1),"000"),"")</f>
        <v/>
      </c>
      <c r="DB71" s="23" t="str">
        <f>IF(INDEX('Shot Map'!$B$6:$V$26,CEILING($A71/5,1),CEILING(DB$2/5,1))=1,INDEX('Serial Reference'!$A$8:$W$8,1,FLOOR(($A71-1)/23,1)+1)&amp;INDEX('Serial Reference'!$A$8:$W$8,1,MOD($A71-1,23)+1)&amp;TEXT(DB$2+FLOOR((DB$2-1)/9,1),"000"),"")</f>
        <v/>
      </c>
    </row>
    <row r="72" spans="1:106" ht="12.75" customHeight="1" x14ac:dyDescent="0.25">
      <c r="A72" s="17">
        <v>70</v>
      </c>
      <c r="B72" s="24" t="str">
        <f>IF(INDEX('Shot Map'!$B$6:$V$26,CEILING($A72/5,1),CEILING(B$2/5,1))=1,INDEX('Serial Reference'!$A$8:$W$8,1,FLOOR(($A72-1)/23,1)+1)&amp;INDEX('Serial Reference'!$A$8:$W$8,1,MOD($A72-1,23)+1)&amp;TEXT(B$2+FLOOR((B$2-1)/9,1),"000"),"")</f>
        <v/>
      </c>
      <c r="C72" s="25" t="str">
        <f>IF(INDEX('Shot Map'!$B$6:$V$26,CEILING($A72/5,1),CEILING(C$2/5,1))=1,INDEX('Serial Reference'!$A$8:$W$8,1,FLOOR(($A72-1)/23,1)+1)&amp;INDEX('Serial Reference'!$A$8:$W$8,1,MOD($A72-1,23)+1)&amp;TEXT(C$2+FLOOR((C$2-1)/9,1),"000"),"")</f>
        <v/>
      </c>
      <c r="D72" s="25" t="str">
        <f>IF(INDEX('Shot Map'!$B$6:$V$26,CEILING($A72/5,1),CEILING(D$2/5,1))=1,INDEX('Serial Reference'!$A$8:$W$8,1,FLOOR(($A72-1)/23,1)+1)&amp;INDEX('Serial Reference'!$A$8:$W$8,1,MOD($A72-1,23)+1)&amp;TEXT(D$2+FLOOR((D$2-1)/9,1),"000"),"")</f>
        <v/>
      </c>
      <c r="E72" s="25" t="str">
        <f>IF(INDEX('Shot Map'!$B$6:$V$26,CEILING($A72/5,1),CEILING(E$2/5,1))=1,INDEX('Serial Reference'!$A$8:$W$8,1,FLOOR(($A72-1)/23,1)+1)&amp;INDEX('Serial Reference'!$A$8:$W$8,1,MOD($A72-1,23)+1)&amp;TEXT(E$2+FLOOR((E$2-1)/9,1),"000"),"")</f>
        <v/>
      </c>
      <c r="F72" s="26" t="str">
        <f>IF(INDEX('Shot Map'!$B$6:$V$26,CEILING($A72/5,1),CEILING(F$2/5,1))=1,INDEX('Serial Reference'!$A$8:$W$8,1,FLOOR(($A72-1)/23,1)+1)&amp;INDEX('Serial Reference'!$A$8:$W$8,1,MOD($A72-1,23)+1)&amp;TEXT(F$2+FLOOR((F$2-1)/9,1),"000"),"")</f>
        <v/>
      </c>
      <c r="G72" s="24" t="str">
        <f>IF(INDEX('Shot Map'!$B$6:$V$26,CEILING($A72/5,1),CEILING(G$2/5,1))=1,INDEX('Serial Reference'!$A$8:$W$8,1,FLOOR(($A72-1)/23,1)+1)&amp;INDEX('Serial Reference'!$A$8:$W$8,1,MOD($A72-1,23)+1)&amp;TEXT(G$2+FLOOR((G$2-1)/9,1),"000"),"")</f>
        <v>DA006</v>
      </c>
      <c r="H72" s="25" t="str">
        <f>IF(INDEX('Shot Map'!$B$6:$V$26,CEILING($A72/5,1),CEILING(H$2/5,1))=1,INDEX('Serial Reference'!$A$8:$W$8,1,FLOOR(($A72-1)/23,1)+1)&amp;INDEX('Serial Reference'!$A$8:$W$8,1,MOD($A72-1,23)+1)&amp;TEXT(H$2+FLOOR((H$2-1)/9,1),"000"),"")</f>
        <v>DA007</v>
      </c>
      <c r="I72" s="25" t="str">
        <f>IF(INDEX('Shot Map'!$B$6:$V$26,CEILING($A72/5,1),CEILING(I$2/5,1))=1,INDEX('Serial Reference'!$A$8:$W$8,1,FLOOR(($A72-1)/23,1)+1)&amp;INDEX('Serial Reference'!$A$8:$W$8,1,MOD($A72-1,23)+1)&amp;TEXT(I$2+FLOOR((I$2-1)/9,1),"000"),"")</f>
        <v>DA008</v>
      </c>
      <c r="J72" s="25" t="str">
        <f>IF(INDEX('Shot Map'!$B$6:$V$26,CEILING($A72/5,1),CEILING(J$2/5,1))=1,INDEX('Serial Reference'!$A$8:$W$8,1,FLOOR(($A72-1)/23,1)+1)&amp;INDEX('Serial Reference'!$A$8:$W$8,1,MOD($A72-1,23)+1)&amp;TEXT(J$2+FLOOR((J$2-1)/9,1),"000"),"")</f>
        <v>DA009</v>
      </c>
      <c r="K72" s="26" t="str">
        <f>IF(INDEX('Shot Map'!$B$6:$V$26,CEILING($A72/5,1),CEILING(K$2/5,1))=1,INDEX('Serial Reference'!$A$8:$W$8,1,FLOOR(($A72-1)/23,1)+1)&amp;INDEX('Serial Reference'!$A$8:$W$8,1,MOD($A72-1,23)+1)&amp;TEXT(K$2+FLOOR((K$2-1)/9,1),"000"),"")</f>
        <v>DA011</v>
      </c>
      <c r="L72" s="24" t="str">
        <f>IF(INDEX('Shot Map'!$B$6:$V$26,CEILING($A72/5,1),CEILING(L$2/5,1))=1,INDEX('Serial Reference'!$A$8:$W$8,1,FLOOR(($A72-1)/23,1)+1)&amp;INDEX('Serial Reference'!$A$8:$W$8,1,MOD($A72-1,23)+1)&amp;TEXT(L$2+FLOOR((L$2-1)/9,1),"000"),"")</f>
        <v>DA012</v>
      </c>
      <c r="M72" s="25" t="str">
        <f>IF(INDEX('Shot Map'!$B$6:$V$26,CEILING($A72/5,1),CEILING(M$2/5,1))=1,INDEX('Serial Reference'!$A$8:$W$8,1,FLOOR(($A72-1)/23,1)+1)&amp;INDEX('Serial Reference'!$A$8:$W$8,1,MOD($A72-1,23)+1)&amp;TEXT(M$2+FLOOR((M$2-1)/9,1),"000"),"")</f>
        <v>DA013</v>
      </c>
      <c r="N72" s="25" t="str">
        <f>IF(INDEX('Shot Map'!$B$6:$V$26,CEILING($A72/5,1),CEILING(N$2/5,1))=1,INDEX('Serial Reference'!$A$8:$W$8,1,FLOOR(($A72-1)/23,1)+1)&amp;INDEX('Serial Reference'!$A$8:$W$8,1,MOD($A72-1,23)+1)&amp;TEXT(N$2+FLOOR((N$2-1)/9,1),"000"),"")</f>
        <v>DA014</v>
      </c>
      <c r="O72" s="25" t="str">
        <f>IF(INDEX('Shot Map'!$B$6:$V$26,CEILING($A72/5,1),CEILING(O$2/5,1))=1,INDEX('Serial Reference'!$A$8:$W$8,1,FLOOR(($A72-1)/23,1)+1)&amp;INDEX('Serial Reference'!$A$8:$W$8,1,MOD($A72-1,23)+1)&amp;TEXT(O$2+FLOOR((O$2-1)/9,1),"000"),"")</f>
        <v>DA015</v>
      </c>
      <c r="P72" s="26" t="str">
        <f>IF(INDEX('Shot Map'!$B$6:$V$26,CEILING($A72/5,1),CEILING(P$2/5,1))=1,INDEX('Serial Reference'!$A$8:$W$8,1,FLOOR(($A72-1)/23,1)+1)&amp;INDEX('Serial Reference'!$A$8:$W$8,1,MOD($A72-1,23)+1)&amp;TEXT(P$2+FLOOR((P$2-1)/9,1),"000"),"")</f>
        <v>DA016</v>
      </c>
      <c r="Q72" s="24" t="str">
        <f>IF(INDEX('Shot Map'!$B$6:$V$26,CEILING($A72/5,1),CEILING(Q$2/5,1))=1,INDEX('Serial Reference'!$A$8:$W$8,1,FLOOR(($A72-1)/23,1)+1)&amp;INDEX('Serial Reference'!$A$8:$W$8,1,MOD($A72-1,23)+1)&amp;TEXT(Q$2+FLOOR((Q$2-1)/9,1),"000"),"")</f>
        <v>DA017</v>
      </c>
      <c r="R72" s="25" t="str">
        <f>IF(INDEX('Shot Map'!$B$6:$V$26,CEILING($A72/5,1),CEILING(R$2/5,1))=1,INDEX('Serial Reference'!$A$8:$W$8,1,FLOOR(($A72-1)/23,1)+1)&amp;INDEX('Serial Reference'!$A$8:$W$8,1,MOD($A72-1,23)+1)&amp;TEXT(R$2+FLOOR((R$2-1)/9,1),"000"),"")</f>
        <v>DA018</v>
      </c>
      <c r="S72" s="25" t="str">
        <f>IF(INDEX('Shot Map'!$B$6:$V$26,CEILING($A72/5,1),CEILING(S$2/5,1))=1,INDEX('Serial Reference'!$A$8:$W$8,1,FLOOR(($A72-1)/23,1)+1)&amp;INDEX('Serial Reference'!$A$8:$W$8,1,MOD($A72-1,23)+1)&amp;TEXT(S$2+FLOOR((S$2-1)/9,1),"000"),"")</f>
        <v>DA019</v>
      </c>
      <c r="T72" s="25" t="str">
        <f>IF(INDEX('Shot Map'!$B$6:$V$26,CEILING($A72/5,1),CEILING(T$2/5,1))=1,INDEX('Serial Reference'!$A$8:$W$8,1,FLOOR(($A72-1)/23,1)+1)&amp;INDEX('Serial Reference'!$A$8:$W$8,1,MOD($A72-1,23)+1)&amp;TEXT(T$2+FLOOR((T$2-1)/9,1),"000"),"")</f>
        <v>DA021</v>
      </c>
      <c r="U72" s="26" t="str">
        <f>IF(INDEX('Shot Map'!$B$6:$V$26,CEILING($A72/5,1),CEILING(U$2/5,1))=1,INDEX('Serial Reference'!$A$8:$W$8,1,FLOOR(($A72-1)/23,1)+1)&amp;INDEX('Serial Reference'!$A$8:$W$8,1,MOD($A72-1,23)+1)&amp;TEXT(U$2+FLOOR((U$2-1)/9,1),"000"),"")</f>
        <v>DA022</v>
      </c>
      <c r="V72" s="24" t="str">
        <f>IF(INDEX('Shot Map'!$B$6:$V$26,CEILING($A72/5,1),CEILING(V$2/5,1))=1,INDEX('Serial Reference'!$A$8:$W$8,1,FLOOR(($A72-1)/23,1)+1)&amp;INDEX('Serial Reference'!$A$8:$W$8,1,MOD($A72-1,23)+1)&amp;TEXT(V$2+FLOOR((V$2-1)/9,1),"000"),"")</f>
        <v>DA023</v>
      </c>
      <c r="W72" s="25" t="str">
        <f>IF(INDEX('Shot Map'!$B$6:$V$26,CEILING($A72/5,1),CEILING(W$2/5,1))=1,INDEX('Serial Reference'!$A$8:$W$8,1,FLOOR(($A72-1)/23,1)+1)&amp;INDEX('Serial Reference'!$A$8:$W$8,1,MOD($A72-1,23)+1)&amp;TEXT(W$2+FLOOR((W$2-1)/9,1),"000"),"")</f>
        <v>DA024</v>
      </c>
      <c r="X72" s="25" t="str">
        <f>IF(INDEX('Shot Map'!$B$6:$V$26,CEILING($A72/5,1),CEILING(X$2/5,1))=1,INDEX('Serial Reference'!$A$8:$W$8,1,FLOOR(($A72-1)/23,1)+1)&amp;INDEX('Serial Reference'!$A$8:$W$8,1,MOD($A72-1,23)+1)&amp;TEXT(X$2+FLOOR((X$2-1)/9,1),"000"),"")</f>
        <v>DA025</v>
      </c>
      <c r="Y72" s="25" t="str">
        <f>IF(INDEX('Shot Map'!$B$6:$V$26,CEILING($A72/5,1),CEILING(Y$2/5,1))=1,INDEX('Serial Reference'!$A$8:$W$8,1,FLOOR(($A72-1)/23,1)+1)&amp;INDEX('Serial Reference'!$A$8:$W$8,1,MOD($A72-1,23)+1)&amp;TEXT(Y$2+FLOOR((Y$2-1)/9,1),"000"),"")</f>
        <v>DA026</v>
      </c>
      <c r="Z72" s="26" t="str">
        <f>IF(INDEX('Shot Map'!$B$6:$V$26,CEILING($A72/5,1),CEILING(Z$2/5,1))=1,INDEX('Serial Reference'!$A$8:$W$8,1,FLOOR(($A72-1)/23,1)+1)&amp;INDEX('Serial Reference'!$A$8:$W$8,1,MOD($A72-1,23)+1)&amp;TEXT(Z$2+FLOOR((Z$2-1)/9,1),"000"),"")</f>
        <v>DA027</v>
      </c>
      <c r="AA72" s="24" t="str">
        <f>IF(INDEX('Shot Map'!$B$6:$V$26,CEILING($A72/5,1),CEILING(AA$2/5,1))=1,INDEX('Serial Reference'!$A$8:$W$8,1,FLOOR(($A72-1)/23,1)+1)&amp;INDEX('Serial Reference'!$A$8:$W$8,1,MOD($A72-1,23)+1)&amp;TEXT(AA$2+FLOOR((AA$2-1)/9,1),"000"),"")</f>
        <v>DA028</v>
      </c>
      <c r="AB72" s="25" t="str">
        <f>IF(INDEX('Shot Map'!$B$6:$V$26,CEILING($A72/5,1),CEILING(AB$2/5,1))=1,INDEX('Serial Reference'!$A$8:$W$8,1,FLOOR(($A72-1)/23,1)+1)&amp;INDEX('Serial Reference'!$A$8:$W$8,1,MOD($A72-1,23)+1)&amp;TEXT(AB$2+FLOOR((AB$2-1)/9,1),"000"),"")</f>
        <v>DA029</v>
      </c>
      <c r="AC72" s="25" t="str">
        <f>IF(INDEX('Shot Map'!$B$6:$V$26,CEILING($A72/5,1),CEILING(AC$2/5,1))=1,INDEX('Serial Reference'!$A$8:$W$8,1,FLOOR(($A72-1)/23,1)+1)&amp;INDEX('Serial Reference'!$A$8:$W$8,1,MOD($A72-1,23)+1)&amp;TEXT(AC$2+FLOOR((AC$2-1)/9,1),"000"),"")</f>
        <v>DA031</v>
      </c>
      <c r="AD72" s="25" t="str">
        <f>IF(INDEX('Shot Map'!$B$6:$V$26,CEILING($A72/5,1),CEILING(AD$2/5,1))=1,INDEX('Serial Reference'!$A$8:$W$8,1,FLOOR(($A72-1)/23,1)+1)&amp;INDEX('Serial Reference'!$A$8:$W$8,1,MOD($A72-1,23)+1)&amp;TEXT(AD$2+FLOOR((AD$2-1)/9,1),"000"),"")</f>
        <v>DA032</v>
      </c>
      <c r="AE72" s="26" t="str">
        <f>IF(INDEX('Shot Map'!$B$6:$V$26,CEILING($A72/5,1),CEILING(AE$2/5,1))=1,INDEX('Serial Reference'!$A$8:$W$8,1,FLOOR(($A72-1)/23,1)+1)&amp;INDEX('Serial Reference'!$A$8:$W$8,1,MOD($A72-1,23)+1)&amp;TEXT(AE$2+FLOOR((AE$2-1)/9,1),"000"),"")</f>
        <v>DA033</v>
      </c>
      <c r="AF72" s="24" t="str">
        <f>IF(INDEX('Shot Map'!$B$6:$V$26,CEILING($A72/5,1),CEILING(AF$2/5,1))=1,INDEX('Serial Reference'!$A$8:$W$8,1,FLOOR(($A72-1)/23,1)+1)&amp;INDEX('Serial Reference'!$A$8:$W$8,1,MOD($A72-1,23)+1)&amp;TEXT(AF$2+FLOOR((AF$2-1)/9,1),"000"),"")</f>
        <v>DA034</v>
      </c>
      <c r="AG72" s="25" t="str">
        <f>IF(INDEX('Shot Map'!$B$6:$V$26,CEILING($A72/5,1),CEILING(AG$2/5,1))=1,INDEX('Serial Reference'!$A$8:$W$8,1,FLOOR(($A72-1)/23,1)+1)&amp;INDEX('Serial Reference'!$A$8:$W$8,1,MOD($A72-1,23)+1)&amp;TEXT(AG$2+FLOOR((AG$2-1)/9,1),"000"),"")</f>
        <v>DA035</v>
      </c>
      <c r="AH72" s="25" t="str">
        <f>IF(INDEX('Shot Map'!$B$6:$V$26,CEILING($A72/5,1),CEILING(AH$2/5,1))=1,INDEX('Serial Reference'!$A$8:$W$8,1,FLOOR(($A72-1)/23,1)+1)&amp;INDEX('Serial Reference'!$A$8:$W$8,1,MOD($A72-1,23)+1)&amp;TEXT(AH$2+FLOOR((AH$2-1)/9,1),"000"),"")</f>
        <v>DA036</v>
      </c>
      <c r="AI72" s="25" t="str">
        <f>IF(INDEX('Shot Map'!$B$6:$V$26,CEILING($A72/5,1),CEILING(AI$2/5,1))=1,INDEX('Serial Reference'!$A$8:$W$8,1,FLOOR(($A72-1)/23,1)+1)&amp;INDEX('Serial Reference'!$A$8:$W$8,1,MOD($A72-1,23)+1)&amp;TEXT(AI$2+FLOOR((AI$2-1)/9,1),"000"),"")</f>
        <v>DA037</v>
      </c>
      <c r="AJ72" s="26" t="str">
        <f>IF(INDEX('Shot Map'!$B$6:$V$26,CEILING($A72/5,1),CEILING(AJ$2/5,1))=1,INDEX('Serial Reference'!$A$8:$W$8,1,FLOOR(($A72-1)/23,1)+1)&amp;INDEX('Serial Reference'!$A$8:$W$8,1,MOD($A72-1,23)+1)&amp;TEXT(AJ$2+FLOOR((AJ$2-1)/9,1),"000"),"")</f>
        <v>DA038</v>
      </c>
      <c r="AK72" s="24" t="str">
        <f>IF(INDEX('Shot Map'!$B$6:$V$26,CEILING($A72/5,1),CEILING(AK$2/5,1))=1,INDEX('Serial Reference'!$A$8:$W$8,1,FLOOR(($A72-1)/23,1)+1)&amp;INDEX('Serial Reference'!$A$8:$W$8,1,MOD($A72-1,23)+1)&amp;TEXT(AK$2+FLOOR((AK$2-1)/9,1),"000"),"")</f>
        <v>DA039</v>
      </c>
      <c r="AL72" s="25" t="str">
        <f>IF(INDEX('Shot Map'!$B$6:$V$26,CEILING($A72/5,1),CEILING(AL$2/5,1))=1,INDEX('Serial Reference'!$A$8:$W$8,1,FLOOR(($A72-1)/23,1)+1)&amp;INDEX('Serial Reference'!$A$8:$W$8,1,MOD($A72-1,23)+1)&amp;TEXT(AL$2+FLOOR((AL$2-1)/9,1),"000"),"")</f>
        <v>DA041</v>
      </c>
      <c r="AM72" s="25" t="str">
        <f>IF(INDEX('Shot Map'!$B$6:$V$26,CEILING($A72/5,1),CEILING(AM$2/5,1))=1,INDEX('Serial Reference'!$A$8:$W$8,1,FLOOR(($A72-1)/23,1)+1)&amp;INDEX('Serial Reference'!$A$8:$W$8,1,MOD($A72-1,23)+1)&amp;TEXT(AM$2+FLOOR((AM$2-1)/9,1),"000"),"")</f>
        <v>DA042</v>
      </c>
      <c r="AN72" s="25" t="str">
        <f>IF(INDEX('Shot Map'!$B$6:$V$26,CEILING($A72/5,1),CEILING(AN$2/5,1))=1,INDEX('Serial Reference'!$A$8:$W$8,1,FLOOR(($A72-1)/23,1)+1)&amp;INDEX('Serial Reference'!$A$8:$W$8,1,MOD($A72-1,23)+1)&amp;TEXT(AN$2+FLOOR((AN$2-1)/9,1),"000"),"")</f>
        <v>DA043</v>
      </c>
      <c r="AO72" s="26" t="str">
        <f>IF(INDEX('Shot Map'!$B$6:$V$26,CEILING($A72/5,1),CEILING(AO$2/5,1))=1,INDEX('Serial Reference'!$A$8:$W$8,1,FLOOR(($A72-1)/23,1)+1)&amp;INDEX('Serial Reference'!$A$8:$W$8,1,MOD($A72-1,23)+1)&amp;TEXT(AO$2+FLOOR((AO$2-1)/9,1),"000"),"")</f>
        <v>DA044</v>
      </c>
      <c r="AP72" s="24" t="str">
        <f>IF(INDEX('Shot Map'!$B$6:$V$26,CEILING($A72/5,1),CEILING(AP$2/5,1))=1,INDEX('Serial Reference'!$A$8:$W$8,1,FLOOR(($A72-1)/23,1)+1)&amp;INDEX('Serial Reference'!$A$8:$W$8,1,MOD($A72-1,23)+1)&amp;TEXT(AP$2+FLOOR((AP$2-1)/9,1),"000"),"")</f>
        <v>DA045</v>
      </c>
      <c r="AQ72" s="25" t="str">
        <f>IF(INDEX('Shot Map'!$B$6:$V$26,CEILING($A72/5,1),CEILING(AQ$2/5,1))=1,INDEX('Serial Reference'!$A$8:$W$8,1,FLOOR(($A72-1)/23,1)+1)&amp;INDEX('Serial Reference'!$A$8:$W$8,1,MOD($A72-1,23)+1)&amp;TEXT(AQ$2+FLOOR((AQ$2-1)/9,1),"000"),"")</f>
        <v>DA046</v>
      </c>
      <c r="AR72" s="25" t="str">
        <f>IF(INDEX('Shot Map'!$B$6:$V$26,CEILING($A72/5,1),CEILING(AR$2/5,1))=1,INDEX('Serial Reference'!$A$8:$W$8,1,FLOOR(($A72-1)/23,1)+1)&amp;INDEX('Serial Reference'!$A$8:$W$8,1,MOD($A72-1,23)+1)&amp;TEXT(AR$2+FLOOR((AR$2-1)/9,1),"000"),"")</f>
        <v>DA047</v>
      </c>
      <c r="AS72" s="25" t="str">
        <f>IF(INDEX('Shot Map'!$B$6:$V$26,CEILING($A72/5,1),CEILING(AS$2/5,1))=1,INDEX('Serial Reference'!$A$8:$W$8,1,FLOOR(($A72-1)/23,1)+1)&amp;INDEX('Serial Reference'!$A$8:$W$8,1,MOD($A72-1,23)+1)&amp;TEXT(AS$2+FLOOR((AS$2-1)/9,1),"000"),"")</f>
        <v>DA048</v>
      </c>
      <c r="AT72" s="26" t="str">
        <f>IF(INDEX('Shot Map'!$B$6:$V$26,CEILING($A72/5,1),CEILING(AT$2/5,1))=1,INDEX('Serial Reference'!$A$8:$W$8,1,FLOOR(($A72-1)/23,1)+1)&amp;INDEX('Serial Reference'!$A$8:$W$8,1,MOD($A72-1,23)+1)&amp;TEXT(AT$2+FLOOR((AT$2-1)/9,1),"000"),"")</f>
        <v>DA049</v>
      </c>
      <c r="AU72" s="24" t="str">
        <f>IF(INDEX('Shot Map'!$B$6:$V$26,CEILING($A72/5,1),CEILING(AU$2/5,1))=1,INDEX('Serial Reference'!$A$8:$W$8,1,FLOOR(($A72-1)/23,1)+1)&amp;INDEX('Serial Reference'!$A$8:$W$8,1,MOD($A72-1,23)+1)&amp;TEXT(AU$2+FLOOR((AU$2-1)/9,1),"000"),"")</f>
        <v>DA051</v>
      </c>
      <c r="AV72" s="25" t="str">
        <f>IF(INDEX('Shot Map'!$B$6:$V$26,CEILING($A72/5,1),CEILING(AV$2/5,1))=1,INDEX('Serial Reference'!$A$8:$W$8,1,FLOOR(($A72-1)/23,1)+1)&amp;INDEX('Serial Reference'!$A$8:$W$8,1,MOD($A72-1,23)+1)&amp;TEXT(AV$2+FLOOR((AV$2-1)/9,1),"000"),"")</f>
        <v>DA052</v>
      </c>
      <c r="AW72" s="25" t="str">
        <f>IF(INDEX('Shot Map'!$B$6:$V$26,CEILING($A72/5,1),CEILING(AW$2/5,1))=1,INDEX('Serial Reference'!$A$8:$W$8,1,FLOOR(($A72-1)/23,1)+1)&amp;INDEX('Serial Reference'!$A$8:$W$8,1,MOD($A72-1,23)+1)&amp;TEXT(AW$2+FLOOR((AW$2-1)/9,1),"000"),"")</f>
        <v>DA053</v>
      </c>
      <c r="AX72" s="25" t="str">
        <f>IF(INDEX('Shot Map'!$B$6:$V$26,CEILING($A72/5,1),CEILING(AX$2/5,1))=1,INDEX('Serial Reference'!$A$8:$W$8,1,FLOOR(($A72-1)/23,1)+1)&amp;INDEX('Serial Reference'!$A$8:$W$8,1,MOD($A72-1,23)+1)&amp;TEXT(AX$2+FLOOR((AX$2-1)/9,1),"000"),"")</f>
        <v>DA054</v>
      </c>
      <c r="AY72" s="26" t="str">
        <f>IF(INDEX('Shot Map'!$B$6:$V$26,CEILING($A72/5,1),CEILING(AY$2/5,1))=1,INDEX('Serial Reference'!$A$8:$W$8,1,FLOOR(($A72-1)/23,1)+1)&amp;INDEX('Serial Reference'!$A$8:$W$8,1,MOD($A72-1,23)+1)&amp;TEXT(AY$2+FLOOR((AY$2-1)/9,1),"000"),"")</f>
        <v>DA055</v>
      </c>
      <c r="AZ72" s="24" t="str">
        <f>IF(INDEX('Shot Map'!$B$6:$V$26,CEILING($A72/5,1),CEILING(AZ$2/5,1))=1,INDEX('Serial Reference'!$A$8:$W$8,1,FLOOR(($A72-1)/23,1)+1)&amp;INDEX('Serial Reference'!$A$8:$W$8,1,MOD($A72-1,23)+1)&amp;TEXT(AZ$2+FLOOR((AZ$2-1)/9,1),"000"),"")</f>
        <v>DA056</v>
      </c>
      <c r="BA72" s="25" t="str">
        <f>IF(INDEX('Shot Map'!$B$6:$V$26,CEILING($A72/5,1),CEILING(BA$2/5,1))=1,INDEX('Serial Reference'!$A$8:$W$8,1,FLOOR(($A72-1)/23,1)+1)&amp;INDEX('Serial Reference'!$A$8:$W$8,1,MOD($A72-1,23)+1)&amp;TEXT(BA$2+FLOOR((BA$2-1)/9,1),"000"),"")</f>
        <v>DA057</v>
      </c>
      <c r="BB72" s="25" t="str">
        <f>IF(INDEX('Shot Map'!$B$6:$V$26,CEILING($A72/5,1),CEILING(BB$2/5,1))=1,INDEX('Serial Reference'!$A$8:$W$8,1,FLOOR(($A72-1)/23,1)+1)&amp;INDEX('Serial Reference'!$A$8:$W$8,1,MOD($A72-1,23)+1)&amp;TEXT(BB$2+FLOOR((BB$2-1)/9,1),"000"),"")</f>
        <v>DA058</v>
      </c>
      <c r="BC72" s="25" t="str">
        <f>IF(INDEX('Shot Map'!$B$6:$V$26,CEILING($A72/5,1),CEILING(BC$2/5,1))=1,INDEX('Serial Reference'!$A$8:$W$8,1,FLOOR(($A72-1)/23,1)+1)&amp;INDEX('Serial Reference'!$A$8:$W$8,1,MOD($A72-1,23)+1)&amp;TEXT(BC$2+FLOOR((BC$2-1)/9,1),"000"),"")</f>
        <v>DA059</v>
      </c>
      <c r="BD72" s="26" t="str">
        <f>IF(INDEX('Shot Map'!$B$6:$V$26,CEILING($A72/5,1),CEILING(BD$2/5,1))=1,INDEX('Serial Reference'!$A$8:$W$8,1,FLOOR(($A72-1)/23,1)+1)&amp;INDEX('Serial Reference'!$A$8:$W$8,1,MOD($A72-1,23)+1)&amp;TEXT(BD$2+FLOOR((BD$2-1)/9,1),"000"),"")</f>
        <v>DA061</v>
      </c>
      <c r="BE72" s="24" t="str">
        <f>IF(INDEX('Shot Map'!$B$6:$V$26,CEILING($A72/5,1),CEILING(BE$2/5,1))=1,INDEX('Serial Reference'!$A$8:$W$8,1,FLOOR(($A72-1)/23,1)+1)&amp;INDEX('Serial Reference'!$A$8:$W$8,1,MOD($A72-1,23)+1)&amp;TEXT(BE$2+FLOOR((BE$2-1)/9,1),"000"),"")</f>
        <v>DA062</v>
      </c>
      <c r="BF72" s="25" t="str">
        <f>IF(INDEX('Shot Map'!$B$6:$V$26,CEILING($A72/5,1),CEILING(BF$2/5,1))=1,INDEX('Serial Reference'!$A$8:$W$8,1,FLOOR(($A72-1)/23,1)+1)&amp;INDEX('Serial Reference'!$A$8:$W$8,1,MOD($A72-1,23)+1)&amp;TEXT(BF$2+FLOOR((BF$2-1)/9,1),"000"),"")</f>
        <v>DA063</v>
      </c>
      <c r="BG72" s="25" t="str">
        <f>IF(INDEX('Shot Map'!$B$6:$V$26,CEILING($A72/5,1),CEILING(BG$2/5,1))=1,INDEX('Serial Reference'!$A$8:$W$8,1,FLOOR(($A72-1)/23,1)+1)&amp;INDEX('Serial Reference'!$A$8:$W$8,1,MOD($A72-1,23)+1)&amp;TEXT(BG$2+FLOOR((BG$2-1)/9,1),"000"),"")</f>
        <v>DA064</v>
      </c>
      <c r="BH72" s="25" t="str">
        <f>IF(INDEX('Shot Map'!$B$6:$V$26,CEILING($A72/5,1),CEILING(BH$2/5,1))=1,INDEX('Serial Reference'!$A$8:$W$8,1,FLOOR(($A72-1)/23,1)+1)&amp;INDEX('Serial Reference'!$A$8:$W$8,1,MOD($A72-1,23)+1)&amp;TEXT(BH$2+FLOOR((BH$2-1)/9,1),"000"),"")</f>
        <v>DA065</v>
      </c>
      <c r="BI72" s="26" t="str">
        <f>IF(INDEX('Shot Map'!$B$6:$V$26,CEILING($A72/5,1),CEILING(BI$2/5,1))=1,INDEX('Serial Reference'!$A$8:$W$8,1,FLOOR(($A72-1)/23,1)+1)&amp;INDEX('Serial Reference'!$A$8:$W$8,1,MOD($A72-1,23)+1)&amp;TEXT(BI$2+FLOOR((BI$2-1)/9,1),"000"),"")</f>
        <v>DA066</v>
      </c>
      <c r="BJ72" s="24" t="str">
        <f>IF(INDEX('Shot Map'!$B$6:$V$26,CEILING($A72/5,1),CEILING(BJ$2/5,1))=1,INDEX('Serial Reference'!$A$8:$W$8,1,FLOOR(($A72-1)/23,1)+1)&amp;INDEX('Serial Reference'!$A$8:$W$8,1,MOD($A72-1,23)+1)&amp;TEXT(BJ$2+FLOOR((BJ$2-1)/9,1),"000"),"")</f>
        <v>DA067</v>
      </c>
      <c r="BK72" s="25" t="str">
        <f>IF(INDEX('Shot Map'!$B$6:$V$26,CEILING($A72/5,1),CEILING(BK$2/5,1))=1,INDEX('Serial Reference'!$A$8:$W$8,1,FLOOR(($A72-1)/23,1)+1)&amp;INDEX('Serial Reference'!$A$8:$W$8,1,MOD($A72-1,23)+1)&amp;TEXT(BK$2+FLOOR((BK$2-1)/9,1),"000"),"")</f>
        <v>DA068</v>
      </c>
      <c r="BL72" s="25" t="str">
        <f>IF(INDEX('Shot Map'!$B$6:$V$26,CEILING($A72/5,1),CEILING(BL$2/5,1))=1,INDEX('Serial Reference'!$A$8:$W$8,1,FLOOR(($A72-1)/23,1)+1)&amp;INDEX('Serial Reference'!$A$8:$W$8,1,MOD($A72-1,23)+1)&amp;TEXT(BL$2+FLOOR((BL$2-1)/9,1),"000"),"")</f>
        <v>DA069</v>
      </c>
      <c r="BM72" s="25" t="str">
        <f>IF(INDEX('Shot Map'!$B$6:$V$26,CEILING($A72/5,1),CEILING(BM$2/5,1))=1,INDEX('Serial Reference'!$A$8:$W$8,1,FLOOR(($A72-1)/23,1)+1)&amp;INDEX('Serial Reference'!$A$8:$W$8,1,MOD($A72-1,23)+1)&amp;TEXT(BM$2+FLOOR((BM$2-1)/9,1),"000"),"")</f>
        <v>DA071</v>
      </c>
      <c r="BN72" s="26" t="str">
        <f>IF(INDEX('Shot Map'!$B$6:$V$26,CEILING($A72/5,1),CEILING(BN$2/5,1))=1,INDEX('Serial Reference'!$A$8:$W$8,1,FLOOR(($A72-1)/23,1)+1)&amp;INDEX('Serial Reference'!$A$8:$W$8,1,MOD($A72-1,23)+1)&amp;TEXT(BN$2+FLOOR((BN$2-1)/9,1),"000"),"")</f>
        <v>DA072</v>
      </c>
      <c r="BO72" s="24" t="str">
        <f>IF(INDEX('Shot Map'!$B$6:$V$26,CEILING($A72/5,1),CEILING(BO$2/5,1))=1,INDEX('Serial Reference'!$A$8:$W$8,1,FLOOR(($A72-1)/23,1)+1)&amp;INDEX('Serial Reference'!$A$8:$W$8,1,MOD($A72-1,23)+1)&amp;TEXT(BO$2+FLOOR((BO$2-1)/9,1),"000"),"")</f>
        <v>DA073</v>
      </c>
      <c r="BP72" s="25" t="str">
        <f>IF(INDEX('Shot Map'!$B$6:$V$26,CEILING($A72/5,1),CEILING(BP$2/5,1))=1,INDEX('Serial Reference'!$A$8:$W$8,1,FLOOR(($A72-1)/23,1)+1)&amp;INDEX('Serial Reference'!$A$8:$W$8,1,MOD($A72-1,23)+1)&amp;TEXT(BP$2+FLOOR((BP$2-1)/9,1),"000"),"")</f>
        <v>DA074</v>
      </c>
      <c r="BQ72" s="25" t="str">
        <f>IF(INDEX('Shot Map'!$B$6:$V$26,CEILING($A72/5,1),CEILING(BQ$2/5,1))=1,INDEX('Serial Reference'!$A$8:$W$8,1,FLOOR(($A72-1)/23,1)+1)&amp;INDEX('Serial Reference'!$A$8:$W$8,1,MOD($A72-1,23)+1)&amp;TEXT(BQ$2+FLOOR((BQ$2-1)/9,1),"000"),"")</f>
        <v>DA075</v>
      </c>
      <c r="BR72" s="25" t="str">
        <f>IF(INDEX('Shot Map'!$B$6:$V$26,CEILING($A72/5,1),CEILING(BR$2/5,1))=1,INDEX('Serial Reference'!$A$8:$W$8,1,FLOOR(($A72-1)/23,1)+1)&amp;INDEX('Serial Reference'!$A$8:$W$8,1,MOD($A72-1,23)+1)&amp;TEXT(BR$2+FLOOR((BR$2-1)/9,1),"000"),"")</f>
        <v>DA076</v>
      </c>
      <c r="BS72" s="26" t="str">
        <f>IF(INDEX('Shot Map'!$B$6:$V$26,CEILING($A72/5,1),CEILING(BS$2/5,1))=1,INDEX('Serial Reference'!$A$8:$W$8,1,FLOOR(($A72-1)/23,1)+1)&amp;INDEX('Serial Reference'!$A$8:$W$8,1,MOD($A72-1,23)+1)&amp;TEXT(BS$2+FLOOR((BS$2-1)/9,1),"000"),"")</f>
        <v>DA077</v>
      </c>
      <c r="BT72" s="24" t="str">
        <f>IF(INDEX('Shot Map'!$B$6:$V$26,CEILING($A72/5,1),CEILING(BT$2/5,1))=1,INDEX('Serial Reference'!$A$8:$W$8,1,FLOOR(($A72-1)/23,1)+1)&amp;INDEX('Serial Reference'!$A$8:$W$8,1,MOD($A72-1,23)+1)&amp;TEXT(BT$2+FLOOR((BT$2-1)/9,1),"000"),"")</f>
        <v>DA078</v>
      </c>
      <c r="BU72" s="25" t="str">
        <f>IF(INDEX('Shot Map'!$B$6:$V$26,CEILING($A72/5,1),CEILING(BU$2/5,1))=1,INDEX('Serial Reference'!$A$8:$W$8,1,FLOOR(($A72-1)/23,1)+1)&amp;INDEX('Serial Reference'!$A$8:$W$8,1,MOD($A72-1,23)+1)&amp;TEXT(BU$2+FLOOR((BU$2-1)/9,1),"000"),"")</f>
        <v>DA079</v>
      </c>
      <c r="BV72" s="25" t="str">
        <f>IF(INDEX('Shot Map'!$B$6:$V$26,CEILING($A72/5,1),CEILING(BV$2/5,1))=1,INDEX('Serial Reference'!$A$8:$W$8,1,FLOOR(($A72-1)/23,1)+1)&amp;INDEX('Serial Reference'!$A$8:$W$8,1,MOD($A72-1,23)+1)&amp;TEXT(BV$2+FLOOR((BV$2-1)/9,1),"000"),"")</f>
        <v>DA081</v>
      </c>
      <c r="BW72" s="25" t="str">
        <f>IF(INDEX('Shot Map'!$B$6:$V$26,CEILING($A72/5,1),CEILING(BW$2/5,1))=1,INDEX('Serial Reference'!$A$8:$W$8,1,FLOOR(($A72-1)/23,1)+1)&amp;INDEX('Serial Reference'!$A$8:$W$8,1,MOD($A72-1,23)+1)&amp;TEXT(BW$2+FLOOR((BW$2-1)/9,1),"000"),"")</f>
        <v>DA082</v>
      </c>
      <c r="BX72" s="26" t="str">
        <f>IF(INDEX('Shot Map'!$B$6:$V$26,CEILING($A72/5,1),CEILING(BX$2/5,1))=1,INDEX('Serial Reference'!$A$8:$W$8,1,FLOOR(($A72-1)/23,1)+1)&amp;INDEX('Serial Reference'!$A$8:$W$8,1,MOD($A72-1,23)+1)&amp;TEXT(BX$2+FLOOR((BX$2-1)/9,1),"000"),"")</f>
        <v>DA083</v>
      </c>
      <c r="BY72" s="24" t="str">
        <f>IF(INDEX('Shot Map'!$B$6:$V$26,CEILING($A72/5,1),CEILING(BY$2/5,1))=1,INDEX('Serial Reference'!$A$8:$W$8,1,FLOOR(($A72-1)/23,1)+1)&amp;INDEX('Serial Reference'!$A$8:$W$8,1,MOD($A72-1,23)+1)&amp;TEXT(BY$2+FLOOR((BY$2-1)/9,1),"000"),"")</f>
        <v>DA084</v>
      </c>
      <c r="BZ72" s="25" t="str">
        <f>IF(INDEX('Shot Map'!$B$6:$V$26,CEILING($A72/5,1),CEILING(BZ$2/5,1))=1,INDEX('Serial Reference'!$A$8:$W$8,1,FLOOR(($A72-1)/23,1)+1)&amp;INDEX('Serial Reference'!$A$8:$W$8,1,MOD($A72-1,23)+1)&amp;TEXT(BZ$2+FLOOR((BZ$2-1)/9,1),"000"),"")</f>
        <v>DA085</v>
      </c>
      <c r="CA72" s="25" t="str">
        <f>IF(INDEX('Shot Map'!$B$6:$V$26,CEILING($A72/5,1),CEILING(CA$2/5,1))=1,INDEX('Serial Reference'!$A$8:$W$8,1,FLOOR(($A72-1)/23,1)+1)&amp;INDEX('Serial Reference'!$A$8:$W$8,1,MOD($A72-1,23)+1)&amp;TEXT(CA$2+FLOOR((CA$2-1)/9,1),"000"),"")</f>
        <v>DA086</v>
      </c>
      <c r="CB72" s="25" t="str">
        <f>IF(INDEX('Shot Map'!$B$6:$V$26,CEILING($A72/5,1),CEILING(CB$2/5,1))=1,INDEX('Serial Reference'!$A$8:$W$8,1,FLOOR(($A72-1)/23,1)+1)&amp;INDEX('Serial Reference'!$A$8:$W$8,1,MOD($A72-1,23)+1)&amp;TEXT(CB$2+FLOOR((CB$2-1)/9,1),"000"),"")</f>
        <v>DA087</v>
      </c>
      <c r="CC72" s="26" t="str">
        <f>IF(INDEX('Shot Map'!$B$6:$V$26,CEILING($A72/5,1),CEILING(CC$2/5,1))=1,INDEX('Serial Reference'!$A$8:$W$8,1,FLOOR(($A72-1)/23,1)+1)&amp;INDEX('Serial Reference'!$A$8:$W$8,1,MOD($A72-1,23)+1)&amp;TEXT(CC$2+FLOOR((CC$2-1)/9,1),"000"),"")</f>
        <v>DA088</v>
      </c>
      <c r="CD72" s="24" t="str">
        <f>IF(INDEX('Shot Map'!$B$6:$V$26,CEILING($A72/5,1),CEILING(CD$2/5,1))=1,INDEX('Serial Reference'!$A$8:$W$8,1,FLOOR(($A72-1)/23,1)+1)&amp;INDEX('Serial Reference'!$A$8:$W$8,1,MOD($A72-1,23)+1)&amp;TEXT(CD$2+FLOOR((CD$2-1)/9,1),"000"),"")</f>
        <v>DA089</v>
      </c>
      <c r="CE72" s="25" t="str">
        <f>IF(INDEX('Shot Map'!$B$6:$V$26,CEILING($A72/5,1),CEILING(CE$2/5,1))=1,INDEX('Serial Reference'!$A$8:$W$8,1,FLOOR(($A72-1)/23,1)+1)&amp;INDEX('Serial Reference'!$A$8:$W$8,1,MOD($A72-1,23)+1)&amp;TEXT(CE$2+FLOOR((CE$2-1)/9,1),"000"),"")</f>
        <v>DA091</v>
      </c>
      <c r="CF72" s="25" t="str">
        <f>IF(INDEX('Shot Map'!$B$6:$V$26,CEILING($A72/5,1),CEILING(CF$2/5,1))=1,INDEX('Serial Reference'!$A$8:$W$8,1,FLOOR(($A72-1)/23,1)+1)&amp;INDEX('Serial Reference'!$A$8:$W$8,1,MOD($A72-1,23)+1)&amp;TEXT(CF$2+FLOOR((CF$2-1)/9,1),"000"),"")</f>
        <v>DA092</v>
      </c>
      <c r="CG72" s="25" t="str">
        <f>IF(INDEX('Shot Map'!$B$6:$V$26,CEILING($A72/5,1),CEILING(CG$2/5,1))=1,INDEX('Serial Reference'!$A$8:$W$8,1,FLOOR(($A72-1)/23,1)+1)&amp;INDEX('Serial Reference'!$A$8:$W$8,1,MOD($A72-1,23)+1)&amp;TEXT(CG$2+FLOOR((CG$2-1)/9,1),"000"),"")</f>
        <v>DA093</v>
      </c>
      <c r="CH72" s="26" t="str">
        <f>IF(INDEX('Shot Map'!$B$6:$V$26,CEILING($A72/5,1),CEILING(CH$2/5,1))=1,INDEX('Serial Reference'!$A$8:$W$8,1,FLOOR(($A72-1)/23,1)+1)&amp;INDEX('Serial Reference'!$A$8:$W$8,1,MOD($A72-1,23)+1)&amp;TEXT(CH$2+FLOOR((CH$2-1)/9,1),"000"),"")</f>
        <v>DA094</v>
      </c>
      <c r="CI72" s="24" t="str">
        <f>IF(INDEX('Shot Map'!$B$6:$V$26,CEILING($A72/5,1),CEILING(CI$2/5,1))=1,INDEX('Serial Reference'!$A$8:$W$8,1,FLOOR(($A72-1)/23,1)+1)&amp;INDEX('Serial Reference'!$A$8:$W$8,1,MOD($A72-1,23)+1)&amp;TEXT(CI$2+FLOOR((CI$2-1)/9,1),"000"),"")</f>
        <v>DA095</v>
      </c>
      <c r="CJ72" s="25" t="str">
        <f>IF(INDEX('Shot Map'!$B$6:$V$26,CEILING($A72/5,1),CEILING(CJ$2/5,1))=1,INDEX('Serial Reference'!$A$8:$W$8,1,FLOOR(($A72-1)/23,1)+1)&amp;INDEX('Serial Reference'!$A$8:$W$8,1,MOD($A72-1,23)+1)&amp;TEXT(CJ$2+FLOOR((CJ$2-1)/9,1),"000"),"")</f>
        <v>DA096</v>
      </c>
      <c r="CK72" s="25" t="str">
        <f>IF(INDEX('Shot Map'!$B$6:$V$26,CEILING($A72/5,1),CEILING(CK$2/5,1))=1,INDEX('Serial Reference'!$A$8:$W$8,1,FLOOR(($A72-1)/23,1)+1)&amp;INDEX('Serial Reference'!$A$8:$W$8,1,MOD($A72-1,23)+1)&amp;TEXT(CK$2+FLOOR((CK$2-1)/9,1),"000"),"")</f>
        <v>DA097</v>
      </c>
      <c r="CL72" s="25" t="str">
        <f>IF(INDEX('Shot Map'!$B$6:$V$26,CEILING($A72/5,1),CEILING(CL$2/5,1))=1,INDEX('Serial Reference'!$A$8:$W$8,1,FLOOR(($A72-1)/23,1)+1)&amp;INDEX('Serial Reference'!$A$8:$W$8,1,MOD($A72-1,23)+1)&amp;TEXT(CL$2+FLOOR((CL$2-1)/9,1),"000"),"")</f>
        <v>DA098</v>
      </c>
      <c r="CM72" s="26" t="str">
        <f>IF(INDEX('Shot Map'!$B$6:$V$26,CEILING($A72/5,1),CEILING(CM$2/5,1))=1,INDEX('Serial Reference'!$A$8:$W$8,1,FLOOR(($A72-1)/23,1)+1)&amp;INDEX('Serial Reference'!$A$8:$W$8,1,MOD($A72-1,23)+1)&amp;TEXT(CM$2+FLOOR((CM$2-1)/9,1),"000"),"")</f>
        <v>DA099</v>
      </c>
      <c r="CN72" s="24" t="str">
        <f>IF(INDEX('Shot Map'!$B$6:$V$26,CEILING($A72/5,1),CEILING(CN$2/5,1))=1,INDEX('Serial Reference'!$A$8:$W$8,1,FLOOR(($A72-1)/23,1)+1)&amp;INDEX('Serial Reference'!$A$8:$W$8,1,MOD($A72-1,23)+1)&amp;TEXT(CN$2+FLOOR((CN$2-1)/9,1),"000"),"")</f>
        <v>DA101</v>
      </c>
      <c r="CO72" s="25" t="str">
        <f>IF(INDEX('Shot Map'!$B$6:$V$26,CEILING($A72/5,1),CEILING(CO$2/5,1))=1,INDEX('Serial Reference'!$A$8:$W$8,1,FLOOR(($A72-1)/23,1)+1)&amp;INDEX('Serial Reference'!$A$8:$W$8,1,MOD($A72-1,23)+1)&amp;TEXT(CO$2+FLOOR((CO$2-1)/9,1),"000"),"")</f>
        <v>DA102</v>
      </c>
      <c r="CP72" s="25" t="str">
        <f>IF(INDEX('Shot Map'!$B$6:$V$26,CEILING($A72/5,1),CEILING(CP$2/5,1))=1,INDEX('Serial Reference'!$A$8:$W$8,1,FLOOR(($A72-1)/23,1)+1)&amp;INDEX('Serial Reference'!$A$8:$W$8,1,MOD($A72-1,23)+1)&amp;TEXT(CP$2+FLOOR((CP$2-1)/9,1),"000"),"")</f>
        <v>DA103</v>
      </c>
      <c r="CQ72" s="25" t="str">
        <f>IF(INDEX('Shot Map'!$B$6:$V$26,CEILING($A72/5,1),CEILING(CQ$2/5,1))=1,INDEX('Serial Reference'!$A$8:$W$8,1,FLOOR(($A72-1)/23,1)+1)&amp;INDEX('Serial Reference'!$A$8:$W$8,1,MOD($A72-1,23)+1)&amp;TEXT(CQ$2+FLOOR((CQ$2-1)/9,1),"000"),"")</f>
        <v>DA104</v>
      </c>
      <c r="CR72" s="26" t="str">
        <f>IF(INDEX('Shot Map'!$B$6:$V$26,CEILING($A72/5,1),CEILING(CR$2/5,1))=1,INDEX('Serial Reference'!$A$8:$W$8,1,FLOOR(($A72-1)/23,1)+1)&amp;INDEX('Serial Reference'!$A$8:$W$8,1,MOD($A72-1,23)+1)&amp;TEXT(CR$2+FLOOR((CR$2-1)/9,1),"000"),"")</f>
        <v>DA105</v>
      </c>
      <c r="CS72" s="24" t="str">
        <f>IF(INDEX('Shot Map'!$B$6:$V$26,CEILING($A72/5,1),CEILING(CS$2/5,1))=1,INDEX('Serial Reference'!$A$8:$W$8,1,FLOOR(($A72-1)/23,1)+1)&amp;INDEX('Serial Reference'!$A$8:$W$8,1,MOD($A72-1,23)+1)&amp;TEXT(CS$2+FLOOR((CS$2-1)/9,1),"000"),"")</f>
        <v>DA106</v>
      </c>
      <c r="CT72" s="25" t="str">
        <f>IF(INDEX('Shot Map'!$B$6:$V$26,CEILING($A72/5,1),CEILING(CT$2/5,1))=1,INDEX('Serial Reference'!$A$8:$W$8,1,FLOOR(($A72-1)/23,1)+1)&amp;INDEX('Serial Reference'!$A$8:$W$8,1,MOD($A72-1,23)+1)&amp;TEXT(CT$2+FLOOR((CT$2-1)/9,1),"000"),"")</f>
        <v>DA107</v>
      </c>
      <c r="CU72" s="25" t="str">
        <f>IF(INDEX('Shot Map'!$B$6:$V$26,CEILING($A72/5,1),CEILING(CU$2/5,1))=1,INDEX('Serial Reference'!$A$8:$W$8,1,FLOOR(($A72-1)/23,1)+1)&amp;INDEX('Serial Reference'!$A$8:$W$8,1,MOD($A72-1,23)+1)&amp;TEXT(CU$2+FLOOR((CU$2-1)/9,1),"000"),"")</f>
        <v>DA108</v>
      </c>
      <c r="CV72" s="25" t="str">
        <f>IF(INDEX('Shot Map'!$B$6:$V$26,CEILING($A72/5,1),CEILING(CV$2/5,1))=1,INDEX('Serial Reference'!$A$8:$W$8,1,FLOOR(($A72-1)/23,1)+1)&amp;INDEX('Serial Reference'!$A$8:$W$8,1,MOD($A72-1,23)+1)&amp;TEXT(CV$2+FLOOR((CV$2-1)/9,1),"000"),"")</f>
        <v>DA109</v>
      </c>
      <c r="CW72" s="26" t="str">
        <f>IF(INDEX('Shot Map'!$B$6:$V$26,CEILING($A72/5,1),CEILING(CW$2/5,1))=1,INDEX('Serial Reference'!$A$8:$W$8,1,FLOOR(($A72-1)/23,1)+1)&amp;INDEX('Serial Reference'!$A$8:$W$8,1,MOD($A72-1,23)+1)&amp;TEXT(CW$2+FLOOR((CW$2-1)/9,1),"000"),"")</f>
        <v>DA111</v>
      </c>
      <c r="CX72" s="24" t="str">
        <f>IF(INDEX('Shot Map'!$B$6:$V$26,CEILING($A72/5,1),CEILING(CX$2/5,1))=1,INDEX('Serial Reference'!$A$8:$W$8,1,FLOOR(($A72-1)/23,1)+1)&amp;INDEX('Serial Reference'!$A$8:$W$8,1,MOD($A72-1,23)+1)&amp;TEXT(CX$2+FLOOR((CX$2-1)/9,1),"000"),"")</f>
        <v/>
      </c>
      <c r="CY72" s="25" t="str">
        <f>IF(INDEX('Shot Map'!$B$6:$V$26,CEILING($A72/5,1),CEILING(CY$2/5,1))=1,INDEX('Serial Reference'!$A$8:$W$8,1,FLOOR(($A72-1)/23,1)+1)&amp;INDEX('Serial Reference'!$A$8:$W$8,1,MOD($A72-1,23)+1)&amp;TEXT(CY$2+FLOOR((CY$2-1)/9,1),"000"),"")</f>
        <v/>
      </c>
      <c r="CZ72" s="25" t="str">
        <f>IF(INDEX('Shot Map'!$B$6:$V$26,CEILING($A72/5,1),CEILING(CZ$2/5,1))=1,INDEX('Serial Reference'!$A$8:$W$8,1,FLOOR(($A72-1)/23,1)+1)&amp;INDEX('Serial Reference'!$A$8:$W$8,1,MOD($A72-1,23)+1)&amp;TEXT(CZ$2+FLOOR((CZ$2-1)/9,1),"000"),"")</f>
        <v/>
      </c>
      <c r="DA72" s="25" t="str">
        <f>IF(INDEX('Shot Map'!$B$6:$V$26,CEILING($A72/5,1),CEILING(DA$2/5,1))=1,INDEX('Serial Reference'!$A$8:$W$8,1,FLOOR(($A72-1)/23,1)+1)&amp;INDEX('Serial Reference'!$A$8:$W$8,1,MOD($A72-1,23)+1)&amp;TEXT(DA$2+FLOOR((DA$2-1)/9,1),"000"),"")</f>
        <v/>
      </c>
      <c r="DB72" s="26" t="str">
        <f>IF(INDEX('Shot Map'!$B$6:$V$26,CEILING($A72/5,1),CEILING(DB$2/5,1))=1,INDEX('Serial Reference'!$A$8:$W$8,1,FLOOR(($A72-1)/23,1)+1)&amp;INDEX('Serial Reference'!$A$8:$W$8,1,MOD($A72-1,23)+1)&amp;TEXT(DB$2+FLOOR((DB$2-1)/9,1),"000"),"")</f>
        <v/>
      </c>
    </row>
    <row r="73" spans="1:106" ht="12.75" customHeight="1" x14ac:dyDescent="0.25">
      <c r="A73" s="17">
        <v>71</v>
      </c>
      <c r="B73" s="18" t="str">
        <f>IF(INDEX('Shot Map'!$B$6:$V$26,CEILING($A73/5,1),CEILING(B$2/5,1))=1,INDEX('Serial Reference'!$A$8:$W$8,1,FLOOR(($A73-1)/23,1)+1)&amp;INDEX('Serial Reference'!$A$8:$W$8,1,MOD($A73-1,23)+1)&amp;TEXT(B$2+FLOOR((B$2-1)/9,1),"000"),"")</f>
        <v/>
      </c>
      <c r="C73" s="19" t="str">
        <f>IF(INDEX('Shot Map'!$B$6:$V$26,CEILING($A73/5,1),CEILING(C$2/5,1))=1,INDEX('Serial Reference'!$A$8:$W$8,1,FLOOR(($A73-1)/23,1)+1)&amp;INDEX('Serial Reference'!$A$8:$W$8,1,MOD($A73-1,23)+1)&amp;TEXT(C$2+FLOOR((C$2-1)/9,1),"000"),"")</f>
        <v/>
      </c>
      <c r="D73" s="19" t="str">
        <f>IF(INDEX('Shot Map'!$B$6:$V$26,CEILING($A73/5,1),CEILING(D$2/5,1))=1,INDEX('Serial Reference'!$A$8:$W$8,1,FLOOR(($A73-1)/23,1)+1)&amp;INDEX('Serial Reference'!$A$8:$W$8,1,MOD($A73-1,23)+1)&amp;TEXT(D$2+FLOOR((D$2-1)/9,1),"000"),"")</f>
        <v/>
      </c>
      <c r="E73" s="19" t="str">
        <f>IF(INDEX('Shot Map'!$B$6:$V$26,CEILING($A73/5,1),CEILING(E$2/5,1))=1,INDEX('Serial Reference'!$A$8:$W$8,1,FLOOR(($A73-1)/23,1)+1)&amp;INDEX('Serial Reference'!$A$8:$W$8,1,MOD($A73-1,23)+1)&amp;TEXT(E$2+FLOOR((E$2-1)/9,1),"000"),"")</f>
        <v/>
      </c>
      <c r="F73" s="20" t="str">
        <f>IF(INDEX('Shot Map'!$B$6:$V$26,CEILING($A73/5,1),CEILING(F$2/5,1))=1,INDEX('Serial Reference'!$A$8:$W$8,1,FLOOR(($A73-1)/23,1)+1)&amp;INDEX('Serial Reference'!$A$8:$W$8,1,MOD($A73-1,23)+1)&amp;TEXT(F$2+FLOOR((F$2-1)/9,1),"000"),"")</f>
        <v/>
      </c>
      <c r="G73" s="18" t="str">
        <f>IF(INDEX('Shot Map'!$B$6:$V$26,CEILING($A73/5,1),CEILING(G$2/5,1))=1,INDEX('Serial Reference'!$A$8:$W$8,1,FLOOR(($A73-1)/23,1)+1)&amp;INDEX('Serial Reference'!$A$8:$W$8,1,MOD($A73-1,23)+1)&amp;TEXT(G$2+FLOOR((G$2-1)/9,1),"000"),"")</f>
        <v>DB006</v>
      </c>
      <c r="H73" s="19" t="str">
        <f>IF(INDEX('Shot Map'!$B$6:$V$26,CEILING($A73/5,1),CEILING(H$2/5,1))=1,INDEX('Serial Reference'!$A$8:$W$8,1,FLOOR(($A73-1)/23,1)+1)&amp;INDEX('Serial Reference'!$A$8:$W$8,1,MOD($A73-1,23)+1)&amp;TEXT(H$2+FLOOR((H$2-1)/9,1),"000"),"")</f>
        <v>DB007</v>
      </c>
      <c r="I73" s="19" t="str">
        <f>IF(INDEX('Shot Map'!$B$6:$V$26,CEILING($A73/5,1),CEILING(I$2/5,1))=1,INDEX('Serial Reference'!$A$8:$W$8,1,FLOOR(($A73-1)/23,1)+1)&amp;INDEX('Serial Reference'!$A$8:$W$8,1,MOD($A73-1,23)+1)&amp;TEXT(I$2+FLOOR((I$2-1)/9,1),"000"),"")</f>
        <v>DB008</v>
      </c>
      <c r="J73" s="19" t="str">
        <f>IF(INDEX('Shot Map'!$B$6:$V$26,CEILING($A73/5,1),CEILING(J$2/5,1))=1,INDEX('Serial Reference'!$A$8:$W$8,1,FLOOR(($A73-1)/23,1)+1)&amp;INDEX('Serial Reference'!$A$8:$W$8,1,MOD($A73-1,23)+1)&amp;TEXT(J$2+FLOOR((J$2-1)/9,1),"000"),"")</f>
        <v>DB009</v>
      </c>
      <c r="K73" s="20" t="str">
        <f>IF(INDEX('Shot Map'!$B$6:$V$26,CEILING($A73/5,1),CEILING(K$2/5,1))=1,INDEX('Serial Reference'!$A$8:$W$8,1,FLOOR(($A73-1)/23,1)+1)&amp;INDEX('Serial Reference'!$A$8:$W$8,1,MOD($A73-1,23)+1)&amp;TEXT(K$2+FLOOR((K$2-1)/9,1),"000"),"")</f>
        <v>DB011</v>
      </c>
      <c r="L73" s="18" t="str">
        <f>IF(INDEX('Shot Map'!$B$6:$V$26,CEILING($A73/5,1),CEILING(L$2/5,1))=1,INDEX('Serial Reference'!$A$8:$W$8,1,FLOOR(($A73-1)/23,1)+1)&amp;INDEX('Serial Reference'!$A$8:$W$8,1,MOD($A73-1,23)+1)&amp;TEXT(L$2+FLOOR((L$2-1)/9,1),"000"),"")</f>
        <v>DB012</v>
      </c>
      <c r="M73" s="19" t="str">
        <f>IF(INDEX('Shot Map'!$B$6:$V$26,CEILING($A73/5,1),CEILING(M$2/5,1))=1,INDEX('Serial Reference'!$A$8:$W$8,1,FLOOR(($A73-1)/23,1)+1)&amp;INDEX('Serial Reference'!$A$8:$W$8,1,MOD($A73-1,23)+1)&amp;TEXT(M$2+FLOOR((M$2-1)/9,1),"000"),"")</f>
        <v>DB013</v>
      </c>
      <c r="N73" s="19" t="str">
        <f>IF(INDEX('Shot Map'!$B$6:$V$26,CEILING($A73/5,1),CEILING(N$2/5,1))=1,INDEX('Serial Reference'!$A$8:$W$8,1,FLOOR(($A73-1)/23,1)+1)&amp;INDEX('Serial Reference'!$A$8:$W$8,1,MOD($A73-1,23)+1)&amp;TEXT(N$2+FLOOR((N$2-1)/9,1),"000"),"")</f>
        <v>DB014</v>
      </c>
      <c r="O73" s="19" t="str">
        <f>IF(INDEX('Shot Map'!$B$6:$V$26,CEILING($A73/5,1),CEILING(O$2/5,1))=1,INDEX('Serial Reference'!$A$8:$W$8,1,FLOOR(($A73-1)/23,1)+1)&amp;INDEX('Serial Reference'!$A$8:$W$8,1,MOD($A73-1,23)+1)&amp;TEXT(O$2+FLOOR((O$2-1)/9,1),"000"),"")</f>
        <v>DB015</v>
      </c>
      <c r="P73" s="20" t="str">
        <f>IF(INDEX('Shot Map'!$B$6:$V$26,CEILING($A73/5,1),CEILING(P$2/5,1))=1,INDEX('Serial Reference'!$A$8:$W$8,1,FLOOR(($A73-1)/23,1)+1)&amp;INDEX('Serial Reference'!$A$8:$W$8,1,MOD($A73-1,23)+1)&amp;TEXT(P$2+FLOOR((P$2-1)/9,1),"000"),"")</f>
        <v>DB016</v>
      </c>
      <c r="Q73" s="18" t="str">
        <f>IF(INDEX('Shot Map'!$B$6:$V$26,CEILING($A73/5,1),CEILING(Q$2/5,1))=1,INDEX('Serial Reference'!$A$8:$W$8,1,FLOOR(($A73-1)/23,1)+1)&amp;INDEX('Serial Reference'!$A$8:$W$8,1,MOD($A73-1,23)+1)&amp;TEXT(Q$2+FLOOR((Q$2-1)/9,1),"000"),"")</f>
        <v>DB017</v>
      </c>
      <c r="R73" s="19" t="str">
        <f>IF(INDEX('Shot Map'!$B$6:$V$26,CEILING($A73/5,1),CEILING(R$2/5,1))=1,INDEX('Serial Reference'!$A$8:$W$8,1,FLOOR(($A73-1)/23,1)+1)&amp;INDEX('Serial Reference'!$A$8:$W$8,1,MOD($A73-1,23)+1)&amp;TEXT(R$2+FLOOR((R$2-1)/9,1),"000"),"")</f>
        <v>DB018</v>
      </c>
      <c r="S73" s="19" t="str">
        <f>IF(INDEX('Shot Map'!$B$6:$V$26,CEILING($A73/5,1),CEILING(S$2/5,1))=1,INDEX('Serial Reference'!$A$8:$W$8,1,FLOOR(($A73-1)/23,1)+1)&amp;INDEX('Serial Reference'!$A$8:$W$8,1,MOD($A73-1,23)+1)&amp;TEXT(S$2+FLOOR((S$2-1)/9,1),"000"),"")</f>
        <v>DB019</v>
      </c>
      <c r="T73" s="19" t="str">
        <f>IF(INDEX('Shot Map'!$B$6:$V$26,CEILING($A73/5,1),CEILING(T$2/5,1))=1,INDEX('Serial Reference'!$A$8:$W$8,1,FLOOR(($A73-1)/23,1)+1)&amp;INDEX('Serial Reference'!$A$8:$W$8,1,MOD($A73-1,23)+1)&amp;TEXT(T$2+FLOOR((T$2-1)/9,1),"000"),"")</f>
        <v>DB021</v>
      </c>
      <c r="U73" s="20" t="str">
        <f>IF(INDEX('Shot Map'!$B$6:$V$26,CEILING($A73/5,1),CEILING(U$2/5,1))=1,INDEX('Serial Reference'!$A$8:$W$8,1,FLOOR(($A73-1)/23,1)+1)&amp;INDEX('Serial Reference'!$A$8:$W$8,1,MOD($A73-1,23)+1)&amp;TEXT(U$2+FLOOR((U$2-1)/9,1),"000"),"")</f>
        <v>DB022</v>
      </c>
      <c r="V73" s="18" t="str">
        <f>IF(INDEX('Shot Map'!$B$6:$V$26,CEILING($A73/5,1),CEILING(V$2/5,1))=1,INDEX('Serial Reference'!$A$8:$W$8,1,FLOOR(($A73-1)/23,1)+1)&amp;INDEX('Serial Reference'!$A$8:$W$8,1,MOD($A73-1,23)+1)&amp;TEXT(V$2+FLOOR((V$2-1)/9,1),"000"),"")</f>
        <v>DB023</v>
      </c>
      <c r="W73" s="19" t="str">
        <f>IF(INDEX('Shot Map'!$B$6:$V$26,CEILING($A73/5,1),CEILING(W$2/5,1))=1,INDEX('Serial Reference'!$A$8:$W$8,1,FLOOR(($A73-1)/23,1)+1)&amp;INDEX('Serial Reference'!$A$8:$W$8,1,MOD($A73-1,23)+1)&amp;TEXT(W$2+FLOOR((W$2-1)/9,1),"000"),"")</f>
        <v>DB024</v>
      </c>
      <c r="X73" s="19" t="str">
        <f>IF(INDEX('Shot Map'!$B$6:$V$26,CEILING($A73/5,1),CEILING(X$2/5,1))=1,INDEX('Serial Reference'!$A$8:$W$8,1,FLOOR(($A73-1)/23,1)+1)&amp;INDEX('Serial Reference'!$A$8:$W$8,1,MOD($A73-1,23)+1)&amp;TEXT(X$2+FLOOR((X$2-1)/9,1),"000"),"")</f>
        <v>DB025</v>
      </c>
      <c r="Y73" s="19" t="str">
        <f>IF(INDEX('Shot Map'!$B$6:$V$26,CEILING($A73/5,1),CEILING(Y$2/5,1))=1,INDEX('Serial Reference'!$A$8:$W$8,1,FLOOR(($A73-1)/23,1)+1)&amp;INDEX('Serial Reference'!$A$8:$W$8,1,MOD($A73-1,23)+1)&amp;TEXT(Y$2+FLOOR((Y$2-1)/9,1),"000"),"")</f>
        <v>DB026</v>
      </c>
      <c r="Z73" s="20" t="str">
        <f>IF(INDEX('Shot Map'!$B$6:$V$26,CEILING($A73/5,1),CEILING(Z$2/5,1))=1,INDEX('Serial Reference'!$A$8:$W$8,1,FLOOR(($A73-1)/23,1)+1)&amp;INDEX('Serial Reference'!$A$8:$W$8,1,MOD($A73-1,23)+1)&amp;TEXT(Z$2+FLOOR((Z$2-1)/9,1),"000"),"")</f>
        <v>DB027</v>
      </c>
      <c r="AA73" s="18" t="str">
        <f>IF(INDEX('Shot Map'!$B$6:$V$26,CEILING($A73/5,1),CEILING(AA$2/5,1))=1,INDEX('Serial Reference'!$A$8:$W$8,1,FLOOR(($A73-1)/23,1)+1)&amp;INDEX('Serial Reference'!$A$8:$W$8,1,MOD($A73-1,23)+1)&amp;TEXT(AA$2+FLOOR((AA$2-1)/9,1),"000"),"")</f>
        <v>DB028</v>
      </c>
      <c r="AB73" s="19" t="str">
        <f>IF(INDEX('Shot Map'!$B$6:$V$26,CEILING($A73/5,1),CEILING(AB$2/5,1))=1,INDEX('Serial Reference'!$A$8:$W$8,1,FLOOR(($A73-1)/23,1)+1)&amp;INDEX('Serial Reference'!$A$8:$W$8,1,MOD($A73-1,23)+1)&amp;TEXT(AB$2+FLOOR((AB$2-1)/9,1),"000"),"")</f>
        <v>DB029</v>
      </c>
      <c r="AC73" s="19" t="str">
        <f>IF(INDEX('Shot Map'!$B$6:$V$26,CEILING($A73/5,1),CEILING(AC$2/5,1))=1,INDEX('Serial Reference'!$A$8:$W$8,1,FLOOR(($A73-1)/23,1)+1)&amp;INDEX('Serial Reference'!$A$8:$W$8,1,MOD($A73-1,23)+1)&amp;TEXT(AC$2+FLOOR((AC$2-1)/9,1),"000"),"")</f>
        <v>DB031</v>
      </c>
      <c r="AD73" s="19" t="str">
        <f>IF(INDEX('Shot Map'!$B$6:$V$26,CEILING($A73/5,1),CEILING(AD$2/5,1))=1,INDEX('Serial Reference'!$A$8:$W$8,1,FLOOR(($A73-1)/23,1)+1)&amp;INDEX('Serial Reference'!$A$8:$W$8,1,MOD($A73-1,23)+1)&amp;TEXT(AD$2+FLOOR((AD$2-1)/9,1),"000"),"")</f>
        <v>DB032</v>
      </c>
      <c r="AE73" s="20" t="str">
        <f>IF(INDEX('Shot Map'!$B$6:$V$26,CEILING($A73/5,1),CEILING(AE$2/5,1))=1,INDEX('Serial Reference'!$A$8:$W$8,1,FLOOR(($A73-1)/23,1)+1)&amp;INDEX('Serial Reference'!$A$8:$W$8,1,MOD($A73-1,23)+1)&amp;TEXT(AE$2+FLOOR((AE$2-1)/9,1),"000"),"")</f>
        <v>DB033</v>
      </c>
      <c r="AF73" s="18" t="str">
        <f>IF(INDEX('Shot Map'!$B$6:$V$26,CEILING($A73/5,1),CEILING(AF$2/5,1))=1,INDEX('Serial Reference'!$A$8:$W$8,1,FLOOR(($A73-1)/23,1)+1)&amp;INDEX('Serial Reference'!$A$8:$W$8,1,MOD($A73-1,23)+1)&amp;TEXT(AF$2+FLOOR((AF$2-1)/9,1),"000"),"")</f>
        <v>DB034</v>
      </c>
      <c r="AG73" s="19" t="str">
        <f>IF(INDEX('Shot Map'!$B$6:$V$26,CEILING($A73/5,1),CEILING(AG$2/5,1))=1,INDEX('Serial Reference'!$A$8:$W$8,1,FLOOR(($A73-1)/23,1)+1)&amp;INDEX('Serial Reference'!$A$8:$W$8,1,MOD($A73-1,23)+1)&amp;TEXT(AG$2+FLOOR((AG$2-1)/9,1),"000"),"")</f>
        <v>DB035</v>
      </c>
      <c r="AH73" s="19" t="str">
        <f>IF(INDEX('Shot Map'!$B$6:$V$26,CEILING($A73/5,1),CEILING(AH$2/5,1))=1,INDEX('Serial Reference'!$A$8:$W$8,1,FLOOR(($A73-1)/23,1)+1)&amp;INDEX('Serial Reference'!$A$8:$W$8,1,MOD($A73-1,23)+1)&amp;TEXT(AH$2+FLOOR((AH$2-1)/9,1),"000"),"")</f>
        <v>DB036</v>
      </c>
      <c r="AI73" s="19" t="str">
        <f>IF(INDEX('Shot Map'!$B$6:$V$26,CEILING($A73/5,1),CEILING(AI$2/5,1))=1,INDEX('Serial Reference'!$A$8:$W$8,1,FLOOR(($A73-1)/23,1)+1)&amp;INDEX('Serial Reference'!$A$8:$W$8,1,MOD($A73-1,23)+1)&amp;TEXT(AI$2+FLOOR((AI$2-1)/9,1),"000"),"")</f>
        <v>DB037</v>
      </c>
      <c r="AJ73" s="20" t="str">
        <f>IF(INDEX('Shot Map'!$B$6:$V$26,CEILING($A73/5,1),CEILING(AJ$2/5,1))=1,INDEX('Serial Reference'!$A$8:$W$8,1,FLOOR(($A73-1)/23,1)+1)&amp;INDEX('Serial Reference'!$A$8:$W$8,1,MOD($A73-1,23)+1)&amp;TEXT(AJ$2+FLOOR((AJ$2-1)/9,1),"000"),"")</f>
        <v>DB038</v>
      </c>
      <c r="AK73" s="18" t="str">
        <f>IF(INDEX('Shot Map'!$B$6:$V$26,CEILING($A73/5,1),CEILING(AK$2/5,1))=1,INDEX('Serial Reference'!$A$8:$W$8,1,FLOOR(($A73-1)/23,1)+1)&amp;INDEX('Serial Reference'!$A$8:$W$8,1,MOD($A73-1,23)+1)&amp;TEXT(AK$2+FLOOR((AK$2-1)/9,1),"000"),"")</f>
        <v>DB039</v>
      </c>
      <c r="AL73" s="19" t="str">
        <f>IF(INDEX('Shot Map'!$B$6:$V$26,CEILING($A73/5,1),CEILING(AL$2/5,1))=1,INDEX('Serial Reference'!$A$8:$W$8,1,FLOOR(($A73-1)/23,1)+1)&amp;INDEX('Serial Reference'!$A$8:$W$8,1,MOD($A73-1,23)+1)&amp;TEXT(AL$2+FLOOR((AL$2-1)/9,1),"000"),"")</f>
        <v>DB041</v>
      </c>
      <c r="AM73" s="19" t="str">
        <f>IF(INDEX('Shot Map'!$B$6:$V$26,CEILING($A73/5,1),CEILING(AM$2/5,1))=1,INDEX('Serial Reference'!$A$8:$W$8,1,FLOOR(($A73-1)/23,1)+1)&amp;INDEX('Serial Reference'!$A$8:$W$8,1,MOD($A73-1,23)+1)&amp;TEXT(AM$2+FLOOR((AM$2-1)/9,1),"000"),"")</f>
        <v>DB042</v>
      </c>
      <c r="AN73" s="19" t="str">
        <f>IF(INDEX('Shot Map'!$B$6:$V$26,CEILING($A73/5,1),CEILING(AN$2/5,1))=1,INDEX('Serial Reference'!$A$8:$W$8,1,FLOOR(($A73-1)/23,1)+1)&amp;INDEX('Serial Reference'!$A$8:$W$8,1,MOD($A73-1,23)+1)&amp;TEXT(AN$2+FLOOR((AN$2-1)/9,1),"000"),"")</f>
        <v>DB043</v>
      </c>
      <c r="AO73" s="20" t="str">
        <f>IF(INDEX('Shot Map'!$B$6:$V$26,CEILING($A73/5,1),CEILING(AO$2/5,1))=1,INDEX('Serial Reference'!$A$8:$W$8,1,FLOOR(($A73-1)/23,1)+1)&amp;INDEX('Serial Reference'!$A$8:$W$8,1,MOD($A73-1,23)+1)&amp;TEXT(AO$2+FLOOR((AO$2-1)/9,1),"000"),"")</f>
        <v>DB044</v>
      </c>
      <c r="AP73" s="18" t="str">
        <f>IF(INDEX('Shot Map'!$B$6:$V$26,CEILING($A73/5,1),CEILING(AP$2/5,1))=1,INDEX('Serial Reference'!$A$8:$W$8,1,FLOOR(($A73-1)/23,1)+1)&amp;INDEX('Serial Reference'!$A$8:$W$8,1,MOD($A73-1,23)+1)&amp;TEXT(AP$2+FLOOR((AP$2-1)/9,1),"000"),"")</f>
        <v>DB045</v>
      </c>
      <c r="AQ73" s="19" t="str">
        <f>IF(INDEX('Shot Map'!$B$6:$V$26,CEILING($A73/5,1),CEILING(AQ$2/5,1))=1,INDEX('Serial Reference'!$A$8:$W$8,1,FLOOR(($A73-1)/23,1)+1)&amp;INDEX('Serial Reference'!$A$8:$W$8,1,MOD($A73-1,23)+1)&amp;TEXT(AQ$2+FLOOR((AQ$2-1)/9,1),"000"),"")</f>
        <v>DB046</v>
      </c>
      <c r="AR73" s="19" t="str">
        <f>IF(INDEX('Shot Map'!$B$6:$V$26,CEILING($A73/5,1),CEILING(AR$2/5,1))=1,INDEX('Serial Reference'!$A$8:$W$8,1,FLOOR(($A73-1)/23,1)+1)&amp;INDEX('Serial Reference'!$A$8:$W$8,1,MOD($A73-1,23)+1)&amp;TEXT(AR$2+FLOOR((AR$2-1)/9,1),"000"),"")</f>
        <v>DB047</v>
      </c>
      <c r="AS73" s="19" t="str">
        <f>IF(INDEX('Shot Map'!$B$6:$V$26,CEILING($A73/5,1),CEILING(AS$2/5,1))=1,INDEX('Serial Reference'!$A$8:$W$8,1,FLOOR(($A73-1)/23,1)+1)&amp;INDEX('Serial Reference'!$A$8:$W$8,1,MOD($A73-1,23)+1)&amp;TEXT(AS$2+FLOOR((AS$2-1)/9,1),"000"),"")</f>
        <v>DB048</v>
      </c>
      <c r="AT73" s="20" t="str">
        <f>IF(INDEX('Shot Map'!$B$6:$V$26,CEILING($A73/5,1),CEILING(AT$2/5,1))=1,INDEX('Serial Reference'!$A$8:$W$8,1,FLOOR(($A73-1)/23,1)+1)&amp;INDEX('Serial Reference'!$A$8:$W$8,1,MOD($A73-1,23)+1)&amp;TEXT(AT$2+FLOOR((AT$2-1)/9,1),"000"),"")</f>
        <v>DB049</v>
      </c>
      <c r="AU73" s="18" t="str">
        <f>IF(INDEX('Shot Map'!$B$6:$V$26,CEILING($A73/5,1),CEILING(AU$2/5,1))=1,INDEX('Serial Reference'!$A$8:$W$8,1,FLOOR(($A73-1)/23,1)+1)&amp;INDEX('Serial Reference'!$A$8:$W$8,1,MOD($A73-1,23)+1)&amp;TEXT(AU$2+FLOOR((AU$2-1)/9,1),"000"),"")</f>
        <v>DB051</v>
      </c>
      <c r="AV73" s="19" t="str">
        <f>IF(INDEX('Shot Map'!$B$6:$V$26,CEILING($A73/5,1),CEILING(AV$2/5,1))=1,INDEX('Serial Reference'!$A$8:$W$8,1,FLOOR(($A73-1)/23,1)+1)&amp;INDEX('Serial Reference'!$A$8:$W$8,1,MOD($A73-1,23)+1)&amp;TEXT(AV$2+FLOOR((AV$2-1)/9,1),"000"),"")</f>
        <v>DB052</v>
      </c>
      <c r="AW73" s="19" t="str">
        <f>IF(INDEX('Shot Map'!$B$6:$V$26,CEILING($A73/5,1),CEILING(AW$2/5,1))=1,INDEX('Serial Reference'!$A$8:$W$8,1,FLOOR(($A73-1)/23,1)+1)&amp;INDEX('Serial Reference'!$A$8:$W$8,1,MOD($A73-1,23)+1)&amp;TEXT(AW$2+FLOOR((AW$2-1)/9,1),"000"),"")</f>
        <v>DB053</v>
      </c>
      <c r="AX73" s="19" t="str">
        <f>IF(INDEX('Shot Map'!$B$6:$V$26,CEILING($A73/5,1),CEILING(AX$2/5,1))=1,INDEX('Serial Reference'!$A$8:$W$8,1,FLOOR(($A73-1)/23,1)+1)&amp;INDEX('Serial Reference'!$A$8:$W$8,1,MOD($A73-1,23)+1)&amp;TEXT(AX$2+FLOOR((AX$2-1)/9,1),"000"),"")</f>
        <v>DB054</v>
      </c>
      <c r="AY73" s="20" t="str">
        <f>IF(INDEX('Shot Map'!$B$6:$V$26,CEILING($A73/5,1),CEILING(AY$2/5,1))=1,INDEX('Serial Reference'!$A$8:$W$8,1,FLOOR(($A73-1)/23,1)+1)&amp;INDEX('Serial Reference'!$A$8:$W$8,1,MOD($A73-1,23)+1)&amp;TEXT(AY$2+FLOOR((AY$2-1)/9,1),"000"),"")</f>
        <v>DB055</v>
      </c>
      <c r="AZ73" s="18" t="str">
        <f>IF(INDEX('Shot Map'!$B$6:$V$26,CEILING($A73/5,1),CEILING(AZ$2/5,1))=1,INDEX('Serial Reference'!$A$8:$W$8,1,FLOOR(($A73-1)/23,1)+1)&amp;INDEX('Serial Reference'!$A$8:$W$8,1,MOD($A73-1,23)+1)&amp;TEXT(AZ$2+FLOOR((AZ$2-1)/9,1),"000"),"")</f>
        <v>DB056</v>
      </c>
      <c r="BA73" s="19" t="str">
        <f>IF(INDEX('Shot Map'!$B$6:$V$26,CEILING($A73/5,1),CEILING(BA$2/5,1))=1,INDEX('Serial Reference'!$A$8:$W$8,1,FLOOR(($A73-1)/23,1)+1)&amp;INDEX('Serial Reference'!$A$8:$W$8,1,MOD($A73-1,23)+1)&amp;TEXT(BA$2+FLOOR((BA$2-1)/9,1),"000"),"")</f>
        <v>DB057</v>
      </c>
      <c r="BB73" s="19" t="str">
        <f>IF(INDEX('Shot Map'!$B$6:$V$26,CEILING($A73/5,1),CEILING(BB$2/5,1))=1,INDEX('Serial Reference'!$A$8:$W$8,1,FLOOR(($A73-1)/23,1)+1)&amp;INDEX('Serial Reference'!$A$8:$W$8,1,MOD($A73-1,23)+1)&amp;TEXT(BB$2+FLOOR((BB$2-1)/9,1),"000"),"")</f>
        <v>DB058</v>
      </c>
      <c r="BC73" s="19" t="str">
        <f>IF(INDEX('Shot Map'!$B$6:$V$26,CEILING($A73/5,1),CEILING(BC$2/5,1))=1,INDEX('Serial Reference'!$A$8:$W$8,1,FLOOR(($A73-1)/23,1)+1)&amp;INDEX('Serial Reference'!$A$8:$W$8,1,MOD($A73-1,23)+1)&amp;TEXT(BC$2+FLOOR((BC$2-1)/9,1),"000"),"")</f>
        <v>DB059</v>
      </c>
      <c r="BD73" s="20" t="str">
        <f>IF(INDEX('Shot Map'!$B$6:$V$26,CEILING($A73/5,1),CEILING(BD$2/5,1))=1,INDEX('Serial Reference'!$A$8:$W$8,1,FLOOR(($A73-1)/23,1)+1)&amp;INDEX('Serial Reference'!$A$8:$W$8,1,MOD($A73-1,23)+1)&amp;TEXT(BD$2+FLOOR((BD$2-1)/9,1),"000"),"")</f>
        <v>DB061</v>
      </c>
      <c r="BE73" s="18" t="str">
        <f>IF(INDEX('Shot Map'!$B$6:$V$26,CEILING($A73/5,1),CEILING(BE$2/5,1))=1,INDEX('Serial Reference'!$A$8:$W$8,1,FLOOR(($A73-1)/23,1)+1)&amp;INDEX('Serial Reference'!$A$8:$W$8,1,MOD($A73-1,23)+1)&amp;TEXT(BE$2+FLOOR((BE$2-1)/9,1),"000"),"")</f>
        <v>DB062</v>
      </c>
      <c r="BF73" s="19" t="str">
        <f>IF(INDEX('Shot Map'!$B$6:$V$26,CEILING($A73/5,1),CEILING(BF$2/5,1))=1,INDEX('Serial Reference'!$A$8:$W$8,1,FLOOR(($A73-1)/23,1)+1)&amp;INDEX('Serial Reference'!$A$8:$W$8,1,MOD($A73-1,23)+1)&amp;TEXT(BF$2+FLOOR((BF$2-1)/9,1),"000"),"")</f>
        <v>DB063</v>
      </c>
      <c r="BG73" s="19" t="str">
        <f>IF(INDEX('Shot Map'!$B$6:$V$26,CEILING($A73/5,1),CEILING(BG$2/5,1))=1,INDEX('Serial Reference'!$A$8:$W$8,1,FLOOR(($A73-1)/23,1)+1)&amp;INDEX('Serial Reference'!$A$8:$W$8,1,MOD($A73-1,23)+1)&amp;TEXT(BG$2+FLOOR((BG$2-1)/9,1),"000"),"")</f>
        <v>DB064</v>
      </c>
      <c r="BH73" s="19" t="str">
        <f>IF(INDEX('Shot Map'!$B$6:$V$26,CEILING($A73/5,1),CEILING(BH$2/5,1))=1,INDEX('Serial Reference'!$A$8:$W$8,1,FLOOR(($A73-1)/23,1)+1)&amp;INDEX('Serial Reference'!$A$8:$W$8,1,MOD($A73-1,23)+1)&amp;TEXT(BH$2+FLOOR((BH$2-1)/9,1),"000"),"")</f>
        <v>DB065</v>
      </c>
      <c r="BI73" s="20" t="str">
        <f>IF(INDEX('Shot Map'!$B$6:$V$26,CEILING($A73/5,1),CEILING(BI$2/5,1))=1,INDEX('Serial Reference'!$A$8:$W$8,1,FLOOR(($A73-1)/23,1)+1)&amp;INDEX('Serial Reference'!$A$8:$W$8,1,MOD($A73-1,23)+1)&amp;TEXT(BI$2+FLOOR((BI$2-1)/9,1),"000"),"")</f>
        <v>DB066</v>
      </c>
      <c r="BJ73" s="18" t="str">
        <f>IF(INDEX('Shot Map'!$B$6:$V$26,CEILING($A73/5,1),CEILING(BJ$2/5,1))=1,INDEX('Serial Reference'!$A$8:$W$8,1,FLOOR(($A73-1)/23,1)+1)&amp;INDEX('Serial Reference'!$A$8:$W$8,1,MOD($A73-1,23)+1)&amp;TEXT(BJ$2+FLOOR((BJ$2-1)/9,1),"000"),"")</f>
        <v>DB067</v>
      </c>
      <c r="BK73" s="19" t="str">
        <f>IF(INDEX('Shot Map'!$B$6:$V$26,CEILING($A73/5,1),CEILING(BK$2/5,1))=1,INDEX('Serial Reference'!$A$8:$W$8,1,FLOOR(($A73-1)/23,1)+1)&amp;INDEX('Serial Reference'!$A$8:$W$8,1,MOD($A73-1,23)+1)&amp;TEXT(BK$2+FLOOR((BK$2-1)/9,1),"000"),"")</f>
        <v>DB068</v>
      </c>
      <c r="BL73" s="19" t="str">
        <f>IF(INDEX('Shot Map'!$B$6:$V$26,CEILING($A73/5,1),CEILING(BL$2/5,1))=1,INDEX('Serial Reference'!$A$8:$W$8,1,FLOOR(($A73-1)/23,1)+1)&amp;INDEX('Serial Reference'!$A$8:$W$8,1,MOD($A73-1,23)+1)&amp;TEXT(BL$2+FLOOR((BL$2-1)/9,1),"000"),"")</f>
        <v>DB069</v>
      </c>
      <c r="BM73" s="19" t="str">
        <f>IF(INDEX('Shot Map'!$B$6:$V$26,CEILING($A73/5,1),CEILING(BM$2/5,1))=1,INDEX('Serial Reference'!$A$8:$W$8,1,FLOOR(($A73-1)/23,1)+1)&amp;INDEX('Serial Reference'!$A$8:$W$8,1,MOD($A73-1,23)+1)&amp;TEXT(BM$2+FLOOR((BM$2-1)/9,1),"000"),"")</f>
        <v>DB071</v>
      </c>
      <c r="BN73" s="20" t="str">
        <f>IF(INDEX('Shot Map'!$B$6:$V$26,CEILING($A73/5,1),CEILING(BN$2/5,1))=1,INDEX('Serial Reference'!$A$8:$W$8,1,FLOOR(($A73-1)/23,1)+1)&amp;INDEX('Serial Reference'!$A$8:$W$8,1,MOD($A73-1,23)+1)&amp;TEXT(BN$2+FLOOR((BN$2-1)/9,1),"000"),"")</f>
        <v>DB072</v>
      </c>
      <c r="BO73" s="18" t="str">
        <f>IF(INDEX('Shot Map'!$B$6:$V$26,CEILING($A73/5,1),CEILING(BO$2/5,1))=1,INDEX('Serial Reference'!$A$8:$W$8,1,FLOOR(($A73-1)/23,1)+1)&amp;INDEX('Serial Reference'!$A$8:$W$8,1,MOD($A73-1,23)+1)&amp;TEXT(BO$2+FLOOR((BO$2-1)/9,1),"000"),"")</f>
        <v>DB073</v>
      </c>
      <c r="BP73" s="19" t="str">
        <f>IF(INDEX('Shot Map'!$B$6:$V$26,CEILING($A73/5,1),CEILING(BP$2/5,1))=1,INDEX('Serial Reference'!$A$8:$W$8,1,FLOOR(($A73-1)/23,1)+1)&amp;INDEX('Serial Reference'!$A$8:$W$8,1,MOD($A73-1,23)+1)&amp;TEXT(BP$2+FLOOR((BP$2-1)/9,1),"000"),"")</f>
        <v>DB074</v>
      </c>
      <c r="BQ73" s="19" t="str">
        <f>IF(INDEX('Shot Map'!$B$6:$V$26,CEILING($A73/5,1),CEILING(BQ$2/5,1))=1,INDEX('Serial Reference'!$A$8:$W$8,1,FLOOR(($A73-1)/23,1)+1)&amp;INDEX('Serial Reference'!$A$8:$W$8,1,MOD($A73-1,23)+1)&amp;TEXT(BQ$2+FLOOR((BQ$2-1)/9,1),"000"),"")</f>
        <v>DB075</v>
      </c>
      <c r="BR73" s="19" t="str">
        <f>IF(INDEX('Shot Map'!$B$6:$V$26,CEILING($A73/5,1),CEILING(BR$2/5,1))=1,INDEX('Serial Reference'!$A$8:$W$8,1,FLOOR(($A73-1)/23,1)+1)&amp;INDEX('Serial Reference'!$A$8:$W$8,1,MOD($A73-1,23)+1)&amp;TEXT(BR$2+FLOOR((BR$2-1)/9,1),"000"),"")</f>
        <v>DB076</v>
      </c>
      <c r="BS73" s="20" t="str">
        <f>IF(INDEX('Shot Map'!$B$6:$V$26,CEILING($A73/5,1),CEILING(BS$2/5,1))=1,INDEX('Serial Reference'!$A$8:$W$8,1,FLOOR(($A73-1)/23,1)+1)&amp;INDEX('Serial Reference'!$A$8:$W$8,1,MOD($A73-1,23)+1)&amp;TEXT(BS$2+FLOOR((BS$2-1)/9,1),"000"),"")</f>
        <v>DB077</v>
      </c>
      <c r="BT73" s="18" t="str">
        <f>IF(INDEX('Shot Map'!$B$6:$V$26,CEILING($A73/5,1),CEILING(BT$2/5,1))=1,INDEX('Serial Reference'!$A$8:$W$8,1,FLOOR(($A73-1)/23,1)+1)&amp;INDEX('Serial Reference'!$A$8:$W$8,1,MOD($A73-1,23)+1)&amp;TEXT(BT$2+FLOOR((BT$2-1)/9,1),"000"),"")</f>
        <v>DB078</v>
      </c>
      <c r="BU73" s="19" t="str">
        <f>IF(INDEX('Shot Map'!$B$6:$V$26,CEILING($A73/5,1),CEILING(BU$2/5,1))=1,INDEX('Serial Reference'!$A$8:$W$8,1,FLOOR(($A73-1)/23,1)+1)&amp;INDEX('Serial Reference'!$A$8:$W$8,1,MOD($A73-1,23)+1)&amp;TEXT(BU$2+FLOOR((BU$2-1)/9,1),"000"),"")</f>
        <v>DB079</v>
      </c>
      <c r="BV73" s="19" t="str">
        <f>IF(INDEX('Shot Map'!$B$6:$V$26,CEILING($A73/5,1),CEILING(BV$2/5,1))=1,INDEX('Serial Reference'!$A$8:$W$8,1,FLOOR(($A73-1)/23,1)+1)&amp;INDEX('Serial Reference'!$A$8:$W$8,1,MOD($A73-1,23)+1)&amp;TEXT(BV$2+FLOOR((BV$2-1)/9,1),"000"),"")</f>
        <v>DB081</v>
      </c>
      <c r="BW73" s="19" t="str">
        <f>IF(INDEX('Shot Map'!$B$6:$V$26,CEILING($A73/5,1),CEILING(BW$2/5,1))=1,INDEX('Serial Reference'!$A$8:$W$8,1,FLOOR(($A73-1)/23,1)+1)&amp;INDEX('Serial Reference'!$A$8:$W$8,1,MOD($A73-1,23)+1)&amp;TEXT(BW$2+FLOOR((BW$2-1)/9,1),"000"),"")</f>
        <v>DB082</v>
      </c>
      <c r="BX73" s="20" t="str">
        <f>IF(INDEX('Shot Map'!$B$6:$V$26,CEILING($A73/5,1),CEILING(BX$2/5,1))=1,INDEX('Serial Reference'!$A$8:$W$8,1,FLOOR(($A73-1)/23,1)+1)&amp;INDEX('Serial Reference'!$A$8:$W$8,1,MOD($A73-1,23)+1)&amp;TEXT(BX$2+FLOOR((BX$2-1)/9,1),"000"),"")</f>
        <v>DB083</v>
      </c>
      <c r="BY73" s="18" t="str">
        <f>IF(INDEX('Shot Map'!$B$6:$V$26,CEILING($A73/5,1),CEILING(BY$2/5,1))=1,INDEX('Serial Reference'!$A$8:$W$8,1,FLOOR(($A73-1)/23,1)+1)&amp;INDEX('Serial Reference'!$A$8:$W$8,1,MOD($A73-1,23)+1)&amp;TEXT(BY$2+FLOOR((BY$2-1)/9,1),"000"),"")</f>
        <v>DB084</v>
      </c>
      <c r="BZ73" s="19" t="str">
        <f>IF(INDEX('Shot Map'!$B$6:$V$26,CEILING($A73/5,1),CEILING(BZ$2/5,1))=1,INDEX('Serial Reference'!$A$8:$W$8,1,FLOOR(($A73-1)/23,1)+1)&amp;INDEX('Serial Reference'!$A$8:$W$8,1,MOD($A73-1,23)+1)&amp;TEXT(BZ$2+FLOOR((BZ$2-1)/9,1),"000"),"")</f>
        <v>DB085</v>
      </c>
      <c r="CA73" s="19" t="str">
        <f>IF(INDEX('Shot Map'!$B$6:$V$26,CEILING($A73/5,1),CEILING(CA$2/5,1))=1,INDEX('Serial Reference'!$A$8:$W$8,1,FLOOR(($A73-1)/23,1)+1)&amp;INDEX('Serial Reference'!$A$8:$W$8,1,MOD($A73-1,23)+1)&amp;TEXT(CA$2+FLOOR((CA$2-1)/9,1),"000"),"")</f>
        <v>DB086</v>
      </c>
      <c r="CB73" s="19" t="str">
        <f>IF(INDEX('Shot Map'!$B$6:$V$26,CEILING($A73/5,1),CEILING(CB$2/5,1))=1,INDEX('Serial Reference'!$A$8:$W$8,1,FLOOR(($A73-1)/23,1)+1)&amp;INDEX('Serial Reference'!$A$8:$W$8,1,MOD($A73-1,23)+1)&amp;TEXT(CB$2+FLOOR((CB$2-1)/9,1),"000"),"")</f>
        <v>DB087</v>
      </c>
      <c r="CC73" s="20" t="str">
        <f>IF(INDEX('Shot Map'!$B$6:$V$26,CEILING($A73/5,1),CEILING(CC$2/5,1))=1,INDEX('Serial Reference'!$A$8:$W$8,1,FLOOR(($A73-1)/23,1)+1)&amp;INDEX('Serial Reference'!$A$8:$W$8,1,MOD($A73-1,23)+1)&amp;TEXT(CC$2+FLOOR((CC$2-1)/9,1),"000"),"")</f>
        <v>DB088</v>
      </c>
      <c r="CD73" s="18" t="str">
        <f>IF(INDEX('Shot Map'!$B$6:$V$26,CEILING($A73/5,1),CEILING(CD$2/5,1))=1,INDEX('Serial Reference'!$A$8:$W$8,1,FLOOR(($A73-1)/23,1)+1)&amp;INDEX('Serial Reference'!$A$8:$W$8,1,MOD($A73-1,23)+1)&amp;TEXT(CD$2+FLOOR((CD$2-1)/9,1),"000"),"")</f>
        <v>DB089</v>
      </c>
      <c r="CE73" s="19" t="str">
        <f>IF(INDEX('Shot Map'!$B$6:$V$26,CEILING($A73/5,1),CEILING(CE$2/5,1))=1,INDEX('Serial Reference'!$A$8:$W$8,1,FLOOR(($A73-1)/23,1)+1)&amp;INDEX('Serial Reference'!$A$8:$W$8,1,MOD($A73-1,23)+1)&amp;TEXT(CE$2+FLOOR((CE$2-1)/9,1),"000"),"")</f>
        <v>DB091</v>
      </c>
      <c r="CF73" s="19" t="str">
        <f>IF(INDEX('Shot Map'!$B$6:$V$26,CEILING($A73/5,1),CEILING(CF$2/5,1))=1,INDEX('Serial Reference'!$A$8:$W$8,1,FLOOR(($A73-1)/23,1)+1)&amp;INDEX('Serial Reference'!$A$8:$W$8,1,MOD($A73-1,23)+1)&amp;TEXT(CF$2+FLOOR((CF$2-1)/9,1),"000"),"")</f>
        <v>DB092</v>
      </c>
      <c r="CG73" s="19" t="str">
        <f>IF(INDEX('Shot Map'!$B$6:$V$26,CEILING($A73/5,1),CEILING(CG$2/5,1))=1,INDEX('Serial Reference'!$A$8:$W$8,1,FLOOR(($A73-1)/23,1)+1)&amp;INDEX('Serial Reference'!$A$8:$W$8,1,MOD($A73-1,23)+1)&amp;TEXT(CG$2+FLOOR((CG$2-1)/9,1),"000"),"")</f>
        <v>DB093</v>
      </c>
      <c r="CH73" s="20" t="str">
        <f>IF(INDEX('Shot Map'!$B$6:$V$26,CEILING($A73/5,1),CEILING(CH$2/5,1))=1,INDEX('Serial Reference'!$A$8:$W$8,1,FLOOR(($A73-1)/23,1)+1)&amp;INDEX('Serial Reference'!$A$8:$W$8,1,MOD($A73-1,23)+1)&amp;TEXT(CH$2+FLOOR((CH$2-1)/9,1),"000"),"")</f>
        <v>DB094</v>
      </c>
      <c r="CI73" s="18" t="str">
        <f>IF(INDEX('Shot Map'!$B$6:$V$26,CEILING($A73/5,1),CEILING(CI$2/5,1))=1,INDEX('Serial Reference'!$A$8:$W$8,1,FLOOR(($A73-1)/23,1)+1)&amp;INDEX('Serial Reference'!$A$8:$W$8,1,MOD($A73-1,23)+1)&amp;TEXT(CI$2+FLOOR((CI$2-1)/9,1),"000"),"")</f>
        <v>DB095</v>
      </c>
      <c r="CJ73" s="19" t="str">
        <f>IF(INDEX('Shot Map'!$B$6:$V$26,CEILING($A73/5,1),CEILING(CJ$2/5,1))=1,INDEX('Serial Reference'!$A$8:$W$8,1,FLOOR(($A73-1)/23,1)+1)&amp;INDEX('Serial Reference'!$A$8:$W$8,1,MOD($A73-1,23)+1)&amp;TEXT(CJ$2+FLOOR((CJ$2-1)/9,1),"000"),"")</f>
        <v>DB096</v>
      </c>
      <c r="CK73" s="19" t="str">
        <f>IF(INDEX('Shot Map'!$B$6:$V$26,CEILING($A73/5,1),CEILING(CK$2/5,1))=1,INDEX('Serial Reference'!$A$8:$W$8,1,FLOOR(($A73-1)/23,1)+1)&amp;INDEX('Serial Reference'!$A$8:$W$8,1,MOD($A73-1,23)+1)&amp;TEXT(CK$2+FLOOR((CK$2-1)/9,1),"000"),"")</f>
        <v>DB097</v>
      </c>
      <c r="CL73" s="19" t="str">
        <f>IF(INDEX('Shot Map'!$B$6:$V$26,CEILING($A73/5,1),CEILING(CL$2/5,1))=1,INDEX('Serial Reference'!$A$8:$W$8,1,FLOOR(($A73-1)/23,1)+1)&amp;INDEX('Serial Reference'!$A$8:$W$8,1,MOD($A73-1,23)+1)&amp;TEXT(CL$2+FLOOR((CL$2-1)/9,1),"000"),"")</f>
        <v>DB098</v>
      </c>
      <c r="CM73" s="20" t="str">
        <f>IF(INDEX('Shot Map'!$B$6:$V$26,CEILING($A73/5,1),CEILING(CM$2/5,1))=1,INDEX('Serial Reference'!$A$8:$W$8,1,FLOOR(($A73-1)/23,1)+1)&amp;INDEX('Serial Reference'!$A$8:$W$8,1,MOD($A73-1,23)+1)&amp;TEXT(CM$2+FLOOR((CM$2-1)/9,1),"000"),"")</f>
        <v>DB099</v>
      </c>
      <c r="CN73" s="18" t="str">
        <f>IF(INDEX('Shot Map'!$B$6:$V$26,CEILING($A73/5,1),CEILING(CN$2/5,1))=1,INDEX('Serial Reference'!$A$8:$W$8,1,FLOOR(($A73-1)/23,1)+1)&amp;INDEX('Serial Reference'!$A$8:$W$8,1,MOD($A73-1,23)+1)&amp;TEXT(CN$2+FLOOR((CN$2-1)/9,1),"000"),"")</f>
        <v>DB101</v>
      </c>
      <c r="CO73" s="19" t="str">
        <f>IF(INDEX('Shot Map'!$B$6:$V$26,CEILING($A73/5,1),CEILING(CO$2/5,1))=1,INDEX('Serial Reference'!$A$8:$W$8,1,FLOOR(($A73-1)/23,1)+1)&amp;INDEX('Serial Reference'!$A$8:$W$8,1,MOD($A73-1,23)+1)&amp;TEXT(CO$2+FLOOR((CO$2-1)/9,1),"000"),"")</f>
        <v>DB102</v>
      </c>
      <c r="CP73" s="19" t="str">
        <f>IF(INDEX('Shot Map'!$B$6:$V$26,CEILING($A73/5,1),CEILING(CP$2/5,1))=1,INDEX('Serial Reference'!$A$8:$W$8,1,FLOOR(($A73-1)/23,1)+1)&amp;INDEX('Serial Reference'!$A$8:$W$8,1,MOD($A73-1,23)+1)&amp;TEXT(CP$2+FLOOR((CP$2-1)/9,1),"000"),"")</f>
        <v>DB103</v>
      </c>
      <c r="CQ73" s="19" t="str">
        <f>IF(INDEX('Shot Map'!$B$6:$V$26,CEILING($A73/5,1),CEILING(CQ$2/5,1))=1,INDEX('Serial Reference'!$A$8:$W$8,1,FLOOR(($A73-1)/23,1)+1)&amp;INDEX('Serial Reference'!$A$8:$W$8,1,MOD($A73-1,23)+1)&amp;TEXT(CQ$2+FLOOR((CQ$2-1)/9,1),"000"),"")</f>
        <v>DB104</v>
      </c>
      <c r="CR73" s="20" t="str">
        <f>IF(INDEX('Shot Map'!$B$6:$V$26,CEILING($A73/5,1),CEILING(CR$2/5,1))=1,INDEX('Serial Reference'!$A$8:$W$8,1,FLOOR(($A73-1)/23,1)+1)&amp;INDEX('Serial Reference'!$A$8:$W$8,1,MOD($A73-1,23)+1)&amp;TEXT(CR$2+FLOOR((CR$2-1)/9,1),"000"),"")</f>
        <v>DB105</v>
      </c>
      <c r="CS73" s="18" t="str">
        <f>IF(INDEX('Shot Map'!$B$6:$V$26,CEILING($A73/5,1),CEILING(CS$2/5,1))=1,INDEX('Serial Reference'!$A$8:$W$8,1,FLOOR(($A73-1)/23,1)+1)&amp;INDEX('Serial Reference'!$A$8:$W$8,1,MOD($A73-1,23)+1)&amp;TEXT(CS$2+FLOOR((CS$2-1)/9,1),"000"),"")</f>
        <v>DB106</v>
      </c>
      <c r="CT73" s="19" t="str">
        <f>IF(INDEX('Shot Map'!$B$6:$V$26,CEILING($A73/5,1),CEILING(CT$2/5,1))=1,INDEX('Serial Reference'!$A$8:$W$8,1,FLOOR(($A73-1)/23,1)+1)&amp;INDEX('Serial Reference'!$A$8:$W$8,1,MOD($A73-1,23)+1)&amp;TEXT(CT$2+FLOOR((CT$2-1)/9,1),"000"),"")</f>
        <v>DB107</v>
      </c>
      <c r="CU73" s="19" t="str">
        <f>IF(INDEX('Shot Map'!$B$6:$V$26,CEILING($A73/5,1),CEILING(CU$2/5,1))=1,INDEX('Serial Reference'!$A$8:$W$8,1,FLOOR(($A73-1)/23,1)+1)&amp;INDEX('Serial Reference'!$A$8:$W$8,1,MOD($A73-1,23)+1)&amp;TEXT(CU$2+FLOOR((CU$2-1)/9,1),"000"),"")</f>
        <v>DB108</v>
      </c>
      <c r="CV73" s="19" t="str">
        <f>IF(INDEX('Shot Map'!$B$6:$V$26,CEILING($A73/5,1),CEILING(CV$2/5,1))=1,INDEX('Serial Reference'!$A$8:$W$8,1,FLOOR(($A73-1)/23,1)+1)&amp;INDEX('Serial Reference'!$A$8:$W$8,1,MOD($A73-1,23)+1)&amp;TEXT(CV$2+FLOOR((CV$2-1)/9,1),"000"),"")</f>
        <v>DB109</v>
      </c>
      <c r="CW73" s="20" t="str">
        <f>IF(INDEX('Shot Map'!$B$6:$V$26,CEILING($A73/5,1),CEILING(CW$2/5,1))=1,INDEX('Serial Reference'!$A$8:$W$8,1,FLOOR(($A73-1)/23,1)+1)&amp;INDEX('Serial Reference'!$A$8:$W$8,1,MOD($A73-1,23)+1)&amp;TEXT(CW$2+FLOOR((CW$2-1)/9,1),"000"),"")</f>
        <v>DB111</v>
      </c>
      <c r="CX73" s="18" t="str">
        <f>IF(INDEX('Shot Map'!$B$6:$V$26,CEILING($A73/5,1),CEILING(CX$2/5,1))=1,INDEX('Serial Reference'!$A$8:$W$8,1,FLOOR(($A73-1)/23,1)+1)&amp;INDEX('Serial Reference'!$A$8:$W$8,1,MOD($A73-1,23)+1)&amp;TEXT(CX$2+FLOOR((CX$2-1)/9,1),"000"),"")</f>
        <v/>
      </c>
      <c r="CY73" s="19" t="str">
        <f>IF(INDEX('Shot Map'!$B$6:$V$26,CEILING($A73/5,1),CEILING(CY$2/5,1))=1,INDEX('Serial Reference'!$A$8:$W$8,1,FLOOR(($A73-1)/23,1)+1)&amp;INDEX('Serial Reference'!$A$8:$W$8,1,MOD($A73-1,23)+1)&amp;TEXT(CY$2+FLOOR((CY$2-1)/9,1),"000"),"")</f>
        <v/>
      </c>
      <c r="CZ73" s="19" t="str">
        <f>IF(INDEX('Shot Map'!$B$6:$V$26,CEILING($A73/5,1),CEILING(CZ$2/5,1))=1,INDEX('Serial Reference'!$A$8:$W$8,1,FLOOR(($A73-1)/23,1)+1)&amp;INDEX('Serial Reference'!$A$8:$W$8,1,MOD($A73-1,23)+1)&amp;TEXT(CZ$2+FLOOR((CZ$2-1)/9,1),"000"),"")</f>
        <v/>
      </c>
      <c r="DA73" s="19" t="str">
        <f>IF(INDEX('Shot Map'!$B$6:$V$26,CEILING($A73/5,1),CEILING(DA$2/5,1))=1,INDEX('Serial Reference'!$A$8:$W$8,1,FLOOR(($A73-1)/23,1)+1)&amp;INDEX('Serial Reference'!$A$8:$W$8,1,MOD($A73-1,23)+1)&amp;TEXT(DA$2+FLOOR((DA$2-1)/9,1),"000"),"")</f>
        <v/>
      </c>
      <c r="DB73" s="20" t="str">
        <f>IF(INDEX('Shot Map'!$B$6:$V$26,CEILING($A73/5,1),CEILING(DB$2/5,1))=1,INDEX('Serial Reference'!$A$8:$W$8,1,FLOOR(($A73-1)/23,1)+1)&amp;INDEX('Serial Reference'!$A$8:$W$8,1,MOD($A73-1,23)+1)&amp;TEXT(DB$2+FLOOR((DB$2-1)/9,1),"000"),"")</f>
        <v/>
      </c>
    </row>
    <row r="74" spans="1:106" ht="12.75" customHeight="1" x14ac:dyDescent="0.25">
      <c r="A74" s="17">
        <v>72</v>
      </c>
      <c r="B74" s="21" t="str">
        <f>IF(INDEX('Shot Map'!$B$6:$V$26,CEILING($A74/5,1),CEILING(B$2/5,1))=1,INDEX('Serial Reference'!$A$8:$W$8,1,FLOOR(($A74-1)/23,1)+1)&amp;INDEX('Serial Reference'!$A$8:$W$8,1,MOD($A74-1,23)+1)&amp;TEXT(B$2+FLOOR((B$2-1)/9,1),"000"),"")</f>
        <v/>
      </c>
      <c r="C74" s="22" t="str">
        <f>IF(INDEX('Shot Map'!$B$6:$V$26,CEILING($A74/5,1),CEILING(C$2/5,1))=1,INDEX('Serial Reference'!$A$8:$W$8,1,FLOOR(($A74-1)/23,1)+1)&amp;INDEX('Serial Reference'!$A$8:$W$8,1,MOD($A74-1,23)+1)&amp;TEXT(C$2+FLOOR((C$2-1)/9,1),"000"),"")</f>
        <v/>
      </c>
      <c r="D74" s="22" t="str">
        <f>IF(INDEX('Shot Map'!$B$6:$V$26,CEILING($A74/5,1),CEILING(D$2/5,1))=1,INDEX('Serial Reference'!$A$8:$W$8,1,FLOOR(($A74-1)/23,1)+1)&amp;INDEX('Serial Reference'!$A$8:$W$8,1,MOD($A74-1,23)+1)&amp;TEXT(D$2+FLOOR((D$2-1)/9,1),"000"),"")</f>
        <v/>
      </c>
      <c r="E74" s="22" t="str">
        <f>IF(INDEX('Shot Map'!$B$6:$V$26,CEILING($A74/5,1),CEILING(E$2/5,1))=1,INDEX('Serial Reference'!$A$8:$W$8,1,FLOOR(($A74-1)/23,1)+1)&amp;INDEX('Serial Reference'!$A$8:$W$8,1,MOD($A74-1,23)+1)&amp;TEXT(E$2+FLOOR((E$2-1)/9,1),"000"),"")</f>
        <v/>
      </c>
      <c r="F74" s="23" t="str">
        <f>IF(INDEX('Shot Map'!$B$6:$V$26,CEILING($A74/5,1),CEILING(F$2/5,1))=1,INDEX('Serial Reference'!$A$8:$W$8,1,FLOOR(($A74-1)/23,1)+1)&amp;INDEX('Serial Reference'!$A$8:$W$8,1,MOD($A74-1,23)+1)&amp;TEXT(F$2+FLOOR((F$2-1)/9,1),"000"),"")</f>
        <v/>
      </c>
      <c r="G74" s="21" t="str">
        <f>IF(INDEX('Shot Map'!$B$6:$V$26,CEILING($A74/5,1),CEILING(G$2/5,1))=1,INDEX('Serial Reference'!$A$8:$W$8,1,FLOOR(($A74-1)/23,1)+1)&amp;INDEX('Serial Reference'!$A$8:$W$8,1,MOD($A74-1,23)+1)&amp;TEXT(G$2+FLOOR((G$2-1)/9,1),"000"),"")</f>
        <v>DC006</v>
      </c>
      <c r="H74" s="22" t="str">
        <f>IF(INDEX('Shot Map'!$B$6:$V$26,CEILING($A74/5,1),CEILING(H$2/5,1))=1,INDEX('Serial Reference'!$A$8:$W$8,1,FLOOR(($A74-1)/23,1)+1)&amp;INDEX('Serial Reference'!$A$8:$W$8,1,MOD($A74-1,23)+1)&amp;TEXT(H$2+FLOOR((H$2-1)/9,1),"000"),"")</f>
        <v>DC007</v>
      </c>
      <c r="I74" s="22" t="str">
        <f>IF(INDEX('Shot Map'!$B$6:$V$26,CEILING($A74/5,1),CEILING(I$2/5,1))=1,INDEX('Serial Reference'!$A$8:$W$8,1,FLOOR(($A74-1)/23,1)+1)&amp;INDEX('Serial Reference'!$A$8:$W$8,1,MOD($A74-1,23)+1)&amp;TEXT(I$2+FLOOR((I$2-1)/9,1),"000"),"")</f>
        <v>DC008</v>
      </c>
      <c r="J74" s="22" t="str">
        <f>IF(INDEX('Shot Map'!$B$6:$V$26,CEILING($A74/5,1),CEILING(J$2/5,1))=1,INDEX('Serial Reference'!$A$8:$W$8,1,FLOOR(($A74-1)/23,1)+1)&amp;INDEX('Serial Reference'!$A$8:$W$8,1,MOD($A74-1,23)+1)&amp;TEXT(J$2+FLOOR((J$2-1)/9,1),"000"),"")</f>
        <v>DC009</v>
      </c>
      <c r="K74" s="23" t="str">
        <f>IF(INDEX('Shot Map'!$B$6:$V$26,CEILING($A74/5,1),CEILING(K$2/5,1))=1,INDEX('Serial Reference'!$A$8:$W$8,1,FLOOR(($A74-1)/23,1)+1)&amp;INDEX('Serial Reference'!$A$8:$W$8,1,MOD($A74-1,23)+1)&amp;TEXT(K$2+FLOOR((K$2-1)/9,1),"000"),"")</f>
        <v>DC011</v>
      </c>
      <c r="L74" s="21" t="str">
        <f>IF(INDEX('Shot Map'!$B$6:$V$26,CEILING($A74/5,1),CEILING(L$2/5,1))=1,INDEX('Serial Reference'!$A$8:$W$8,1,FLOOR(($A74-1)/23,1)+1)&amp;INDEX('Serial Reference'!$A$8:$W$8,1,MOD($A74-1,23)+1)&amp;TEXT(L$2+FLOOR((L$2-1)/9,1),"000"),"")</f>
        <v>DC012</v>
      </c>
      <c r="M74" s="22" t="str">
        <f>IF(INDEX('Shot Map'!$B$6:$V$26,CEILING($A74/5,1),CEILING(M$2/5,1))=1,INDEX('Serial Reference'!$A$8:$W$8,1,FLOOR(($A74-1)/23,1)+1)&amp;INDEX('Serial Reference'!$A$8:$W$8,1,MOD($A74-1,23)+1)&amp;TEXT(M$2+FLOOR((M$2-1)/9,1),"000"),"")</f>
        <v>DC013</v>
      </c>
      <c r="N74" s="22" t="str">
        <f>IF(INDEX('Shot Map'!$B$6:$V$26,CEILING($A74/5,1),CEILING(N$2/5,1))=1,INDEX('Serial Reference'!$A$8:$W$8,1,FLOOR(($A74-1)/23,1)+1)&amp;INDEX('Serial Reference'!$A$8:$W$8,1,MOD($A74-1,23)+1)&amp;TEXT(N$2+FLOOR((N$2-1)/9,1),"000"),"")</f>
        <v>DC014</v>
      </c>
      <c r="O74" s="22" t="str">
        <f>IF(INDEX('Shot Map'!$B$6:$V$26,CEILING($A74/5,1),CEILING(O$2/5,1))=1,INDEX('Serial Reference'!$A$8:$W$8,1,FLOOR(($A74-1)/23,1)+1)&amp;INDEX('Serial Reference'!$A$8:$W$8,1,MOD($A74-1,23)+1)&amp;TEXT(O$2+FLOOR((O$2-1)/9,1),"000"),"")</f>
        <v>DC015</v>
      </c>
      <c r="P74" s="23" t="str">
        <f>IF(INDEX('Shot Map'!$B$6:$V$26,CEILING($A74/5,1),CEILING(P$2/5,1))=1,INDEX('Serial Reference'!$A$8:$W$8,1,FLOOR(($A74-1)/23,1)+1)&amp;INDEX('Serial Reference'!$A$8:$W$8,1,MOD($A74-1,23)+1)&amp;TEXT(P$2+FLOOR((P$2-1)/9,1),"000"),"")</f>
        <v>DC016</v>
      </c>
      <c r="Q74" s="21" t="str">
        <f>IF(INDEX('Shot Map'!$B$6:$V$26,CEILING($A74/5,1),CEILING(Q$2/5,1))=1,INDEX('Serial Reference'!$A$8:$W$8,1,FLOOR(($A74-1)/23,1)+1)&amp;INDEX('Serial Reference'!$A$8:$W$8,1,MOD($A74-1,23)+1)&amp;TEXT(Q$2+FLOOR((Q$2-1)/9,1),"000"),"")</f>
        <v>DC017</v>
      </c>
      <c r="R74" s="22" t="str">
        <f>IF(INDEX('Shot Map'!$B$6:$V$26,CEILING($A74/5,1),CEILING(R$2/5,1))=1,INDEX('Serial Reference'!$A$8:$W$8,1,FLOOR(($A74-1)/23,1)+1)&amp;INDEX('Serial Reference'!$A$8:$W$8,1,MOD($A74-1,23)+1)&amp;TEXT(R$2+FLOOR((R$2-1)/9,1),"000"),"")</f>
        <v>DC018</v>
      </c>
      <c r="S74" s="22" t="str">
        <f>IF(INDEX('Shot Map'!$B$6:$V$26,CEILING($A74/5,1),CEILING(S$2/5,1))=1,INDEX('Serial Reference'!$A$8:$W$8,1,FLOOR(($A74-1)/23,1)+1)&amp;INDEX('Serial Reference'!$A$8:$W$8,1,MOD($A74-1,23)+1)&amp;TEXT(S$2+FLOOR((S$2-1)/9,1),"000"),"")</f>
        <v>DC019</v>
      </c>
      <c r="T74" s="22" t="str">
        <f>IF(INDEX('Shot Map'!$B$6:$V$26,CEILING($A74/5,1),CEILING(T$2/5,1))=1,INDEX('Serial Reference'!$A$8:$W$8,1,FLOOR(($A74-1)/23,1)+1)&amp;INDEX('Serial Reference'!$A$8:$W$8,1,MOD($A74-1,23)+1)&amp;TEXT(T$2+FLOOR((T$2-1)/9,1),"000"),"")</f>
        <v>DC021</v>
      </c>
      <c r="U74" s="23" t="str">
        <f>IF(INDEX('Shot Map'!$B$6:$V$26,CEILING($A74/5,1),CEILING(U$2/5,1))=1,INDEX('Serial Reference'!$A$8:$W$8,1,FLOOR(($A74-1)/23,1)+1)&amp;INDEX('Serial Reference'!$A$8:$W$8,1,MOD($A74-1,23)+1)&amp;TEXT(U$2+FLOOR((U$2-1)/9,1),"000"),"")</f>
        <v>DC022</v>
      </c>
      <c r="V74" s="21" t="str">
        <f>IF(INDEX('Shot Map'!$B$6:$V$26,CEILING($A74/5,1),CEILING(V$2/5,1))=1,INDEX('Serial Reference'!$A$8:$W$8,1,FLOOR(($A74-1)/23,1)+1)&amp;INDEX('Serial Reference'!$A$8:$W$8,1,MOD($A74-1,23)+1)&amp;TEXT(V$2+FLOOR((V$2-1)/9,1),"000"),"")</f>
        <v>DC023</v>
      </c>
      <c r="W74" s="22" t="str">
        <f>IF(INDEX('Shot Map'!$B$6:$V$26,CEILING($A74/5,1),CEILING(W$2/5,1))=1,INDEX('Serial Reference'!$A$8:$W$8,1,FLOOR(($A74-1)/23,1)+1)&amp;INDEX('Serial Reference'!$A$8:$W$8,1,MOD($A74-1,23)+1)&amp;TEXT(W$2+FLOOR((W$2-1)/9,1),"000"),"")</f>
        <v>DC024</v>
      </c>
      <c r="X74" s="22" t="str">
        <f>IF(INDEX('Shot Map'!$B$6:$V$26,CEILING($A74/5,1),CEILING(X$2/5,1))=1,INDEX('Serial Reference'!$A$8:$W$8,1,FLOOR(($A74-1)/23,1)+1)&amp;INDEX('Serial Reference'!$A$8:$W$8,1,MOD($A74-1,23)+1)&amp;TEXT(X$2+FLOOR((X$2-1)/9,1),"000"),"")</f>
        <v>DC025</v>
      </c>
      <c r="Y74" s="22" t="str">
        <f>IF(INDEX('Shot Map'!$B$6:$V$26,CEILING($A74/5,1),CEILING(Y$2/5,1))=1,INDEX('Serial Reference'!$A$8:$W$8,1,FLOOR(($A74-1)/23,1)+1)&amp;INDEX('Serial Reference'!$A$8:$W$8,1,MOD($A74-1,23)+1)&amp;TEXT(Y$2+FLOOR((Y$2-1)/9,1),"000"),"")</f>
        <v>DC026</v>
      </c>
      <c r="Z74" s="23" t="str">
        <f>IF(INDEX('Shot Map'!$B$6:$V$26,CEILING($A74/5,1),CEILING(Z$2/5,1))=1,INDEX('Serial Reference'!$A$8:$W$8,1,FLOOR(($A74-1)/23,1)+1)&amp;INDEX('Serial Reference'!$A$8:$W$8,1,MOD($A74-1,23)+1)&amp;TEXT(Z$2+FLOOR((Z$2-1)/9,1),"000"),"")</f>
        <v>DC027</v>
      </c>
      <c r="AA74" s="21" t="str">
        <f>IF(INDEX('Shot Map'!$B$6:$V$26,CEILING($A74/5,1),CEILING(AA$2/5,1))=1,INDEX('Serial Reference'!$A$8:$W$8,1,FLOOR(($A74-1)/23,1)+1)&amp;INDEX('Serial Reference'!$A$8:$W$8,1,MOD($A74-1,23)+1)&amp;TEXT(AA$2+FLOOR((AA$2-1)/9,1),"000"),"")</f>
        <v>DC028</v>
      </c>
      <c r="AB74" s="22" t="str">
        <f>IF(INDEX('Shot Map'!$B$6:$V$26,CEILING($A74/5,1),CEILING(AB$2/5,1))=1,INDEX('Serial Reference'!$A$8:$W$8,1,FLOOR(($A74-1)/23,1)+1)&amp;INDEX('Serial Reference'!$A$8:$W$8,1,MOD($A74-1,23)+1)&amp;TEXT(AB$2+FLOOR((AB$2-1)/9,1),"000"),"")</f>
        <v>DC029</v>
      </c>
      <c r="AC74" s="22" t="str">
        <f>IF(INDEX('Shot Map'!$B$6:$V$26,CEILING($A74/5,1),CEILING(AC$2/5,1))=1,INDEX('Serial Reference'!$A$8:$W$8,1,FLOOR(($A74-1)/23,1)+1)&amp;INDEX('Serial Reference'!$A$8:$W$8,1,MOD($A74-1,23)+1)&amp;TEXT(AC$2+FLOOR((AC$2-1)/9,1),"000"),"")</f>
        <v>DC031</v>
      </c>
      <c r="AD74" s="22" t="str">
        <f>IF(INDEX('Shot Map'!$B$6:$V$26,CEILING($A74/5,1),CEILING(AD$2/5,1))=1,INDEX('Serial Reference'!$A$8:$W$8,1,FLOOR(($A74-1)/23,1)+1)&amp;INDEX('Serial Reference'!$A$8:$W$8,1,MOD($A74-1,23)+1)&amp;TEXT(AD$2+FLOOR((AD$2-1)/9,1),"000"),"")</f>
        <v>DC032</v>
      </c>
      <c r="AE74" s="23" t="str">
        <f>IF(INDEX('Shot Map'!$B$6:$V$26,CEILING($A74/5,1),CEILING(AE$2/5,1))=1,INDEX('Serial Reference'!$A$8:$W$8,1,FLOOR(($A74-1)/23,1)+1)&amp;INDEX('Serial Reference'!$A$8:$W$8,1,MOD($A74-1,23)+1)&amp;TEXT(AE$2+FLOOR((AE$2-1)/9,1),"000"),"")</f>
        <v>DC033</v>
      </c>
      <c r="AF74" s="21" t="str">
        <f>IF(INDEX('Shot Map'!$B$6:$V$26,CEILING($A74/5,1),CEILING(AF$2/5,1))=1,INDEX('Serial Reference'!$A$8:$W$8,1,FLOOR(($A74-1)/23,1)+1)&amp;INDEX('Serial Reference'!$A$8:$W$8,1,MOD($A74-1,23)+1)&amp;TEXT(AF$2+FLOOR((AF$2-1)/9,1),"000"),"")</f>
        <v>DC034</v>
      </c>
      <c r="AG74" s="22" t="str">
        <f>IF(INDEX('Shot Map'!$B$6:$V$26,CEILING($A74/5,1),CEILING(AG$2/5,1))=1,INDEX('Serial Reference'!$A$8:$W$8,1,FLOOR(($A74-1)/23,1)+1)&amp;INDEX('Serial Reference'!$A$8:$W$8,1,MOD($A74-1,23)+1)&amp;TEXT(AG$2+FLOOR((AG$2-1)/9,1),"000"),"")</f>
        <v>DC035</v>
      </c>
      <c r="AH74" s="22" t="str">
        <f>IF(INDEX('Shot Map'!$B$6:$V$26,CEILING($A74/5,1),CEILING(AH$2/5,1))=1,INDEX('Serial Reference'!$A$8:$W$8,1,FLOOR(($A74-1)/23,1)+1)&amp;INDEX('Serial Reference'!$A$8:$W$8,1,MOD($A74-1,23)+1)&amp;TEXT(AH$2+FLOOR((AH$2-1)/9,1),"000"),"")</f>
        <v>DC036</v>
      </c>
      <c r="AI74" s="22" t="str">
        <f>IF(INDEX('Shot Map'!$B$6:$V$26,CEILING($A74/5,1),CEILING(AI$2/5,1))=1,INDEX('Serial Reference'!$A$8:$W$8,1,FLOOR(($A74-1)/23,1)+1)&amp;INDEX('Serial Reference'!$A$8:$W$8,1,MOD($A74-1,23)+1)&amp;TEXT(AI$2+FLOOR((AI$2-1)/9,1),"000"),"")</f>
        <v>DC037</v>
      </c>
      <c r="AJ74" s="23" t="str">
        <f>IF(INDEX('Shot Map'!$B$6:$V$26,CEILING($A74/5,1),CEILING(AJ$2/5,1))=1,INDEX('Serial Reference'!$A$8:$W$8,1,FLOOR(($A74-1)/23,1)+1)&amp;INDEX('Serial Reference'!$A$8:$W$8,1,MOD($A74-1,23)+1)&amp;TEXT(AJ$2+FLOOR((AJ$2-1)/9,1),"000"),"")</f>
        <v>DC038</v>
      </c>
      <c r="AK74" s="21" t="str">
        <f>IF(INDEX('Shot Map'!$B$6:$V$26,CEILING($A74/5,1),CEILING(AK$2/5,1))=1,INDEX('Serial Reference'!$A$8:$W$8,1,FLOOR(($A74-1)/23,1)+1)&amp;INDEX('Serial Reference'!$A$8:$W$8,1,MOD($A74-1,23)+1)&amp;TEXT(AK$2+FLOOR((AK$2-1)/9,1),"000"),"")</f>
        <v>DC039</v>
      </c>
      <c r="AL74" s="22" t="str">
        <f>IF(INDEX('Shot Map'!$B$6:$V$26,CEILING($A74/5,1),CEILING(AL$2/5,1))=1,INDEX('Serial Reference'!$A$8:$W$8,1,FLOOR(($A74-1)/23,1)+1)&amp;INDEX('Serial Reference'!$A$8:$W$8,1,MOD($A74-1,23)+1)&amp;TEXT(AL$2+FLOOR((AL$2-1)/9,1),"000"),"")</f>
        <v>DC041</v>
      </c>
      <c r="AM74" s="22" t="str">
        <f>IF(INDEX('Shot Map'!$B$6:$V$26,CEILING($A74/5,1),CEILING(AM$2/5,1))=1,INDEX('Serial Reference'!$A$8:$W$8,1,FLOOR(($A74-1)/23,1)+1)&amp;INDEX('Serial Reference'!$A$8:$W$8,1,MOD($A74-1,23)+1)&amp;TEXT(AM$2+FLOOR((AM$2-1)/9,1),"000"),"")</f>
        <v>DC042</v>
      </c>
      <c r="AN74" s="22" t="str">
        <f>IF(INDEX('Shot Map'!$B$6:$V$26,CEILING($A74/5,1),CEILING(AN$2/5,1))=1,INDEX('Serial Reference'!$A$8:$W$8,1,FLOOR(($A74-1)/23,1)+1)&amp;INDEX('Serial Reference'!$A$8:$W$8,1,MOD($A74-1,23)+1)&amp;TEXT(AN$2+FLOOR((AN$2-1)/9,1),"000"),"")</f>
        <v>DC043</v>
      </c>
      <c r="AO74" s="23" t="str">
        <f>IF(INDEX('Shot Map'!$B$6:$V$26,CEILING($A74/5,1),CEILING(AO$2/5,1))=1,INDEX('Serial Reference'!$A$8:$W$8,1,FLOOR(($A74-1)/23,1)+1)&amp;INDEX('Serial Reference'!$A$8:$W$8,1,MOD($A74-1,23)+1)&amp;TEXT(AO$2+FLOOR((AO$2-1)/9,1),"000"),"")</f>
        <v>DC044</v>
      </c>
      <c r="AP74" s="21" t="str">
        <f>IF(INDEX('Shot Map'!$B$6:$V$26,CEILING($A74/5,1),CEILING(AP$2/5,1))=1,INDEX('Serial Reference'!$A$8:$W$8,1,FLOOR(($A74-1)/23,1)+1)&amp;INDEX('Serial Reference'!$A$8:$W$8,1,MOD($A74-1,23)+1)&amp;TEXT(AP$2+FLOOR((AP$2-1)/9,1),"000"),"")</f>
        <v>DC045</v>
      </c>
      <c r="AQ74" s="22" t="str">
        <f>IF(INDEX('Shot Map'!$B$6:$V$26,CEILING($A74/5,1),CEILING(AQ$2/5,1))=1,INDEX('Serial Reference'!$A$8:$W$8,1,FLOOR(($A74-1)/23,1)+1)&amp;INDEX('Serial Reference'!$A$8:$W$8,1,MOD($A74-1,23)+1)&amp;TEXT(AQ$2+FLOOR((AQ$2-1)/9,1),"000"),"")</f>
        <v>DC046</v>
      </c>
      <c r="AR74" s="22" t="str">
        <f>IF(INDEX('Shot Map'!$B$6:$V$26,CEILING($A74/5,1),CEILING(AR$2/5,1))=1,INDEX('Serial Reference'!$A$8:$W$8,1,FLOOR(($A74-1)/23,1)+1)&amp;INDEX('Serial Reference'!$A$8:$W$8,1,MOD($A74-1,23)+1)&amp;TEXT(AR$2+FLOOR((AR$2-1)/9,1),"000"),"")</f>
        <v>DC047</v>
      </c>
      <c r="AS74" s="22" t="str">
        <f>IF(INDEX('Shot Map'!$B$6:$V$26,CEILING($A74/5,1),CEILING(AS$2/5,1))=1,INDEX('Serial Reference'!$A$8:$W$8,1,FLOOR(($A74-1)/23,1)+1)&amp;INDEX('Serial Reference'!$A$8:$W$8,1,MOD($A74-1,23)+1)&amp;TEXT(AS$2+FLOOR((AS$2-1)/9,1),"000"),"")</f>
        <v>DC048</v>
      </c>
      <c r="AT74" s="23" t="str">
        <f>IF(INDEX('Shot Map'!$B$6:$V$26,CEILING($A74/5,1),CEILING(AT$2/5,1))=1,INDEX('Serial Reference'!$A$8:$W$8,1,FLOOR(($A74-1)/23,1)+1)&amp;INDEX('Serial Reference'!$A$8:$W$8,1,MOD($A74-1,23)+1)&amp;TEXT(AT$2+FLOOR((AT$2-1)/9,1),"000"),"")</f>
        <v>DC049</v>
      </c>
      <c r="AU74" s="21" t="str">
        <f>IF(INDEX('Shot Map'!$B$6:$V$26,CEILING($A74/5,1),CEILING(AU$2/5,1))=1,INDEX('Serial Reference'!$A$8:$W$8,1,FLOOR(($A74-1)/23,1)+1)&amp;INDEX('Serial Reference'!$A$8:$W$8,1,MOD($A74-1,23)+1)&amp;TEXT(AU$2+FLOOR((AU$2-1)/9,1),"000"),"")</f>
        <v>DC051</v>
      </c>
      <c r="AV74" s="22" t="str">
        <f>IF(INDEX('Shot Map'!$B$6:$V$26,CEILING($A74/5,1),CEILING(AV$2/5,1))=1,INDEX('Serial Reference'!$A$8:$W$8,1,FLOOR(($A74-1)/23,1)+1)&amp;INDEX('Serial Reference'!$A$8:$W$8,1,MOD($A74-1,23)+1)&amp;TEXT(AV$2+FLOOR((AV$2-1)/9,1),"000"),"")</f>
        <v>DC052</v>
      </c>
      <c r="AW74" s="22" t="str">
        <f>IF(INDEX('Shot Map'!$B$6:$V$26,CEILING($A74/5,1),CEILING(AW$2/5,1))=1,INDEX('Serial Reference'!$A$8:$W$8,1,FLOOR(($A74-1)/23,1)+1)&amp;INDEX('Serial Reference'!$A$8:$W$8,1,MOD($A74-1,23)+1)&amp;TEXT(AW$2+FLOOR((AW$2-1)/9,1),"000"),"")</f>
        <v>DC053</v>
      </c>
      <c r="AX74" s="22" t="str">
        <f>IF(INDEX('Shot Map'!$B$6:$V$26,CEILING($A74/5,1),CEILING(AX$2/5,1))=1,INDEX('Serial Reference'!$A$8:$W$8,1,FLOOR(($A74-1)/23,1)+1)&amp;INDEX('Serial Reference'!$A$8:$W$8,1,MOD($A74-1,23)+1)&amp;TEXT(AX$2+FLOOR((AX$2-1)/9,1),"000"),"")</f>
        <v>DC054</v>
      </c>
      <c r="AY74" s="23" t="str">
        <f>IF(INDEX('Shot Map'!$B$6:$V$26,CEILING($A74/5,1),CEILING(AY$2/5,1))=1,INDEX('Serial Reference'!$A$8:$W$8,1,FLOOR(($A74-1)/23,1)+1)&amp;INDEX('Serial Reference'!$A$8:$W$8,1,MOD($A74-1,23)+1)&amp;TEXT(AY$2+FLOOR((AY$2-1)/9,1),"000"),"")</f>
        <v>DC055</v>
      </c>
      <c r="AZ74" s="21" t="str">
        <f>IF(INDEX('Shot Map'!$B$6:$V$26,CEILING($A74/5,1),CEILING(AZ$2/5,1))=1,INDEX('Serial Reference'!$A$8:$W$8,1,FLOOR(($A74-1)/23,1)+1)&amp;INDEX('Serial Reference'!$A$8:$W$8,1,MOD($A74-1,23)+1)&amp;TEXT(AZ$2+FLOOR((AZ$2-1)/9,1),"000"),"")</f>
        <v>DC056</v>
      </c>
      <c r="BA74" s="22" t="str">
        <f>IF(INDEX('Shot Map'!$B$6:$V$26,CEILING($A74/5,1),CEILING(BA$2/5,1))=1,INDEX('Serial Reference'!$A$8:$W$8,1,FLOOR(($A74-1)/23,1)+1)&amp;INDEX('Serial Reference'!$A$8:$W$8,1,MOD($A74-1,23)+1)&amp;TEXT(BA$2+FLOOR((BA$2-1)/9,1),"000"),"")</f>
        <v>DC057</v>
      </c>
      <c r="BB74" s="22" t="str">
        <f>IF(INDEX('Shot Map'!$B$6:$V$26,CEILING($A74/5,1),CEILING(BB$2/5,1))=1,INDEX('Serial Reference'!$A$8:$W$8,1,FLOOR(($A74-1)/23,1)+1)&amp;INDEX('Serial Reference'!$A$8:$W$8,1,MOD($A74-1,23)+1)&amp;TEXT(BB$2+FLOOR((BB$2-1)/9,1),"000"),"")</f>
        <v>DC058</v>
      </c>
      <c r="BC74" s="22" t="str">
        <f>IF(INDEX('Shot Map'!$B$6:$V$26,CEILING($A74/5,1),CEILING(BC$2/5,1))=1,INDEX('Serial Reference'!$A$8:$W$8,1,FLOOR(($A74-1)/23,1)+1)&amp;INDEX('Serial Reference'!$A$8:$W$8,1,MOD($A74-1,23)+1)&amp;TEXT(BC$2+FLOOR((BC$2-1)/9,1),"000"),"")</f>
        <v>DC059</v>
      </c>
      <c r="BD74" s="23" t="str">
        <f>IF(INDEX('Shot Map'!$B$6:$V$26,CEILING($A74/5,1),CEILING(BD$2/5,1))=1,INDEX('Serial Reference'!$A$8:$W$8,1,FLOOR(($A74-1)/23,1)+1)&amp;INDEX('Serial Reference'!$A$8:$W$8,1,MOD($A74-1,23)+1)&amp;TEXT(BD$2+FLOOR((BD$2-1)/9,1),"000"),"")</f>
        <v>DC061</v>
      </c>
      <c r="BE74" s="21" t="str">
        <f>IF(INDEX('Shot Map'!$B$6:$V$26,CEILING($A74/5,1),CEILING(BE$2/5,1))=1,INDEX('Serial Reference'!$A$8:$W$8,1,FLOOR(($A74-1)/23,1)+1)&amp;INDEX('Serial Reference'!$A$8:$W$8,1,MOD($A74-1,23)+1)&amp;TEXT(BE$2+FLOOR((BE$2-1)/9,1),"000"),"")</f>
        <v>DC062</v>
      </c>
      <c r="BF74" s="22" t="str">
        <f>IF(INDEX('Shot Map'!$B$6:$V$26,CEILING($A74/5,1),CEILING(BF$2/5,1))=1,INDEX('Serial Reference'!$A$8:$W$8,1,FLOOR(($A74-1)/23,1)+1)&amp;INDEX('Serial Reference'!$A$8:$W$8,1,MOD($A74-1,23)+1)&amp;TEXT(BF$2+FLOOR((BF$2-1)/9,1),"000"),"")</f>
        <v>DC063</v>
      </c>
      <c r="BG74" s="22" t="str">
        <f>IF(INDEX('Shot Map'!$B$6:$V$26,CEILING($A74/5,1),CEILING(BG$2/5,1))=1,INDEX('Serial Reference'!$A$8:$W$8,1,FLOOR(($A74-1)/23,1)+1)&amp;INDEX('Serial Reference'!$A$8:$W$8,1,MOD($A74-1,23)+1)&amp;TEXT(BG$2+FLOOR((BG$2-1)/9,1),"000"),"")</f>
        <v>DC064</v>
      </c>
      <c r="BH74" s="22" t="str">
        <f>IF(INDEX('Shot Map'!$B$6:$V$26,CEILING($A74/5,1),CEILING(BH$2/5,1))=1,INDEX('Serial Reference'!$A$8:$W$8,1,FLOOR(($A74-1)/23,1)+1)&amp;INDEX('Serial Reference'!$A$8:$W$8,1,MOD($A74-1,23)+1)&amp;TEXT(BH$2+FLOOR((BH$2-1)/9,1),"000"),"")</f>
        <v>DC065</v>
      </c>
      <c r="BI74" s="23" t="str">
        <f>IF(INDEX('Shot Map'!$B$6:$V$26,CEILING($A74/5,1),CEILING(BI$2/5,1))=1,INDEX('Serial Reference'!$A$8:$W$8,1,FLOOR(($A74-1)/23,1)+1)&amp;INDEX('Serial Reference'!$A$8:$W$8,1,MOD($A74-1,23)+1)&amp;TEXT(BI$2+FLOOR((BI$2-1)/9,1),"000"),"")</f>
        <v>DC066</v>
      </c>
      <c r="BJ74" s="21" t="str">
        <f>IF(INDEX('Shot Map'!$B$6:$V$26,CEILING($A74/5,1),CEILING(BJ$2/5,1))=1,INDEX('Serial Reference'!$A$8:$W$8,1,FLOOR(($A74-1)/23,1)+1)&amp;INDEX('Serial Reference'!$A$8:$W$8,1,MOD($A74-1,23)+1)&amp;TEXT(BJ$2+FLOOR((BJ$2-1)/9,1),"000"),"")</f>
        <v>DC067</v>
      </c>
      <c r="BK74" s="22" t="str">
        <f>IF(INDEX('Shot Map'!$B$6:$V$26,CEILING($A74/5,1),CEILING(BK$2/5,1))=1,INDEX('Serial Reference'!$A$8:$W$8,1,FLOOR(($A74-1)/23,1)+1)&amp;INDEX('Serial Reference'!$A$8:$W$8,1,MOD($A74-1,23)+1)&amp;TEXT(BK$2+FLOOR((BK$2-1)/9,1),"000"),"")</f>
        <v>DC068</v>
      </c>
      <c r="BL74" s="22" t="str">
        <f>IF(INDEX('Shot Map'!$B$6:$V$26,CEILING($A74/5,1),CEILING(BL$2/5,1))=1,INDEX('Serial Reference'!$A$8:$W$8,1,FLOOR(($A74-1)/23,1)+1)&amp;INDEX('Serial Reference'!$A$8:$W$8,1,MOD($A74-1,23)+1)&amp;TEXT(BL$2+FLOOR((BL$2-1)/9,1),"000"),"")</f>
        <v>DC069</v>
      </c>
      <c r="BM74" s="22" t="str">
        <f>IF(INDEX('Shot Map'!$B$6:$V$26,CEILING($A74/5,1),CEILING(BM$2/5,1))=1,INDEX('Serial Reference'!$A$8:$W$8,1,FLOOR(($A74-1)/23,1)+1)&amp;INDEX('Serial Reference'!$A$8:$W$8,1,MOD($A74-1,23)+1)&amp;TEXT(BM$2+FLOOR((BM$2-1)/9,1),"000"),"")</f>
        <v>DC071</v>
      </c>
      <c r="BN74" s="23" t="str">
        <f>IF(INDEX('Shot Map'!$B$6:$V$26,CEILING($A74/5,1),CEILING(BN$2/5,1))=1,INDEX('Serial Reference'!$A$8:$W$8,1,FLOOR(($A74-1)/23,1)+1)&amp;INDEX('Serial Reference'!$A$8:$W$8,1,MOD($A74-1,23)+1)&amp;TEXT(BN$2+FLOOR((BN$2-1)/9,1),"000"),"")</f>
        <v>DC072</v>
      </c>
      <c r="BO74" s="21" t="str">
        <f>IF(INDEX('Shot Map'!$B$6:$V$26,CEILING($A74/5,1),CEILING(BO$2/5,1))=1,INDEX('Serial Reference'!$A$8:$W$8,1,FLOOR(($A74-1)/23,1)+1)&amp;INDEX('Serial Reference'!$A$8:$W$8,1,MOD($A74-1,23)+1)&amp;TEXT(BO$2+FLOOR((BO$2-1)/9,1),"000"),"")</f>
        <v>DC073</v>
      </c>
      <c r="BP74" s="22" t="str">
        <f>IF(INDEX('Shot Map'!$B$6:$V$26,CEILING($A74/5,1),CEILING(BP$2/5,1))=1,INDEX('Serial Reference'!$A$8:$W$8,1,FLOOR(($A74-1)/23,1)+1)&amp;INDEX('Serial Reference'!$A$8:$W$8,1,MOD($A74-1,23)+1)&amp;TEXT(BP$2+FLOOR((BP$2-1)/9,1),"000"),"")</f>
        <v>DC074</v>
      </c>
      <c r="BQ74" s="22" t="str">
        <f>IF(INDEX('Shot Map'!$B$6:$V$26,CEILING($A74/5,1),CEILING(BQ$2/5,1))=1,INDEX('Serial Reference'!$A$8:$W$8,1,FLOOR(($A74-1)/23,1)+1)&amp;INDEX('Serial Reference'!$A$8:$W$8,1,MOD($A74-1,23)+1)&amp;TEXT(BQ$2+FLOOR((BQ$2-1)/9,1),"000"),"")</f>
        <v>DC075</v>
      </c>
      <c r="BR74" s="22" t="str">
        <f>IF(INDEX('Shot Map'!$B$6:$V$26,CEILING($A74/5,1),CEILING(BR$2/5,1))=1,INDEX('Serial Reference'!$A$8:$W$8,1,FLOOR(($A74-1)/23,1)+1)&amp;INDEX('Serial Reference'!$A$8:$W$8,1,MOD($A74-1,23)+1)&amp;TEXT(BR$2+FLOOR((BR$2-1)/9,1),"000"),"")</f>
        <v>DC076</v>
      </c>
      <c r="BS74" s="23" t="str">
        <f>IF(INDEX('Shot Map'!$B$6:$V$26,CEILING($A74/5,1),CEILING(BS$2/5,1))=1,INDEX('Serial Reference'!$A$8:$W$8,1,FLOOR(($A74-1)/23,1)+1)&amp;INDEX('Serial Reference'!$A$8:$W$8,1,MOD($A74-1,23)+1)&amp;TEXT(BS$2+FLOOR((BS$2-1)/9,1),"000"),"")</f>
        <v>DC077</v>
      </c>
      <c r="BT74" s="21" t="str">
        <f>IF(INDEX('Shot Map'!$B$6:$V$26,CEILING($A74/5,1),CEILING(BT$2/5,1))=1,INDEX('Serial Reference'!$A$8:$W$8,1,FLOOR(($A74-1)/23,1)+1)&amp;INDEX('Serial Reference'!$A$8:$W$8,1,MOD($A74-1,23)+1)&amp;TEXT(BT$2+FLOOR((BT$2-1)/9,1),"000"),"")</f>
        <v>DC078</v>
      </c>
      <c r="BU74" s="22" t="str">
        <f>IF(INDEX('Shot Map'!$B$6:$V$26,CEILING($A74/5,1),CEILING(BU$2/5,1))=1,INDEX('Serial Reference'!$A$8:$W$8,1,FLOOR(($A74-1)/23,1)+1)&amp;INDEX('Serial Reference'!$A$8:$W$8,1,MOD($A74-1,23)+1)&amp;TEXT(BU$2+FLOOR((BU$2-1)/9,1),"000"),"")</f>
        <v>DC079</v>
      </c>
      <c r="BV74" s="22" t="str">
        <f>IF(INDEX('Shot Map'!$B$6:$V$26,CEILING($A74/5,1),CEILING(BV$2/5,1))=1,INDEX('Serial Reference'!$A$8:$W$8,1,FLOOR(($A74-1)/23,1)+1)&amp;INDEX('Serial Reference'!$A$8:$W$8,1,MOD($A74-1,23)+1)&amp;TEXT(BV$2+FLOOR((BV$2-1)/9,1),"000"),"")</f>
        <v>DC081</v>
      </c>
      <c r="BW74" s="22" t="str">
        <f>IF(INDEX('Shot Map'!$B$6:$V$26,CEILING($A74/5,1),CEILING(BW$2/5,1))=1,INDEX('Serial Reference'!$A$8:$W$8,1,FLOOR(($A74-1)/23,1)+1)&amp;INDEX('Serial Reference'!$A$8:$W$8,1,MOD($A74-1,23)+1)&amp;TEXT(BW$2+FLOOR((BW$2-1)/9,1),"000"),"")</f>
        <v>DC082</v>
      </c>
      <c r="BX74" s="23" t="str">
        <f>IF(INDEX('Shot Map'!$B$6:$V$26,CEILING($A74/5,1),CEILING(BX$2/5,1))=1,INDEX('Serial Reference'!$A$8:$W$8,1,FLOOR(($A74-1)/23,1)+1)&amp;INDEX('Serial Reference'!$A$8:$W$8,1,MOD($A74-1,23)+1)&amp;TEXT(BX$2+FLOOR((BX$2-1)/9,1),"000"),"")</f>
        <v>DC083</v>
      </c>
      <c r="BY74" s="21" t="str">
        <f>IF(INDEX('Shot Map'!$B$6:$V$26,CEILING($A74/5,1),CEILING(BY$2/5,1))=1,INDEX('Serial Reference'!$A$8:$W$8,1,FLOOR(($A74-1)/23,1)+1)&amp;INDEX('Serial Reference'!$A$8:$W$8,1,MOD($A74-1,23)+1)&amp;TEXT(BY$2+FLOOR((BY$2-1)/9,1),"000"),"")</f>
        <v>DC084</v>
      </c>
      <c r="BZ74" s="22" t="str">
        <f>IF(INDEX('Shot Map'!$B$6:$V$26,CEILING($A74/5,1),CEILING(BZ$2/5,1))=1,INDEX('Serial Reference'!$A$8:$W$8,1,FLOOR(($A74-1)/23,1)+1)&amp;INDEX('Serial Reference'!$A$8:$W$8,1,MOD($A74-1,23)+1)&amp;TEXT(BZ$2+FLOOR((BZ$2-1)/9,1),"000"),"")</f>
        <v>DC085</v>
      </c>
      <c r="CA74" s="22" t="str">
        <f>IF(INDEX('Shot Map'!$B$6:$V$26,CEILING($A74/5,1),CEILING(CA$2/5,1))=1,INDEX('Serial Reference'!$A$8:$W$8,1,FLOOR(($A74-1)/23,1)+1)&amp;INDEX('Serial Reference'!$A$8:$W$8,1,MOD($A74-1,23)+1)&amp;TEXT(CA$2+FLOOR((CA$2-1)/9,1),"000"),"")</f>
        <v>DC086</v>
      </c>
      <c r="CB74" s="22" t="str">
        <f>IF(INDEX('Shot Map'!$B$6:$V$26,CEILING($A74/5,1),CEILING(CB$2/5,1))=1,INDEX('Serial Reference'!$A$8:$W$8,1,FLOOR(($A74-1)/23,1)+1)&amp;INDEX('Serial Reference'!$A$8:$W$8,1,MOD($A74-1,23)+1)&amp;TEXT(CB$2+FLOOR((CB$2-1)/9,1),"000"),"")</f>
        <v>DC087</v>
      </c>
      <c r="CC74" s="23" t="str">
        <f>IF(INDEX('Shot Map'!$B$6:$V$26,CEILING($A74/5,1),CEILING(CC$2/5,1))=1,INDEX('Serial Reference'!$A$8:$W$8,1,FLOOR(($A74-1)/23,1)+1)&amp;INDEX('Serial Reference'!$A$8:$W$8,1,MOD($A74-1,23)+1)&amp;TEXT(CC$2+FLOOR((CC$2-1)/9,1),"000"),"")</f>
        <v>DC088</v>
      </c>
      <c r="CD74" s="21" t="str">
        <f>IF(INDEX('Shot Map'!$B$6:$V$26,CEILING($A74/5,1),CEILING(CD$2/5,1))=1,INDEX('Serial Reference'!$A$8:$W$8,1,FLOOR(($A74-1)/23,1)+1)&amp;INDEX('Serial Reference'!$A$8:$W$8,1,MOD($A74-1,23)+1)&amp;TEXT(CD$2+FLOOR((CD$2-1)/9,1),"000"),"")</f>
        <v>DC089</v>
      </c>
      <c r="CE74" s="22" t="str">
        <f>IF(INDEX('Shot Map'!$B$6:$V$26,CEILING($A74/5,1),CEILING(CE$2/5,1))=1,INDEX('Serial Reference'!$A$8:$W$8,1,FLOOR(($A74-1)/23,1)+1)&amp;INDEX('Serial Reference'!$A$8:$W$8,1,MOD($A74-1,23)+1)&amp;TEXT(CE$2+FLOOR((CE$2-1)/9,1),"000"),"")</f>
        <v>DC091</v>
      </c>
      <c r="CF74" s="22" t="str">
        <f>IF(INDEX('Shot Map'!$B$6:$V$26,CEILING($A74/5,1),CEILING(CF$2/5,1))=1,INDEX('Serial Reference'!$A$8:$W$8,1,FLOOR(($A74-1)/23,1)+1)&amp;INDEX('Serial Reference'!$A$8:$W$8,1,MOD($A74-1,23)+1)&amp;TEXT(CF$2+FLOOR((CF$2-1)/9,1),"000"),"")</f>
        <v>DC092</v>
      </c>
      <c r="CG74" s="22" t="str">
        <f>IF(INDEX('Shot Map'!$B$6:$V$26,CEILING($A74/5,1),CEILING(CG$2/5,1))=1,INDEX('Serial Reference'!$A$8:$W$8,1,FLOOR(($A74-1)/23,1)+1)&amp;INDEX('Serial Reference'!$A$8:$W$8,1,MOD($A74-1,23)+1)&amp;TEXT(CG$2+FLOOR((CG$2-1)/9,1),"000"),"")</f>
        <v>DC093</v>
      </c>
      <c r="CH74" s="23" t="str">
        <f>IF(INDEX('Shot Map'!$B$6:$V$26,CEILING($A74/5,1),CEILING(CH$2/5,1))=1,INDEX('Serial Reference'!$A$8:$W$8,1,FLOOR(($A74-1)/23,1)+1)&amp;INDEX('Serial Reference'!$A$8:$W$8,1,MOD($A74-1,23)+1)&amp;TEXT(CH$2+FLOOR((CH$2-1)/9,1),"000"),"")</f>
        <v>DC094</v>
      </c>
      <c r="CI74" s="21" t="str">
        <f>IF(INDEX('Shot Map'!$B$6:$V$26,CEILING($A74/5,1),CEILING(CI$2/5,1))=1,INDEX('Serial Reference'!$A$8:$W$8,1,FLOOR(($A74-1)/23,1)+1)&amp;INDEX('Serial Reference'!$A$8:$W$8,1,MOD($A74-1,23)+1)&amp;TEXT(CI$2+FLOOR((CI$2-1)/9,1),"000"),"")</f>
        <v>DC095</v>
      </c>
      <c r="CJ74" s="22" t="str">
        <f>IF(INDEX('Shot Map'!$B$6:$V$26,CEILING($A74/5,1),CEILING(CJ$2/5,1))=1,INDEX('Serial Reference'!$A$8:$W$8,1,FLOOR(($A74-1)/23,1)+1)&amp;INDEX('Serial Reference'!$A$8:$W$8,1,MOD($A74-1,23)+1)&amp;TEXT(CJ$2+FLOOR((CJ$2-1)/9,1),"000"),"")</f>
        <v>DC096</v>
      </c>
      <c r="CK74" s="22" t="str">
        <f>IF(INDEX('Shot Map'!$B$6:$V$26,CEILING($A74/5,1),CEILING(CK$2/5,1))=1,INDEX('Serial Reference'!$A$8:$W$8,1,FLOOR(($A74-1)/23,1)+1)&amp;INDEX('Serial Reference'!$A$8:$W$8,1,MOD($A74-1,23)+1)&amp;TEXT(CK$2+FLOOR((CK$2-1)/9,1),"000"),"")</f>
        <v>DC097</v>
      </c>
      <c r="CL74" s="22" t="str">
        <f>IF(INDEX('Shot Map'!$B$6:$V$26,CEILING($A74/5,1),CEILING(CL$2/5,1))=1,INDEX('Serial Reference'!$A$8:$W$8,1,FLOOR(($A74-1)/23,1)+1)&amp;INDEX('Serial Reference'!$A$8:$W$8,1,MOD($A74-1,23)+1)&amp;TEXT(CL$2+FLOOR((CL$2-1)/9,1),"000"),"")</f>
        <v>DC098</v>
      </c>
      <c r="CM74" s="23" t="str">
        <f>IF(INDEX('Shot Map'!$B$6:$V$26,CEILING($A74/5,1),CEILING(CM$2/5,1))=1,INDEX('Serial Reference'!$A$8:$W$8,1,FLOOR(($A74-1)/23,1)+1)&amp;INDEX('Serial Reference'!$A$8:$W$8,1,MOD($A74-1,23)+1)&amp;TEXT(CM$2+FLOOR((CM$2-1)/9,1),"000"),"")</f>
        <v>DC099</v>
      </c>
      <c r="CN74" s="21" t="str">
        <f>IF(INDEX('Shot Map'!$B$6:$V$26,CEILING($A74/5,1),CEILING(CN$2/5,1))=1,INDEX('Serial Reference'!$A$8:$W$8,1,FLOOR(($A74-1)/23,1)+1)&amp;INDEX('Serial Reference'!$A$8:$W$8,1,MOD($A74-1,23)+1)&amp;TEXT(CN$2+FLOOR((CN$2-1)/9,1),"000"),"")</f>
        <v>DC101</v>
      </c>
      <c r="CO74" s="22" t="str">
        <f>IF(INDEX('Shot Map'!$B$6:$V$26,CEILING($A74/5,1),CEILING(CO$2/5,1))=1,INDEX('Serial Reference'!$A$8:$W$8,1,FLOOR(($A74-1)/23,1)+1)&amp;INDEX('Serial Reference'!$A$8:$W$8,1,MOD($A74-1,23)+1)&amp;TEXT(CO$2+FLOOR((CO$2-1)/9,1),"000"),"")</f>
        <v>DC102</v>
      </c>
      <c r="CP74" s="22" t="str">
        <f>IF(INDEX('Shot Map'!$B$6:$V$26,CEILING($A74/5,1),CEILING(CP$2/5,1))=1,INDEX('Serial Reference'!$A$8:$W$8,1,FLOOR(($A74-1)/23,1)+1)&amp;INDEX('Serial Reference'!$A$8:$W$8,1,MOD($A74-1,23)+1)&amp;TEXT(CP$2+FLOOR((CP$2-1)/9,1),"000"),"")</f>
        <v>DC103</v>
      </c>
      <c r="CQ74" s="22" t="str">
        <f>IF(INDEX('Shot Map'!$B$6:$V$26,CEILING($A74/5,1),CEILING(CQ$2/5,1))=1,INDEX('Serial Reference'!$A$8:$W$8,1,FLOOR(($A74-1)/23,1)+1)&amp;INDEX('Serial Reference'!$A$8:$W$8,1,MOD($A74-1,23)+1)&amp;TEXT(CQ$2+FLOOR((CQ$2-1)/9,1),"000"),"")</f>
        <v>DC104</v>
      </c>
      <c r="CR74" s="23" t="str">
        <f>IF(INDEX('Shot Map'!$B$6:$V$26,CEILING($A74/5,1),CEILING(CR$2/5,1))=1,INDEX('Serial Reference'!$A$8:$W$8,1,FLOOR(($A74-1)/23,1)+1)&amp;INDEX('Serial Reference'!$A$8:$W$8,1,MOD($A74-1,23)+1)&amp;TEXT(CR$2+FLOOR((CR$2-1)/9,1),"000"),"")</f>
        <v>DC105</v>
      </c>
      <c r="CS74" s="21" t="str">
        <f>IF(INDEX('Shot Map'!$B$6:$V$26,CEILING($A74/5,1),CEILING(CS$2/5,1))=1,INDEX('Serial Reference'!$A$8:$W$8,1,FLOOR(($A74-1)/23,1)+1)&amp;INDEX('Serial Reference'!$A$8:$W$8,1,MOD($A74-1,23)+1)&amp;TEXT(CS$2+FLOOR((CS$2-1)/9,1),"000"),"")</f>
        <v>DC106</v>
      </c>
      <c r="CT74" s="22" t="str">
        <f>IF(INDEX('Shot Map'!$B$6:$V$26,CEILING($A74/5,1),CEILING(CT$2/5,1))=1,INDEX('Serial Reference'!$A$8:$W$8,1,FLOOR(($A74-1)/23,1)+1)&amp;INDEX('Serial Reference'!$A$8:$W$8,1,MOD($A74-1,23)+1)&amp;TEXT(CT$2+FLOOR((CT$2-1)/9,1),"000"),"")</f>
        <v>DC107</v>
      </c>
      <c r="CU74" s="22" t="str">
        <f>IF(INDEX('Shot Map'!$B$6:$V$26,CEILING($A74/5,1),CEILING(CU$2/5,1))=1,INDEX('Serial Reference'!$A$8:$W$8,1,FLOOR(($A74-1)/23,1)+1)&amp;INDEX('Serial Reference'!$A$8:$W$8,1,MOD($A74-1,23)+1)&amp;TEXT(CU$2+FLOOR((CU$2-1)/9,1),"000"),"")</f>
        <v>DC108</v>
      </c>
      <c r="CV74" s="22" t="str">
        <f>IF(INDEX('Shot Map'!$B$6:$V$26,CEILING($A74/5,1),CEILING(CV$2/5,1))=1,INDEX('Serial Reference'!$A$8:$W$8,1,FLOOR(($A74-1)/23,1)+1)&amp;INDEX('Serial Reference'!$A$8:$W$8,1,MOD($A74-1,23)+1)&amp;TEXT(CV$2+FLOOR((CV$2-1)/9,1),"000"),"")</f>
        <v>DC109</v>
      </c>
      <c r="CW74" s="23" t="str">
        <f>IF(INDEX('Shot Map'!$B$6:$V$26,CEILING($A74/5,1),CEILING(CW$2/5,1))=1,INDEX('Serial Reference'!$A$8:$W$8,1,FLOOR(($A74-1)/23,1)+1)&amp;INDEX('Serial Reference'!$A$8:$W$8,1,MOD($A74-1,23)+1)&amp;TEXT(CW$2+FLOOR((CW$2-1)/9,1),"000"),"")</f>
        <v>DC111</v>
      </c>
      <c r="CX74" s="21" t="str">
        <f>IF(INDEX('Shot Map'!$B$6:$V$26,CEILING($A74/5,1),CEILING(CX$2/5,1))=1,INDEX('Serial Reference'!$A$8:$W$8,1,FLOOR(($A74-1)/23,1)+1)&amp;INDEX('Serial Reference'!$A$8:$W$8,1,MOD($A74-1,23)+1)&amp;TEXT(CX$2+FLOOR((CX$2-1)/9,1),"000"),"")</f>
        <v/>
      </c>
      <c r="CY74" s="22" t="str">
        <f>IF(INDEX('Shot Map'!$B$6:$V$26,CEILING($A74/5,1),CEILING(CY$2/5,1))=1,INDEX('Serial Reference'!$A$8:$W$8,1,FLOOR(($A74-1)/23,1)+1)&amp;INDEX('Serial Reference'!$A$8:$W$8,1,MOD($A74-1,23)+1)&amp;TEXT(CY$2+FLOOR((CY$2-1)/9,1),"000"),"")</f>
        <v/>
      </c>
      <c r="CZ74" s="22" t="str">
        <f>IF(INDEX('Shot Map'!$B$6:$V$26,CEILING($A74/5,1),CEILING(CZ$2/5,1))=1,INDEX('Serial Reference'!$A$8:$W$8,1,FLOOR(($A74-1)/23,1)+1)&amp;INDEX('Serial Reference'!$A$8:$W$8,1,MOD($A74-1,23)+1)&amp;TEXT(CZ$2+FLOOR((CZ$2-1)/9,1),"000"),"")</f>
        <v/>
      </c>
      <c r="DA74" s="22" t="str">
        <f>IF(INDEX('Shot Map'!$B$6:$V$26,CEILING($A74/5,1),CEILING(DA$2/5,1))=1,INDEX('Serial Reference'!$A$8:$W$8,1,FLOOR(($A74-1)/23,1)+1)&amp;INDEX('Serial Reference'!$A$8:$W$8,1,MOD($A74-1,23)+1)&amp;TEXT(DA$2+FLOOR((DA$2-1)/9,1),"000"),"")</f>
        <v/>
      </c>
      <c r="DB74" s="23" t="str">
        <f>IF(INDEX('Shot Map'!$B$6:$V$26,CEILING($A74/5,1),CEILING(DB$2/5,1))=1,INDEX('Serial Reference'!$A$8:$W$8,1,FLOOR(($A74-1)/23,1)+1)&amp;INDEX('Serial Reference'!$A$8:$W$8,1,MOD($A74-1,23)+1)&amp;TEXT(DB$2+FLOOR((DB$2-1)/9,1),"000"),"")</f>
        <v/>
      </c>
    </row>
    <row r="75" spans="1:106" ht="12.75" customHeight="1" x14ac:dyDescent="0.25">
      <c r="A75" s="17">
        <v>73</v>
      </c>
      <c r="B75" s="21" t="str">
        <f>IF(INDEX('Shot Map'!$B$6:$V$26,CEILING($A75/5,1),CEILING(B$2/5,1))=1,INDEX('Serial Reference'!$A$8:$W$8,1,FLOOR(($A75-1)/23,1)+1)&amp;INDEX('Serial Reference'!$A$8:$W$8,1,MOD($A75-1,23)+1)&amp;TEXT(B$2+FLOOR((B$2-1)/9,1),"000"),"")</f>
        <v/>
      </c>
      <c r="C75" s="22" t="str">
        <f>IF(INDEX('Shot Map'!$B$6:$V$26,CEILING($A75/5,1),CEILING(C$2/5,1))=1,INDEX('Serial Reference'!$A$8:$W$8,1,FLOOR(($A75-1)/23,1)+1)&amp;INDEX('Serial Reference'!$A$8:$W$8,1,MOD($A75-1,23)+1)&amp;TEXT(C$2+FLOOR((C$2-1)/9,1),"000"),"")</f>
        <v/>
      </c>
      <c r="D75" s="22" t="str">
        <f>IF(INDEX('Shot Map'!$B$6:$V$26,CEILING($A75/5,1),CEILING(D$2/5,1))=1,INDEX('Serial Reference'!$A$8:$W$8,1,FLOOR(($A75-1)/23,1)+1)&amp;INDEX('Serial Reference'!$A$8:$W$8,1,MOD($A75-1,23)+1)&amp;TEXT(D$2+FLOOR((D$2-1)/9,1),"000"),"")</f>
        <v/>
      </c>
      <c r="E75" s="22" t="str">
        <f>IF(INDEX('Shot Map'!$B$6:$V$26,CEILING($A75/5,1),CEILING(E$2/5,1))=1,INDEX('Serial Reference'!$A$8:$W$8,1,FLOOR(($A75-1)/23,1)+1)&amp;INDEX('Serial Reference'!$A$8:$W$8,1,MOD($A75-1,23)+1)&amp;TEXT(E$2+FLOOR((E$2-1)/9,1),"000"),"")</f>
        <v/>
      </c>
      <c r="F75" s="23" t="str">
        <f>IF(INDEX('Shot Map'!$B$6:$V$26,CEILING($A75/5,1),CEILING(F$2/5,1))=1,INDEX('Serial Reference'!$A$8:$W$8,1,FLOOR(($A75-1)/23,1)+1)&amp;INDEX('Serial Reference'!$A$8:$W$8,1,MOD($A75-1,23)+1)&amp;TEXT(F$2+FLOOR((F$2-1)/9,1),"000"),"")</f>
        <v/>
      </c>
      <c r="G75" s="21" t="str">
        <f>IF(INDEX('Shot Map'!$B$6:$V$26,CEILING($A75/5,1),CEILING(G$2/5,1))=1,INDEX('Serial Reference'!$A$8:$W$8,1,FLOOR(($A75-1)/23,1)+1)&amp;INDEX('Serial Reference'!$A$8:$W$8,1,MOD($A75-1,23)+1)&amp;TEXT(G$2+FLOOR((G$2-1)/9,1),"000"),"")</f>
        <v>DD006</v>
      </c>
      <c r="H75" s="22" t="str">
        <f>IF(INDEX('Shot Map'!$B$6:$V$26,CEILING($A75/5,1),CEILING(H$2/5,1))=1,INDEX('Serial Reference'!$A$8:$W$8,1,FLOOR(($A75-1)/23,1)+1)&amp;INDEX('Serial Reference'!$A$8:$W$8,1,MOD($A75-1,23)+1)&amp;TEXT(H$2+FLOOR((H$2-1)/9,1),"000"),"")</f>
        <v>DD007</v>
      </c>
      <c r="I75" s="22" t="str">
        <f>IF(INDEX('Shot Map'!$B$6:$V$26,CEILING($A75/5,1),CEILING(I$2/5,1))=1,INDEX('Serial Reference'!$A$8:$W$8,1,FLOOR(($A75-1)/23,1)+1)&amp;INDEX('Serial Reference'!$A$8:$W$8,1,MOD($A75-1,23)+1)&amp;TEXT(I$2+FLOOR((I$2-1)/9,1),"000"),"")</f>
        <v>DD008</v>
      </c>
      <c r="J75" s="22" t="str">
        <f>IF(INDEX('Shot Map'!$B$6:$V$26,CEILING($A75/5,1),CEILING(J$2/5,1))=1,INDEX('Serial Reference'!$A$8:$W$8,1,FLOOR(($A75-1)/23,1)+1)&amp;INDEX('Serial Reference'!$A$8:$W$8,1,MOD($A75-1,23)+1)&amp;TEXT(J$2+FLOOR((J$2-1)/9,1),"000"),"")</f>
        <v>DD009</v>
      </c>
      <c r="K75" s="23" t="str">
        <f>IF(INDEX('Shot Map'!$B$6:$V$26,CEILING($A75/5,1),CEILING(K$2/5,1))=1,INDEX('Serial Reference'!$A$8:$W$8,1,FLOOR(($A75-1)/23,1)+1)&amp;INDEX('Serial Reference'!$A$8:$W$8,1,MOD($A75-1,23)+1)&amp;TEXT(K$2+FLOOR((K$2-1)/9,1),"000"),"")</f>
        <v>DD011</v>
      </c>
      <c r="L75" s="21" t="str">
        <f>IF(INDEX('Shot Map'!$B$6:$V$26,CEILING($A75/5,1),CEILING(L$2/5,1))=1,INDEX('Serial Reference'!$A$8:$W$8,1,FLOOR(($A75-1)/23,1)+1)&amp;INDEX('Serial Reference'!$A$8:$W$8,1,MOD($A75-1,23)+1)&amp;TEXT(L$2+FLOOR((L$2-1)/9,1),"000"),"")</f>
        <v>DD012</v>
      </c>
      <c r="M75" s="22" t="str">
        <f>IF(INDEX('Shot Map'!$B$6:$V$26,CEILING($A75/5,1),CEILING(M$2/5,1))=1,INDEX('Serial Reference'!$A$8:$W$8,1,FLOOR(($A75-1)/23,1)+1)&amp;INDEX('Serial Reference'!$A$8:$W$8,1,MOD($A75-1,23)+1)&amp;TEXT(M$2+FLOOR((M$2-1)/9,1),"000"),"")</f>
        <v>DD013</v>
      </c>
      <c r="N75" s="22" t="str">
        <f>IF(INDEX('Shot Map'!$B$6:$V$26,CEILING($A75/5,1),CEILING(N$2/5,1))=1,INDEX('Serial Reference'!$A$8:$W$8,1,FLOOR(($A75-1)/23,1)+1)&amp;INDEX('Serial Reference'!$A$8:$W$8,1,MOD($A75-1,23)+1)&amp;TEXT(N$2+FLOOR((N$2-1)/9,1),"000"),"")</f>
        <v>DD014</v>
      </c>
      <c r="O75" s="22" t="str">
        <f>IF(INDEX('Shot Map'!$B$6:$V$26,CEILING($A75/5,1),CEILING(O$2/5,1))=1,INDEX('Serial Reference'!$A$8:$W$8,1,FLOOR(($A75-1)/23,1)+1)&amp;INDEX('Serial Reference'!$A$8:$W$8,1,MOD($A75-1,23)+1)&amp;TEXT(O$2+FLOOR((O$2-1)/9,1),"000"),"")</f>
        <v>DD015</v>
      </c>
      <c r="P75" s="23" t="str">
        <f>IF(INDEX('Shot Map'!$B$6:$V$26,CEILING($A75/5,1),CEILING(P$2/5,1))=1,INDEX('Serial Reference'!$A$8:$W$8,1,FLOOR(($A75-1)/23,1)+1)&amp;INDEX('Serial Reference'!$A$8:$W$8,1,MOD($A75-1,23)+1)&amp;TEXT(P$2+FLOOR((P$2-1)/9,1),"000"),"")</f>
        <v>DD016</v>
      </c>
      <c r="Q75" s="21" t="str">
        <f>IF(INDEX('Shot Map'!$B$6:$V$26,CEILING($A75/5,1),CEILING(Q$2/5,1))=1,INDEX('Serial Reference'!$A$8:$W$8,1,FLOOR(($A75-1)/23,1)+1)&amp;INDEX('Serial Reference'!$A$8:$W$8,1,MOD($A75-1,23)+1)&amp;TEXT(Q$2+FLOOR((Q$2-1)/9,1),"000"),"")</f>
        <v>DD017</v>
      </c>
      <c r="R75" s="22" t="str">
        <f>IF(INDEX('Shot Map'!$B$6:$V$26,CEILING($A75/5,1),CEILING(R$2/5,1))=1,INDEX('Serial Reference'!$A$8:$W$8,1,FLOOR(($A75-1)/23,1)+1)&amp;INDEX('Serial Reference'!$A$8:$W$8,1,MOD($A75-1,23)+1)&amp;TEXT(R$2+FLOOR((R$2-1)/9,1),"000"),"")</f>
        <v>DD018</v>
      </c>
      <c r="S75" s="22" t="str">
        <f>IF(INDEX('Shot Map'!$B$6:$V$26,CEILING($A75/5,1),CEILING(S$2/5,1))=1,INDEX('Serial Reference'!$A$8:$W$8,1,FLOOR(($A75-1)/23,1)+1)&amp;INDEX('Serial Reference'!$A$8:$W$8,1,MOD($A75-1,23)+1)&amp;TEXT(S$2+FLOOR((S$2-1)/9,1),"000"),"")</f>
        <v>DD019</v>
      </c>
      <c r="T75" s="22" t="str">
        <f>IF(INDEX('Shot Map'!$B$6:$V$26,CEILING($A75/5,1),CEILING(T$2/5,1))=1,INDEX('Serial Reference'!$A$8:$W$8,1,FLOOR(($A75-1)/23,1)+1)&amp;INDEX('Serial Reference'!$A$8:$W$8,1,MOD($A75-1,23)+1)&amp;TEXT(T$2+FLOOR((T$2-1)/9,1),"000"),"")</f>
        <v>DD021</v>
      </c>
      <c r="U75" s="23" t="str">
        <f>IF(INDEX('Shot Map'!$B$6:$V$26,CEILING($A75/5,1),CEILING(U$2/5,1))=1,INDEX('Serial Reference'!$A$8:$W$8,1,FLOOR(($A75-1)/23,1)+1)&amp;INDEX('Serial Reference'!$A$8:$W$8,1,MOD($A75-1,23)+1)&amp;TEXT(U$2+FLOOR((U$2-1)/9,1),"000"),"")</f>
        <v>DD022</v>
      </c>
      <c r="V75" s="21" t="str">
        <f>IF(INDEX('Shot Map'!$B$6:$V$26,CEILING($A75/5,1),CEILING(V$2/5,1))=1,INDEX('Serial Reference'!$A$8:$W$8,1,FLOOR(($A75-1)/23,1)+1)&amp;INDEX('Serial Reference'!$A$8:$W$8,1,MOD($A75-1,23)+1)&amp;TEXT(V$2+FLOOR((V$2-1)/9,1),"000"),"")</f>
        <v>DD023</v>
      </c>
      <c r="W75" s="22" t="str">
        <f>IF(INDEX('Shot Map'!$B$6:$V$26,CEILING($A75/5,1),CEILING(W$2/5,1))=1,INDEX('Serial Reference'!$A$8:$W$8,1,FLOOR(($A75-1)/23,1)+1)&amp;INDEX('Serial Reference'!$A$8:$W$8,1,MOD($A75-1,23)+1)&amp;TEXT(W$2+FLOOR((W$2-1)/9,1),"000"),"")</f>
        <v>DD024</v>
      </c>
      <c r="X75" s="22" t="str">
        <f>IF(INDEX('Shot Map'!$B$6:$V$26,CEILING($A75/5,1),CEILING(X$2/5,1))=1,INDEX('Serial Reference'!$A$8:$W$8,1,FLOOR(($A75-1)/23,1)+1)&amp;INDEX('Serial Reference'!$A$8:$W$8,1,MOD($A75-1,23)+1)&amp;TEXT(X$2+FLOOR((X$2-1)/9,1),"000"),"")</f>
        <v>DD025</v>
      </c>
      <c r="Y75" s="22" t="str">
        <f>IF(INDEX('Shot Map'!$B$6:$V$26,CEILING($A75/5,1),CEILING(Y$2/5,1))=1,INDEX('Serial Reference'!$A$8:$W$8,1,FLOOR(($A75-1)/23,1)+1)&amp;INDEX('Serial Reference'!$A$8:$W$8,1,MOD($A75-1,23)+1)&amp;TEXT(Y$2+FLOOR((Y$2-1)/9,1),"000"),"")</f>
        <v>DD026</v>
      </c>
      <c r="Z75" s="23" t="str">
        <f>IF(INDEX('Shot Map'!$B$6:$V$26,CEILING($A75/5,1),CEILING(Z$2/5,1))=1,INDEX('Serial Reference'!$A$8:$W$8,1,FLOOR(($A75-1)/23,1)+1)&amp;INDEX('Serial Reference'!$A$8:$W$8,1,MOD($A75-1,23)+1)&amp;TEXT(Z$2+FLOOR((Z$2-1)/9,1),"000"),"")</f>
        <v>DD027</v>
      </c>
      <c r="AA75" s="21" t="str">
        <f>IF(INDEX('Shot Map'!$B$6:$V$26,CEILING($A75/5,1),CEILING(AA$2/5,1))=1,INDEX('Serial Reference'!$A$8:$W$8,1,FLOOR(($A75-1)/23,1)+1)&amp;INDEX('Serial Reference'!$A$8:$W$8,1,MOD($A75-1,23)+1)&amp;TEXT(AA$2+FLOOR((AA$2-1)/9,1),"000"),"")</f>
        <v>DD028</v>
      </c>
      <c r="AB75" s="22" t="str">
        <f>IF(INDEX('Shot Map'!$B$6:$V$26,CEILING($A75/5,1),CEILING(AB$2/5,1))=1,INDEX('Serial Reference'!$A$8:$W$8,1,FLOOR(($A75-1)/23,1)+1)&amp;INDEX('Serial Reference'!$A$8:$W$8,1,MOD($A75-1,23)+1)&amp;TEXT(AB$2+FLOOR((AB$2-1)/9,1),"000"),"")</f>
        <v>DD029</v>
      </c>
      <c r="AC75" s="22" t="str">
        <f>IF(INDEX('Shot Map'!$B$6:$V$26,CEILING($A75/5,1),CEILING(AC$2/5,1))=1,INDEX('Serial Reference'!$A$8:$W$8,1,FLOOR(($A75-1)/23,1)+1)&amp;INDEX('Serial Reference'!$A$8:$W$8,1,MOD($A75-1,23)+1)&amp;TEXT(AC$2+FLOOR((AC$2-1)/9,1),"000"),"")</f>
        <v>DD031</v>
      </c>
      <c r="AD75" s="22" t="str">
        <f>IF(INDEX('Shot Map'!$B$6:$V$26,CEILING($A75/5,1),CEILING(AD$2/5,1))=1,INDEX('Serial Reference'!$A$8:$W$8,1,FLOOR(($A75-1)/23,1)+1)&amp;INDEX('Serial Reference'!$A$8:$W$8,1,MOD($A75-1,23)+1)&amp;TEXT(AD$2+FLOOR((AD$2-1)/9,1),"000"),"")</f>
        <v>DD032</v>
      </c>
      <c r="AE75" s="23" t="str">
        <f>IF(INDEX('Shot Map'!$B$6:$V$26,CEILING($A75/5,1),CEILING(AE$2/5,1))=1,INDEX('Serial Reference'!$A$8:$W$8,1,FLOOR(($A75-1)/23,1)+1)&amp;INDEX('Serial Reference'!$A$8:$W$8,1,MOD($A75-1,23)+1)&amp;TEXT(AE$2+FLOOR((AE$2-1)/9,1),"000"),"")</f>
        <v>DD033</v>
      </c>
      <c r="AF75" s="21" t="str">
        <f>IF(INDEX('Shot Map'!$B$6:$V$26,CEILING($A75/5,1),CEILING(AF$2/5,1))=1,INDEX('Serial Reference'!$A$8:$W$8,1,FLOOR(($A75-1)/23,1)+1)&amp;INDEX('Serial Reference'!$A$8:$W$8,1,MOD($A75-1,23)+1)&amp;TEXT(AF$2+FLOOR((AF$2-1)/9,1),"000"),"")</f>
        <v>DD034</v>
      </c>
      <c r="AG75" s="22" t="str">
        <f>IF(INDEX('Shot Map'!$B$6:$V$26,CEILING($A75/5,1),CEILING(AG$2/5,1))=1,INDEX('Serial Reference'!$A$8:$W$8,1,FLOOR(($A75-1)/23,1)+1)&amp;INDEX('Serial Reference'!$A$8:$W$8,1,MOD($A75-1,23)+1)&amp;TEXT(AG$2+FLOOR((AG$2-1)/9,1),"000"),"")</f>
        <v>DD035</v>
      </c>
      <c r="AH75" s="22" t="str">
        <f>IF(INDEX('Shot Map'!$B$6:$V$26,CEILING($A75/5,1),CEILING(AH$2/5,1))=1,INDEX('Serial Reference'!$A$8:$W$8,1,FLOOR(($A75-1)/23,1)+1)&amp;INDEX('Serial Reference'!$A$8:$W$8,1,MOD($A75-1,23)+1)&amp;TEXT(AH$2+FLOOR((AH$2-1)/9,1),"000"),"")</f>
        <v>DD036</v>
      </c>
      <c r="AI75" s="22" t="str">
        <f>IF(INDEX('Shot Map'!$B$6:$V$26,CEILING($A75/5,1),CEILING(AI$2/5,1))=1,INDEX('Serial Reference'!$A$8:$W$8,1,FLOOR(($A75-1)/23,1)+1)&amp;INDEX('Serial Reference'!$A$8:$W$8,1,MOD($A75-1,23)+1)&amp;TEXT(AI$2+FLOOR((AI$2-1)/9,1),"000"),"")</f>
        <v>DD037</v>
      </c>
      <c r="AJ75" s="23" t="str">
        <f>IF(INDEX('Shot Map'!$B$6:$V$26,CEILING($A75/5,1),CEILING(AJ$2/5,1))=1,INDEX('Serial Reference'!$A$8:$W$8,1,FLOOR(($A75-1)/23,1)+1)&amp;INDEX('Serial Reference'!$A$8:$W$8,1,MOD($A75-1,23)+1)&amp;TEXT(AJ$2+FLOOR((AJ$2-1)/9,1),"000"),"")</f>
        <v>DD038</v>
      </c>
      <c r="AK75" s="21" t="str">
        <f>IF(INDEX('Shot Map'!$B$6:$V$26,CEILING($A75/5,1),CEILING(AK$2/5,1))=1,INDEX('Serial Reference'!$A$8:$W$8,1,FLOOR(($A75-1)/23,1)+1)&amp;INDEX('Serial Reference'!$A$8:$W$8,1,MOD($A75-1,23)+1)&amp;TEXT(AK$2+FLOOR((AK$2-1)/9,1),"000"),"")</f>
        <v>DD039</v>
      </c>
      <c r="AL75" s="22" t="str">
        <f>IF(INDEX('Shot Map'!$B$6:$V$26,CEILING($A75/5,1),CEILING(AL$2/5,1))=1,INDEX('Serial Reference'!$A$8:$W$8,1,FLOOR(($A75-1)/23,1)+1)&amp;INDEX('Serial Reference'!$A$8:$W$8,1,MOD($A75-1,23)+1)&amp;TEXT(AL$2+FLOOR((AL$2-1)/9,1),"000"),"")</f>
        <v>DD041</v>
      </c>
      <c r="AM75" s="22" t="str">
        <f>IF(INDEX('Shot Map'!$B$6:$V$26,CEILING($A75/5,1),CEILING(AM$2/5,1))=1,INDEX('Serial Reference'!$A$8:$W$8,1,FLOOR(($A75-1)/23,1)+1)&amp;INDEX('Serial Reference'!$A$8:$W$8,1,MOD($A75-1,23)+1)&amp;TEXT(AM$2+FLOOR((AM$2-1)/9,1),"000"),"")</f>
        <v>DD042</v>
      </c>
      <c r="AN75" s="22" t="str">
        <f>IF(INDEX('Shot Map'!$B$6:$V$26,CEILING($A75/5,1),CEILING(AN$2/5,1))=1,INDEX('Serial Reference'!$A$8:$W$8,1,FLOOR(($A75-1)/23,1)+1)&amp;INDEX('Serial Reference'!$A$8:$W$8,1,MOD($A75-1,23)+1)&amp;TEXT(AN$2+FLOOR((AN$2-1)/9,1),"000"),"")</f>
        <v>DD043</v>
      </c>
      <c r="AO75" s="23" t="str">
        <f>IF(INDEX('Shot Map'!$B$6:$V$26,CEILING($A75/5,1),CEILING(AO$2/5,1))=1,INDEX('Serial Reference'!$A$8:$W$8,1,FLOOR(($A75-1)/23,1)+1)&amp;INDEX('Serial Reference'!$A$8:$W$8,1,MOD($A75-1,23)+1)&amp;TEXT(AO$2+FLOOR((AO$2-1)/9,1),"000"),"")</f>
        <v>DD044</v>
      </c>
      <c r="AP75" s="21" t="str">
        <f>IF(INDEX('Shot Map'!$B$6:$V$26,CEILING($A75/5,1),CEILING(AP$2/5,1))=1,INDEX('Serial Reference'!$A$8:$W$8,1,FLOOR(($A75-1)/23,1)+1)&amp;INDEX('Serial Reference'!$A$8:$W$8,1,MOD($A75-1,23)+1)&amp;TEXT(AP$2+FLOOR((AP$2-1)/9,1),"000"),"")</f>
        <v>DD045</v>
      </c>
      <c r="AQ75" s="22" t="str">
        <f>IF(INDEX('Shot Map'!$B$6:$V$26,CEILING($A75/5,1),CEILING(AQ$2/5,1))=1,INDEX('Serial Reference'!$A$8:$W$8,1,FLOOR(($A75-1)/23,1)+1)&amp;INDEX('Serial Reference'!$A$8:$W$8,1,MOD($A75-1,23)+1)&amp;TEXT(AQ$2+FLOOR((AQ$2-1)/9,1),"000"),"")</f>
        <v>DD046</v>
      </c>
      <c r="AR75" s="22" t="str">
        <f>IF(INDEX('Shot Map'!$B$6:$V$26,CEILING($A75/5,1),CEILING(AR$2/5,1))=1,INDEX('Serial Reference'!$A$8:$W$8,1,FLOOR(($A75-1)/23,1)+1)&amp;INDEX('Serial Reference'!$A$8:$W$8,1,MOD($A75-1,23)+1)&amp;TEXT(AR$2+FLOOR((AR$2-1)/9,1),"000"),"")</f>
        <v>DD047</v>
      </c>
      <c r="AS75" s="22" t="str">
        <f>IF(INDEX('Shot Map'!$B$6:$V$26,CEILING($A75/5,1),CEILING(AS$2/5,1))=1,INDEX('Serial Reference'!$A$8:$W$8,1,FLOOR(($A75-1)/23,1)+1)&amp;INDEX('Serial Reference'!$A$8:$W$8,1,MOD($A75-1,23)+1)&amp;TEXT(AS$2+FLOOR((AS$2-1)/9,1),"000"),"")</f>
        <v>DD048</v>
      </c>
      <c r="AT75" s="23" t="str">
        <f>IF(INDEX('Shot Map'!$B$6:$V$26,CEILING($A75/5,1),CEILING(AT$2/5,1))=1,INDEX('Serial Reference'!$A$8:$W$8,1,FLOOR(($A75-1)/23,1)+1)&amp;INDEX('Serial Reference'!$A$8:$W$8,1,MOD($A75-1,23)+1)&amp;TEXT(AT$2+FLOOR((AT$2-1)/9,1),"000"),"")</f>
        <v>DD049</v>
      </c>
      <c r="AU75" s="21" t="str">
        <f>IF(INDEX('Shot Map'!$B$6:$V$26,CEILING($A75/5,1),CEILING(AU$2/5,1))=1,INDEX('Serial Reference'!$A$8:$W$8,1,FLOOR(($A75-1)/23,1)+1)&amp;INDEX('Serial Reference'!$A$8:$W$8,1,MOD($A75-1,23)+1)&amp;TEXT(AU$2+FLOOR((AU$2-1)/9,1),"000"),"")</f>
        <v>DD051</v>
      </c>
      <c r="AV75" s="22" t="str">
        <f>IF(INDEX('Shot Map'!$B$6:$V$26,CEILING($A75/5,1),CEILING(AV$2/5,1))=1,INDEX('Serial Reference'!$A$8:$W$8,1,FLOOR(($A75-1)/23,1)+1)&amp;INDEX('Serial Reference'!$A$8:$W$8,1,MOD($A75-1,23)+1)&amp;TEXT(AV$2+FLOOR((AV$2-1)/9,1),"000"),"")</f>
        <v>DD052</v>
      </c>
      <c r="AW75" s="22" t="str">
        <f>IF(INDEX('Shot Map'!$B$6:$V$26,CEILING($A75/5,1),CEILING(AW$2/5,1))=1,INDEX('Serial Reference'!$A$8:$W$8,1,FLOOR(($A75-1)/23,1)+1)&amp;INDEX('Serial Reference'!$A$8:$W$8,1,MOD($A75-1,23)+1)&amp;TEXT(AW$2+FLOOR((AW$2-1)/9,1),"000"),"")</f>
        <v>DD053</v>
      </c>
      <c r="AX75" s="22" t="str">
        <f>IF(INDEX('Shot Map'!$B$6:$V$26,CEILING($A75/5,1),CEILING(AX$2/5,1))=1,INDEX('Serial Reference'!$A$8:$W$8,1,FLOOR(($A75-1)/23,1)+1)&amp;INDEX('Serial Reference'!$A$8:$W$8,1,MOD($A75-1,23)+1)&amp;TEXT(AX$2+FLOOR((AX$2-1)/9,1),"000"),"")</f>
        <v>DD054</v>
      </c>
      <c r="AY75" s="23" t="str">
        <f>IF(INDEX('Shot Map'!$B$6:$V$26,CEILING($A75/5,1),CEILING(AY$2/5,1))=1,INDEX('Serial Reference'!$A$8:$W$8,1,FLOOR(($A75-1)/23,1)+1)&amp;INDEX('Serial Reference'!$A$8:$W$8,1,MOD($A75-1,23)+1)&amp;TEXT(AY$2+FLOOR((AY$2-1)/9,1),"000"),"")</f>
        <v>DD055</v>
      </c>
      <c r="AZ75" s="21" t="str">
        <f>IF(INDEX('Shot Map'!$B$6:$V$26,CEILING($A75/5,1),CEILING(AZ$2/5,1))=1,INDEX('Serial Reference'!$A$8:$W$8,1,FLOOR(($A75-1)/23,1)+1)&amp;INDEX('Serial Reference'!$A$8:$W$8,1,MOD($A75-1,23)+1)&amp;TEXT(AZ$2+FLOOR((AZ$2-1)/9,1),"000"),"")</f>
        <v>DD056</v>
      </c>
      <c r="BA75" s="22" t="str">
        <f>IF(INDEX('Shot Map'!$B$6:$V$26,CEILING($A75/5,1),CEILING(BA$2/5,1))=1,INDEX('Serial Reference'!$A$8:$W$8,1,FLOOR(($A75-1)/23,1)+1)&amp;INDEX('Serial Reference'!$A$8:$W$8,1,MOD($A75-1,23)+1)&amp;TEXT(BA$2+FLOOR((BA$2-1)/9,1),"000"),"")</f>
        <v>DD057</v>
      </c>
      <c r="BB75" s="22" t="str">
        <f>IF(INDEX('Shot Map'!$B$6:$V$26,CEILING($A75/5,1),CEILING(BB$2/5,1))=1,INDEX('Serial Reference'!$A$8:$W$8,1,FLOOR(($A75-1)/23,1)+1)&amp;INDEX('Serial Reference'!$A$8:$W$8,1,MOD($A75-1,23)+1)&amp;TEXT(BB$2+FLOOR((BB$2-1)/9,1),"000"),"")</f>
        <v>DD058</v>
      </c>
      <c r="BC75" s="22" t="str">
        <f>IF(INDEX('Shot Map'!$B$6:$V$26,CEILING($A75/5,1),CEILING(BC$2/5,1))=1,INDEX('Serial Reference'!$A$8:$W$8,1,FLOOR(($A75-1)/23,1)+1)&amp;INDEX('Serial Reference'!$A$8:$W$8,1,MOD($A75-1,23)+1)&amp;TEXT(BC$2+FLOOR((BC$2-1)/9,1),"000"),"")</f>
        <v>DD059</v>
      </c>
      <c r="BD75" s="23" t="str">
        <f>IF(INDEX('Shot Map'!$B$6:$V$26,CEILING($A75/5,1),CEILING(BD$2/5,1))=1,INDEX('Serial Reference'!$A$8:$W$8,1,FLOOR(($A75-1)/23,1)+1)&amp;INDEX('Serial Reference'!$A$8:$W$8,1,MOD($A75-1,23)+1)&amp;TEXT(BD$2+FLOOR((BD$2-1)/9,1),"000"),"")</f>
        <v>DD061</v>
      </c>
      <c r="BE75" s="21" t="str">
        <f>IF(INDEX('Shot Map'!$B$6:$V$26,CEILING($A75/5,1),CEILING(BE$2/5,1))=1,INDEX('Serial Reference'!$A$8:$W$8,1,FLOOR(($A75-1)/23,1)+1)&amp;INDEX('Serial Reference'!$A$8:$W$8,1,MOD($A75-1,23)+1)&amp;TEXT(BE$2+FLOOR((BE$2-1)/9,1),"000"),"")</f>
        <v>DD062</v>
      </c>
      <c r="BF75" s="22" t="str">
        <f>IF(INDEX('Shot Map'!$B$6:$V$26,CEILING($A75/5,1),CEILING(BF$2/5,1))=1,INDEX('Serial Reference'!$A$8:$W$8,1,FLOOR(($A75-1)/23,1)+1)&amp;INDEX('Serial Reference'!$A$8:$W$8,1,MOD($A75-1,23)+1)&amp;TEXT(BF$2+FLOOR((BF$2-1)/9,1),"000"),"")</f>
        <v>DD063</v>
      </c>
      <c r="BG75" s="22" t="str">
        <f>IF(INDEX('Shot Map'!$B$6:$V$26,CEILING($A75/5,1),CEILING(BG$2/5,1))=1,INDEX('Serial Reference'!$A$8:$W$8,1,FLOOR(($A75-1)/23,1)+1)&amp;INDEX('Serial Reference'!$A$8:$W$8,1,MOD($A75-1,23)+1)&amp;TEXT(BG$2+FLOOR((BG$2-1)/9,1),"000"),"")</f>
        <v>DD064</v>
      </c>
      <c r="BH75" s="22" t="str">
        <f>IF(INDEX('Shot Map'!$B$6:$V$26,CEILING($A75/5,1),CEILING(BH$2/5,1))=1,INDEX('Serial Reference'!$A$8:$W$8,1,FLOOR(($A75-1)/23,1)+1)&amp;INDEX('Serial Reference'!$A$8:$W$8,1,MOD($A75-1,23)+1)&amp;TEXT(BH$2+FLOOR((BH$2-1)/9,1),"000"),"")</f>
        <v>DD065</v>
      </c>
      <c r="BI75" s="23" t="str">
        <f>IF(INDEX('Shot Map'!$B$6:$V$26,CEILING($A75/5,1),CEILING(BI$2/5,1))=1,INDEX('Serial Reference'!$A$8:$W$8,1,FLOOR(($A75-1)/23,1)+1)&amp;INDEX('Serial Reference'!$A$8:$W$8,1,MOD($A75-1,23)+1)&amp;TEXT(BI$2+FLOOR((BI$2-1)/9,1),"000"),"")</f>
        <v>DD066</v>
      </c>
      <c r="BJ75" s="21" t="str">
        <f>IF(INDEX('Shot Map'!$B$6:$V$26,CEILING($A75/5,1),CEILING(BJ$2/5,1))=1,INDEX('Serial Reference'!$A$8:$W$8,1,FLOOR(($A75-1)/23,1)+1)&amp;INDEX('Serial Reference'!$A$8:$W$8,1,MOD($A75-1,23)+1)&amp;TEXT(BJ$2+FLOOR((BJ$2-1)/9,1),"000"),"")</f>
        <v>DD067</v>
      </c>
      <c r="BK75" s="22" t="str">
        <f>IF(INDEX('Shot Map'!$B$6:$V$26,CEILING($A75/5,1),CEILING(BK$2/5,1))=1,INDEX('Serial Reference'!$A$8:$W$8,1,FLOOR(($A75-1)/23,1)+1)&amp;INDEX('Serial Reference'!$A$8:$W$8,1,MOD($A75-1,23)+1)&amp;TEXT(BK$2+FLOOR((BK$2-1)/9,1),"000"),"")</f>
        <v>DD068</v>
      </c>
      <c r="BL75" s="22" t="str">
        <f>IF(INDEX('Shot Map'!$B$6:$V$26,CEILING($A75/5,1),CEILING(BL$2/5,1))=1,INDEX('Serial Reference'!$A$8:$W$8,1,FLOOR(($A75-1)/23,1)+1)&amp;INDEX('Serial Reference'!$A$8:$W$8,1,MOD($A75-1,23)+1)&amp;TEXT(BL$2+FLOOR((BL$2-1)/9,1),"000"),"")</f>
        <v>DD069</v>
      </c>
      <c r="BM75" s="22" t="str">
        <f>IF(INDEX('Shot Map'!$B$6:$V$26,CEILING($A75/5,1),CEILING(BM$2/5,1))=1,INDEX('Serial Reference'!$A$8:$W$8,1,FLOOR(($A75-1)/23,1)+1)&amp;INDEX('Serial Reference'!$A$8:$W$8,1,MOD($A75-1,23)+1)&amp;TEXT(BM$2+FLOOR((BM$2-1)/9,1),"000"),"")</f>
        <v>DD071</v>
      </c>
      <c r="BN75" s="23" t="str">
        <f>IF(INDEX('Shot Map'!$B$6:$V$26,CEILING($A75/5,1),CEILING(BN$2/5,1))=1,INDEX('Serial Reference'!$A$8:$W$8,1,FLOOR(($A75-1)/23,1)+1)&amp;INDEX('Serial Reference'!$A$8:$W$8,1,MOD($A75-1,23)+1)&amp;TEXT(BN$2+FLOOR((BN$2-1)/9,1),"000"),"")</f>
        <v>DD072</v>
      </c>
      <c r="BO75" s="21" t="str">
        <f>IF(INDEX('Shot Map'!$B$6:$V$26,CEILING($A75/5,1),CEILING(BO$2/5,1))=1,INDEX('Serial Reference'!$A$8:$W$8,1,FLOOR(($A75-1)/23,1)+1)&amp;INDEX('Serial Reference'!$A$8:$W$8,1,MOD($A75-1,23)+1)&amp;TEXT(BO$2+FLOOR((BO$2-1)/9,1),"000"),"")</f>
        <v>DD073</v>
      </c>
      <c r="BP75" s="22" t="str">
        <f>IF(INDEX('Shot Map'!$B$6:$V$26,CEILING($A75/5,1),CEILING(BP$2/5,1))=1,INDEX('Serial Reference'!$A$8:$W$8,1,FLOOR(($A75-1)/23,1)+1)&amp;INDEX('Serial Reference'!$A$8:$W$8,1,MOD($A75-1,23)+1)&amp;TEXT(BP$2+FLOOR((BP$2-1)/9,1),"000"),"")</f>
        <v>DD074</v>
      </c>
      <c r="BQ75" s="22" t="str">
        <f>IF(INDEX('Shot Map'!$B$6:$V$26,CEILING($A75/5,1),CEILING(BQ$2/5,1))=1,INDEX('Serial Reference'!$A$8:$W$8,1,FLOOR(($A75-1)/23,1)+1)&amp;INDEX('Serial Reference'!$A$8:$W$8,1,MOD($A75-1,23)+1)&amp;TEXT(BQ$2+FLOOR((BQ$2-1)/9,1),"000"),"")</f>
        <v>DD075</v>
      </c>
      <c r="BR75" s="22" t="str">
        <f>IF(INDEX('Shot Map'!$B$6:$V$26,CEILING($A75/5,1),CEILING(BR$2/5,1))=1,INDEX('Serial Reference'!$A$8:$W$8,1,FLOOR(($A75-1)/23,1)+1)&amp;INDEX('Serial Reference'!$A$8:$W$8,1,MOD($A75-1,23)+1)&amp;TEXT(BR$2+FLOOR((BR$2-1)/9,1),"000"),"")</f>
        <v>DD076</v>
      </c>
      <c r="BS75" s="23" t="str">
        <f>IF(INDEX('Shot Map'!$B$6:$V$26,CEILING($A75/5,1),CEILING(BS$2/5,1))=1,INDEX('Serial Reference'!$A$8:$W$8,1,FLOOR(($A75-1)/23,1)+1)&amp;INDEX('Serial Reference'!$A$8:$W$8,1,MOD($A75-1,23)+1)&amp;TEXT(BS$2+FLOOR((BS$2-1)/9,1),"000"),"")</f>
        <v>DD077</v>
      </c>
      <c r="BT75" s="21" t="str">
        <f>IF(INDEX('Shot Map'!$B$6:$V$26,CEILING($A75/5,1),CEILING(BT$2/5,1))=1,INDEX('Serial Reference'!$A$8:$W$8,1,FLOOR(($A75-1)/23,1)+1)&amp;INDEX('Serial Reference'!$A$8:$W$8,1,MOD($A75-1,23)+1)&amp;TEXT(BT$2+FLOOR((BT$2-1)/9,1),"000"),"")</f>
        <v>DD078</v>
      </c>
      <c r="BU75" s="22" t="str">
        <f>IF(INDEX('Shot Map'!$B$6:$V$26,CEILING($A75/5,1),CEILING(BU$2/5,1))=1,INDEX('Serial Reference'!$A$8:$W$8,1,FLOOR(($A75-1)/23,1)+1)&amp;INDEX('Serial Reference'!$A$8:$W$8,1,MOD($A75-1,23)+1)&amp;TEXT(BU$2+FLOOR((BU$2-1)/9,1),"000"),"")</f>
        <v>DD079</v>
      </c>
      <c r="BV75" s="22" t="str">
        <f>IF(INDEX('Shot Map'!$B$6:$V$26,CEILING($A75/5,1),CEILING(BV$2/5,1))=1,INDEX('Serial Reference'!$A$8:$W$8,1,FLOOR(($A75-1)/23,1)+1)&amp;INDEX('Serial Reference'!$A$8:$W$8,1,MOD($A75-1,23)+1)&amp;TEXT(BV$2+FLOOR((BV$2-1)/9,1),"000"),"")</f>
        <v>DD081</v>
      </c>
      <c r="BW75" s="22" t="str">
        <f>IF(INDEX('Shot Map'!$B$6:$V$26,CEILING($A75/5,1),CEILING(BW$2/5,1))=1,INDEX('Serial Reference'!$A$8:$W$8,1,FLOOR(($A75-1)/23,1)+1)&amp;INDEX('Serial Reference'!$A$8:$W$8,1,MOD($A75-1,23)+1)&amp;TEXT(BW$2+FLOOR((BW$2-1)/9,1),"000"),"")</f>
        <v>DD082</v>
      </c>
      <c r="BX75" s="23" t="str">
        <f>IF(INDEX('Shot Map'!$B$6:$V$26,CEILING($A75/5,1),CEILING(BX$2/5,1))=1,INDEX('Serial Reference'!$A$8:$W$8,1,FLOOR(($A75-1)/23,1)+1)&amp;INDEX('Serial Reference'!$A$8:$W$8,1,MOD($A75-1,23)+1)&amp;TEXT(BX$2+FLOOR((BX$2-1)/9,1),"000"),"")</f>
        <v>DD083</v>
      </c>
      <c r="BY75" s="21" t="str">
        <f>IF(INDEX('Shot Map'!$B$6:$V$26,CEILING($A75/5,1),CEILING(BY$2/5,1))=1,INDEX('Serial Reference'!$A$8:$W$8,1,FLOOR(($A75-1)/23,1)+1)&amp;INDEX('Serial Reference'!$A$8:$W$8,1,MOD($A75-1,23)+1)&amp;TEXT(BY$2+FLOOR((BY$2-1)/9,1),"000"),"")</f>
        <v>DD084</v>
      </c>
      <c r="BZ75" s="22" t="str">
        <f>IF(INDEX('Shot Map'!$B$6:$V$26,CEILING($A75/5,1),CEILING(BZ$2/5,1))=1,INDEX('Serial Reference'!$A$8:$W$8,1,FLOOR(($A75-1)/23,1)+1)&amp;INDEX('Serial Reference'!$A$8:$W$8,1,MOD($A75-1,23)+1)&amp;TEXT(BZ$2+FLOOR((BZ$2-1)/9,1),"000"),"")</f>
        <v>DD085</v>
      </c>
      <c r="CA75" s="22" t="str">
        <f>IF(INDEX('Shot Map'!$B$6:$V$26,CEILING($A75/5,1),CEILING(CA$2/5,1))=1,INDEX('Serial Reference'!$A$8:$W$8,1,FLOOR(($A75-1)/23,1)+1)&amp;INDEX('Serial Reference'!$A$8:$W$8,1,MOD($A75-1,23)+1)&amp;TEXT(CA$2+FLOOR((CA$2-1)/9,1),"000"),"")</f>
        <v>DD086</v>
      </c>
      <c r="CB75" s="22" t="str">
        <f>IF(INDEX('Shot Map'!$B$6:$V$26,CEILING($A75/5,1),CEILING(CB$2/5,1))=1,INDEX('Serial Reference'!$A$8:$W$8,1,FLOOR(($A75-1)/23,1)+1)&amp;INDEX('Serial Reference'!$A$8:$W$8,1,MOD($A75-1,23)+1)&amp;TEXT(CB$2+FLOOR((CB$2-1)/9,1),"000"),"")</f>
        <v>DD087</v>
      </c>
      <c r="CC75" s="23" t="str">
        <f>IF(INDEX('Shot Map'!$B$6:$V$26,CEILING($A75/5,1),CEILING(CC$2/5,1))=1,INDEX('Serial Reference'!$A$8:$W$8,1,FLOOR(($A75-1)/23,1)+1)&amp;INDEX('Serial Reference'!$A$8:$W$8,1,MOD($A75-1,23)+1)&amp;TEXT(CC$2+FLOOR((CC$2-1)/9,1),"000"),"")</f>
        <v>DD088</v>
      </c>
      <c r="CD75" s="21" t="str">
        <f>IF(INDEX('Shot Map'!$B$6:$V$26,CEILING($A75/5,1),CEILING(CD$2/5,1))=1,INDEX('Serial Reference'!$A$8:$W$8,1,FLOOR(($A75-1)/23,1)+1)&amp;INDEX('Serial Reference'!$A$8:$W$8,1,MOD($A75-1,23)+1)&amp;TEXT(CD$2+FLOOR((CD$2-1)/9,1),"000"),"")</f>
        <v>DD089</v>
      </c>
      <c r="CE75" s="22" t="str">
        <f>IF(INDEX('Shot Map'!$B$6:$V$26,CEILING($A75/5,1),CEILING(CE$2/5,1))=1,INDEX('Serial Reference'!$A$8:$W$8,1,FLOOR(($A75-1)/23,1)+1)&amp;INDEX('Serial Reference'!$A$8:$W$8,1,MOD($A75-1,23)+1)&amp;TEXT(CE$2+FLOOR((CE$2-1)/9,1),"000"),"")</f>
        <v>DD091</v>
      </c>
      <c r="CF75" s="22" t="str">
        <f>IF(INDEX('Shot Map'!$B$6:$V$26,CEILING($A75/5,1),CEILING(CF$2/5,1))=1,INDEX('Serial Reference'!$A$8:$W$8,1,FLOOR(($A75-1)/23,1)+1)&amp;INDEX('Serial Reference'!$A$8:$W$8,1,MOD($A75-1,23)+1)&amp;TEXT(CF$2+FLOOR((CF$2-1)/9,1),"000"),"")</f>
        <v>DD092</v>
      </c>
      <c r="CG75" s="22" t="str">
        <f>IF(INDEX('Shot Map'!$B$6:$V$26,CEILING($A75/5,1),CEILING(CG$2/5,1))=1,INDEX('Serial Reference'!$A$8:$W$8,1,FLOOR(($A75-1)/23,1)+1)&amp;INDEX('Serial Reference'!$A$8:$W$8,1,MOD($A75-1,23)+1)&amp;TEXT(CG$2+FLOOR((CG$2-1)/9,1),"000"),"")</f>
        <v>DD093</v>
      </c>
      <c r="CH75" s="23" t="str">
        <f>IF(INDEX('Shot Map'!$B$6:$V$26,CEILING($A75/5,1),CEILING(CH$2/5,1))=1,INDEX('Serial Reference'!$A$8:$W$8,1,FLOOR(($A75-1)/23,1)+1)&amp;INDEX('Serial Reference'!$A$8:$W$8,1,MOD($A75-1,23)+1)&amp;TEXT(CH$2+FLOOR((CH$2-1)/9,1),"000"),"")</f>
        <v>DD094</v>
      </c>
      <c r="CI75" s="21" t="str">
        <f>IF(INDEX('Shot Map'!$B$6:$V$26,CEILING($A75/5,1),CEILING(CI$2/5,1))=1,INDEX('Serial Reference'!$A$8:$W$8,1,FLOOR(($A75-1)/23,1)+1)&amp;INDEX('Serial Reference'!$A$8:$W$8,1,MOD($A75-1,23)+1)&amp;TEXT(CI$2+FLOOR((CI$2-1)/9,1),"000"),"")</f>
        <v>DD095</v>
      </c>
      <c r="CJ75" s="22" t="str">
        <f>IF(INDEX('Shot Map'!$B$6:$V$26,CEILING($A75/5,1),CEILING(CJ$2/5,1))=1,INDEX('Serial Reference'!$A$8:$W$8,1,FLOOR(($A75-1)/23,1)+1)&amp;INDEX('Serial Reference'!$A$8:$W$8,1,MOD($A75-1,23)+1)&amp;TEXT(CJ$2+FLOOR((CJ$2-1)/9,1),"000"),"")</f>
        <v>DD096</v>
      </c>
      <c r="CK75" s="22" t="str">
        <f>IF(INDEX('Shot Map'!$B$6:$V$26,CEILING($A75/5,1),CEILING(CK$2/5,1))=1,INDEX('Serial Reference'!$A$8:$W$8,1,FLOOR(($A75-1)/23,1)+1)&amp;INDEX('Serial Reference'!$A$8:$W$8,1,MOD($A75-1,23)+1)&amp;TEXT(CK$2+FLOOR((CK$2-1)/9,1),"000"),"")</f>
        <v>DD097</v>
      </c>
      <c r="CL75" s="22" t="str">
        <f>IF(INDEX('Shot Map'!$B$6:$V$26,CEILING($A75/5,1),CEILING(CL$2/5,1))=1,INDEX('Serial Reference'!$A$8:$W$8,1,FLOOR(($A75-1)/23,1)+1)&amp;INDEX('Serial Reference'!$A$8:$W$8,1,MOD($A75-1,23)+1)&amp;TEXT(CL$2+FLOOR((CL$2-1)/9,1),"000"),"")</f>
        <v>DD098</v>
      </c>
      <c r="CM75" s="23" t="str">
        <f>IF(INDEX('Shot Map'!$B$6:$V$26,CEILING($A75/5,1),CEILING(CM$2/5,1))=1,INDEX('Serial Reference'!$A$8:$W$8,1,FLOOR(($A75-1)/23,1)+1)&amp;INDEX('Serial Reference'!$A$8:$W$8,1,MOD($A75-1,23)+1)&amp;TEXT(CM$2+FLOOR((CM$2-1)/9,1),"000"),"")</f>
        <v>DD099</v>
      </c>
      <c r="CN75" s="21" t="str">
        <f>IF(INDEX('Shot Map'!$B$6:$V$26,CEILING($A75/5,1),CEILING(CN$2/5,1))=1,INDEX('Serial Reference'!$A$8:$W$8,1,FLOOR(($A75-1)/23,1)+1)&amp;INDEX('Serial Reference'!$A$8:$W$8,1,MOD($A75-1,23)+1)&amp;TEXT(CN$2+FLOOR((CN$2-1)/9,1),"000"),"")</f>
        <v>DD101</v>
      </c>
      <c r="CO75" s="22" t="str">
        <f>IF(INDEX('Shot Map'!$B$6:$V$26,CEILING($A75/5,1),CEILING(CO$2/5,1))=1,INDEX('Serial Reference'!$A$8:$W$8,1,FLOOR(($A75-1)/23,1)+1)&amp;INDEX('Serial Reference'!$A$8:$W$8,1,MOD($A75-1,23)+1)&amp;TEXT(CO$2+FLOOR((CO$2-1)/9,1),"000"),"")</f>
        <v>DD102</v>
      </c>
      <c r="CP75" s="22" t="str">
        <f>IF(INDEX('Shot Map'!$B$6:$V$26,CEILING($A75/5,1),CEILING(CP$2/5,1))=1,INDEX('Serial Reference'!$A$8:$W$8,1,FLOOR(($A75-1)/23,1)+1)&amp;INDEX('Serial Reference'!$A$8:$W$8,1,MOD($A75-1,23)+1)&amp;TEXT(CP$2+FLOOR((CP$2-1)/9,1),"000"),"")</f>
        <v>DD103</v>
      </c>
      <c r="CQ75" s="22" t="str">
        <f>IF(INDEX('Shot Map'!$B$6:$V$26,CEILING($A75/5,1),CEILING(CQ$2/5,1))=1,INDEX('Serial Reference'!$A$8:$W$8,1,FLOOR(($A75-1)/23,1)+1)&amp;INDEX('Serial Reference'!$A$8:$W$8,1,MOD($A75-1,23)+1)&amp;TEXT(CQ$2+FLOOR((CQ$2-1)/9,1),"000"),"")</f>
        <v>DD104</v>
      </c>
      <c r="CR75" s="23" t="str">
        <f>IF(INDEX('Shot Map'!$B$6:$V$26,CEILING($A75/5,1),CEILING(CR$2/5,1))=1,INDEX('Serial Reference'!$A$8:$W$8,1,FLOOR(($A75-1)/23,1)+1)&amp;INDEX('Serial Reference'!$A$8:$W$8,1,MOD($A75-1,23)+1)&amp;TEXT(CR$2+FLOOR((CR$2-1)/9,1),"000"),"")</f>
        <v>DD105</v>
      </c>
      <c r="CS75" s="21" t="str">
        <f>IF(INDEX('Shot Map'!$B$6:$V$26,CEILING($A75/5,1),CEILING(CS$2/5,1))=1,INDEX('Serial Reference'!$A$8:$W$8,1,FLOOR(($A75-1)/23,1)+1)&amp;INDEX('Serial Reference'!$A$8:$W$8,1,MOD($A75-1,23)+1)&amp;TEXT(CS$2+FLOOR((CS$2-1)/9,1),"000"),"")</f>
        <v>DD106</v>
      </c>
      <c r="CT75" s="22" t="str">
        <f>IF(INDEX('Shot Map'!$B$6:$V$26,CEILING($A75/5,1),CEILING(CT$2/5,1))=1,INDEX('Serial Reference'!$A$8:$W$8,1,FLOOR(($A75-1)/23,1)+1)&amp;INDEX('Serial Reference'!$A$8:$W$8,1,MOD($A75-1,23)+1)&amp;TEXT(CT$2+FLOOR((CT$2-1)/9,1),"000"),"")</f>
        <v>DD107</v>
      </c>
      <c r="CU75" s="22" t="str">
        <f>IF(INDEX('Shot Map'!$B$6:$V$26,CEILING($A75/5,1),CEILING(CU$2/5,1))=1,INDEX('Serial Reference'!$A$8:$W$8,1,FLOOR(($A75-1)/23,1)+1)&amp;INDEX('Serial Reference'!$A$8:$W$8,1,MOD($A75-1,23)+1)&amp;TEXT(CU$2+FLOOR((CU$2-1)/9,1),"000"),"")</f>
        <v>DD108</v>
      </c>
      <c r="CV75" s="22" t="str">
        <f>IF(INDEX('Shot Map'!$B$6:$V$26,CEILING($A75/5,1),CEILING(CV$2/5,1))=1,INDEX('Serial Reference'!$A$8:$W$8,1,FLOOR(($A75-1)/23,1)+1)&amp;INDEX('Serial Reference'!$A$8:$W$8,1,MOD($A75-1,23)+1)&amp;TEXT(CV$2+FLOOR((CV$2-1)/9,1),"000"),"")</f>
        <v>DD109</v>
      </c>
      <c r="CW75" s="23" t="str">
        <f>IF(INDEX('Shot Map'!$B$6:$V$26,CEILING($A75/5,1),CEILING(CW$2/5,1))=1,INDEX('Serial Reference'!$A$8:$W$8,1,FLOOR(($A75-1)/23,1)+1)&amp;INDEX('Serial Reference'!$A$8:$W$8,1,MOD($A75-1,23)+1)&amp;TEXT(CW$2+FLOOR((CW$2-1)/9,1),"000"),"")</f>
        <v>DD111</v>
      </c>
      <c r="CX75" s="21" t="str">
        <f>IF(INDEX('Shot Map'!$B$6:$V$26,CEILING($A75/5,1),CEILING(CX$2/5,1))=1,INDEX('Serial Reference'!$A$8:$W$8,1,FLOOR(($A75-1)/23,1)+1)&amp;INDEX('Serial Reference'!$A$8:$W$8,1,MOD($A75-1,23)+1)&amp;TEXT(CX$2+FLOOR((CX$2-1)/9,1),"000"),"")</f>
        <v/>
      </c>
      <c r="CY75" s="22" t="str">
        <f>IF(INDEX('Shot Map'!$B$6:$V$26,CEILING($A75/5,1),CEILING(CY$2/5,1))=1,INDEX('Serial Reference'!$A$8:$W$8,1,FLOOR(($A75-1)/23,1)+1)&amp;INDEX('Serial Reference'!$A$8:$W$8,1,MOD($A75-1,23)+1)&amp;TEXT(CY$2+FLOOR((CY$2-1)/9,1),"000"),"")</f>
        <v/>
      </c>
      <c r="CZ75" s="22" t="str">
        <f>IF(INDEX('Shot Map'!$B$6:$V$26,CEILING($A75/5,1),CEILING(CZ$2/5,1))=1,INDEX('Serial Reference'!$A$8:$W$8,1,FLOOR(($A75-1)/23,1)+1)&amp;INDEX('Serial Reference'!$A$8:$W$8,1,MOD($A75-1,23)+1)&amp;TEXT(CZ$2+FLOOR((CZ$2-1)/9,1),"000"),"")</f>
        <v/>
      </c>
      <c r="DA75" s="22" t="str">
        <f>IF(INDEX('Shot Map'!$B$6:$V$26,CEILING($A75/5,1),CEILING(DA$2/5,1))=1,INDEX('Serial Reference'!$A$8:$W$8,1,FLOOR(($A75-1)/23,1)+1)&amp;INDEX('Serial Reference'!$A$8:$W$8,1,MOD($A75-1,23)+1)&amp;TEXT(DA$2+FLOOR((DA$2-1)/9,1),"000"),"")</f>
        <v/>
      </c>
      <c r="DB75" s="23" t="str">
        <f>IF(INDEX('Shot Map'!$B$6:$V$26,CEILING($A75/5,1),CEILING(DB$2/5,1))=1,INDEX('Serial Reference'!$A$8:$W$8,1,FLOOR(($A75-1)/23,1)+1)&amp;INDEX('Serial Reference'!$A$8:$W$8,1,MOD($A75-1,23)+1)&amp;TEXT(DB$2+FLOOR((DB$2-1)/9,1),"000"),"")</f>
        <v/>
      </c>
    </row>
    <row r="76" spans="1:106" ht="12.75" customHeight="1" x14ac:dyDescent="0.25">
      <c r="A76" s="17">
        <v>74</v>
      </c>
      <c r="B76" s="21" t="str">
        <f>IF(INDEX('Shot Map'!$B$6:$V$26,CEILING($A76/5,1),CEILING(B$2/5,1))=1,INDEX('Serial Reference'!$A$8:$W$8,1,FLOOR(($A76-1)/23,1)+1)&amp;INDEX('Serial Reference'!$A$8:$W$8,1,MOD($A76-1,23)+1)&amp;TEXT(B$2+FLOOR((B$2-1)/9,1),"000"),"")</f>
        <v/>
      </c>
      <c r="C76" s="22" t="str">
        <f>IF(INDEX('Shot Map'!$B$6:$V$26,CEILING($A76/5,1),CEILING(C$2/5,1))=1,INDEX('Serial Reference'!$A$8:$W$8,1,FLOOR(($A76-1)/23,1)+1)&amp;INDEX('Serial Reference'!$A$8:$W$8,1,MOD($A76-1,23)+1)&amp;TEXT(C$2+FLOOR((C$2-1)/9,1),"000"),"")</f>
        <v/>
      </c>
      <c r="D76" s="22" t="str">
        <f>IF(INDEX('Shot Map'!$B$6:$V$26,CEILING($A76/5,1),CEILING(D$2/5,1))=1,INDEX('Serial Reference'!$A$8:$W$8,1,FLOOR(($A76-1)/23,1)+1)&amp;INDEX('Serial Reference'!$A$8:$W$8,1,MOD($A76-1,23)+1)&amp;TEXT(D$2+FLOOR((D$2-1)/9,1),"000"),"")</f>
        <v/>
      </c>
      <c r="E76" s="22" t="str">
        <f>IF(INDEX('Shot Map'!$B$6:$V$26,CEILING($A76/5,1),CEILING(E$2/5,1))=1,INDEX('Serial Reference'!$A$8:$W$8,1,FLOOR(($A76-1)/23,1)+1)&amp;INDEX('Serial Reference'!$A$8:$W$8,1,MOD($A76-1,23)+1)&amp;TEXT(E$2+FLOOR((E$2-1)/9,1),"000"),"")</f>
        <v/>
      </c>
      <c r="F76" s="23" t="str">
        <f>IF(INDEX('Shot Map'!$B$6:$V$26,CEILING($A76/5,1),CEILING(F$2/5,1))=1,INDEX('Serial Reference'!$A$8:$W$8,1,FLOOR(($A76-1)/23,1)+1)&amp;INDEX('Serial Reference'!$A$8:$W$8,1,MOD($A76-1,23)+1)&amp;TEXT(F$2+FLOOR((F$2-1)/9,1),"000"),"")</f>
        <v/>
      </c>
      <c r="G76" s="21" t="str">
        <f>IF(INDEX('Shot Map'!$B$6:$V$26,CEILING($A76/5,1),CEILING(G$2/5,1))=1,INDEX('Serial Reference'!$A$8:$W$8,1,FLOOR(($A76-1)/23,1)+1)&amp;INDEX('Serial Reference'!$A$8:$W$8,1,MOD($A76-1,23)+1)&amp;TEXT(G$2+FLOOR((G$2-1)/9,1),"000"),"")</f>
        <v>DE006</v>
      </c>
      <c r="H76" s="22" t="str">
        <f>IF(INDEX('Shot Map'!$B$6:$V$26,CEILING($A76/5,1),CEILING(H$2/5,1))=1,INDEX('Serial Reference'!$A$8:$W$8,1,FLOOR(($A76-1)/23,1)+1)&amp;INDEX('Serial Reference'!$A$8:$W$8,1,MOD($A76-1,23)+1)&amp;TEXT(H$2+FLOOR((H$2-1)/9,1),"000"),"")</f>
        <v>DE007</v>
      </c>
      <c r="I76" s="22" t="str">
        <f>IF(INDEX('Shot Map'!$B$6:$V$26,CEILING($A76/5,1),CEILING(I$2/5,1))=1,INDEX('Serial Reference'!$A$8:$W$8,1,FLOOR(($A76-1)/23,1)+1)&amp;INDEX('Serial Reference'!$A$8:$W$8,1,MOD($A76-1,23)+1)&amp;TEXT(I$2+FLOOR((I$2-1)/9,1),"000"),"")</f>
        <v>DE008</v>
      </c>
      <c r="J76" s="22" t="str">
        <f>IF(INDEX('Shot Map'!$B$6:$V$26,CEILING($A76/5,1),CEILING(J$2/5,1))=1,INDEX('Serial Reference'!$A$8:$W$8,1,FLOOR(($A76-1)/23,1)+1)&amp;INDEX('Serial Reference'!$A$8:$W$8,1,MOD($A76-1,23)+1)&amp;TEXT(J$2+FLOOR((J$2-1)/9,1),"000"),"")</f>
        <v>DE009</v>
      </c>
      <c r="K76" s="23" t="str">
        <f>IF(INDEX('Shot Map'!$B$6:$V$26,CEILING($A76/5,1),CEILING(K$2/5,1))=1,INDEX('Serial Reference'!$A$8:$W$8,1,FLOOR(($A76-1)/23,1)+1)&amp;INDEX('Serial Reference'!$A$8:$W$8,1,MOD($A76-1,23)+1)&amp;TEXT(K$2+FLOOR((K$2-1)/9,1),"000"),"")</f>
        <v>DE011</v>
      </c>
      <c r="L76" s="21" t="str">
        <f>IF(INDEX('Shot Map'!$B$6:$V$26,CEILING($A76/5,1),CEILING(L$2/5,1))=1,INDEX('Serial Reference'!$A$8:$W$8,1,FLOOR(($A76-1)/23,1)+1)&amp;INDEX('Serial Reference'!$A$8:$W$8,1,MOD($A76-1,23)+1)&amp;TEXT(L$2+FLOOR((L$2-1)/9,1),"000"),"")</f>
        <v>DE012</v>
      </c>
      <c r="M76" s="22" t="str">
        <f>IF(INDEX('Shot Map'!$B$6:$V$26,CEILING($A76/5,1),CEILING(M$2/5,1))=1,INDEX('Serial Reference'!$A$8:$W$8,1,FLOOR(($A76-1)/23,1)+1)&amp;INDEX('Serial Reference'!$A$8:$W$8,1,MOD($A76-1,23)+1)&amp;TEXT(M$2+FLOOR((M$2-1)/9,1),"000"),"")</f>
        <v>DE013</v>
      </c>
      <c r="N76" s="22" t="str">
        <f>IF(INDEX('Shot Map'!$B$6:$V$26,CEILING($A76/5,1),CEILING(N$2/5,1))=1,INDEX('Serial Reference'!$A$8:$W$8,1,FLOOR(($A76-1)/23,1)+1)&amp;INDEX('Serial Reference'!$A$8:$W$8,1,MOD($A76-1,23)+1)&amp;TEXT(N$2+FLOOR((N$2-1)/9,1),"000"),"")</f>
        <v>DE014</v>
      </c>
      <c r="O76" s="22" t="str">
        <f>IF(INDEX('Shot Map'!$B$6:$V$26,CEILING($A76/5,1),CEILING(O$2/5,1))=1,INDEX('Serial Reference'!$A$8:$W$8,1,FLOOR(($A76-1)/23,1)+1)&amp;INDEX('Serial Reference'!$A$8:$W$8,1,MOD($A76-1,23)+1)&amp;TEXT(O$2+FLOOR((O$2-1)/9,1),"000"),"")</f>
        <v>DE015</v>
      </c>
      <c r="P76" s="23" t="str">
        <f>IF(INDEX('Shot Map'!$B$6:$V$26,CEILING($A76/5,1),CEILING(P$2/5,1))=1,INDEX('Serial Reference'!$A$8:$W$8,1,FLOOR(($A76-1)/23,1)+1)&amp;INDEX('Serial Reference'!$A$8:$W$8,1,MOD($A76-1,23)+1)&amp;TEXT(P$2+FLOOR((P$2-1)/9,1),"000"),"")</f>
        <v>DE016</v>
      </c>
      <c r="Q76" s="21" t="str">
        <f>IF(INDEX('Shot Map'!$B$6:$V$26,CEILING($A76/5,1),CEILING(Q$2/5,1))=1,INDEX('Serial Reference'!$A$8:$W$8,1,FLOOR(($A76-1)/23,1)+1)&amp;INDEX('Serial Reference'!$A$8:$W$8,1,MOD($A76-1,23)+1)&amp;TEXT(Q$2+FLOOR((Q$2-1)/9,1),"000"),"")</f>
        <v>DE017</v>
      </c>
      <c r="R76" s="22" t="str">
        <f>IF(INDEX('Shot Map'!$B$6:$V$26,CEILING($A76/5,1),CEILING(R$2/5,1))=1,INDEX('Serial Reference'!$A$8:$W$8,1,FLOOR(($A76-1)/23,1)+1)&amp;INDEX('Serial Reference'!$A$8:$W$8,1,MOD($A76-1,23)+1)&amp;TEXT(R$2+FLOOR((R$2-1)/9,1),"000"),"")</f>
        <v>DE018</v>
      </c>
      <c r="S76" s="22" t="str">
        <f>IF(INDEX('Shot Map'!$B$6:$V$26,CEILING($A76/5,1),CEILING(S$2/5,1))=1,INDEX('Serial Reference'!$A$8:$W$8,1,FLOOR(($A76-1)/23,1)+1)&amp;INDEX('Serial Reference'!$A$8:$W$8,1,MOD($A76-1,23)+1)&amp;TEXT(S$2+FLOOR((S$2-1)/9,1),"000"),"")</f>
        <v>DE019</v>
      </c>
      <c r="T76" s="22" t="str">
        <f>IF(INDEX('Shot Map'!$B$6:$V$26,CEILING($A76/5,1),CEILING(T$2/5,1))=1,INDEX('Serial Reference'!$A$8:$W$8,1,FLOOR(($A76-1)/23,1)+1)&amp;INDEX('Serial Reference'!$A$8:$W$8,1,MOD($A76-1,23)+1)&amp;TEXT(T$2+FLOOR((T$2-1)/9,1),"000"),"")</f>
        <v>DE021</v>
      </c>
      <c r="U76" s="23" t="str">
        <f>IF(INDEX('Shot Map'!$B$6:$V$26,CEILING($A76/5,1),CEILING(U$2/5,1))=1,INDEX('Serial Reference'!$A$8:$W$8,1,FLOOR(($A76-1)/23,1)+1)&amp;INDEX('Serial Reference'!$A$8:$W$8,1,MOD($A76-1,23)+1)&amp;TEXT(U$2+FLOOR((U$2-1)/9,1),"000"),"")</f>
        <v>DE022</v>
      </c>
      <c r="V76" s="21" t="str">
        <f>IF(INDEX('Shot Map'!$B$6:$V$26,CEILING($A76/5,1),CEILING(V$2/5,1))=1,INDEX('Serial Reference'!$A$8:$W$8,1,FLOOR(($A76-1)/23,1)+1)&amp;INDEX('Serial Reference'!$A$8:$W$8,1,MOD($A76-1,23)+1)&amp;TEXT(V$2+FLOOR((V$2-1)/9,1),"000"),"")</f>
        <v>DE023</v>
      </c>
      <c r="W76" s="22" t="str">
        <f>IF(INDEX('Shot Map'!$B$6:$V$26,CEILING($A76/5,1),CEILING(W$2/5,1))=1,INDEX('Serial Reference'!$A$8:$W$8,1,FLOOR(($A76-1)/23,1)+1)&amp;INDEX('Serial Reference'!$A$8:$W$8,1,MOD($A76-1,23)+1)&amp;TEXT(W$2+FLOOR((W$2-1)/9,1),"000"),"")</f>
        <v>DE024</v>
      </c>
      <c r="X76" s="22" t="str">
        <f>IF(INDEX('Shot Map'!$B$6:$V$26,CEILING($A76/5,1),CEILING(X$2/5,1))=1,INDEX('Serial Reference'!$A$8:$W$8,1,FLOOR(($A76-1)/23,1)+1)&amp;INDEX('Serial Reference'!$A$8:$W$8,1,MOD($A76-1,23)+1)&amp;TEXT(X$2+FLOOR((X$2-1)/9,1),"000"),"")</f>
        <v>DE025</v>
      </c>
      <c r="Y76" s="22" t="str">
        <f>IF(INDEX('Shot Map'!$B$6:$V$26,CEILING($A76/5,1),CEILING(Y$2/5,1))=1,INDEX('Serial Reference'!$A$8:$W$8,1,FLOOR(($A76-1)/23,1)+1)&amp;INDEX('Serial Reference'!$A$8:$W$8,1,MOD($A76-1,23)+1)&amp;TEXT(Y$2+FLOOR((Y$2-1)/9,1),"000"),"")</f>
        <v>DE026</v>
      </c>
      <c r="Z76" s="23" t="str">
        <f>IF(INDEX('Shot Map'!$B$6:$V$26,CEILING($A76/5,1),CEILING(Z$2/5,1))=1,INDEX('Serial Reference'!$A$8:$W$8,1,FLOOR(($A76-1)/23,1)+1)&amp;INDEX('Serial Reference'!$A$8:$W$8,1,MOD($A76-1,23)+1)&amp;TEXT(Z$2+FLOOR((Z$2-1)/9,1),"000"),"")</f>
        <v>DE027</v>
      </c>
      <c r="AA76" s="21" t="str">
        <f>IF(INDEX('Shot Map'!$B$6:$V$26,CEILING($A76/5,1),CEILING(AA$2/5,1))=1,INDEX('Serial Reference'!$A$8:$W$8,1,FLOOR(($A76-1)/23,1)+1)&amp;INDEX('Serial Reference'!$A$8:$W$8,1,MOD($A76-1,23)+1)&amp;TEXT(AA$2+FLOOR((AA$2-1)/9,1),"000"),"")</f>
        <v>DE028</v>
      </c>
      <c r="AB76" s="22" t="str">
        <f>IF(INDEX('Shot Map'!$B$6:$V$26,CEILING($A76/5,1),CEILING(AB$2/5,1))=1,INDEX('Serial Reference'!$A$8:$W$8,1,FLOOR(($A76-1)/23,1)+1)&amp;INDEX('Serial Reference'!$A$8:$W$8,1,MOD($A76-1,23)+1)&amp;TEXT(AB$2+FLOOR((AB$2-1)/9,1),"000"),"")</f>
        <v>DE029</v>
      </c>
      <c r="AC76" s="22" t="str">
        <f>IF(INDEX('Shot Map'!$B$6:$V$26,CEILING($A76/5,1),CEILING(AC$2/5,1))=1,INDEX('Serial Reference'!$A$8:$W$8,1,FLOOR(($A76-1)/23,1)+1)&amp;INDEX('Serial Reference'!$A$8:$W$8,1,MOD($A76-1,23)+1)&amp;TEXT(AC$2+FLOOR((AC$2-1)/9,1),"000"),"")</f>
        <v>DE031</v>
      </c>
      <c r="AD76" s="22" t="str">
        <f>IF(INDEX('Shot Map'!$B$6:$V$26,CEILING($A76/5,1),CEILING(AD$2/5,1))=1,INDEX('Serial Reference'!$A$8:$W$8,1,FLOOR(($A76-1)/23,1)+1)&amp;INDEX('Serial Reference'!$A$8:$W$8,1,MOD($A76-1,23)+1)&amp;TEXT(AD$2+FLOOR((AD$2-1)/9,1),"000"),"")</f>
        <v>DE032</v>
      </c>
      <c r="AE76" s="23" t="str">
        <f>IF(INDEX('Shot Map'!$B$6:$V$26,CEILING($A76/5,1),CEILING(AE$2/5,1))=1,INDEX('Serial Reference'!$A$8:$W$8,1,FLOOR(($A76-1)/23,1)+1)&amp;INDEX('Serial Reference'!$A$8:$W$8,1,MOD($A76-1,23)+1)&amp;TEXT(AE$2+FLOOR((AE$2-1)/9,1),"000"),"")</f>
        <v>DE033</v>
      </c>
      <c r="AF76" s="21" t="str">
        <f>IF(INDEX('Shot Map'!$B$6:$V$26,CEILING($A76/5,1),CEILING(AF$2/5,1))=1,INDEX('Serial Reference'!$A$8:$W$8,1,FLOOR(($A76-1)/23,1)+1)&amp;INDEX('Serial Reference'!$A$8:$W$8,1,MOD($A76-1,23)+1)&amp;TEXT(AF$2+FLOOR((AF$2-1)/9,1),"000"),"")</f>
        <v>DE034</v>
      </c>
      <c r="AG76" s="22" t="str">
        <f>IF(INDEX('Shot Map'!$B$6:$V$26,CEILING($A76/5,1),CEILING(AG$2/5,1))=1,INDEX('Serial Reference'!$A$8:$W$8,1,FLOOR(($A76-1)/23,1)+1)&amp;INDEX('Serial Reference'!$A$8:$W$8,1,MOD($A76-1,23)+1)&amp;TEXT(AG$2+FLOOR((AG$2-1)/9,1),"000"),"")</f>
        <v>DE035</v>
      </c>
      <c r="AH76" s="22" t="str">
        <f>IF(INDEX('Shot Map'!$B$6:$V$26,CEILING($A76/5,1),CEILING(AH$2/5,1))=1,INDEX('Serial Reference'!$A$8:$W$8,1,FLOOR(($A76-1)/23,1)+1)&amp;INDEX('Serial Reference'!$A$8:$W$8,1,MOD($A76-1,23)+1)&amp;TEXT(AH$2+FLOOR((AH$2-1)/9,1),"000"),"")</f>
        <v>DE036</v>
      </c>
      <c r="AI76" s="22" t="str">
        <f>IF(INDEX('Shot Map'!$B$6:$V$26,CEILING($A76/5,1),CEILING(AI$2/5,1))=1,INDEX('Serial Reference'!$A$8:$W$8,1,FLOOR(($A76-1)/23,1)+1)&amp;INDEX('Serial Reference'!$A$8:$W$8,1,MOD($A76-1,23)+1)&amp;TEXT(AI$2+FLOOR((AI$2-1)/9,1),"000"),"")</f>
        <v>DE037</v>
      </c>
      <c r="AJ76" s="23" t="str">
        <f>IF(INDEX('Shot Map'!$B$6:$V$26,CEILING($A76/5,1),CEILING(AJ$2/5,1))=1,INDEX('Serial Reference'!$A$8:$W$8,1,FLOOR(($A76-1)/23,1)+1)&amp;INDEX('Serial Reference'!$A$8:$W$8,1,MOD($A76-1,23)+1)&amp;TEXT(AJ$2+FLOOR((AJ$2-1)/9,1),"000"),"")</f>
        <v>DE038</v>
      </c>
      <c r="AK76" s="21" t="str">
        <f>IF(INDEX('Shot Map'!$B$6:$V$26,CEILING($A76/5,1),CEILING(AK$2/5,1))=1,INDEX('Serial Reference'!$A$8:$W$8,1,FLOOR(($A76-1)/23,1)+1)&amp;INDEX('Serial Reference'!$A$8:$W$8,1,MOD($A76-1,23)+1)&amp;TEXT(AK$2+FLOOR((AK$2-1)/9,1),"000"),"")</f>
        <v>DE039</v>
      </c>
      <c r="AL76" s="22" t="str">
        <f>IF(INDEX('Shot Map'!$B$6:$V$26,CEILING($A76/5,1),CEILING(AL$2/5,1))=1,INDEX('Serial Reference'!$A$8:$W$8,1,FLOOR(($A76-1)/23,1)+1)&amp;INDEX('Serial Reference'!$A$8:$W$8,1,MOD($A76-1,23)+1)&amp;TEXT(AL$2+FLOOR((AL$2-1)/9,1),"000"),"")</f>
        <v>DE041</v>
      </c>
      <c r="AM76" s="22" t="str">
        <f>IF(INDEX('Shot Map'!$B$6:$V$26,CEILING($A76/5,1),CEILING(AM$2/5,1))=1,INDEX('Serial Reference'!$A$8:$W$8,1,FLOOR(($A76-1)/23,1)+1)&amp;INDEX('Serial Reference'!$A$8:$W$8,1,MOD($A76-1,23)+1)&amp;TEXT(AM$2+FLOOR((AM$2-1)/9,1),"000"),"")</f>
        <v>DE042</v>
      </c>
      <c r="AN76" s="22" t="str">
        <f>IF(INDEX('Shot Map'!$B$6:$V$26,CEILING($A76/5,1),CEILING(AN$2/5,1))=1,INDEX('Serial Reference'!$A$8:$W$8,1,FLOOR(($A76-1)/23,1)+1)&amp;INDEX('Serial Reference'!$A$8:$W$8,1,MOD($A76-1,23)+1)&amp;TEXT(AN$2+FLOOR((AN$2-1)/9,1),"000"),"")</f>
        <v>DE043</v>
      </c>
      <c r="AO76" s="23" t="str">
        <f>IF(INDEX('Shot Map'!$B$6:$V$26,CEILING($A76/5,1),CEILING(AO$2/5,1))=1,INDEX('Serial Reference'!$A$8:$W$8,1,FLOOR(($A76-1)/23,1)+1)&amp;INDEX('Serial Reference'!$A$8:$W$8,1,MOD($A76-1,23)+1)&amp;TEXT(AO$2+FLOOR((AO$2-1)/9,1),"000"),"")</f>
        <v>DE044</v>
      </c>
      <c r="AP76" s="21" t="str">
        <f>IF(INDEX('Shot Map'!$B$6:$V$26,CEILING($A76/5,1),CEILING(AP$2/5,1))=1,INDEX('Serial Reference'!$A$8:$W$8,1,FLOOR(($A76-1)/23,1)+1)&amp;INDEX('Serial Reference'!$A$8:$W$8,1,MOD($A76-1,23)+1)&amp;TEXT(AP$2+FLOOR((AP$2-1)/9,1),"000"),"")</f>
        <v>DE045</v>
      </c>
      <c r="AQ76" s="22" t="str">
        <f>IF(INDEX('Shot Map'!$B$6:$V$26,CEILING($A76/5,1),CEILING(AQ$2/5,1))=1,INDEX('Serial Reference'!$A$8:$W$8,1,FLOOR(($A76-1)/23,1)+1)&amp;INDEX('Serial Reference'!$A$8:$W$8,1,MOD($A76-1,23)+1)&amp;TEXT(AQ$2+FLOOR((AQ$2-1)/9,1),"000"),"")</f>
        <v>DE046</v>
      </c>
      <c r="AR76" s="22" t="str">
        <f>IF(INDEX('Shot Map'!$B$6:$V$26,CEILING($A76/5,1),CEILING(AR$2/5,1))=1,INDEX('Serial Reference'!$A$8:$W$8,1,FLOOR(($A76-1)/23,1)+1)&amp;INDEX('Serial Reference'!$A$8:$W$8,1,MOD($A76-1,23)+1)&amp;TEXT(AR$2+FLOOR((AR$2-1)/9,1),"000"),"")</f>
        <v>DE047</v>
      </c>
      <c r="AS76" s="22" t="str">
        <f>IF(INDEX('Shot Map'!$B$6:$V$26,CEILING($A76/5,1),CEILING(AS$2/5,1))=1,INDEX('Serial Reference'!$A$8:$W$8,1,FLOOR(($A76-1)/23,1)+1)&amp;INDEX('Serial Reference'!$A$8:$W$8,1,MOD($A76-1,23)+1)&amp;TEXT(AS$2+FLOOR((AS$2-1)/9,1),"000"),"")</f>
        <v>DE048</v>
      </c>
      <c r="AT76" s="23" t="str">
        <f>IF(INDEX('Shot Map'!$B$6:$V$26,CEILING($A76/5,1),CEILING(AT$2/5,1))=1,INDEX('Serial Reference'!$A$8:$W$8,1,FLOOR(($A76-1)/23,1)+1)&amp;INDEX('Serial Reference'!$A$8:$W$8,1,MOD($A76-1,23)+1)&amp;TEXT(AT$2+FLOOR((AT$2-1)/9,1),"000"),"")</f>
        <v>DE049</v>
      </c>
      <c r="AU76" s="21" t="str">
        <f>IF(INDEX('Shot Map'!$B$6:$V$26,CEILING($A76/5,1),CEILING(AU$2/5,1))=1,INDEX('Serial Reference'!$A$8:$W$8,1,FLOOR(($A76-1)/23,1)+1)&amp;INDEX('Serial Reference'!$A$8:$W$8,1,MOD($A76-1,23)+1)&amp;TEXT(AU$2+FLOOR((AU$2-1)/9,1),"000"),"")</f>
        <v>DE051</v>
      </c>
      <c r="AV76" s="22" t="str">
        <f>IF(INDEX('Shot Map'!$B$6:$V$26,CEILING($A76/5,1),CEILING(AV$2/5,1))=1,INDEX('Serial Reference'!$A$8:$W$8,1,FLOOR(($A76-1)/23,1)+1)&amp;INDEX('Serial Reference'!$A$8:$W$8,1,MOD($A76-1,23)+1)&amp;TEXT(AV$2+FLOOR((AV$2-1)/9,1),"000"),"")</f>
        <v>DE052</v>
      </c>
      <c r="AW76" s="22" t="str">
        <f>IF(INDEX('Shot Map'!$B$6:$V$26,CEILING($A76/5,1),CEILING(AW$2/5,1))=1,INDEX('Serial Reference'!$A$8:$W$8,1,FLOOR(($A76-1)/23,1)+1)&amp;INDEX('Serial Reference'!$A$8:$W$8,1,MOD($A76-1,23)+1)&amp;TEXT(AW$2+FLOOR((AW$2-1)/9,1),"000"),"")</f>
        <v>DE053</v>
      </c>
      <c r="AX76" s="22" t="str">
        <f>IF(INDEX('Shot Map'!$B$6:$V$26,CEILING($A76/5,1),CEILING(AX$2/5,1))=1,INDEX('Serial Reference'!$A$8:$W$8,1,FLOOR(($A76-1)/23,1)+1)&amp;INDEX('Serial Reference'!$A$8:$W$8,1,MOD($A76-1,23)+1)&amp;TEXT(AX$2+FLOOR((AX$2-1)/9,1),"000"),"")</f>
        <v>DE054</v>
      </c>
      <c r="AY76" s="23" t="str">
        <f>IF(INDEX('Shot Map'!$B$6:$V$26,CEILING($A76/5,1),CEILING(AY$2/5,1))=1,INDEX('Serial Reference'!$A$8:$W$8,1,FLOOR(($A76-1)/23,1)+1)&amp;INDEX('Serial Reference'!$A$8:$W$8,1,MOD($A76-1,23)+1)&amp;TEXT(AY$2+FLOOR((AY$2-1)/9,1),"000"),"")</f>
        <v>DE055</v>
      </c>
      <c r="AZ76" s="21" t="str">
        <f>IF(INDEX('Shot Map'!$B$6:$V$26,CEILING($A76/5,1),CEILING(AZ$2/5,1))=1,INDEX('Serial Reference'!$A$8:$W$8,1,FLOOR(($A76-1)/23,1)+1)&amp;INDEX('Serial Reference'!$A$8:$W$8,1,MOD($A76-1,23)+1)&amp;TEXT(AZ$2+FLOOR((AZ$2-1)/9,1),"000"),"")</f>
        <v>DE056</v>
      </c>
      <c r="BA76" s="22" t="str">
        <f>IF(INDEX('Shot Map'!$B$6:$V$26,CEILING($A76/5,1),CEILING(BA$2/5,1))=1,INDEX('Serial Reference'!$A$8:$W$8,1,FLOOR(($A76-1)/23,1)+1)&amp;INDEX('Serial Reference'!$A$8:$W$8,1,MOD($A76-1,23)+1)&amp;TEXT(BA$2+FLOOR((BA$2-1)/9,1),"000"),"")</f>
        <v>DE057</v>
      </c>
      <c r="BB76" s="22" t="str">
        <f>IF(INDEX('Shot Map'!$B$6:$V$26,CEILING($A76/5,1),CEILING(BB$2/5,1))=1,INDEX('Serial Reference'!$A$8:$W$8,1,FLOOR(($A76-1)/23,1)+1)&amp;INDEX('Serial Reference'!$A$8:$W$8,1,MOD($A76-1,23)+1)&amp;TEXT(BB$2+FLOOR((BB$2-1)/9,1),"000"),"")</f>
        <v>DE058</v>
      </c>
      <c r="BC76" s="22" t="str">
        <f>IF(INDEX('Shot Map'!$B$6:$V$26,CEILING($A76/5,1),CEILING(BC$2/5,1))=1,INDEX('Serial Reference'!$A$8:$W$8,1,FLOOR(($A76-1)/23,1)+1)&amp;INDEX('Serial Reference'!$A$8:$W$8,1,MOD($A76-1,23)+1)&amp;TEXT(BC$2+FLOOR((BC$2-1)/9,1),"000"),"")</f>
        <v>DE059</v>
      </c>
      <c r="BD76" s="23" t="str">
        <f>IF(INDEX('Shot Map'!$B$6:$V$26,CEILING($A76/5,1),CEILING(BD$2/5,1))=1,INDEX('Serial Reference'!$A$8:$W$8,1,FLOOR(($A76-1)/23,1)+1)&amp;INDEX('Serial Reference'!$A$8:$W$8,1,MOD($A76-1,23)+1)&amp;TEXT(BD$2+FLOOR((BD$2-1)/9,1),"000"),"")</f>
        <v>DE061</v>
      </c>
      <c r="BE76" s="21" t="str">
        <f>IF(INDEX('Shot Map'!$B$6:$V$26,CEILING($A76/5,1),CEILING(BE$2/5,1))=1,INDEX('Serial Reference'!$A$8:$W$8,1,FLOOR(($A76-1)/23,1)+1)&amp;INDEX('Serial Reference'!$A$8:$W$8,1,MOD($A76-1,23)+1)&amp;TEXT(BE$2+FLOOR((BE$2-1)/9,1),"000"),"")</f>
        <v>DE062</v>
      </c>
      <c r="BF76" s="22" t="str">
        <f>IF(INDEX('Shot Map'!$B$6:$V$26,CEILING($A76/5,1),CEILING(BF$2/5,1))=1,INDEX('Serial Reference'!$A$8:$W$8,1,FLOOR(($A76-1)/23,1)+1)&amp;INDEX('Serial Reference'!$A$8:$W$8,1,MOD($A76-1,23)+1)&amp;TEXT(BF$2+FLOOR((BF$2-1)/9,1),"000"),"")</f>
        <v>DE063</v>
      </c>
      <c r="BG76" s="22" t="str">
        <f>IF(INDEX('Shot Map'!$B$6:$V$26,CEILING($A76/5,1),CEILING(BG$2/5,1))=1,INDEX('Serial Reference'!$A$8:$W$8,1,FLOOR(($A76-1)/23,1)+1)&amp;INDEX('Serial Reference'!$A$8:$W$8,1,MOD($A76-1,23)+1)&amp;TEXT(BG$2+FLOOR((BG$2-1)/9,1),"000"),"")</f>
        <v>DE064</v>
      </c>
      <c r="BH76" s="22" t="str">
        <f>IF(INDEX('Shot Map'!$B$6:$V$26,CEILING($A76/5,1),CEILING(BH$2/5,1))=1,INDEX('Serial Reference'!$A$8:$W$8,1,FLOOR(($A76-1)/23,1)+1)&amp;INDEX('Serial Reference'!$A$8:$W$8,1,MOD($A76-1,23)+1)&amp;TEXT(BH$2+FLOOR((BH$2-1)/9,1),"000"),"")</f>
        <v>DE065</v>
      </c>
      <c r="BI76" s="23" t="str">
        <f>IF(INDEX('Shot Map'!$B$6:$V$26,CEILING($A76/5,1),CEILING(BI$2/5,1))=1,INDEX('Serial Reference'!$A$8:$W$8,1,FLOOR(($A76-1)/23,1)+1)&amp;INDEX('Serial Reference'!$A$8:$W$8,1,MOD($A76-1,23)+1)&amp;TEXT(BI$2+FLOOR((BI$2-1)/9,1),"000"),"")</f>
        <v>DE066</v>
      </c>
      <c r="BJ76" s="21" t="str">
        <f>IF(INDEX('Shot Map'!$B$6:$V$26,CEILING($A76/5,1),CEILING(BJ$2/5,1))=1,INDEX('Serial Reference'!$A$8:$W$8,1,FLOOR(($A76-1)/23,1)+1)&amp;INDEX('Serial Reference'!$A$8:$W$8,1,MOD($A76-1,23)+1)&amp;TEXT(BJ$2+FLOOR((BJ$2-1)/9,1),"000"),"")</f>
        <v>DE067</v>
      </c>
      <c r="BK76" s="22" t="str">
        <f>IF(INDEX('Shot Map'!$B$6:$V$26,CEILING($A76/5,1),CEILING(BK$2/5,1))=1,INDEX('Serial Reference'!$A$8:$W$8,1,FLOOR(($A76-1)/23,1)+1)&amp;INDEX('Serial Reference'!$A$8:$W$8,1,MOD($A76-1,23)+1)&amp;TEXT(BK$2+FLOOR((BK$2-1)/9,1),"000"),"")</f>
        <v>DE068</v>
      </c>
      <c r="BL76" s="22" t="str">
        <f>IF(INDEX('Shot Map'!$B$6:$V$26,CEILING($A76/5,1),CEILING(BL$2/5,1))=1,INDEX('Serial Reference'!$A$8:$W$8,1,FLOOR(($A76-1)/23,1)+1)&amp;INDEX('Serial Reference'!$A$8:$W$8,1,MOD($A76-1,23)+1)&amp;TEXT(BL$2+FLOOR((BL$2-1)/9,1),"000"),"")</f>
        <v>DE069</v>
      </c>
      <c r="BM76" s="22" t="str">
        <f>IF(INDEX('Shot Map'!$B$6:$V$26,CEILING($A76/5,1),CEILING(BM$2/5,1))=1,INDEX('Serial Reference'!$A$8:$W$8,1,FLOOR(($A76-1)/23,1)+1)&amp;INDEX('Serial Reference'!$A$8:$W$8,1,MOD($A76-1,23)+1)&amp;TEXT(BM$2+FLOOR((BM$2-1)/9,1),"000"),"")</f>
        <v>DE071</v>
      </c>
      <c r="BN76" s="23" t="str">
        <f>IF(INDEX('Shot Map'!$B$6:$V$26,CEILING($A76/5,1),CEILING(BN$2/5,1))=1,INDEX('Serial Reference'!$A$8:$W$8,1,FLOOR(($A76-1)/23,1)+1)&amp;INDEX('Serial Reference'!$A$8:$W$8,1,MOD($A76-1,23)+1)&amp;TEXT(BN$2+FLOOR((BN$2-1)/9,1),"000"),"")</f>
        <v>DE072</v>
      </c>
      <c r="BO76" s="21" t="str">
        <f>IF(INDEX('Shot Map'!$B$6:$V$26,CEILING($A76/5,1),CEILING(BO$2/5,1))=1,INDEX('Serial Reference'!$A$8:$W$8,1,FLOOR(($A76-1)/23,1)+1)&amp;INDEX('Serial Reference'!$A$8:$W$8,1,MOD($A76-1,23)+1)&amp;TEXT(BO$2+FLOOR((BO$2-1)/9,1),"000"),"")</f>
        <v>DE073</v>
      </c>
      <c r="BP76" s="22" t="str">
        <f>IF(INDEX('Shot Map'!$B$6:$V$26,CEILING($A76/5,1),CEILING(BP$2/5,1))=1,INDEX('Serial Reference'!$A$8:$W$8,1,FLOOR(($A76-1)/23,1)+1)&amp;INDEX('Serial Reference'!$A$8:$W$8,1,MOD($A76-1,23)+1)&amp;TEXT(BP$2+FLOOR((BP$2-1)/9,1),"000"),"")</f>
        <v>DE074</v>
      </c>
      <c r="BQ76" s="22" t="str">
        <f>IF(INDEX('Shot Map'!$B$6:$V$26,CEILING($A76/5,1),CEILING(BQ$2/5,1))=1,INDEX('Serial Reference'!$A$8:$W$8,1,FLOOR(($A76-1)/23,1)+1)&amp;INDEX('Serial Reference'!$A$8:$W$8,1,MOD($A76-1,23)+1)&amp;TEXT(BQ$2+FLOOR((BQ$2-1)/9,1),"000"),"")</f>
        <v>DE075</v>
      </c>
      <c r="BR76" s="22" t="str">
        <f>IF(INDEX('Shot Map'!$B$6:$V$26,CEILING($A76/5,1),CEILING(BR$2/5,1))=1,INDEX('Serial Reference'!$A$8:$W$8,1,FLOOR(($A76-1)/23,1)+1)&amp;INDEX('Serial Reference'!$A$8:$W$8,1,MOD($A76-1,23)+1)&amp;TEXT(BR$2+FLOOR((BR$2-1)/9,1),"000"),"")</f>
        <v>DE076</v>
      </c>
      <c r="BS76" s="23" t="str">
        <f>IF(INDEX('Shot Map'!$B$6:$V$26,CEILING($A76/5,1),CEILING(BS$2/5,1))=1,INDEX('Serial Reference'!$A$8:$W$8,1,FLOOR(($A76-1)/23,1)+1)&amp;INDEX('Serial Reference'!$A$8:$W$8,1,MOD($A76-1,23)+1)&amp;TEXT(BS$2+FLOOR((BS$2-1)/9,1),"000"),"")</f>
        <v>DE077</v>
      </c>
      <c r="BT76" s="21" t="str">
        <f>IF(INDEX('Shot Map'!$B$6:$V$26,CEILING($A76/5,1),CEILING(BT$2/5,1))=1,INDEX('Serial Reference'!$A$8:$W$8,1,FLOOR(($A76-1)/23,1)+1)&amp;INDEX('Serial Reference'!$A$8:$W$8,1,MOD($A76-1,23)+1)&amp;TEXT(BT$2+FLOOR((BT$2-1)/9,1),"000"),"")</f>
        <v>DE078</v>
      </c>
      <c r="BU76" s="22" t="str">
        <f>IF(INDEX('Shot Map'!$B$6:$V$26,CEILING($A76/5,1),CEILING(BU$2/5,1))=1,INDEX('Serial Reference'!$A$8:$W$8,1,FLOOR(($A76-1)/23,1)+1)&amp;INDEX('Serial Reference'!$A$8:$W$8,1,MOD($A76-1,23)+1)&amp;TEXT(BU$2+FLOOR((BU$2-1)/9,1),"000"),"")</f>
        <v>DE079</v>
      </c>
      <c r="BV76" s="22" t="str">
        <f>IF(INDEX('Shot Map'!$B$6:$V$26,CEILING($A76/5,1),CEILING(BV$2/5,1))=1,INDEX('Serial Reference'!$A$8:$W$8,1,FLOOR(($A76-1)/23,1)+1)&amp;INDEX('Serial Reference'!$A$8:$W$8,1,MOD($A76-1,23)+1)&amp;TEXT(BV$2+FLOOR((BV$2-1)/9,1),"000"),"")</f>
        <v>DE081</v>
      </c>
      <c r="BW76" s="22" t="str">
        <f>IF(INDEX('Shot Map'!$B$6:$V$26,CEILING($A76/5,1),CEILING(BW$2/5,1))=1,INDEX('Serial Reference'!$A$8:$W$8,1,FLOOR(($A76-1)/23,1)+1)&amp;INDEX('Serial Reference'!$A$8:$W$8,1,MOD($A76-1,23)+1)&amp;TEXT(BW$2+FLOOR((BW$2-1)/9,1),"000"),"")</f>
        <v>DE082</v>
      </c>
      <c r="BX76" s="23" t="str">
        <f>IF(INDEX('Shot Map'!$B$6:$V$26,CEILING($A76/5,1),CEILING(BX$2/5,1))=1,INDEX('Serial Reference'!$A$8:$W$8,1,FLOOR(($A76-1)/23,1)+1)&amp;INDEX('Serial Reference'!$A$8:$W$8,1,MOD($A76-1,23)+1)&amp;TEXT(BX$2+FLOOR((BX$2-1)/9,1),"000"),"")</f>
        <v>DE083</v>
      </c>
      <c r="BY76" s="21" t="str">
        <f>IF(INDEX('Shot Map'!$B$6:$V$26,CEILING($A76/5,1),CEILING(BY$2/5,1))=1,INDEX('Serial Reference'!$A$8:$W$8,1,FLOOR(($A76-1)/23,1)+1)&amp;INDEX('Serial Reference'!$A$8:$W$8,1,MOD($A76-1,23)+1)&amp;TEXT(BY$2+FLOOR((BY$2-1)/9,1),"000"),"")</f>
        <v>DE084</v>
      </c>
      <c r="BZ76" s="22" t="str">
        <f>IF(INDEX('Shot Map'!$B$6:$V$26,CEILING($A76/5,1),CEILING(BZ$2/5,1))=1,INDEX('Serial Reference'!$A$8:$W$8,1,FLOOR(($A76-1)/23,1)+1)&amp;INDEX('Serial Reference'!$A$8:$W$8,1,MOD($A76-1,23)+1)&amp;TEXT(BZ$2+FLOOR((BZ$2-1)/9,1),"000"),"")</f>
        <v>DE085</v>
      </c>
      <c r="CA76" s="22" t="str">
        <f>IF(INDEX('Shot Map'!$B$6:$V$26,CEILING($A76/5,1),CEILING(CA$2/5,1))=1,INDEX('Serial Reference'!$A$8:$W$8,1,FLOOR(($A76-1)/23,1)+1)&amp;INDEX('Serial Reference'!$A$8:$W$8,1,MOD($A76-1,23)+1)&amp;TEXT(CA$2+FLOOR((CA$2-1)/9,1),"000"),"")</f>
        <v>DE086</v>
      </c>
      <c r="CB76" s="22" t="str">
        <f>IF(INDEX('Shot Map'!$B$6:$V$26,CEILING($A76/5,1),CEILING(CB$2/5,1))=1,INDEX('Serial Reference'!$A$8:$W$8,1,FLOOR(($A76-1)/23,1)+1)&amp;INDEX('Serial Reference'!$A$8:$W$8,1,MOD($A76-1,23)+1)&amp;TEXT(CB$2+FLOOR((CB$2-1)/9,1),"000"),"")</f>
        <v>DE087</v>
      </c>
      <c r="CC76" s="23" t="str">
        <f>IF(INDEX('Shot Map'!$B$6:$V$26,CEILING($A76/5,1),CEILING(CC$2/5,1))=1,INDEX('Serial Reference'!$A$8:$W$8,1,FLOOR(($A76-1)/23,1)+1)&amp;INDEX('Serial Reference'!$A$8:$W$8,1,MOD($A76-1,23)+1)&amp;TEXT(CC$2+FLOOR((CC$2-1)/9,1),"000"),"")</f>
        <v>DE088</v>
      </c>
      <c r="CD76" s="21" t="str">
        <f>IF(INDEX('Shot Map'!$B$6:$V$26,CEILING($A76/5,1),CEILING(CD$2/5,1))=1,INDEX('Serial Reference'!$A$8:$W$8,1,FLOOR(($A76-1)/23,1)+1)&amp;INDEX('Serial Reference'!$A$8:$W$8,1,MOD($A76-1,23)+1)&amp;TEXT(CD$2+FLOOR((CD$2-1)/9,1),"000"),"")</f>
        <v>DE089</v>
      </c>
      <c r="CE76" s="22" t="str">
        <f>IF(INDEX('Shot Map'!$B$6:$V$26,CEILING($A76/5,1),CEILING(CE$2/5,1))=1,INDEX('Serial Reference'!$A$8:$W$8,1,FLOOR(($A76-1)/23,1)+1)&amp;INDEX('Serial Reference'!$A$8:$W$8,1,MOD($A76-1,23)+1)&amp;TEXT(CE$2+FLOOR((CE$2-1)/9,1),"000"),"")</f>
        <v>DE091</v>
      </c>
      <c r="CF76" s="22" t="str">
        <f>IF(INDEX('Shot Map'!$B$6:$V$26,CEILING($A76/5,1),CEILING(CF$2/5,1))=1,INDEX('Serial Reference'!$A$8:$W$8,1,FLOOR(($A76-1)/23,1)+1)&amp;INDEX('Serial Reference'!$A$8:$W$8,1,MOD($A76-1,23)+1)&amp;TEXT(CF$2+FLOOR((CF$2-1)/9,1),"000"),"")</f>
        <v>DE092</v>
      </c>
      <c r="CG76" s="22" t="str">
        <f>IF(INDEX('Shot Map'!$B$6:$V$26,CEILING($A76/5,1),CEILING(CG$2/5,1))=1,INDEX('Serial Reference'!$A$8:$W$8,1,FLOOR(($A76-1)/23,1)+1)&amp;INDEX('Serial Reference'!$A$8:$W$8,1,MOD($A76-1,23)+1)&amp;TEXT(CG$2+FLOOR((CG$2-1)/9,1),"000"),"")</f>
        <v>DE093</v>
      </c>
      <c r="CH76" s="23" t="str">
        <f>IF(INDEX('Shot Map'!$B$6:$V$26,CEILING($A76/5,1),CEILING(CH$2/5,1))=1,INDEX('Serial Reference'!$A$8:$W$8,1,FLOOR(($A76-1)/23,1)+1)&amp;INDEX('Serial Reference'!$A$8:$W$8,1,MOD($A76-1,23)+1)&amp;TEXT(CH$2+FLOOR((CH$2-1)/9,1),"000"),"")</f>
        <v>DE094</v>
      </c>
      <c r="CI76" s="21" t="str">
        <f>IF(INDEX('Shot Map'!$B$6:$V$26,CEILING($A76/5,1),CEILING(CI$2/5,1))=1,INDEX('Serial Reference'!$A$8:$W$8,1,FLOOR(($A76-1)/23,1)+1)&amp;INDEX('Serial Reference'!$A$8:$W$8,1,MOD($A76-1,23)+1)&amp;TEXT(CI$2+FLOOR((CI$2-1)/9,1),"000"),"")</f>
        <v>DE095</v>
      </c>
      <c r="CJ76" s="22" t="str">
        <f>IF(INDEX('Shot Map'!$B$6:$V$26,CEILING($A76/5,1),CEILING(CJ$2/5,1))=1,INDEX('Serial Reference'!$A$8:$W$8,1,FLOOR(($A76-1)/23,1)+1)&amp;INDEX('Serial Reference'!$A$8:$W$8,1,MOD($A76-1,23)+1)&amp;TEXT(CJ$2+FLOOR((CJ$2-1)/9,1),"000"),"")</f>
        <v>DE096</v>
      </c>
      <c r="CK76" s="22" t="str">
        <f>IF(INDEX('Shot Map'!$B$6:$V$26,CEILING($A76/5,1),CEILING(CK$2/5,1))=1,INDEX('Serial Reference'!$A$8:$W$8,1,FLOOR(($A76-1)/23,1)+1)&amp;INDEX('Serial Reference'!$A$8:$W$8,1,MOD($A76-1,23)+1)&amp;TEXT(CK$2+FLOOR((CK$2-1)/9,1),"000"),"")</f>
        <v>DE097</v>
      </c>
      <c r="CL76" s="22" t="str">
        <f>IF(INDEX('Shot Map'!$B$6:$V$26,CEILING($A76/5,1),CEILING(CL$2/5,1))=1,INDEX('Serial Reference'!$A$8:$W$8,1,FLOOR(($A76-1)/23,1)+1)&amp;INDEX('Serial Reference'!$A$8:$W$8,1,MOD($A76-1,23)+1)&amp;TEXT(CL$2+FLOOR((CL$2-1)/9,1),"000"),"")</f>
        <v>DE098</v>
      </c>
      <c r="CM76" s="23" t="str">
        <f>IF(INDEX('Shot Map'!$B$6:$V$26,CEILING($A76/5,1),CEILING(CM$2/5,1))=1,INDEX('Serial Reference'!$A$8:$W$8,1,FLOOR(($A76-1)/23,1)+1)&amp;INDEX('Serial Reference'!$A$8:$W$8,1,MOD($A76-1,23)+1)&amp;TEXT(CM$2+FLOOR((CM$2-1)/9,1),"000"),"")</f>
        <v>DE099</v>
      </c>
      <c r="CN76" s="21" t="str">
        <f>IF(INDEX('Shot Map'!$B$6:$V$26,CEILING($A76/5,1),CEILING(CN$2/5,1))=1,INDEX('Serial Reference'!$A$8:$W$8,1,FLOOR(($A76-1)/23,1)+1)&amp;INDEX('Serial Reference'!$A$8:$W$8,1,MOD($A76-1,23)+1)&amp;TEXT(CN$2+FLOOR((CN$2-1)/9,1),"000"),"")</f>
        <v>DE101</v>
      </c>
      <c r="CO76" s="22" t="str">
        <f>IF(INDEX('Shot Map'!$B$6:$V$26,CEILING($A76/5,1),CEILING(CO$2/5,1))=1,INDEX('Serial Reference'!$A$8:$W$8,1,FLOOR(($A76-1)/23,1)+1)&amp;INDEX('Serial Reference'!$A$8:$W$8,1,MOD($A76-1,23)+1)&amp;TEXT(CO$2+FLOOR((CO$2-1)/9,1),"000"),"")</f>
        <v>DE102</v>
      </c>
      <c r="CP76" s="22" t="str">
        <f>IF(INDEX('Shot Map'!$B$6:$V$26,CEILING($A76/5,1),CEILING(CP$2/5,1))=1,INDEX('Serial Reference'!$A$8:$W$8,1,FLOOR(($A76-1)/23,1)+1)&amp;INDEX('Serial Reference'!$A$8:$W$8,1,MOD($A76-1,23)+1)&amp;TEXT(CP$2+FLOOR((CP$2-1)/9,1),"000"),"")</f>
        <v>DE103</v>
      </c>
      <c r="CQ76" s="22" t="str">
        <f>IF(INDEX('Shot Map'!$B$6:$V$26,CEILING($A76/5,1),CEILING(CQ$2/5,1))=1,INDEX('Serial Reference'!$A$8:$W$8,1,FLOOR(($A76-1)/23,1)+1)&amp;INDEX('Serial Reference'!$A$8:$W$8,1,MOD($A76-1,23)+1)&amp;TEXT(CQ$2+FLOOR((CQ$2-1)/9,1),"000"),"")</f>
        <v>DE104</v>
      </c>
      <c r="CR76" s="23" t="str">
        <f>IF(INDEX('Shot Map'!$B$6:$V$26,CEILING($A76/5,1),CEILING(CR$2/5,1))=1,INDEX('Serial Reference'!$A$8:$W$8,1,FLOOR(($A76-1)/23,1)+1)&amp;INDEX('Serial Reference'!$A$8:$W$8,1,MOD($A76-1,23)+1)&amp;TEXT(CR$2+FLOOR((CR$2-1)/9,1),"000"),"")</f>
        <v>DE105</v>
      </c>
      <c r="CS76" s="21" t="str">
        <f>IF(INDEX('Shot Map'!$B$6:$V$26,CEILING($A76/5,1),CEILING(CS$2/5,1))=1,INDEX('Serial Reference'!$A$8:$W$8,1,FLOOR(($A76-1)/23,1)+1)&amp;INDEX('Serial Reference'!$A$8:$W$8,1,MOD($A76-1,23)+1)&amp;TEXT(CS$2+FLOOR((CS$2-1)/9,1),"000"),"")</f>
        <v>DE106</v>
      </c>
      <c r="CT76" s="22" t="str">
        <f>IF(INDEX('Shot Map'!$B$6:$V$26,CEILING($A76/5,1),CEILING(CT$2/5,1))=1,INDEX('Serial Reference'!$A$8:$W$8,1,FLOOR(($A76-1)/23,1)+1)&amp;INDEX('Serial Reference'!$A$8:$W$8,1,MOD($A76-1,23)+1)&amp;TEXT(CT$2+FLOOR((CT$2-1)/9,1),"000"),"")</f>
        <v>DE107</v>
      </c>
      <c r="CU76" s="22" t="str">
        <f>IF(INDEX('Shot Map'!$B$6:$V$26,CEILING($A76/5,1),CEILING(CU$2/5,1))=1,INDEX('Serial Reference'!$A$8:$W$8,1,FLOOR(($A76-1)/23,1)+1)&amp;INDEX('Serial Reference'!$A$8:$W$8,1,MOD($A76-1,23)+1)&amp;TEXT(CU$2+FLOOR((CU$2-1)/9,1),"000"),"")</f>
        <v>DE108</v>
      </c>
      <c r="CV76" s="22" t="str">
        <f>IF(INDEX('Shot Map'!$B$6:$V$26,CEILING($A76/5,1),CEILING(CV$2/5,1))=1,INDEX('Serial Reference'!$A$8:$W$8,1,FLOOR(($A76-1)/23,1)+1)&amp;INDEX('Serial Reference'!$A$8:$W$8,1,MOD($A76-1,23)+1)&amp;TEXT(CV$2+FLOOR((CV$2-1)/9,1),"000"),"")</f>
        <v>DE109</v>
      </c>
      <c r="CW76" s="23" t="str">
        <f>IF(INDEX('Shot Map'!$B$6:$V$26,CEILING($A76/5,1),CEILING(CW$2/5,1))=1,INDEX('Serial Reference'!$A$8:$W$8,1,FLOOR(($A76-1)/23,1)+1)&amp;INDEX('Serial Reference'!$A$8:$W$8,1,MOD($A76-1,23)+1)&amp;TEXT(CW$2+FLOOR((CW$2-1)/9,1),"000"),"")</f>
        <v>DE111</v>
      </c>
      <c r="CX76" s="21" t="str">
        <f>IF(INDEX('Shot Map'!$B$6:$V$26,CEILING($A76/5,1),CEILING(CX$2/5,1))=1,INDEX('Serial Reference'!$A$8:$W$8,1,FLOOR(($A76-1)/23,1)+1)&amp;INDEX('Serial Reference'!$A$8:$W$8,1,MOD($A76-1,23)+1)&amp;TEXT(CX$2+FLOOR((CX$2-1)/9,1),"000"),"")</f>
        <v/>
      </c>
      <c r="CY76" s="22" t="str">
        <f>IF(INDEX('Shot Map'!$B$6:$V$26,CEILING($A76/5,1),CEILING(CY$2/5,1))=1,INDEX('Serial Reference'!$A$8:$W$8,1,FLOOR(($A76-1)/23,1)+1)&amp;INDEX('Serial Reference'!$A$8:$W$8,1,MOD($A76-1,23)+1)&amp;TEXT(CY$2+FLOOR((CY$2-1)/9,1),"000"),"")</f>
        <v/>
      </c>
      <c r="CZ76" s="22" t="str">
        <f>IF(INDEX('Shot Map'!$B$6:$V$26,CEILING($A76/5,1),CEILING(CZ$2/5,1))=1,INDEX('Serial Reference'!$A$8:$W$8,1,FLOOR(($A76-1)/23,1)+1)&amp;INDEX('Serial Reference'!$A$8:$W$8,1,MOD($A76-1,23)+1)&amp;TEXT(CZ$2+FLOOR((CZ$2-1)/9,1),"000"),"")</f>
        <v/>
      </c>
      <c r="DA76" s="22" t="str">
        <f>IF(INDEX('Shot Map'!$B$6:$V$26,CEILING($A76/5,1),CEILING(DA$2/5,1))=1,INDEX('Serial Reference'!$A$8:$W$8,1,FLOOR(($A76-1)/23,1)+1)&amp;INDEX('Serial Reference'!$A$8:$W$8,1,MOD($A76-1,23)+1)&amp;TEXT(DA$2+FLOOR((DA$2-1)/9,1),"000"),"")</f>
        <v/>
      </c>
      <c r="DB76" s="23" t="str">
        <f>IF(INDEX('Shot Map'!$B$6:$V$26,CEILING($A76/5,1),CEILING(DB$2/5,1))=1,INDEX('Serial Reference'!$A$8:$W$8,1,FLOOR(($A76-1)/23,1)+1)&amp;INDEX('Serial Reference'!$A$8:$W$8,1,MOD($A76-1,23)+1)&amp;TEXT(DB$2+FLOOR((DB$2-1)/9,1),"000"),"")</f>
        <v/>
      </c>
    </row>
    <row r="77" spans="1:106" ht="12.75" customHeight="1" x14ac:dyDescent="0.25">
      <c r="A77" s="17">
        <v>75</v>
      </c>
      <c r="B77" s="24" t="str">
        <f>IF(INDEX('Shot Map'!$B$6:$V$26,CEILING($A77/5,1),CEILING(B$2/5,1))=1,INDEX('Serial Reference'!$A$8:$W$8,1,FLOOR(($A77-1)/23,1)+1)&amp;INDEX('Serial Reference'!$A$8:$W$8,1,MOD($A77-1,23)+1)&amp;TEXT(B$2+FLOOR((B$2-1)/9,1),"000"),"")</f>
        <v/>
      </c>
      <c r="C77" s="25" t="str">
        <f>IF(INDEX('Shot Map'!$B$6:$V$26,CEILING($A77/5,1),CEILING(C$2/5,1))=1,INDEX('Serial Reference'!$A$8:$W$8,1,FLOOR(($A77-1)/23,1)+1)&amp;INDEX('Serial Reference'!$A$8:$W$8,1,MOD($A77-1,23)+1)&amp;TEXT(C$2+FLOOR((C$2-1)/9,1),"000"),"")</f>
        <v/>
      </c>
      <c r="D77" s="25" t="str">
        <f>IF(INDEX('Shot Map'!$B$6:$V$26,CEILING($A77/5,1),CEILING(D$2/5,1))=1,INDEX('Serial Reference'!$A$8:$W$8,1,FLOOR(($A77-1)/23,1)+1)&amp;INDEX('Serial Reference'!$A$8:$W$8,1,MOD($A77-1,23)+1)&amp;TEXT(D$2+FLOOR((D$2-1)/9,1),"000"),"")</f>
        <v/>
      </c>
      <c r="E77" s="25" t="str">
        <f>IF(INDEX('Shot Map'!$B$6:$V$26,CEILING($A77/5,1),CEILING(E$2/5,1))=1,INDEX('Serial Reference'!$A$8:$W$8,1,FLOOR(($A77-1)/23,1)+1)&amp;INDEX('Serial Reference'!$A$8:$W$8,1,MOD($A77-1,23)+1)&amp;TEXT(E$2+FLOOR((E$2-1)/9,1),"000"),"")</f>
        <v/>
      </c>
      <c r="F77" s="26" t="str">
        <f>IF(INDEX('Shot Map'!$B$6:$V$26,CEILING($A77/5,1),CEILING(F$2/5,1))=1,INDEX('Serial Reference'!$A$8:$W$8,1,FLOOR(($A77-1)/23,1)+1)&amp;INDEX('Serial Reference'!$A$8:$W$8,1,MOD($A77-1,23)+1)&amp;TEXT(F$2+FLOOR((F$2-1)/9,1),"000"),"")</f>
        <v/>
      </c>
      <c r="G77" s="24" t="str">
        <f>IF(INDEX('Shot Map'!$B$6:$V$26,CEILING($A77/5,1),CEILING(G$2/5,1))=1,INDEX('Serial Reference'!$A$8:$W$8,1,FLOOR(($A77-1)/23,1)+1)&amp;INDEX('Serial Reference'!$A$8:$W$8,1,MOD($A77-1,23)+1)&amp;TEXT(G$2+FLOOR((G$2-1)/9,1),"000"),"")</f>
        <v>DF006</v>
      </c>
      <c r="H77" s="25" t="str">
        <f>IF(INDEX('Shot Map'!$B$6:$V$26,CEILING($A77/5,1),CEILING(H$2/5,1))=1,INDEX('Serial Reference'!$A$8:$W$8,1,FLOOR(($A77-1)/23,1)+1)&amp;INDEX('Serial Reference'!$A$8:$W$8,1,MOD($A77-1,23)+1)&amp;TEXT(H$2+FLOOR((H$2-1)/9,1),"000"),"")</f>
        <v>DF007</v>
      </c>
      <c r="I77" s="25" t="str">
        <f>IF(INDEX('Shot Map'!$B$6:$V$26,CEILING($A77/5,1),CEILING(I$2/5,1))=1,INDEX('Serial Reference'!$A$8:$W$8,1,FLOOR(($A77-1)/23,1)+1)&amp;INDEX('Serial Reference'!$A$8:$W$8,1,MOD($A77-1,23)+1)&amp;TEXT(I$2+FLOOR((I$2-1)/9,1),"000"),"")</f>
        <v>DF008</v>
      </c>
      <c r="J77" s="25" t="str">
        <f>IF(INDEX('Shot Map'!$B$6:$V$26,CEILING($A77/5,1),CEILING(J$2/5,1))=1,INDEX('Serial Reference'!$A$8:$W$8,1,FLOOR(($A77-1)/23,1)+1)&amp;INDEX('Serial Reference'!$A$8:$W$8,1,MOD($A77-1,23)+1)&amp;TEXT(J$2+FLOOR((J$2-1)/9,1),"000"),"")</f>
        <v>DF009</v>
      </c>
      <c r="K77" s="26" t="str">
        <f>IF(INDEX('Shot Map'!$B$6:$V$26,CEILING($A77/5,1),CEILING(K$2/5,1))=1,INDEX('Serial Reference'!$A$8:$W$8,1,FLOOR(($A77-1)/23,1)+1)&amp;INDEX('Serial Reference'!$A$8:$W$8,1,MOD($A77-1,23)+1)&amp;TEXT(K$2+FLOOR((K$2-1)/9,1),"000"),"")</f>
        <v>DF011</v>
      </c>
      <c r="L77" s="24" t="str">
        <f>IF(INDEX('Shot Map'!$B$6:$V$26,CEILING($A77/5,1),CEILING(L$2/5,1))=1,INDEX('Serial Reference'!$A$8:$W$8,1,FLOOR(($A77-1)/23,1)+1)&amp;INDEX('Serial Reference'!$A$8:$W$8,1,MOD($A77-1,23)+1)&amp;TEXT(L$2+FLOOR((L$2-1)/9,1),"000"),"")</f>
        <v>DF012</v>
      </c>
      <c r="M77" s="25" t="str">
        <f>IF(INDEX('Shot Map'!$B$6:$V$26,CEILING($A77/5,1),CEILING(M$2/5,1))=1,INDEX('Serial Reference'!$A$8:$W$8,1,FLOOR(($A77-1)/23,1)+1)&amp;INDEX('Serial Reference'!$A$8:$W$8,1,MOD($A77-1,23)+1)&amp;TEXT(M$2+FLOOR((M$2-1)/9,1),"000"),"")</f>
        <v>DF013</v>
      </c>
      <c r="N77" s="25" t="str">
        <f>IF(INDEX('Shot Map'!$B$6:$V$26,CEILING($A77/5,1),CEILING(N$2/5,1))=1,INDEX('Serial Reference'!$A$8:$W$8,1,FLOOR(($A77-1)/23,1)+1)&amp;INDEX('Serial Reference'!$A$8:$W$8,1,MOD($A77-1,23)+1)&amp;TEXT(N$2+FLOOR((N$2-1)/9,1),"000"),"")</f>
        <v>DF014</v>
      </c>
      <c r="O77" s="25" t="str">
        <f>IF(INDEX('Shot Map'!$B$6:$V$26,CEILING($A77/5,1),CEILING(O$2/5,1))=1,INDEX('Serial Reference'!$A$8:$W$8,1,FLOOR(($A77-1)/23,1)+1)&amp;INDEX('Serial Reference'!$A$8:$W$8,1,MOD($A77-1,23)+1)&amp;TEXT(O$2+FLOOR((O$2-1)/9,1),"000"),"")</f>
        <v>DF015</v>
      </c>
      <c r="P77" s="26" t="str">
        <f>IF(INDEX('Shot Map'!$B$6:$V$26,CEILING($A77/5,1),CEILING(P$2/5,1))=1,INDEX('Serial Reference'!$A$8:$W$8,1,FLOOR(($A77-1)/23,1)+1)&amp;INDEX('Serial Reference'!$A$8:$W$8,1,MOD($A77-1,23)+1)&amp;TEXT(P$2+FLOOR((P$2-1)/9,1),"000"),"")</f>
        <v>DF016</v>
      </c>
      <c r="Q77" s="24" t="str">
        <f>IF(INDEX('Shot Map'!$B$6:$V$26,CEILING($A77/5,1),CEILING(Q$2/5,1))=1,INDEX('Serial Reference'!$A$8:$W$8,1,FLOOR(($A77-1)/23,1)+1)&amp;INDEX('Serial Reference'!$A$8:$W$8,1,MOD($A77-1,23)+1)&amp;TEXT(Q$2+FLOOR((Q$2-1)/9,1),"000"),"")</f>
        <v>DF017</v>
      </c>
      <c r="R77" s="25" t="str">
        <f>IF(INDEX('Shot Map'!$B$6:$V$26,CEILING($A77/5,1),CEILING(R$2/5,1))=1,INDEX('Serial Reference'!$A$8:$W$8,1,FLOOR(($A77-1)/23,1)+1)&amp;INDEX('Serial Reference'!$A$8:$W$8,1,MOD($A77-1,23)+1)&amp;TEXT(R$2+FLOOR((R$2-1)/9,1),"000"),"")</f>
        <v>DF018</v>
      </c>
      <c r="S77" s="25" t="str">
        <f>IF(INDEX('Shot Map'!$B$6:$V$26,CEILING($A77/5,1),CEILING(S$2/5,1))=1,INDEX('Serial Reference'!$A$8:$W$8,1,FLOOR(($A77-1)/23,1)+1)&amp;INDEX('Serial Reference'!$A$8:$W$8,1,MOD($A77-1,23)+1)&amp;TEXT(S$2+FLOOR((S$2-1)/9,1),"000"),"")</f>
        <v>DF019</v>
      </c>
      <c r="T77" s="25" t="str">
        <f>IF(INDEX('Shot Map'!$B$6:$V$26,CEILING($A77/5,1),CEILING(T$2/5,1))=1,INDEX('Serial Reference'!$A$8:$W$8,1,FLOOR(($A77-1)/23,1)+1)&amp;INDEX('Serial Reference'!$A$8:$W$8,1,MOD($A77-1,23)+1)&amp;TEXT(T$2+FLOOR((T$2-1)/9,1),"000"),"")</f>
        <v>DF021</v>
      </c>
      <c r="U77" s="26" t="str">
        <f>IF(INDEX('Shot Map'!$B$6:$V$26,CEILING($A77/5,1),CEILING(U$2/5,1))=1,INDEX('Serial Reference'!$A$8:$W$8,1,FLOOR(($A77-1)/23,1)+1)&amp;INDEX('Serial Reference'!$A$8:$W$8,1,MOD($A77-1,23)+1)&amp;TEXT(U$2+FLOOR((U$2-1)/9,1),"000"),"")</f>
        <v>DF022</v>
      </c>
      <c r="V77" s="24" t="str">
        <f>IF(INDEX('Shot Map'!$B$6:$V$26,CEILING($A77/5,1),CEILING(V$2/5,1))=1,INDEX('Serial Reference'!$A$8:$W$8,1,FLOOR(($A77-1)/23,1)+1)&amp;INDEX('Serial Reference'!$A$8:$W$8,1,MOD($A77-1,23)+1)&amp;TEXT(V$2+FLOOR((V$2-1)/9,1),"000"),"")</f>
        <v>DF023</v>
      </c>
      <c r="W77" s="25" t="str">
        <f>IF(INDEX('Shot Map'!$B$6:$V$26,CEILING($A77/5,1),CEILING(W$2/5,1))=1,INDEX('Serial Reference'!$A$8:$W$8,1,FLOOR(($A77-1)/23,1)+1)&amp;INDEX('Serial Reference'!$A$8:$W$8,1,MOD($A77-1,23)+1)&amp;TEXT(W$2+FLOOR((W$2-1)/9,1),"000"),"")</f>
        <v>DF024</v>
      </c>
      <c r="X77" s="25" t="str">
        <f>IF(INDEX('Shot Map'!$B$6:$V$26,CEILING($A77/5,1),CEILING(X$2/5,1))=1,INDEX('Serial Reference'!$A$8:$W$8,1,FLOOR(($A77-1)/23,1)+1)&amp;INDEX('Serial Reference'!$A$8:$W$8,1,MOD($A77-1,23)+1)&amp;TEXT(X$2+FLOOR((X$2-1)/9,1),"000"),"")</f>
        <v>DF025</v>
      </c>
      <c r="Y77" s="25" t="str">
        <f>IF(INDEX('Shot Map'!$B$6:$V$26,CEILING($A77/5,1),CEILING(Y$2/5,1))=1,INDEX('Serial Reference'!$A$8:$W$8,1,FLOOR(($A77-1)/23,1)+1)&amp;INDEX('Serial Reference'!$A$8:$W$8,1,MOD($A77-1,23)+1)&amp;TEXT(Y$2+FLOOR((Y$2-1)/9,1),"000"),"")</f>
        <v>DF026</v>
      </c>
      <c r="Z77" s="26" t="str">
        <f>IF(INDEX('Shot Map'!$B$6:$V$26,CEILING($A77/5,1),CEILING(Z$2/5,1))=1,INDEX('Serial Reference'!$A$8:$W$8,1,FLOOR(($A77-1)/23,1)+1)&amp;INDEX('Serial Reference'!$A$8:$W$8,1,MOD($A77-1,23)+1)&amp;TEXT(Z$2+FLOOR((Z$2-1)/9,1),"000"),"")</f>
        <v>DF027</v>
      </c>
      <c r="AA77" s="24" t="str">
        <f>IF(INDEX('Shot Map'!$B$6:$V$26,CEILING($A77/5,1),CEILING(AA$2/5,1))=1,INDEX('Serial Reference'!$A$8:$W$8,1,FLOOR(($A77-1)/23,1)+1)&amp;INDEX('Serial Reference'!$A$8:$W$8,1,MOD($A77-1,23)+1)&amp;TEXT(AA$2+FLOOR((AA$2-1)/9,1),"000"),"")</f>
        <v>DF028</v>
      </c>
      <c r="AB77" s="25" t="str">
        <f>IF(INDEX('Shot Map'!$B$6:$V$26,CEILING($A77/5,1),CEILING(AB$2/5,1))=1,INDEX('Serial Reference'!$A$8:$W$8,1,FLOOR(($A77-1)/23,1)+1)&amp;INDEX('Serial Reference'!$A$8:$W$8,1,MOD($A77-1,23)+1)&amp;TEXT(AB$2+FLOOR((AB$2-1)/9,1),"000"),"")</f>
        <v>DF029</v>
      </c>
      <c r="AC77" s="25" t="str">
        <f>IF(INDEX('Shot Map'!$B$6:$V$26,CEILING($A77/5,1),CEILING(AC$2/5,1))=1,INDEX('Serial Reference'!$A$8:$W$8,1,FLOOR(($A77-1)/23,1)+1)&amp;INDEX('Serial Reference'!$A$8:$W$8,1,MOD($A77-1,23)+1)&amp;TEXT(AC$2+FLOOR((AC$2-1)/9,1),"000"),"")</f>
        <v>DF031</v>
      </c>
      <c r="AD77" s="25" t="str">
        <f>IF(INDEX('Shot Map'!$B$6:$V$26,CEILING($A77/5,1),CEILING(AD$2/5,1))=1,INDEX('Serial Reference'!$A$8:$W$8,1,FLOOR(($A77-1)/23,1)+1)&amp;INDEX('Serial Reference'!$A$8:$W$8,1,MOD($A77-1,23)+1)&amp;TEXT(AD$2+FLOOR((AD$2-1)/9,1),"000"),"")</f>
        <v>DF032</v>
      </c>
      <c r="AE77" s="26" t="str">
        <f>IF(INDEX('Shot Map'!$B$6:$V$26,CEILING($A77/5,1),CEILING(AE$2/5,1))=1,INDEX('Serial Reference'!$A$8:$W$8,1,FLOOR(($A77-1)/23,1)+1)&amp;INDEX('Serial Reference'!$A$8:$W$8,1,MOD($A77-1,23)+1)&amp;TEXT(AE$2+FLOOR((AE$2-1)/9,1),"000"),"")</f>
        <v>DF033</v>
      </c>
      <c r="AF77" s="24" t="str">
        <f>IF(INDEX('Shot Map'!$B$6:$V$26,CEILING($A77/5,1),CEILING(AF$2/5,1))=1,INDEX('Serial Reference'!$A$8:$W$8,1,FLOOR(($A77-1)/23,1)+1)&amp;INDEX('Serial Reference'!$A$8:$W$8,1,MOD($A77-1,23)+1)&amp;TEXT(AF$2+FLOOR((AF$2-1)/9,1),"000"),"")</f>
        <v>DF034</v>
      </c>
      <c r="AG77" s="25" t="str">
        <f>IF(INDEX('Shot Map'!$B$6:$V$26,CEILING($A77/5,1),CEILING(AG$2/5,1))=1,INDEX('Serial Reference'!$A$8:$W$8,1,FLOOR(($A77-1)/23,1)+1)&amp;INDEX('Serial Reference'!$A$8:$W$8,1,MOD($A77-1,23)+1)&amp;TEXT(AG$2+FLOOR((AG$2-1)/9,1),"000"),"")</f>
        <v>DF035</v>
      </c>
      <c r="AH77" s="25" t="str">
        <f>IF(INDEX('Shot Map'!$B$6:$V$26,CEILING($A77/5,1),CEILING(AH$2/5,1))=1,INDEX('Serial Reference'!$A$8:$W$8,1,FLOOR(($A77-1)/23,1)+1)&amp;INDEX('Serial Reference'!$A$8:$W$8,1,MOD($A77-1,23)+1)&amp;TEXT(AH$2+FLOOR((AH$2-1)/9,1),"000"),"")</f>
        <v>DF036</v>
      </c>
      <c r="AI77" s="25" t="str">
        <f>IF(INDEX('Shot Map'!$B$6:$V$26,CEILING($A77/5,1),CEILING(AI$2/5,1))=1,INDEX('Serial Reference'!$A$8:$W$8,1,FLOOR(($A77-1)/23,1)+1)&amp;INDEX('Serial Reference'!$A$8:$W$8,1,MOD($A77-1,23)+1)&amp;TEXT(AI$2+FLOOR((AI$2-1)/9,1),"000"),"")</f>
        <v>DF037</v>
      </c>
      <c r="AJ77" s="26" t="str">
        <f>IF(INDEX('Shot Map'!$B$6:$V$26,CEILING($A77/5,1),CEILING(AJ$2/5,1))=1,INDEX('Serial Reference'!$A$8:$W$8,1,FLOOR(($A77-1)/23,1)+1)&amp;INDEX('Serial Reference'!$A$8:$W$8,1,MOD($A77-1,23)+1)&amp;TEXT(AJ$2+FLOOR((AJ$2-1)/9,1),"000"),"")</f>
        <v>DF038</v>
      </c>
      <c r="AK77" s="24" t="str">
        <f>IF(INDEX('Shot Map'!$B$6:$V$26,CEILING($A77/5,1),CEILING(AK$2/5,1))=1,INDEX('Serial Reference'!$A$8:$W$8,1,FLOOR(($A77-1)/23,1)+1)&amp;INDEX('Serial Reference'!$A$8:$W$8,1,MOD($A77-1,23)+1)&amp;TEXT(AK$2+FLOOR((AK$2-1)/9,1),"000"),"")</f>
        <v>DF039</v>
      </c>
      <c r="AL77" s="25" t="str">
        <f>IF(INDEX('Shot Map'!$B$6:$V$26,CEILING($A77/5,1),CEILING(AL$2/5,1))=1,INDEX('Serial Reference'!$A$8:$W$8,1,FLOOR(($A77-1)/23,1)+1)&amp;INDEX('Serial Reference'!$A$8:$W$8,1,MOD($A77-1,23)+1)&amp;TEXT(AL$2+FLOOR((AL$2-1)/9,1),"000"),"")</f>
        <v>DF041</v>
      </c>
      <c r="AM77" s="25" t="str">
        <f>IF(INDEX('Shot Map'!$B$6:$V$26,CEILING($A77/5,1),CEILING(AM$2/5,1))=1,INDEX('Serial Reference'!$A$8:$W$8,1,FLOOR(($A77-1)/23,1)+1)&amp;INDEX('Serial Reference'!$A$8:$W$8,1,MOD($A77-1,23)+1)&amp;TEXT(AM$2+FLOOR((AM$2-1)/9,1),"000"),"")</f>
        <v>DF042</v>
      </c>
      <c r="AN77" s="25" t="str">
        <f>IF(INDEX('Shot Map'!$B$6:$V$26,CEILING($A77/5,1),CEILING(AN$2/5,1))=1,INDEX('Serial Reference'!$A$8:$W$8,1,FLOOR(($A77-1)/23,1)+1)&amp;INDEX('Serial Reference'!$A$8:$W$8,1,MOD($A77-1,23)+1)&amp;TEXT(AN$2+FLOOR((AN$2-1)/9,1),"000"),"")</f>
        <v>DF043</v>
      </c>
      <c r="AO77" s="26" t="str">
        <f>IF(INDEX('Shot Map'!$B$6:$V$26,CEILING($A77/5,1),CEILING(AO$2/5,1))=1,INDEX('Serial Reference'!$A$8:$W$8,1,FLOOR(($A77-1)/23,1)+1)&amp;INDEX('Serial Reference'!$A$8:$W$8,1,MOD($A77-1,23)+1)&amp;TEXT(AO$2+FLOOR((AO$2-1)/9,1),"000"),"")</f>
        <v>DF044</v>
      </c>
      <c r="AP77" s="24" t="str">
        <f>IF(INDEX('Shot Map'!$B$6:$V$26,CEILING($A77/5,1),CEILING(AP$2/5,1))=1,INDEX('Serial Reference'!$A$8:$W$8,1,FLOOR(($A77-1)/23,1)+1)&amp;INDEX('Serial Reference'!$A$8:$W$8,1,MOD($A77-1,23)+1)&amp;TEXT(AP$2+FLOOR((AP$2-1)/9,1),"000"),"")</f>
        <v>DF045</v>
      </c>
      <c r="AQ77" s="25" t="str">
        <f>IF(INDEX('Shot Map'!$B$6:$V$26,CEILING($A77/5,1),CEILING(AQ$2/5,1))=1,INDEX('Serial Reference'!$A$8:$W$8,1,FLOOR(($A77-1)/23,1)+1)&amp;INDEX('Serial Reference'!$A$8:$W$8,1,MOD($A77-1,23)+1)&amp;TEXT(AQ$2+FLOOR((AQ$2-1)/9,1),"000"),"")</f>
        <v>DF046</v>
      </c>
      <c r="AR77" s="25" t="str">
        <f>IF(INDEX('Shot Map'!$B$6:$V$26,CEILING($A77/5,1),CEILING(AR$2/5,1))=1,INDEX('Serial Reference'!$A$8:$W$8,1,FLOOR(($A77-1)/23,1)+1)&amp;INDEX('Serial Reference'!$A$8:$W$8,1,MOD($A77-1,23)+1)&amp;TEXT(AR$2+FLOOR((AR$2-1)/9,1),"000"),"")</f>
        <v>DF047</v>
      </c>
      <c r="AS77" s="25" t="str">
        <f>IF(INDEX('Shot Map'!$B$6:$V$26,CEILING($A77/5,1),CEILING(AS$2/5,1))=1,INDEX('Serial Reference'!$A$8:$W$8,1,FLOOR(($A77-1)/23,1)+1)&amp;INDEX('Serial Reference'!$A$8:$W$8,1,MOD($A77-1,23)+1)&amp;TEXT(AS$2+FLOOR((AS$2-1)/9,1),"000"),"")</f>
        <v>DF048</v>
      </c>
      <c r="AT77" s="26" t="str">
        <f>IF(INDEX('Shot Map'!$B$6:$V$26,CEILING($A77/5,1),CEILING(AT$2/5,1))=1,INDEX('Serial Reference'!$A$8:$W$8,1,FLOOR(($A77-1)/23,1)+1)&amp;INDEX('Serial Reference'!$A$8:$W$8,1,MOD($A77-1,23)+1)&amp;TEXT(AT$2+FLOOR((AT$2-1)/9,1),"000"),"")</f>
        <v>DF049</v>
      </c>
      <c r="AU77" s="24" t="str">
        <f>IF(INDEX('Shot Map'!$B$6:$V$26,CEILING($A77/5,1),CEILING(AU$2/5,1))=1,INDEX('Serial Reference'!$A$8:$W$8,1,FLOOR(($A77-1)/23,1)+1)&amp;INDEX('Serial Reference'!$A$8:$W$8,1,MOD($A77-1,23)+1)&amp;TEXT(AU$2+FLOOR((AU$2-1)/9,1),"000"),"")</f>
        <v>DF051</v>
      </c>
      <c r="AV77" s="25" t="str">
        <f>IF(INDEX('Shot Map'!$B$6:$V$26,CEILING($A77/5,1),CEILING(AV$2/5,1))=1,INDEX('Serial Reference'!$A$8:$W$8,1,FLOOR(($A77-1)/23,1)+1)&amp;INDEX('Serial Reference'!$A$8:$W$8,1,MOD($A77-1,23)+1)&amp;TEXT(AV$2+FLOOR((AV$2-1)/9,1),"000"),"")</f>
        <v>DF052</v>
      </c>
      <c r="AW77" s="25" t="str">
        <f>IF(INDEX('Shot Map'!$B$6:$V$26,CEILING($A77/5,1),CEILING(AW$2/5,1))=1,INDEX('Serial Reference'!$A$8:$W$8,1,FLOOR(($A77-1)/23,1)+1)&amp;INDEX('Serial Reference'!$A$8:$W$8,1,MOD($A77-1,23)+1)&amp;TEXT(AW$2+FLOOR((AW$2-1)/9,1),"000"),"")</f>
        <v>DF053</v>
      </c>
      <c r="AX77" s="25" t="str">
        <f>IF(INDEX('Shot Map'!$B$6:$V$26,CEILING($A77/5,1),CEILING(AX$2/5,1))=1,INDEX('Serial Reference'!$A$8:$W$8,1,FLOOR(($A77-1)/23,1)+1)&amp;INDEX('Serial Reference'!$A$8:$W$8,1,MOD($A77-1,23)+1)&amp;TEXT(AX$2+FLOOR((AX$2-1)/9,1),"000"),"")</f>
        <v>DF054</v>
      </c>
      <c r="AY77" s="26" t="str">
        <f>IF(INDEX('Shot Map'!$B$6:$V$26,CEILING($A77/5,1),CEILING(AY$2/5,1))=1,INDEX('Serial Reference'!$A$8:$W$8,1,FLOOR(($A77-1)/23,1)+1)&amp;INDEX('Serial Reference'!$A$8:$W$8,1,MOD($A77-1,23)+1)&amp;TEXT(AY$2+FLOOR((AY$2-1)/9,1),"000"),"")</f>
        <v>DF055</v>
      </c>
      <c r="AZ77" s="24" t="str">
        <f>IF(INDEX('Shot Map'!$B$6:$V$26,CEILING($A77/5,1),CEILING(AZ$2/5,1))=1,INDEX('Serial Reference'!$A$8:$W$8,1,FLOOR(($A77-1)/23,1)+1)&amp;INDEX('Serial Reference'!$A$8:$W$8,1,MOD($A77-1,23)+1)&amp;TEXT(AZ$2+FLOOR((AZ$2-1)/9,1),"000"),"")</f>
        <v>DF056</v>
      </c>
      <c r="BA77" s="25" t="str">
        <f>IF(INDEX('Shot Map'!$B$6:$V$26,CEILING($A77/5,1),CEILING(BA$2/5,1))=1,INDEX('Serial Reference'!$A$8:$W$8,1,FLOOR(($A77-1)/23,1)+1)&amp;INDEX('Serial Reference'!$A$8:$W$8,1,MOD($A77-1,23)+1)&amp;TEXT(BA$2+FLOOR((BA$2-1)/9,1),"000"),"")</f>
        <v>DF057</v>
      </c>
      <c r="BB77" s="25" t="str">
        <f>IF(INDEX('Shot Map'!$B$6:$V$26,CEILING($A77/5,1),CEILING(BB$2/5,1))=1,INDEX('Serial Reference'!$A$8:$W$8,1,FLOOR(($A77-1)/23,1)+1)&amp;INDEX('Serial Reference'!$A$8:$W$8,1,MOD($A77-1,23)+1)&amp;TEXT(BB$2+FLOOR((BB$2-1)/9,1),"000"),"")</f>
        <v>DF058</v>
      </c>
      <c r="BC77" s="25" t="str">
        <f>IF(INDEX('Shot Map'!$B$6:$V$26,CEILING($A77/5,1),CEILING(BC$2/5,1))=1,INDEX('Serial Reference'!$A$8:$W$8,1,FLOOR(($A77-1)/23,1)+1)&amp;INDEX('Serial Reference'!$A$8:$W$8,1,MOD($A77-1,23)+1)&amp;TEXT(BC$2+FLOOR((BC$2-1)/9,1),"000"),"")</f>
        <v>DF059</v>
      </c>
      <c r="BD77" s="26" t="str">
        <f>IF(INDEX('Shot Map'!$B$6:$V$26,CEILING($A77/5,1),CEILING(BD$2/5,1))=1,INDEX('Serial Reference'!$A$8:$W$8,1,FLOOR(($A77-1)/23,1)+1)&amp;INDEX('Serial Reference'!$A$8:$W$8,1,MOD($A77-1,23)+1)&amp;TEXT(BD$2+FLOOR((BD$2-1)/9,1),"000"),"")</f>
        <v>DF061</v>
      </c>
      <c r="BE77" s="24" t="str">
        <f>IF(INDEX('Shot Map'!$B$6:$V$26,CEILING($A77/5,1),CEILING(BE$2/5,1))=1,INDEX('Serial Reference'!$A$8:$W$8,1,FLOOR(($A77-1)/23,1)+1)&amp;INDEX('Serial Reference'!$A$8:$W$8,1,MOD($A77-1,23)+1)&amp;TEXT(BE$2+FLOOR((BE$2-1)/9,1),"000"),"")</f>
        <v>DF062</v>
      </c>
      <c r="BF77" s="25" t="str">
        <f>IF(INDEX('Shot Map'!$B$6:$V$26,CEILING($A77/5,1),CEILING(BF$2/5,1))=1,INDEX('Serial Reference'!$A$8:$W$8,1,FLOOR(($A77-1)/23,1)+1)&amp;INDEX('Serial Reference'!$A$8:$W$8,1,MOD($A77-1,23)+1)&amp;TEXT(BF$2+FLOOR((BF$2-1)/9,1),"000"),"")</f>
        <v>DF063</v>
      </c>
      <c r="BG77" s="25" t="str">
        <f>IF(INDEX('Shot Map'!$B$6:$V$26,CEILING($A77/5,1),CEILING(BG$2/5,1))=1,INDEX('Serial Reference'!$A$8:$W$8,1,FLOOR(($A77-1)/23,1)+1)&amp;INDEX('Serial Reference'!$A$8:$W$8,1,MOD($A77-1,23)+1)&amp;TEXT(BG$2+FLOOR((BG$2-1)/9,1),"000"),"")</f>
        <v>DF064</v>
      </c>
      <c r="BH77" s="25" t="str">
        <f>IF(INDEX('Shot Map'!$B$6:$V$26,CEILING($A77/5,1),CEILING(BH$2/5,1))=1,INDEX('Serial Reference'!$A$8:$W$8,1,FLOOR(($A77-1)/23,1)+1)&amp;INDEX('Serial Reference'!$A$8:$W$8,1,MOD($A77-1,23)+1)&amp;TEXT(BH$2+FLOOR((BH$2-1)/9,1),"000"),"")</f>
        <v>DF065</v>
      </c>
      <c r="BI77" s="26" t="str">
        <f>IF(INDEX('Shot Map'!$B$6:$V$26,CEILING($A77/5,1),CEILING(BI$2/5,1))=1,INDEX('Serial Reference'!$A$8:$W$8,1,FLOOR(($A77-1)/23,1)+1)&amp;INDEX('Serial Reference'!$A$8:$W$8,1,MOD($A77-1,23)+1)&amp;TEXT(BI$2+FLOOR((BI$2-1)/9,1),"000"),"")</f>
        <v>DF066</v>
      </c>
      <c r="BJ77" s="24" t="str">
        <f>IF(INDEX('Shot Map'!$B$6:$V$26,CEILING($A77/5,1),CEILING(BJ$2/5,1))=1,INDEX('Serial Reference'!$A$8:$W$8,1,FLOOR(($A77-1)/23,1)+1)&amp;INDEX('Serial Reference'!$A$8:$W$8,1,MOD($A77-1,23)+1)&amp;TEXT(BJ$2+FLOOR((BJ$2-1)/9,1),"000"),"")</f>
        <v>DF067</v>
      </c>
      <c r="BK77" s="25" t="str">
        <f>IF(INDEX('Shot Map'!$B$6:$V$26,CEILING($A77/5,1),CEILING(BK$2/5,1))=1,INDEX('Serial Reference'!$A$8:$W$8,1,FLOOR(($A77-1)/23,1)+1)&amp;INDEX('Serial Reference'!$A$8:$W$8,1,MOD($A77-1,23)+1)&amp;TEXT(BK$2+FLOOR((BK$2-1)/9,1),"000"),"")</f>
        <v>DF068</v>
      </c>
      <c r="BL77" s="25" t="str">
        <f>IF(INDEX('Shot Map'!$B$6:$V$26,CEILING($A77/5,1),CEILING(BL$2/5,1))=1,INDEX('Serial Reference'!$A$8:$W$8,1,FLOOR(($A77-1)/23,1)+1)&amp;INDEX('Serial Reference'!$A$8:$W$8,1,MOD($A77-1,23)+1)&amp;TEXT(BL$2+FLOOR((BL$2-1)/9,1),"000"),"")</f>
        <v>DF069</v>
      </c>
      <c r="BM77" s="25" t="str">
        <f>IF(INDEX('Shot Map'!$B$6:$V$26,CEILING($A77/5,1),CEILING(BM$2/5,1))=1,INDEX('Serial Reference'!$A$8:$W$8,1,FLOOR(($A77-1)/23,1)+1)&amp;INDEX('Serial Reference'!$A$8:$W$8,1,MOD($A77-1,23)+1)&amp;TEXT(BM$2+FLOOR((BM$2-1)/9,1),"000"),"")</f>
        <v>DF071</v>
      </c>
      <c r="BN77" s="26" t="str">
        <f>IF(INDEX('Shot Map'!$B$6:$V$26,CEILING($A77/5,1),CEILING(BN$2/5,1))=1,INDEX('Serial Reference'!$A$8:$W$8,1,FLOOR(($A77-1)/23,1)+1)&amp;INDEX('Serial Reference'!$A$8:$W$8,1,MOD($A77-1,23)+1)&amp;TEXT(BN$2+FLOOR((BN$2-1)/9,1),"000"),"")</f>
        <v>DF072</v>
      </c>
      <c r="BO77" s="24" t="str">
        <f>IF(INDEX('Shot Map'!$B$6:$V$26,CEILING($A77/5,1),CEILING(BO$2/5,1))=1,INDEX('Serial Reference'!$A$8:$W$8,1,FLOOR(($A77-1)/23,1)+1)&amp;INDEX('Serial Reference'!$A$8:$W$8,1,MOD($A77-1,23)+1)&amp;TEXT(BO$2+FLOOR((BO$2-1)/9,1),"000"),"")</f>
        <v>DF073</v>
      </c>
      <c r="BP77" s="25" t="str">
        <f>IF(INDEX('Shot Map'!$B$6:$V$26,CEILING($A77/5,1),CEILING(BP$2/5,1))=1,INDEX('Serial Reference'!$A$8:$W$8,1,FLOOR(($A77-1)/23,1)+1)&amp;INDEX('Serial Reference'!$A$8:$W$8,1,MOD($A77-1,23)+1)&amp;TEXT(BP$2+FLOOR((BP$2-1)/9,1),"000"),"")</f>
        <v>DF074</v>
      </c>
      <c r="BQ77" s="25" t="str">
        <f>IF(INDEX('Shot Map'!$B$6:$V$26,CEILING($A77/5,1),CEILING(BQ$2/5,1))=1,INDEX('Serial Reference'!$A$8:$W$8,1,FLOOR(($A77-1)/23,1)+1)&amp;INDEX('Serial Reference'!$A$8:$W$8,1,MOD($A77-1,23)+1)&amp;TEXT(BQ$2+FLOOR((BQ$2-1)/9,1),"000"),"")</f>
        <v>DF075</v>
      </c>
      <c r="BR77" s="25" t="str">
        <f>IF(INDEX('Shot Map'!$B$6:$V$26,CEILING($A77/5,1),CEILING(BR$2/5,1))=1,INDEX('Serial Reference'!$A$8:$W$8,1,FLOOR(($A77-1)/23,1)+1)&amp;INDEX('Serial Reference'!$A$8:$W$8,1,MOD($A77-1,23)+1)&amp;TEXT(BR$2+FLOOR((BR$2-1)/9,1),"000"),"")</f>
        <v>DF076</v>
      </c>
      <c r="BS77" s="26" t="str">
        <f>IF(INDEX('Shot Map'!$B$6:$V$26,CEILING($A77/5,1),CEILING(BS$2/5,1))=1,INDEX('Serial Reference'!$A$8:$W$8,1,FLOOR(($A77-1)/23,1)+1)&amp;INDEX('Serial Reference'!$A$8:$W$8,1,MOD($A77-1,23)+1)&amp;TEXT(BS$2+FLOOR((BS$2-1)/9,1),"000"),"")</f>
        <v>DF077</v>
      </c>
      <c r="BT77" s="24" t="str">
        <f>IF(INDEX('Shot Map'!$B$6:$V$26,CEILING($A77/5,1),CEILING(BT$2/5,1))=1,INDEX('Serial Reference'!$A$8:$W$8,1,FLOOR(($A77-1)/23,1)+1)&amp;INDEX('Serial Reference'!$A$8:$W$8,1,MOD($A77-1,23)+1)&amp;TEXT(BT$2+FLOOR((BT$2-1)/9,1),"000"),"")</f>
        <v>DF078</v>
      </c>
      <c r="BU77" s="25" t="str">
        <f>IF(INDEX('Shot Map'!$B$6:$V$26,CEILING($A77/5,1),CEILING(BU$2/5,1))=1,INDEX('Serial Reference'!$A$8:$W$8,1,FLOOR(($A77-1)/23,1)+1)&amp;INDEX('Serial Reference'!$A$8:$W$8,1,MOD($A77-1,23)+1)&amp;TEXT(BU$2+FLOOR((BU$2-1)/9,1),"000"),"")</f>
        <v>DF079</v>
      </c>
      <c r="BV77" s="25" t="str">
        <f>IF(INDEX('Shot Map'!$B$6:$V$26,CEILING($A77/5,1),CEILING(BV$2/5,1))=1,INDEX('Serial Reference'!$A$8:$W$8,1,FLOOR(($A77-1)/23,1)+1)&amp;INDEX('Serial Reference'!$A$8:$W$8,1,MOD($A77-1,23)+1)&amp;TEXT(BV$2+FLOOR((BV$2-1)/9,1),"000"),"")</f>
        <v>DF081</v>
      </c>
      <c r="BW77" s="25" t="str">
        <f>IF(INDEX('Shot Map'!$B$6:$V$26,CEILING($A77/5,1),CEILING(BW$2/5,1))=1,INDEX('Serial Reference'!$A$8:$W$8,1,FLOOR(($A77-1)/23,1)+1)&amp;INDEX('Serial Reference'!$A$8:$W$8,1,MOD($A77-1,23)+1)&amp;TEXT(BW$2+FLOOR((BW$2-1)/9,1),"000"),"")</f>
        <v>DF082</v>
      </c>
      <c r="BX77" s="26" t="str">
        <f>IF(INDEX('Shot Map'!$B$6:$V$26,CEILING($A77/5,1),CEILING(BX$2/5,1))=1,INDEX('Serial Reference'!$A$8:$W$8,1,FLOOR(($A77-1)/23,1)+1)&amp;INDEX('Serial Reference'!$A$8:$W$8,1,MOD($A77-1,23)+1)&amp;TEXT(BX$2+FLOOR((BX$2-1)/9,1),"000"),"")</f>
        <v>DF083</v>
      </c>
      <c r="BY77" s="24" t="str">
        <f>IF(INDEX('Shot Map'!$B$6:$V$26,CEILING($A77/5,1),CEILING(BY$2/5,1))=1,INDEX('Serial Reference'!$A$8:$W$8,1,FLOOR(($A77-1)/23,1)+1)&amp;INDEX('Serial Reference'!$A$8:$W$8,1,MOD($A77-1,23)+1)&amp;TEXT(BY$2+FLOOR((BY$2-1)/9,1),"000"),"")</f>
        <v>DF084</v>
      </c>
      <c r="BZ77" s="25" t="str">
        <f>IF(INDEX('Shot Map'!$B$6:$V$26,CEILING($A77/5,1),CEILING(BZ$2/5,1))=1,INDEX('Serial Reference'!$A$8:$W$8,1,FLOOR(($A77-1)/23,1)+1)&amp;INDEX('Serial Reference'!$A$8:$W$8,1,MOD($A77-1,23)+1)&amp;TEXT(BZ$2+FLOOR((BZ$2-1)/9,1),"000"),"")</f>
        <v>DF085</v>
      </c>
      <c r="CA77" s="25" t="str">
        <f>IF(INDEX('Shot Map'!$B$6:$V$26,CEILING($A77/5,1),CEILING(CA$2/5,1))=1,INDEX('Serial Reference'!$A$8:$W$8,1,FLOOR(($A77-1)/23,1)+1)&amp;INDEX('Serial Reference'!$A$8:$W$8,1,MOD($A77-1,23)+1)&amp;TEXT(CA$2+FLOOR((CA$2-1)/9,1),"000"),"")</f>
        <v>DF086</v>
      </c>
      <c r="CB77" s="25" t="str">
        <f>IF(INDEX('Shot Map'!$B$6:$V$26,CEILING($A77/5,1),CEILING(CB$2/5,1))=1,INDEX('Serial Reference'!$A$8:$W$8,1,FLOOR(($A77-1)/23,1)+1)&amp;INDEX('Serial Reference'!$A$8:$W$8,1,MOD($A77-1,23)+1)&amp;TEXT(CB$2+FLOOR((CB$2-1)/9,1),"000"),"")</f>
        <v>DF087</v>
      </c>
      <c r="CC77" s="26" t="str">
        <f>IF(INDEX('Shot Map'!$B$6:$V$26,CEILING($A77/5,1),CEILING(CC$2/5,1))=1,INDEX('Serial Reference'!$A$8:$W$8,1,FLOOR(($A77-1)/23,1)+1)&amp;INDEX('Serial Reference'!$A$8:$W$8,1,MOD($A77-1,23)+1)&amp;TEXT(CC$2+FLOOR((CC$2-1)/9,1),"000"),"")</f>
        <v>DF088</v>
      </c>
      <c r="CD77" s="24" t="str">
        <f>IF(INDEX('Shot Map'!$B$6:$V$26,CEILING($A77/5,1),CEILING(CD$2/5,1))=1,INDEX('Serial Reference'!$A$8:$W$8,1,FLOOR(($A77-1)/23,1)+1)&amp;INDEX('Serial Reference'!$A$8:$W$8,1,MOD($A77-1,23)+1)&amp;TEXT(CD$2+FLOOR((CD$2-1)/9,1),"000"),"")</f>
        <v>DF089</v>
      </c>
      <c r="CE77" s="25" t="str">
        <f>IF(INDEX('Shot Map'!$B$6:$V$26,CEILING($A77/5,1),CEILING(CE$2/5,1))=1,INDEX('Serial Reference'!$A$8:$W$8,1,FLOOR(($A77-1)/23,1)+1)&amp;INDEX('Serial Reference'!$A$8:$W$8,1,MOD($A77-1,23)+1)&amp;TEXT(CE$2+FLOOR((CE$2-1)/9,1),"000"),"")</f>
        <v>DF091</v>
      </c>
      <c r="CF77" s="25" t="str">
        <f>IF(INDEX('Shot Map'!$B$6:$V$26,CEILING($A77/5,1),CEILING(CF$2/5,1))=1,INDEX('Serial Reference'!$A$8:$W$8,1,FLOOR(($A77-1)/23,1)+1)&amp;INDEX('Serial Reference'!$A$8:$W$8,1,MOD($A77-1,23)+1)&amp;TEXT(CF$2+FLOOR((CF$2-1)/9,1),"000"),"")</f>
        <v>DF092</v>
      </c>
      <c r="CG77" s="25" t="str">
        <f>IF(INDEX('Shot Map'!$B$6:$V$26,CEILING($A77/5,1),CEILING(CG$2/5,1))=1,INDEX('Serial Reference'!$A$8:$W$8,1,FLOOR(($A77-1)/23,1)+1)&amp;INDEX('Serial Reference'!$A$8:$W$8,1,MOD($A77-1,23)+1)&amp;TEXT(CG$2+FLOOR((CG$2-1)/9,1),"000"),"")</f>
        <v>DF093</v>
      </c>
      <c r="CH77" s="26" t="str">
        <f>IF(INDEX('Shot Map'!$B$6:$V$26,CEILING($A77/5,1),CEILING(CH$2/5,1))=1,INDEX('Serial Reference'!$A$8:$W$8,1,FLOOR(($A77-1)/23,1)+1)&amp;INDEX('Serial Reference'!$A$8:$W$8,1,MOD($A77-1,23)+1)&amp;TEXT(CH$2+FLOOR((CH$2-1)/9,1),"000"),"")</f>
        <v>DF094</v>
      </c>
      <c r="CI77" s="24" t="str">
        <f>IF(INDEX('Shot Map'!$B$6:$V$26,CEILING($A77/5,1),CEILING(CI$2/5,1))=1,INDEX('Serial Reference'!$A$8:$W$8,1,FLOOR(($A77-1)/23,1)+1)&amp;INDEX('Serial Reference'!$A$8:$W$8,1,MOD($A77-1,23)+1)&amp;TEXT(CI$2+FLOOR((CI$2-1)/9,1),"000"),"")</f>
        <v>DF095</v>
      </c>
      <c r="CJ77" s="25" t="str">
        <f>IF(INDEX('Shot Map'!$B$6:$V$26,CEILING($A77/5,1),CEILING(CJ$2/5,1))=1,INDEX('Serial Reference'!$A$8:$W$8,1,FLOOR(($A77-1)/23,1)+1)&amp;INDEX('Serial Reference'!$A$8:$W$8,1,MOD($A77-1,23)+1)&amp;TEXT(CJ$2+FLOOR((CJ$2-1)/9,1),"000"),"")</f>
        <v>DF096</v>
      </c>
      <c r="CK77" s="25" t="str">
        <f>IF(INDEX('Shot Map'!$B$6:$V$26,CEILING($A77/5,1),CEILING(CK$2/5,1))=1,INDEX('Serial Reference'!$A$8:$W$8,1,FLOOR(($A77-1)/23,1)+1)&amp;INDEX('Serial Reference'!$A$8:$W$8,1,MOD($A77-1,23)+1)&amp;TEXT(CK$2+FLOOR((CK$2-1)/9,1),"000"),"")</f>
        <v>DF097</v>
      </c>
      <c r="CL77" s="25" t="str">
        <f>IF(INDEX('Shot Map'!$B$6:$V$26,CEILING($A77/5,1),CEILING(CL$2/5,1))=1,INDEX('Serial Reference'!$A$8:$W$8,1,FLOOR(($A77-1)/23,1)+1)&amp;INDEX('Serial Reference'!$A$8:$W$8,1,MOD($A77-1,23)+1)&amp;TEXT(CL$2+FLOOR((CL$2-1)/9,1),"000"),"")</f>
        <v>DF098</v>
      </c>
      <c r="CM77" s="26" t="str">
        <f>IF(INDEX('Shot Map'!$B$6:$V$26,CEILING($A77/5,1),CEILING(CM$2/5,1))=1,INDEX('Serial Reference'!$A$8:$W$8,1,FLOOR(($A77-1)/23,1)+1)&amp;INDEX('Serial Reference'!$A$8:$W$8,1,MOD($A77-1,23)+1)&amp;TEXT(CM$2+FLOOR((CM$2-1)/9,1),"000"),"")</f>
        <v>DF099</v>
      </c>
      <c r="CN77" s="24" t="str">
        <f>IF(INDEX('Shot Map'!$B$6:$V$26,CEILING($A77/5,1),CEILING(CN$2/5,1))=1,INDEX('Serial Reference'!$A$8:$W$8,1,FLOOR(($A77-1)/23,1)+1)&amp;INDEX('Serial Reference'!$A$8:$W$8,1,MOD($A77-1,23)+1)&amp;TEXT(CN$2+FLOOR((CN$2-1)/9,1),"000"),"")</f>
        <v>DF101</v>
      </c>
      <c r="CO77" s="25" t="str">
        <f>IF(INDEX('Shot Map'!$B$6:$V$26,CEILING($A77/5,1),CEILING(CO$2/5,1))=1,INDEX('Serial Reference'!$A$8:$W$8,1,FLOOR(($A77-1)/23,1)+1)&amp;INDEX('Serial Reference'!$A$8:$W$8,1,MOD($A77-1,23)+1)&amp;TEXT(CO$2+FLOOR((CO$2-1)/9,1),"000"),"")</f>
        <v>DF102</v>
      </c>
      <c r="CP77" s="25" t="str">
        <f>IF(INDEX('Shot Map'!$B$6:$V$26,CEILING($A77/5,1),CEILING(CP$2/5,1))=1,INDEX('Serial Reference'!$A$8:$W$8,1,FLOOR(($A77-1)/23,1)+1)&amp;INDEX('Serial Reference'!$A$8:$W$8,1,MOD($A77-1,23)+1)&amp;TEXT(CP$2+FLOOR((CP$2-1)/9,1),"000"),"")</f>
        <v>DF103</v>
      </c>
      <c r="CQ77" s="25" t="str">
        <f>IF(INDEX('Shot Map'!$B$6:$V$26,CEILING($A77/5,1),CEILING(CQ$2/5,1))=1,INDEX('Serial Reference'!$A$8:$W$8,1,FLOOR(($A77-1)/23,1)+1)&amp;INDEX('Serial Reference'!$A$8:$W$8,1,MOD($A77-1,23)+1)&amp;TEXT(CQ$2+FLOOR((CQ$2-1)/9,1),"000"),"")</f>
        <v>DF104</v>
      </c>
      <c r="CR77" s="26" t="str">
        <f>IF(INDEX('Shot Map'!$B$6:$V$26,CEILING($A77/5,1),CEILING(CR$2/5,1))=1,INDEX('Serial Reference'!$A$8:$W$8,1,FLOOR(($A77-1)/23,1)+1)&amp;INDEX('Serial Reference'!$A$8:$W$8,1,MOD($A77-1,23)+1)&amp;TEXT(CR$2+FLOOR((CR$2-1)/9,1),"000"),"")</f>
        <v>DF105</v>
      </c>
      <c r="CS77" s="24" t="str">
        <f>IF(INDEX('Shot Map'!$B$6:$V$26,CEILING($A77/5,1),CEILING(CS$2/5,1))=1,INDEX('Serial Reference'!$A$8:$W$8,1,FLOOR(($A77-1)/23,1)+1)&amp;INDEX('Serial Reference'!$A$8:$W$8,1,MOD($A77-1,23)+1)&amp;TEXT(CS$2+FLOOR((CS$2-1)/9,1),"000"),"")</f>
        <v>DF106</v>
      </c>
      <c r="CT77" s="25" t="str">
        <f>IF(INDEX('Shot Map'!$B$6:$V$26,CEILING($A77/5,1),CEILING(CT$2/5,1))=1,INDEX('Serial Reference'!$A$8:$W$8,1,FLOOR(($A77-1)/23,1)+1)&amp;INDEX('Serial Reference'!$A$8:$W$8,1,MOD($A77-1,23)+1)&amp;TEXT(CT$2+FLOOR((CT$2-1)/9,1),"000"),"")</f>
        <v>DF107</v>
      </c>
      <c r="CU77" s="25" t="str">
        <f>IF(INDEX('Shot Map'!$B$6:$V$26,CEILING($A77/5,1),CEILING(CU$2/5,1))=1,INDEX('Serial Reference'!$A$8:$W$8,1,FLOOR(($A77-1)/23,1)+1)&amp;INDEX('Serial Reference'!$A$8:$W$8,1,MOD($A77-1,23)+1)&amp;TEXT(CU$2+FLOOR((CU$2-1)/9,1),"000"),"")</f>
        <v>DF108</v>
      </c>
      <c r="CV77" s="25" t="str">
        <f>IF(INDEX('Shot Map'!$B$6:$V$26,CEILING($A77/5,1),CEILING(CV$2/5,1))=1,INDEX('Serial Reference'!$A$8:$W$8,1,FLOOR(($A77-1)/23,1)+1)&amp;INDEX('Serial Reference'!$A$8:$W$8,1,MOD($A77-1,23)+1)&amp;TEXT(CV$2+FLOOR((CV$2-1)/9,1),"000"),"")</f>
        <v>DF109</v>
      </c>
      <c r="CW77" s="26" t="str">
        <f>IF(INDEX('Shot Map'!$B$6:$V$26,CEILING($A77/5,1),CEILING(CW$2/5,1))=1,INDEX('Serial Reference'!$A$8:$W$8,1,FLOOR(($A77-1)/23,1)+1)&amp;INDEX('Serial Reference'!$A$8:$W$8,1,MOD($A77-1,23)+1)&amp;TEXT(CW$2+FLOOR((CW$2-1)/9,1),"000"),"")</f>
        <v>DF111</v>
      </c>
      <c r="CX77" s="24" t="str">
        <f>IF(INDEX('Shot Map'!$B$6:$V$26,CEILING($A77/5,1),CEILING(CX$2/5,1))=1,INDEX('Serial Reference'!$A$8:$W$8,1,FLOOR(($A77-1)/23,1)+1)&amp;INDEX('Serial Reference'!$A$8:$W$8,1,MOD($A77-1,23)+1)&amp;TEXT(CX$2+FLOOR((CX$2-1)/9,1),"000"),"")</f>
        <v/>
      </c>
      <c r="CY77" s="25" t="str">
        <f>IF(INDEX('Shot Map'!$B$6:$V$26,CEILING($A77/5,1),CEILING(CY$2/5,1))=1,INDEX('Serial Reference'!$A$8:$W$8,1,FLOOR(($A77-1)/23,1)+1)&amp;INDEX('Serial Reference'!$A$8:$W$8,1,MOD($A77-1,23)+1)&amp;TEXT(CY$2+FLOOR((CY$2-1)/9,1),"000"),"")</f>
        <v/>
      </c>
      <c r="CZ77" s="25" t="str">
        <f>IF(INDEX('Shot Map'!$B$6:$V$26,CEILING($A77/5,1),CEILING(CZ$2/5,1))=1,INDEX('Serial Reference'!$A$8:$W$8,1,FLOOR(($A77-1)/23,1)+1)&amp;INDEX('Serial Reference'!$A$8:$W$8,1,MOD($A77-1,23)+1)&amp;TEXT(CZ$2+FLOOR((CZ$2-1)/9,1),"000"),"")</f>
        <v/>
      </c>
      <c r="DA77" s="25" t="str">
        <f>IF(INDEX('Shot Map'!$B$6:$V$26,CEILING($A77/5,1),CEILING(DA$2/5,1))=1,INDEX('Serial Reference'!$A$8:$W$8,1,FLOOR(($A77-1)/23,1)+1)&amp;INDEX('Serial Reference'!$A$8:$W$8,1,MOD($A77-1,23)+1)&amp;TEXT(DA$2+FLOOR((DA$2-1)/9,1),"000"),"")</f>
        <v/>
      </c>
      <c r="DB77" s="26" t="str">
        <f>IF(INDEX('Shot Map'!$B$6:$V$26,CEILING($A77/5,1),CEILING(DB$2/5,1))=1,INDEX('Serial Reference'!$A$8:$W$8,1,FLOOR(($A77-1)/23,1)+1)&amp;INDEX('Serial Reference'!$A$8:$W$8,1,MOD($A77-1,23)+1)&amp;TEXT(DB$2+FLOOR((DB$2-1)/9,1),"000"),"")</f>
        <v/>
      </c>
    </row>
    <row r="78" spans="1:106" ht="12.75" customHeight="1" x14ac:dyDescent="0.25">
      <c r="A78" s="17">
        <v>76</v>
      </c>
      <c r="B78" s="18" t="str">
        <f>IF(INDEX('Shot Map'!$B$6:$V$26,CEILING($A78/5,1),CEILING(B$2/5,1))=1,INDEX('Serial Reference'!$A$8:$W$8,1,FLOOR(($A78-1)/23,1)+1)&amp;INDEX('Serial Reference'!$A$8:$W$8,1,MOD($A78-1,23)+1)&amp;TEXT(B$2+FLOOR((B$2-1)/9,1),"000"),"")</f>
        <v/>
      </c>
      <c r="C78" s="19" t="str">
        <f>IF(INDEX('Shot Map'!$B$6:$V$26,CEILING($A78/5,1),CEILING(C$2/5,1))=1,INDEX('Serial Reference'!$A$8:$W$8,1,FLOOR(($A78-1)/23,1)+1)&amp;INDEX('Serial Reference'!$A$8:$W$8,1,MOD($A78-1,23)+1)&amp;TEXT(C$2+FLOOR((C$2-1)/9,1),"000"),"")</f>
        <v/>
      </c>
      <c r="D78" s="19" t="str">
        <f>IF(INDEX('Shot Map'!$B$6:$V$26,CEILING($A78/5,1),CEILING(D$2/5,1))=1,INDEX('Serial Reference'!$A$8:$W$8,1,FLOOR(($A78-1)/23,1)+1)&amp;INDEX('Serial Reference'!$A$8:$W$8,1,MOD($A78-1,23)+1)&amp;TEXT(D$2+FLOOR((D$2-1)/9,1),"000"),"")</f>
        <v/>
      </c>
      <c r="E78" s="19" t="str">
        <f>IF(INDEX('Shot Map'!$B$6:$V$26,CEILING($A78/5,1),CEILING(E$2/5,1))=1,INDEX('Serial Reference'!$A$8:$W$8,1,FLOOR(($A78-1)/23,1)+1)&amp;INDEX('Serial Reference'!$A$8:$W$8,1,MOD($A78-1,23)+1)&amp;TEXT(E$2+FLOOR((E$2-1)/9,1),"000"),"")</f>
        <v/>
      </c>
      <c r="F78" s="20" t="str">
        <f>IF(INDEX('Shot Map'!$B$6:$V$26,CEILING($A78/5,1),CEILING(F$2/5,1))=1,INDEX('Serial Reference'!$A$8:$W$8,1,FLOOR(($A78-1)/23,1)+1)&amp;INDEX('Serial Reference'!$A$8:$W$8,1,MOD($A78-1,23)+1)&amp;TEXT(F$2+FLOOR((F$2-1)/9,1),"000"),"")</f>
        <v/>
      </c>
      <c r="G78" s="18" t="str">
        <f>IF(INDEX('Shot Map'!$B$6:$V$26,CEILING($A78/5,1),CEILING(G$2/5,1))=1,INDEX('Serial Reference'!$A$8:$W$8,1,FLOOR(($A78-1)/23,1)+1)&amp;INDEX('Serial Reference'!$A$8:$W$8,1,MOD($A78-1,23)+1)&amp;TEXT(G$2+FLOOR((G$2-1)/9,1),"000"),"")</f>
        <v/>
      </c>
      <c r="H78" s="19" t="str">
        <f>IF(INDEX('Shot Map'!$B$6:$V$26,CEILING($A78/5,1),CEILING(H$2/5,1))=1,INDEX('Serial Reference'!$A$8:$W$8,1,FLOOR(($A78-1)/23,1)+1)&amp;INDEX('Serial Reference'!$A$8:$W$8,1,MOD($A78-1,23)+1)&amp;TEXT(H$2+FLOOR((H$2-1)/9,1),"000"),"")</f>
        <v/>
      </c>
      <c r="I78" s="19" t="str">
        <f>IF(INDEX('Shot Map'!$B$6:$V$26,CEILING($A78/5,1),CEILING(I$2/5,1))=1,INDEX('Serial Reference'!$A$8:$W$8,1,FLOOR(($A78-1)/23,1)+1)&amp;INDEX('Serial Reference'!$A$8:$W$8,1,MOD($A78-1,23)+1)&amp;TEXT(I$2+FLOOR((I$2-1)/9,1),"000"),"")</f>
        <v/>
      </c>
      <c r="J78" s="19" t="str">
        <f>IF(INDEX('Shot Map'!$B$6:$V$26,CEILING($A78/5,1),CEILING(J$2/5,1))=1,INDEX('Serial Reference'!$A$8:$W$8,1,FLOOR(($A78-1)/23,1)+1)&amp;INDEX('Serial Reference'!$A$8:$W$8,1,MOD($A78-1,23)+1)&amp;TEXT(J$2+FLOOR((J$2-1)/9,1),"000"),"")</f>
        <v/>
      </c>
      <c r="K78" s="20" t="str">
        <f>IF(INDEX('Shot Map'!$B$6:$V$26,CEILING($A78/5,1),CEILING(K$2/5,1))=1,INDEX('Serial Reference'!$A$8:$W$8,1,FLOOR(($A78-1)/23,1)+1)&amp;INDEX('Serial Reference'!$A$8:$W$8,1,MOD($A78-1,23)+1)&amp;TEXT(K$2+FLOOR((K$2-1)/9,1),"000"),"")</f>
        <v/>
      </c>
      <c r="L78" s="18" t="str">
        <f>IF(INDEX('Shot Map'!$B$6:$V$26,CEILING($A78/5,1),CEILING(L$2/5,1))=1,INDEX('Serial Reference'!$A$8:$W$8,1,FLOOR(($A78-1)/23,1)+1)&amp;INDEX('Serial Reference'!$A$8:$W$8,1,MOD($A78-1,23)+1)&amp;TEXT(L$2+FLOOR((L$2-1)/9,1),"000"),"")</f>
        <v>DG012</v>
      </c>
      <c r="M78" s="19" t="str">
        <f>IF(INDEX('Shot Map'!$B$6:$V$26,CEILING($A78/5,1),CEILING(M$2/5,1))=1,INDEX('Serial Reference'!$A$8:$W$8,1,FLOOR(($A78-1)/23,1)+1)&amp;INDEX('Serial Reference'!$A$8:$W$8,1,MOD($A78-1,23)+1)&amp;TEXT(M$2+FLOOR((M$2-1)/9,1),"000"),"")</f>
        <v>DG013</v>
      </c>
      <c r="N78" s="19" t="str">
        <f>IF(INDEX('Shot Map'!$B$6:$V$26,CEILING($A78/5,1),CEILING(N$2/5,1))=1,INDEX('Serial Reference'!$A$8:$W$8,1,FLOOR(($A78-1)/23,1)+1)&amp;INDEX('Serial Reference'!$A$8:$W$8,1,MOD($A78-1,23)+1)&amp;TEXT(N$2+FLOOR((N$2-1)/9,1),"000"),"")</f>
        <v>DG014</v>
      </c>
      <c r="O78" s="19" t="str">
        <f>IF(INDEX('Shot Map'!$B$6:$V$26,CEILING($A78/5,1),CEILING(O$2/5,1))=1,INDEX('Serial Reference'!$A$8:$W$8,1,FLOOR(($A78-1)/23,1)+1)&amp;INDEX('Serial Reference'!$A$8:$W$8,1,MOD($A78-1,23)+1)&amp;TEXT(O$2+FLOOR((O$2-1)/9,1),"000"),"")</f>
        <v>DG015</v>
      </c>
      <c r="P78" s="20" t="str">
        <f>IF(INDEX('Shot Map'!$B$6:$V$26,CEILING($A78/5,1),CEILING(P$2/5,1))=1,INDEX('Serial Reference'!$A$8:$W$8,1,FLOOR(($A78-1)/23,1)+1)&amp;INDEX('Serial Reference'!$A$8:$W$8,1,MOD($A78-1,23)+1)&amp;TEXT(P$2+FLOOR((P$2-1)/9,1),"000"),"")</f>
        <v>DG016</v>
      </c>
      <c r="Q78" s="18" t="str">
        <f>IF(INDEX('Shot Map'!$B$6:$V$26,CEILING($A78/5,1),CEILING(Q$2/5,1))=1,INDEX('Serial Reference'!$A$8:$W$8,1,FLOOR(($A78-1)/23,1)+1)&amp;INDEX('Serial Reference'!$A$8:$W$8,1,MOD($A78-1,23)+1)&amp;TEXT(Q$2+FLOOR((Q$2-1)/9,1),"000"),"")</f>
        <v>DG017</v>
      </c>
      <c r="R78" s="19" t="str">
        <f>IF(INDEX('Shot Map'!$B$6:$V$26,CEILING($A78/5,1),CEILING(R$2/5,1))=1,INDEX('Serial Reference'!$A$8:$W$8,1,FLOOR(($A78-1)/23,1)+1)&amp;INDEX('Serial Reference'!$A$8:$W$8,1,MOD($A78-1,23)+1)&amp;TEXT(R$2+FLOOR((R$2-1)/9,1),"000"),"")</f>
        <v>DG018</v>
      </c>
      <c r="S78" s="19" t="str">
        <f>IF(INDEX('Shot Map'!$B$6:$V$26,CEILING($A78/5,1),CEILING(S$2/5,1))=1,INDEX('Serial Reference'!$A$8:$W$8,1,FLOOR(($A78-1)/23,1)+1)&amp;INDEX('Serial Reference'!$A$8:$W$8,1,MOD($A78-1,23)+1)&amp;TEXT(S$2+FLOOR((S$2-1)/9,1),"000"),"")</f>
        <v>DG019</v>
      </c>
      <c r="T78" s="19" t="str">
        <f>IF(INDEX('Shot Map'!$B$6:$V$26,CEILING($A78/5,1),CEILING(T$2/5,1))=1,INDEX('Serial Reference'!$A$8:$W$8,1,FLOOR(($A78-1)/23,1)+1)&amp;INDEX('Serial Reference'!$A$8:$W$8,1,MOD($A78-1,23)+1)&amp;TEXT(T$2+FLOOR((T$2-1)/9,1),"000"),"")</f>
        <v>DG021</v>
      </c>
      <c r="U78" s="20" t="str">
        <f>IF(INDEX('Shot Map'!$B$6:$V$26,CEILING($A78/5,1),CEILING(U$2/5,1))=1,INDEX('Serial Reference'!$A$8:$W$8,1,FLOOR(($A78-1)/23,1)+1)&amp;INDEX('Serial Reference'!$A$8:$W$8,1,MOD($A78-1,23)+1)&amp;TEXT(U$2+FLOOR((U$2-1)/9,1),"000"),"")</f>
        <v>DG022</v>
      </c>
      <c r="V78" s="18" t="str">
        <f>IF(INDEX('Shot Map'!$B$6:$V$26,CEILING($A78/5,1),CEILING(V$2/5,1))=1,INDEX('Serial Reference'!$A$8:$W$8,1,FLOOR(($A78-1)/23,1)+1)&amp;INDEX('Serial Reference'!$A$8:$W$8,1,MOD($A78-1,23)+1)&amp;TEXT(V$2+FLOOR((V$2-1)/9,1),"000"),"")</f>
        <v>DG023</v>
      </c>
      <c r="W78" s="19" t="str">
        <f>IF(INDEX('Shot Map'!$B$6:$V$26,CEILING($A78/5,1),CEILING(W$2/5,1))=1,INDEX('Serial Reference'!$A$8:$W$8,1,FLOOR(($A78-1)/23,1)+1)&amp;INDEX('Serial Reference'!$A$8:$W$8,1,MOD($A78-1,23)+1)&amp;TEXT(W$2+FLOOR((W$2-1)/9,1),"000"),"")</f>
        <v>DG024</v>
      </c>
      <c r="X78" s="19" t="str">
        <f>IF(INDEX('Shot Map'!$B$6:$V$26,CEILING($A78/5,1),CEILING(X$2/5,1))=1,INDEX('Serial Reference'!$A$8:$W$8,1,FLOOR(($A78-1)/23,1)+1)&amp;INDEX('Serial Reference'!$A$8:$W$8,1,MOD($A78-1,23)+1)&amp;TEXT(X$2+FLOOR((X$2-1)/9,1),"000"),"")</f>
        <v>DG025</v>
      </c>
      <c r="Y78" s="19" t="str">
        <f>IF(INDEX('Shot Map'!$B$6:$V$26,CEILING($A78/5,1),CEILING(Y$2/5,1))=1,INDEX('Serial Reference'!$A$8:$W$8,1,FLOOR(($A78-1)/23,1)+1)&amp;INDEX('Serial Reference'!$A$8:$W$8,1,MOD($A78-1,23)+1)&amp;TEXT(Y$2+FLOOR((Y$2-1)/9,1),"000"),"")</f>
        <v>DG026</v>
      </c>
      <c r="Z78" s="20" t="str">
        <f>IF(INDEX('Shot Map'!$B$6:$V$26,CEILING($A78/5,1),CEILING(Z$2/5,1))=1,INDEX('Serial Reference'!$A$8:$W$8,1,FLOOR(($A78-1)/23,1)+1)&amp;INDEX('Serial Reference'!$A$8:$W$8,1,MOD($A78-1,23)+1)&amp;TEXT(Z$2+FLOOR((Z$2-1)/9,1),"000"),"")</f>
        <v>DG027</v>
      </c>
      <c r="AA78" s="18" t="str">
        <f>IF(INDEX('Shot Map'!$B$6:$V$26,CEILING($A78/5,1),CEILING(AA$2/5,1))=1,INDEX('Serial Reference'!$A$8:$W$8,1,FLOOR(($A78-1)/23,1)+1)&amp;INDEX('Serial Reference'!$A$8:$W$8,1,MOD($A78-1,23)+1)&amp;TEXT(AA$2+FLOOR((AA$2-1)/9,1),"000"),"")</f>
        <v>DG028</v>
      </c>
      <c r="AB78" s="19" t="str">
        <f>IF(INDEX('Shot Map'!$B$6:$V$26,CEILING($A78/5,1),CEILING(AB$2/5,1))=1,INDEX('Serial Reference'!$A$8:$W$8,1,FLOOR(($A78-1)/23,1)+1)&amp;INDEX('Serial Reference'!$A$8:$W$8,1,MOD($A78-1,23)+1)&amp;TEXT(AB$2+FLOOR((AB$2-1)/9,1),"000"),"")</f>
        <v>DG029</v>
      </c>
      <c r="AC78" s="19" t="str">
        <f>IF(INDEX('Shot Map'!$B$6:$V$26,CEILING($A78/5,1),CEILING(AC$2/5,1))=1,INDEX('Serial Reference'!$A$8:$W$8,1,FLOOR(($A78-1)/23,1)+1)&amp;INDEX('Serial Reference'!$A$8:$W$8,1,MOD($A78-1,23)+1)&amp;TEXT(AC$2+FLOOR((AC$2-1)/9,1),"000"),"")</f>
        <v>DG031</v>
      </c>
      <c r="AD78" s="19" t="str">
        <f>IF(INDEX('Shot Map'!$B$6:$V$26,CEILING($A78/5,1),CEILING(AD$2/5,1))=1,INDEX('Serial Reference'!$A$8:$W$8,1,FLOOR(($A78-1)/23,1)+1)&amp;INDEX('Serial Reference'!$A$8:$W$8,1,MOD($A78-1,23)+1)&amp;TEXT(AD$2+FLOOR((AD$2-1)/9,1),"000"),"")</f>
        <v>DG032</v>
      </c>
      <c r="AE78" s="20" t="str">
        <f>IF(INDEX('Shot Map'!$B$6:$V$26,CEILING($A78/5,1),CEILING(AE$2/5,1))=1,INDEX('Serial Reference'!$A$8:$W$8,1,FLOOR(($A78-1)/23,1)+1)&amp;INDEX('Serial Reference'!$A$8:$W$8,1,MOD($A78-1,23)+1)&amp;TEXT(AE$2+FLOOR((AE$2-1)/9,1),"000"),"")</f>
        <v>DG033</v>
      </c>
      <c r="AF78" s="18" t="str">
        <f>IF(INDEX('Shot Map'!$B$6:$V$26,CEILING($A78/5,1),CEILING(AF$2/5,1))=1,INDEX('Serial Reference'!$A$8:$W$8,1,FLOOR(($A78-1)/23,1)+1)&amp;INDEX('Serial Reference'!$A$8:$W$8,1,MOD($A78-1,23)+1)&amp;TEXT(AF$2+FLOOR((AF$2-1)/9,1),"000"),"")</f>
        <v>DG034</v>
      </c>
      <c r="AG78" s="19" t="str">
        <f>IF(INDEX('Shot Map'!$B$6:$V$26,CEILING($A78/5,1),CEILING(AG$2/5,1))=1,INDEX('Serial Reference'!$A$8:$W$8,1,FLOOR(($A78-1)/23,1)+1)&amp;INDEX('Serial Reference'!$A$8:$W$8,1,MOD($A78-1,23)+1)&amp;TEXT(AG$2+FLOOR((AG$2-1)/9,1),"000"),"")</f>
        <v>DG035</v>
      </c>
      <c r="AH78" s="19" t="str">
        <f>IF(INDEX('Shot Map'!$B$6:$V$26,CEILING($A78/5,1),CEILING(AH$2/5,1))=1,INDEX('Serial Reference'!$A$8:$W$8,1,FLOOR(($A78-1)/23,1)+1)&amp;INDEX('Serial Reference'!$A$8:$W$8,1,MOD($A78-1,23)+1)&amp;TEXT(AH$2+FLOOR((AH$2-1)/9,1),"000"),"")</f>
        <v>DG036</v>
      </c>
      <c r="AI78" s="19" t="str">
        <f>IF(INDEX('Shot Map'!$B$6:$V$26,CEILING($A78/5,1),CEILING(AI$2/5,1))=1,INDEX('Serial Reference'!$A$8:$W$8,1,FLOOR(($A78-1)/23,1)+1)&amp;INDEX('Serial Reference'!$A$8:$W$8,1,MOD($A78-1,23)+1)&amp;TEXT(AI$2+FLOOR((AI$2-1)/9,1),"000"),"")</f>
        <v>DG037</v>
      </c>
      <c r="AJ78" s="20" t="str">
        <f>IF(INDEX('Shot Map'!$B$6:$V$26,CEILING($A78/5,1),CEILING(AJ$2/5,1))=1,INDEX('Serial Reference'!$A$8:$W$8,1,FLOOR(($A78-1)/23,1)+1)&amp;INDEX('Serial Reference'!$A$8:$W$8,1,MOD($A78-1,23)+1)&amp;TEXT(AJ$2+FLOOR((AJ$2-1)/9,1),"000"),"")</f>
        <v>DG038</v>
      </c>
      <c r="AK78" s="18" t="str">
        <f>IF(INDEX('Shot Map'!$B$6:$V$26,CEILING($A78/5,1),CEILING(AK$2/5,1))=1,INDEX('Serial Reference'!$A$8:$W$8,1,FLOOR(($A78-1)/23,1)+1)&amp;INDEX('Serial Reference'!$A$8:$W$8,1,MOD($A78-1,23)+1)&amp;TEXT(AK$2+FLOOR((AK$2-1)/9,1),"000"),"")</f>
        <v>DG039</v>
      </c>
      <c r="AL78" s="19" t="str">
        <f>IF(INDEX('Shot Map'!$B$6:$V$26,CEILING($A78/5,1),CEILING(AL$2/5,1))=1,INDEX('Serial Reference'!$A$8:$W$8,1,FLOOR(($A78-1)/23,1)+1)&amp;INDEX('Serial Reference'!$A$8:$W$8,1,MOD($A78-1,23)+1)&amp;TEXT(AL$2+FLOOR((AL$2-1)/9,1),"000"),"")</f>
        <v>DG041</v>
      </c>
      <c r="AM78" s="19" t="str">
        <f>IF(INDEX('Shot Map'!$B$6:$V$26,CEILING($A78/5,1),CEILING(AM$2/5,1))=1,INDEX('Serial Reference'!$A$8:$W$8,1,FLOOR(($A78-1)/23,1)+1)&amp;INDEX('Serial Reference'!$A$8:$W$8,1,MOD($A78-1,23)+1)&amp;TEXT(AM$2+FLOOR((AM$2-1)/9,1),"000"),"")</f>
        <v>DG042</v>
      </c>
      <c r="AN78" s="19" t="str">
        <f>IF(INDEX('Shot Map'!$B$6:$V$26,CEILING($A78/5,1),CEILING(AN$2/5,1))=1,INDEX('Serial Reference'!$A$8:$W$8,1,FLOOR(($A78-1)/23,1)+1)&amp;INDEX('Serial Reference'!$A$8:$W$8,1,MOD($A78-1,23)+1)&amp;TEXT(AN$2+FLOOR((AN$2-1)/9,1),"000"),"")</f>
        <v>DG043</v>
      </c>
      <c r="AO78" s="20" t="str">
        <f>IF(INDEX('Shot Map'!$B$6:$V$26,CEILING($A78/5,1),CEILING(AO$2/5,1))=1,INDEX('Serial Reference'!$A$8:$W$8,1,FLOOR(($A78-1)/23,1)+1)&amp;INDEX('Serial Reference'!$A$8:$W$8,1,MOD($A78-1,23)+1)&amp;TEXT(AO$2+FLOOR((AO$2-1)/9,1),"000"),"")</f>
        <v>DG044</v>
      </c>
      <c r="AP78" s="18" t="str">
        <f>IF(INDEX('Shot Map'!$B$6:$V$26,CEILING($A78/5,1),CEILING(AP$2/5,1))=1,INDEX('Serial Reference'!$A$8:$W$8,1,FLOOR(($A78-1)/23,1)+1)&amp;INDEX('Serial Reference'!$A$8:$W$8,1,MOD($A78-1,23)+1)&amp;TEXT(AP$2+FLOOR((AP$2-1)/9,1),"000"),"")</f>
        <v>DG045</v>
      </c>
      <c r="AQ78" s="19" t="str">
        <f>IF(INDEX('Shot Map'!$B$6:$V$26,CEILING($A78/5,1),CEILING(AQ$2/5,1))=1,INDEX('Serial Reference'!$A$8:$W$8,1,FLOOR(($A78-1)/23,1)+1)&amp;INDEX('Serial Reference'!$A$8:$W$8,1,MOD($A78-1,23)+1)&amp;TEXT(AQ$2+FLOOR((AQ$2-1)/9,1),"000"),"")</f>
        <v>DG046</v>
      </c>
      <c r="AR78" s="19" t="str">
        <f>IF(INDEX('Shot Map'!$B$6:$V$26,CEILING($A78/5,1),CEILING(AR$2/5,1))=1,INDEX('Serial Reference'!$A$8:$W$8,1,FLOOR(($A78-1)/23,1)+1)&amp;INDEX('Serial Reference'!$A$8:$W$8,1,MOD($A78-1,23)+1)&amp;TEXT(AR$2+FLOOR((AR$2-1)/9,1),"000"),"")</f>
        <v>DG047</v>
      </c>
      <c r="AS78" s="19" t="str">
        <f>IF(INDEX('Shot Map'!$B$6:$V$26,CEILING($A78/5,1),CEILING(AS$2/5,1))=1,INDEX('Serial Reference'!$A$8:$W$8,1,FLOOR(($A78-1)/23,1)+1)&amp;INDEX('Serial Reference'!$A$8:$W$8,1,MOD($A78-1,23)+1)&amp;TEXT(AS$2+FLOOR((AS$2-1)/9,1),"000"),"")</f>
        <v>DG048</v>
      </c>
      <c r="AT78" s="20" t="str">
        <f>IF(INDEX('Shot Map'!$B$6:$V$26,CEILING($A78/5,1),CEILING(AT$2/5,1))=1,INDEX('Serial Reference'!$A$8:$W$8,1,FLOOR(($A78-1)/23,1)+1)&amp;INDEX('Serial Reference'!$A$8:$W$8,1,MOD($A78-1,23)+1)&amp;TEXT(AT$2+FLOOR((AT$2-1)/9,1),"000"),"")</f>
        <v>DG049</v>
      </c>
      <c r="AU78" s="18" t="str">
        <f>IF(INDEX('Shot Map'!$B$6:$V$26,CEILING($A78/5,1),CEILING(AU$2/5,1))=1,INDEX('Serial Reference'!$A$8:$W$8,1,FLOOR(($A78-1)/23,1)+1)&amp;INDEX('Serial Reference'!$A$8:$W$8,1,MOD($A78-1,23)+1)&amp;TEXT(AU$2+FLOOR((AU$2-1)/9,1),"000"),"")</f>
        <v>DG051</v>
      </c>
      <c r="AV78" s="19" t="str">
        <f>IF(INDEX('Shot Map'!$B$6:$V$26,CEILING($A78/5,1),CEILING(AV$2/5,1))=1,INDEX('Serial Reference'!$A$8:$W$8,1,FLOOR(($A78-1)/23,1)+1)&amp;INDEX('Serial Reference'!$A$8:$W$8,1,MOD($A78-1,23)+1)&amp;TEXT(AV$2+FLOOR((AV$2-1)/9,1),"000"),"")</f>
        <v>DG052</v>
      </c>
      <c r="AW78" s="19" t="str">
        <f>IF(INDEX('Shot Map'!$B$6:$V$26,CEILING($A78/5,1),CEILING(AW$2/5,1))=1,INDEX('Serial Reference'!$A$8:$W$8,1,FLOOR(($A78-1)/23,1)+1)&amp;INDEX('Serial Reference'!$A$8:$W$8,1,MOD($A78-1,23)+1)&amp;TEXT(AW$2+FLOOR((AW$2-1)/9,1),"000"),"")</f>
        <v>DG053</v>
      </c>
      <c r="AX78" s="19" t="str">
        <f>IF(INDEX('Shot Map'!$B$6:$V$26,CEILING($A78/5,1),CEILING(AX$2/5,1))=1,INDEX('Serial Reference'!$A$8:$W$8,1,FLOOR(($A78-1)/23,1)+1)&amp;INDEX('Serial Reference'!$A$8:$W$8,1,MOD($A78-1,23)+1)&amp;TEXT(AX$2+FLOOR((AX$2-1)/9,1),"000"),"")</f>
        <v>DG054</v>
      </c>
      <c r="AY78" s="20" t="str">
        <f>IF(INDEX('Shot Map'!$B$6:$V$26,CEILING($A78/5,1),CEILING(AY$2/5,1))=1,INDEX('Serial Reference'!$A$8:$W$8,1,FLOOR(($A78-1)/23,1)+1)&amp;INDEX('Serial Reference'!$A$8:$W$8,1,MOD($A78-1,23)+1)&amp;TEXT(AY$2+FLOOR((AY$2-1)/9,1),"000"),"")</f>
        <v>DG055</v>
      </c>
      <c r="AZ78" s="18" t="str">
        <f>IF(INDEX('Shot Map'!$B$6:$V$26,CEILING($A78/5,1),CEILING(AZ$2/5,1))=1,INDEX('Serial Reference'!$A$8:$W$8,1,FLOOR(($A78-1)/23,1)+1)&amp;INDEX('Serial Reference'!$A$8:$W$8,1,MOD($A78-1,23)+1)&amp;TEXT(AZ$2+FLOOR((AZ$2-1)/9,1),"000"),"")</f>
        <v>DG056</v>
      </c>
      <c r="BA78" s="19" t="str">
        <f>IF(INDEX('Shot Map'!$B$6:$V$26,CEILING($A78/5,1),CEILING(BA$2/5,1))=1,INDEX('Serial Reference'!$A$8:$W$8,1,FLOOR(($A78-1)/23,1)+1)&amp;INDEX('Serial Reference'!$A$8:$W$8,1,MOD($A78-1,23)+1)&amp;TEXT(BA$2+FLOOR((BA$2-1)/9,1),"000"),"")</f>
        <v>DG057</v>
      </c>
      <c r="BB78" s="19" t="str">
        <f>IF(INDEX('Shot Map'!$B$6:$V$26,CEILING($A78/5,1),CEILING(BB$2/5,1))=1,INDEX('Serial Reference'!$A$8:$W$8,1,FLOOR(($A78-1)/23,1)+1)&amp;INDEX('Serial Reference'!$A$8:$W$8,1,MOD($A78-1,23)+1)&amp;TEXT(BB$2+FLOOR((BB$2-1)/9,1),"000"),"")</f>
        <v>DG058</v>
      </c>
      <c r="BC78" s="19" t="str">
        <f>IF(INDEX('Shot Map'!$B$6:$V$26,CEILING($A78/5,1),CEILING(BC$2/5,1))=1,INDEX('Serial Reference'!$A$8:$W$8,1,FLOOR(($A78-1)/23,1)+1)&amp;INDEX('Serial Reference'!$A$8:$W$8,1,MOD($A78-1,23)+1)&amp;TEXT(BC$2+FLOOR((BC$2-1)/9,1),"000"),"")</f>
        <v>DG059</v>
      </c>
      <c r="BD78" s="20" t="str">
        <f>IF(INDEX('Shot Map'!$B$6:$V$26,CEILING($A78/5,1),CEILING(BD$2/5,1))=1,INDEX('Serial Reference'!$A$8:$W$8,1,FLOOR(($A78-1)/23,1)+1)&amp;INDEX('Serial Reference'!$A$8:$W$8,1,MOD($A78-1,23)+1)&amp;TEXT(BD$2+FLOOR((BD$2-1)/9,1),"000"),"")</f>
        <v>DG061</v>
      </c>
      <c r="BE78" s="18" t="str">
        <f>IF(INDEX('Shot Map'!$B$6:$V$26,CEILING($A78/5,1),CEILING(BE$2/5,1))=1,INDEX('Serial Reference'!$A$8:$W$8,1,FLOOR(($A78-1)/23,1)+1)&amp;INDEX('Serial Reference'!$A$8:$W$8,1,MOD($A78-1,23)+1)&amp;TEXT(BE$2+FLOOR((BE$2-1)/9,1),"000"),"")</f>
        <v>DG062</v>
      </c>
      <c r="BF78" s="19" t="str">
        <f>IF(INDEX('Shot Map'!$B$6:$V$26,CEILING($A78/5,1),CEILING(BF$2/5,1))=1,INDEX('Serial Reference'!$A$8:$W$8,1,FLOOR(($A78-1)/23,1)+1)&amp;INDEX('Serial Reference'!$A$8:$W$8,1,MOD($A78-1,23)+1)&amp;TEXT(BF$2+FLOOR((BF$2-1)/9,1),"000"),"")</f>
        <v>DG063</v>
      </c>
      <c r="BG78" s="19" t="str">
        <f>IF(INDEX('Shot Map'!$B$6:$V$26,CEILING($A78/5,1),CEILING(BG$2/5,1))=1,INDEX('Serial Reference'!$A$8:$W$8,1,FLOOR(($A78-1)/23,1)+1)&amp;INDEX('Serial Reference'!$A$8:$W$8,1,MOD($A78-1,23)+1)&amp;TEXT(BG$2+FLOOR((BG$2-1)/9,1),"000"),"")</f>
        <v>DG064</v>
      </c>
      <c r="BH78" s="19" t="str">
        <f>IF(INDEX('Shot Map'!$B$6:$V$26,CEILING($A78/5,1),CEILING(BH$2/5,1))=1,INDEX('Serial Reference'!$A$8:$W$8,1,FLOOR(($A78-1)/23,1)+1)&amp;INDEX('Serial Reference'!$A$8:$W$8,1,MOD($A78-1,23)+1)&amp;TEXT(BH$2+FLOOR((BH$2-1)/9,1),"000"),"")</f>
        <v>DG065</v>
      </c>
      <c r="BI78" s="20" t="str">
        <f>IF(INDEX('Shot Map'!$B$6:$V$26,CEILING($A78/5,1),CEILING(BI$2/5,1))=1,INDEX('Serial Reference'!$A$8:$W$8,1,FLOOR(($A78-1)/23,1)+1)&amp;INDEX('Serial Reference'!$A$8:$W$8,1,MOD($A78-1,23)+1)&amp;TEXT(BI$2+FLOOR((BI$2-1)/9,1),"000"),"")</f>
        <v>DG066</v>
      </c>
      <c r="BJ78" s="18" t="str">
        <f>IF(INDEX('Shot Map'!$B$6:$V$26,CEILING($A78/5,1),CEILING(BJ$2/5,1))=1,INDEX('Serial Reference'!$A$8:$W$8,1,FLOOR(($A78-1)/23,1)+1)&amp;INDEX('Serial Reference'!$A$8:$W$8,1,MOD($A78-1,23)+1)&amp;TEXT(BJ$2+FLOOR((BJ$2-1)/9,1),"000"),"")</f>
        <v>DG067</v>
      </c>
      <c r="BK78" s="19" t="str">
        <f>IF(INDEX('Shot Map'!$B$6:$V$26,CEILING($A78/5,1),CEILING(BK$2/5,1))=1,INDEX('Serial Reference'!$A$8:$W$8,1,FLOOR(($A78-1)/23,1)+1)&amp;INDEX('Serial Reference'!$A$8:$W$8,1,MOD($A78-1,23)+1)&amp;TEXT(BK$2+FLOOR((BK$2-1)/9,1),"000"),"")</f>
        <v>DG068</v>
      </c>
      <c r="BL78" s="19" t="str">
        <f>IF(INDEX('Shot Map'!$B$6:$V$26,CEILING($A78/5,1),CEILING(BL$2/5,1))=1,INDEX('Serial Reference'!$A$8:$W$8,1,FLOOR(($A78-1)/23,1)+1)&amp;INDEX('Serial Reference'!$A$8:$W$8,1,MOD($A78-1,23)+1)&amp;TEXT(BL$2+FLOOR((BL$2-1)/9,1),"000"),"")</f>
        <v>DG069</v>
      </c>
      <c r="BM78" s="19" t="str">
        <f>IF(INDEX('Shot Map'!$B$6:$V$26,CEILING($A78/5,1),CEILING(BM$2/5,1))=1,INDEX('Serial Reference'!$A$8:$W$8,1,FLOOR(($A78-1)/23,1)+1)&amp;INDEX('Serial Reference'!$A$8:$W$8,1,MOD($A78-1,23)+1)&amp;TEXT(BM$2+FLOOR((BM$2-1)/9,1),"000"),"")</f>
        <v>DG071</v>
      </c>
      <c r="BN78" s="20" t="str">
        <f>IF(INDEX('Shot Map'!$B$6:$V$26,CEILING($A78/5,1),CEILING(BN$2/5,1))=1,INDEX('Serial Reference'!$A$8:$W$8,1,FLOOR(($A78-1)/23,1)+1)&amp;INDEX('Serial Reference'!$A$8:$W$8,1,MOD($A78-1,23)+1)&amp;TEXT(BN$2+FLOOR((BN$2-1)/9,1),"000"),"")</f>
        <v>DG072</v>
      </c>
      <c r="BO78" s="18" t="str">
        <f>IF(INDEX('Shot Map'!$B$6:$V$26,CEILING($A78/5,1),CEILING(BO$2/5,1))=1,INDEX('Serial Reference'!$A$8:$W$8,1,FLOOR(($A78-1)/23,1)+1)&amp;INDEX('Serial Reference'!$A$8:$W$8,1,MOD($A78-1,23)+1)&amp;TEXT(BO$2+FLOOR((BO$2-1)/9,1),"000"),"")</f>
        <v>DG073</v>
      </c>
      <c r="BP78" s="19" t="str">
        <f>IF(INDEX('Shot Map'!$B$6:$V$26,CEILING($A78/5,1),CEILING(BP$2/5,1))=1,INDEX('Serial Reference'!$A$8:$W$8,1,FLOOR(($A78-1)/23,1)+1)&amp;INDEX('Serial Reference'!$A$8:$W$8,1,MOD($A78-1,23)+1)&amp;TEXT(BP$2+FLOOR((BP$2-1)/9,1),"000"),"")</f>
        <v>DG074</v>
      </c>
      <c r="BQ78" s="19" t="str">
        <f>IF(INDEX('Shot Map'!$B$6:$V$26,CEILING($A78/5,1),CEILING(BQ$2/5,1))=1,INDEX('Serial Reference'!$A$8:$W$8,1,FLOOR(($A78-1)/23,1)+1)&amp;INDEX('Serial Reference'!$A$8:$W$8,1,MOD($A78-1,23)+1)&amp;TEXT(BQ$2+FLOOR((BQ$2-1)/9,1),"000"),"")</f>
        <v>DG075</v>
      </c>
      <c r="BR78" s="19" t="str">
        <f>IF(INDEX('Shot Map'!$B$6:$V$26,CEILING($A78/5,1),CEILING(BR$2/5,1))=1,INDEX('Serial Reference'!$A$8:$W$8,1,FLOOR(($A78-1)/23,1)+1)&amp;INDEX('Serial Reference'!$A$8:$W$8,1,MOD($A78-1,23)+1)&amp;TEXT(BR$2+FLOOR((BR$2-1)/9,1),"000"),"")</f>
        <v>DG076</v>
      </c>
      <c r="BS78" s="20" t="str">
        <f>IF(INDEX('Shot Map'!$B$6:$V$26,CEILING($A78/5,1),CEILING(BS$2/5,1))=1,INDEX('Serial Reference'!$A$8:$W$8,1,FLOOR(($A78-1)/23,1)+1)&amp;INDEX('Serial Reference'!$A$8:$W$8,1,MOD($A78-1,23)+1)&amp;TEXT(BS$2+FLOOR((BS$2-1)/9,1),"000"),"")</f>
        <v>DG077</v>
      </c>
      <c r="BT78" s="18" t="str">
        <f>IF(INDEX('Shot Map'!$B$6:$V$26,CEILING($A78/5,1),CEILING(BT$2/5,1))=1,INDEX('Serial Reference'!$A$8:$W$8,1,FLOOR(($A78-1)/23,1)+1)&amp;INDEX('Serial Reference'!$A$8:$W$8,1,MOD($A78-1,23)+1)&amp;TEXT(BT$2+FLOOR((BT$2-1)/9,1),"000"),"")</f>
        <v>DG078</v>
      </c>
      <c r="BU78" s="19" t="str">
        <f>IF(INDEX('Shot Map'!$B$6:$V$26,CEILING($A78/5,1),CEILING(BU$2/5,1))=1,INDEX('Serial Reference'!$A$8:$W$8,1,FLOOR(($A78-1)/23,1)+1)&amp;INDEX('Serial Reference'!$A$8:$W$8,1,MOD($A78-1,23)+1)&amp;TEXT(BU$2+FLOOR((BU$2-1)/9,1),"000"),"")</f>
        <v>DG079</v>
      </c>
      <c r="BV78" s="19" t="str">
        <f>IF(INDEX('Shot Map'!$B$6:$V$26,CEILING($A78/5,1),CEILING(BV$2/5,1))=1,INDEX('Serial Reference'!$A$8:$W$8,1,FLOOR(($A78-1)/23,1)+1)&amp;INDEX('Serial Reference'!$A$8:$W$8,1,MOD($A78-1,23)+1)&amp;TEXT(BV$2+FLOOR((BV$2-1)/9,1),"000"),"")</f>
        <v>DG081</v>
      </c>
      <c r="BW78" s="19" t="str">
        <f>IF(INDEX('Shot Map'!$B$6:$V$26,CEILING($A78/5,1),CEILING(BW$2/5,1))=1,INDEX('Serial Reference'!$A$8:$W$8,1,FLOOR(($A78-1)/23,1)+1)&amp;INDEX('Serial Reference'!$A$8:$W$8,1,MOD($A78-1,23)+1)&amp;TEXT(BW$2+FLOOR((BW$2-1)/9,1),"000"),"")</f>
        <v>DG082</v>
      </c>
      <c r="BX78" s="20" t="str">
        <f>IF(INDEX('Shot Map'!$B$6:$V$26,CEILING($A78/5,1),CEILING(BX$2/5,1))=1,INDEX('Serial Reference'!$A$8:$W$8,1,FLOOR(($A78-1)/23,1)+1)&amp;INDEX('Serial Reference'!$A$8:$W$8,1,MOD($A78-1,23)+1)&amp;TEXT(BX$2+FLOOR((BX$2-1)/9,1),"000"),"")</f>
        <v>DG083</v>
      </c>
      <c r="BY78" s="18" t="str">
        <f>IF(INDEX('Shot Map'!$B$6:$V$26,CEILING($A78/5,1),CEILING(BY$2/5,1))=1,INDEX('Serial Reference'!$A$8:$W$8,1,FLOOR(($A78-1)/23,1)+1)&amp;INDEX('Serial Reference'!$A$8:$W$8,1,MOD($A78-1,23)+1)&amp;TEXT(BY$2+FLOOR((BY$2-1)/9,1),"000"),"")</f>
        <v>DG084</v>
      </c>
      <c r="BZ78" s="19" t="str">
        <f>IF(INDEX('Shot Map'!$B$6:$V$26,CEILING($A78/5,1),CEILING(BZ$2/5,1))=1,INDEX('Serial Reference'!$A$8:$W$8,1,FLOOR(($A78-1)/23,1)+1)&amp;INDEX('Serial Reference'!$A$8:$W$8,1,MOD($A78-1,23)+1)&amp;TEXT(BZ$2+FLOOR((BZ$2-1)/9,1),"000"),"")</f>
        <v>DG085</v>
      </c>
      <c r="CA78" s="19" t="str">
        <f>IF(INDEX('Shot Map'!$B$6:$V$26,CEILING($A78/5,1),CEILING(CA$2/5,1))=1,INDEX('Serial Reference'!$A$8:$W$8,1,FLOOR(($A78-1)/23,1)+1)&amp;INDEX('Serial Reference'!$A$8:$W$8,1,MOD($A78-1,23)+1)&amp;TEXT(CA$2+FLOOR((CA$2-1)/9,1),"000"),"")</f>
        <v>DG086</v>
      </c>
      <c r="CB78" s="19" t="str">
        <f>IF(INDEX('Shot Map'!$B$6:$V$26,CEILING($A78/5,1),CEILING(CB$2/5,1))=1,INDEX('Serial Reference'!$A$8:$W$8,1,FLOOR(($A78-1)/23,1)+1)&amp;INDEX('Serial Reference'!$A$8:$W$8,1,MOD($A78-1,23)+1)&amp;TEXT(CB$2+FLOOR((CB$2-1)/9,1),"000"),"")</f>
        <v>DG087</v>
      </c>
      <c r="CC78" s="20" t="str">
        <f>IF(INDEX('Shot Map'!$B$6:$V$26,CEILING($A78/5,1),CEILING(CC$2/5,1))=1,INDEX('Serial Reference'!$A$8:$W$8,1,FLOOR(($A78-1)/23,1)+1)&amp;INDEX('Serial Reference'!$A$8:$W$8,1,MOD($A78-1,23)+1)&amp;TEXT(CC$2+FLOOR((CC$2-1)/9,1),"000"),"")</f>
        <v>DG088</v>
      </c>
      <c r="CD78" s="18" t="str">
        <f>IF(INDEX('Shot Map'!$B$6:$V$26,CEILING($A78/5,1),CEILING(CD$2/5,1))=1,INDEX('Serial Reference'!$A$8:$W$8,1,FLOOR(($A78-1)/23,1)+1)&amp;INDEX('Serial Reference'!$A$8:$W$8,1,MOD($A78-1,23)+1)&amp;TEXT(CD$2+FLOOR((CD$2-1)/9,1),"000"),"")</f>
        <v>DG089</v>
      </c>
      <c r="CE78" s="19" t="str">
        <f>IF(INDEX('Shot Map'!$B$6:$V$26,CEILING($A78/5,1),CEILING(CE$2/5,1))=1,INDEX('Serial Reference'!$A$8:$W$8,1,FLOOR(($A78-1)/23,1)+1)&amp;INDEX('Serial Reference'!$A$8:$W$8,1,MOD($A78-1,23)+1)&amp;TEXT(CE$2+FLOOR((CE$2-1)/9,1),"000"),"")</f>
        <v>DG091</v>
      </c>
      <c r="CF78" s="19" t="str">
        <f>IF(INDEX('Shot Map'!$B$6:$V$26,CEILING($A78/5,1),CEILING(CF$2/5,1))=1,INDEX('Serial Reference'!$A$8:$W$8,1,FLOOR(($A78-1)/23,1)+1)&amp;INDEX('Serial Reference'!$A$8:$W$8,1,MOD($A78-1,23)+1)&amp;TEXT(CF$2+FLOOR((CF$2-1)/9,1),"000"),"")</f>
        <v>DG092</v>
      </c>
      <c r="CG78" s="19" t="str">
        <f>IF(INDEX('Shot Map'!$B$6:$V$26,CEILING($A78/5,1),CEILING(CG$2/5,1))=1,INDEX('Serial Reference'!$A$8:$W$8,1,FLOOR(($A78-1)/23,1)+1)&amp;INDEX('Serial Reference'!$A$8:$W$8,1,MOD($A78-1,23)+1)&amp;TEXT(CG$2+FLOOR((CG$2-1)/9,1),"000"),"")</f>
        <v>DG093</v>
      </c>
      <c r="CH78" s="20" t="str">
        <f>IF(INDEX('Shot Map'!$B$6:$V$26,CEILING($A78/5,1),CEILING(CH$2/5,1))=1,INDEX('Serial Reference'!$A$8:$W$8,1,FLOOR(($A78-1)/23,1)+1)&amp;INDEX('Serial Reference'!$A$8:$W$8,1,MOD($A78-1,23)+1)&amp;TEXT(CH$2+FLOOR((CH$2-1)/9,1),"000"),"")</f>
        <v>DG094</v>
      </c>
      <c r="CI78" s="18" t="str">
        <f>IF(INDEX('Shot Map'!$B$6:$V$26,CEILING($A78/5,1),CEILING(CI$2/5,1))=1,INDEX('Serial Reference'!$A$8:$W$8,1,FLOOR(($A78-1)/23,1)+1)&amp;INDEX('Serial Reference'!$A$8:$W$8,1,MOD($A78-1,23)+1)&amp;TEXT(CI$2+FLOOR((CI$2-1)/9,1),"000"),"")</f>
        <v>DG095</v>
      </c>
      <c r="CJ78" s="19" t="str">
        <f>IF(INDEX('Shot Map'!$B$6:$V$26,CEILING($A78/5,1),CEILING(CJ$2/5,1))=1,INDEX('Serial Reference'!$A$8:$W$8,1,FLOOR(($A78-1)/23,1)+1)&amp;INDEX('Serial Reference'!$A$8:$W$8,1,MOD($A78-1,23)+1)&amp;TEXT(CJ$2+FLOOR((CJ$2-1)/9,1),"000"),"")</f>
        <v>DG096</v>
      </c>
      <c r="CK78" s="19" t="str">
        <f>IF(INDEX('Shot Map'!$B$6:$V$26,CEILING($A78/5,1),CEILING(CK$2/5,1))=1,INDEX('Serial Reference'!$A$8:$W$8,1,FLOOR(($A78-1)/23,1)+1)&amp;INDEX('Serial Reference'!$A$8:$W$8,1,MOD($A78-1,23)+1)&amp;TEXT(CK$2+FLOOR((CK$2-1)/9,1),"000"),"")</f>
        <v>DG097</v>
      </c>
      <c r="CL78" s="19" t="str">
        <f>IF(INDEX('Shot Map'!$B$6:$V$26,CEILING($A78/5,1),CEILING(CL$2/5,1))=1,INDEX('Serial Reference'!$A$8:$W$8,1,FLOOR(($A78-1)/23,1)+1)&amp;INDEX('Serial Reference'!$A$8:$W$8,1,MOD($A78-1,23)+1)&amp;TEXT(CL$2+FLOOR((CL$2-1)/9,1),"000"),"")</f>
        <v>DG098</v>
      </c>
      <c r="CM78" s="20" t="str">
        <f>IF(INDEX('Shot Map'!$B$6:$V$26,CEILING($A78/5,1),CEILING(CM$2/5,1))=1,INDEX('Serial Reference'!$A$8:$W$8,1,FLOOR(($A78-1)/23,1)+1)&amp;INDEX('Serial Reference'!$A$8:$W$8,1,MOD($A78-1,23)+1)&amp;TEXT(CM$2+FLOOR((CM$2-1)/9,1),"000"),"")</f>
        <v>DG099</v>
      </c>
      <c r="CN78" s="18" t="str">
        <f>IF(INDEX('Shot Map'!$B$6:$V$26,CEILING($A78/5,1),CEILING(CN$2/5,1))=1,INDEX('Serial Reference'!$A$8:$W$8,1,FLOOR(($A78-1)/23,1)+1)&amp;INDEX('Serial Reference'!$A$8:$W$8,1,MOD($A78-1,23)+1)&amp;TEXT(CN$2+FLOOR((CN$2-1)/9,1),"000"),"")</f>
        <v>DG101</v>
      </c>
      <c r="CO78" s="19" t="str">
        <f>IF(INDEX('Shot Map'!$B$6:$V$26,CEILING($A78/5,1),CEILING(CO$2/5,1))=1,INDEX('Serial Reference'!$A$8:$W$8,1,FLOOR(($A78-1)/23,1)+1)&amp;INDEX('Serial Reference'!$A$8:$W$8,1,MOD($A78-1,23)+1)&amp;TEXT(CO$2+FLOOR((CO$2-1)/9,1),"000"),"")</f>
        <v>DG102</v>
      </c>
      <c r="CP78" s="19" t="str">
        <f>IF(INDEX('Shot Map'!$B$6:$V$26,CEILING($A78/5,1),CEILING(CP$2/5,1))=1,INDEX('Serial Reference'!$A$8:$W$8,1,FLOOR(($A78-1)/23,1)+1)&amp;INDEX('Serial Reference'!$A$8:$W$8,1,MOD($A78-1,23)+1)&amp;TEXT(CP$2+FLOOR((CP$2-1)/9,1),"000"),"")</f>
        <v>DG103</v>
      </c>
      <c r="CQ78" s="19" t="str">
        <f>IF(INDEX('Shot Map'!$B$6:$V$26,CEILING($A78/5,1),CEILING(CQ$2/5,1))=1,INDEX('Serial Reference'!$A$8:$W$8,1,FLOOR(($A78-1)/23,1)+1)&amp;INDEX('Serial Reference'!$A$8:$W$8,1,MOD($A78-1,23)+1)&amp;TEXT(CQ$2+FLOOR((CQ$2-1)/9,1),"000"),"")</f>
        <v>DG104</v>
      </c>
      <c r="CR78" s="20" t="str">
        <f>IF(INDEX('Shot Map'!$B$6:$V$26,CEILING($A78/5,1),CEILING(CR$2/5,1))=1,INDEX('Serial Reference'!$A$8:$W$8,1,FLOOR(($A78-1)/23,1)+1)&amp;INDEX('Serial Reference'!$A$8:$W$8,1,MOD($A78-1,23)+1)&amp;TEXT(CR$2+FLOOR((CR$2-1)/9,1),"000"),"")</f>
        <v>DG105</v>
      </c>
      <c r="CS78" s="18" t="str">
        <f>IF(INDEX('Shot Map'!$B$6:$V$26,CEILING($A78/5,1),CEILING(CS$2/5,1))=1,INDEX('Serial Reference'!$A$8:$W$8,1,FLOOR(($A78-1)/23,1)+1)&amp;INDEX('Serial Reference'!$A$8:$W$8,1,MOD($A78-1,23)+1)&amp;TEXT(CS$2+FLOOR((CS$2-1)/9,1),"000"),"")</f>
        <v/>
      </c>
      <c r="CT78" s="19" t="str">
        <f>IF(INDEX('Shot Map'!$B$6:$V$26,CEILING($A78/5,1),CEILING(CT$2/5,1))=1,INDEX('Serial Reference'!$A$8:$W$8,1,FLOOR(($A78-1)/23,1)+1)&amp;INDEX('Serial Reference'!$A$8:$W$8,1,MOD($A78-1,23)+1)&amp;TEXT(CT$2+FLOOR((CT$2-1)/9,1),"000"),"")</f>
        <v/>
      </c>
      <c r="CU78" s="19" t="str">
        <f>IF(INDEX('Shot Map'!$B$6:$V$26,CEILING($A78/5,1),CEILING(CU$2/5,1))=1,INDEX('Serial Reference'!$A$8:$W$8,1,FLOOR(($A78-1)/23,1)+1)&amp;INDEX('Serial Reference'!$A$8:$W$8,1,MOD($A78-1,23)+1)&amp;TEXT(CU$2+FLOOR((CU$2-1)/9,1),"000"),"")</f>
        <v/>
      </c>
      <c r="CV78" s="19" t="str">
        <f>IF(INDEX('Shot Map'!$B$6:$V$26,CEILING($A78/5,1),CEILING(CV$2/5,1))=1,INDEX('Serial Reference'!$A$8:$W$8,1,FLOOR(($A78-1)/23,1)+1)&amp;INDEX('Serial Reference'!$A$8:$W$8,1,MOD($A78-1,23)+1)&amp;TEXT(CV$2+FLOOR((CV$2-1)/9,1),"000"),"")</f>
        <v/>
      </c>
      <c r="CW78" s="20" t="str">
        <f>IF(INDEX('Shot Map'!$B$6:$V$26,CEILING($A78/5,1),CEILING(CW$2/5,1))=1,INDEX('Serial Reference'!$A$8:$W$8,1,FLOOR(($A78-1)/23,1)+1)&amp;INDEX('Serial Reference'!$A$8:$W$8,1,MOD($A78-1,23)+1)&amp;TEXT(CW$2+FLOOR((CW$2-1)/9,1),"000"),"")</f>
        <v/>
      </c>
      <c r="CX78" s="18" t="str">
        <f>IF(INDEX('Shot Map'!$B$6:$V$26,CEILING($A78/5,1),CEILING(CX$2/5,1))=1,INDEX('Serial Reference'!$A$8:$W$8,1,FLOOR(($A78-1)/23,1)+1)&amp;INDEX('Serial Reference'!$A$8:$W$8,1,MOD($A78-1,23)+1)&amp;TEXT(CX$2+FLOOR((CX$2-1)/9,1),"000"),"")</f>
        <v/>
      </c>
      <c r="CY78" s="19" t="str">
        <f>IF(INDEX('Shot Map'!$B$6:$V$26,CEILING($A78/5,1),CEILING(CY$2/5,1))=1,INDEX('Serial Reference'!$A$8:$W$8,1,FLOOR(($A78-1)/23,1)+1)&amp;INDEX('Serial Reference'!$A$8:$W$8,1,MOD($A78-1,23)+1)&amp;TEXT(CY$2+FLOOR((CY$2-1)/9,1),"000"),"")</f>
        <v/>
      </c>
      <c r="CZ78" s="19" t="str">
        <f>IF(INDEX('Shot Map'!$B$6:$V$26,CEILING($A78/5,1),CEILING(CZ$2/5,1))=1,INDEX('Serial Reference'!$A$8:$W$8,1,FLOOR(($A78-1)/23,1)+1)&amp;INDEX('Serial Reference'!$A$8:$W$8,1,MOD($A78-1,23)+1)&amp;TEXT(CZ$2+FLOOR((CZ$2-1)/9,1),"000"),"")</f>
        <v/>
      </c>
      <c r="DA78" s="19" t="str">
        <f>IF(INDEX('Shot Map'!$B$6:$V$26,CEILING($A78/5,1),CEILING(DA$2/5,1))=1,INDEX('Serial Reference'!$A$8:$W$8,1,FLOOR(($A78-1)/23,1)+1)&amp;INDEX('Serial Reference'!$A$8:$W$8,1,MOD($A78-1,23)+1)&amp;TEXT(DA$2+FLOOR((DA$2-1)/9,1),"000"),"")</f>
        <v/>
      </c>
      <c r="DB78" s="20" t="str">
        <f>IF(INDEX('Shot Map'!$B$6:$V$26,CEILING($A78/5,1),CEILING(DB$2/5,1))=1,INDEX('Serial Reference'!$A$8:$W$8,1,FLOOR(($A78-1)/23,1)+1)&amp;INDEX('Serial Reference'!$A$8:$W$8,1,MOD($A78-1,23)+1)&amp;TEXT(DB$2+FLOOR((DB$2-1)/9,1),"000"),"")</f>
        <v/>
      </c>
    </row>
    <row r="79" spans="1:106" ht="12.75" customHeight="1" x14ac:dyDescent="0.25">
      <c r="A79" s="17">
        <v>77</v>
      </c>
      <c r="B79" s="21" t="str">
        <f>IF(INDEX('Shot Map'!$B$6:$V$26,CEILING($A79/5,1),CEILING(B$2/5,1))=1,INDEX('Serial Reference'!$A$8:$W$8,1,FLOOR(($A79-1)/23,1)+1)&amp;INDEX('Serial Reference'!$A$8:$W$8,1,MOD($A79-1,23)+1)&amp;TEXT(B$2+FLOOR((B$2-1)/9,1),"000"),"")</f>
        <v/>
      </c>
      <c r="C79" s="22" t="str">
        <f>IF(INDEX('Shot Map'!$B$6:$V$26,CEILING($A79/5,1),CEILING(C$2/5,1))=1,INDEX('Serial Reference'!$A$8:$W$8,1,FLOOR(($A79-1)/23,1)+1)&amp;INDEX('Serial Reference'!$A$8:$W$8,1,MOD($A79-1,23)+1)&amp;TEXT(C$2+FLOOR((C$2-1)/9,1),"000"),"")</f>
        <v/>
      </c>
      <c r="D79" s="22" t="str">
        <f>IF(INDEX('Shot Map'!$B$6:$V$26,CEILING($A79/5,1),CEILING(D$2/5,1))=1,INDEX('Serial Reference'!$A$8:$W$8,1,FLOOR(($A79-1)/23,1)+1)&amp;INDEX('Serial Reference'!$A$8:$W$8,1,MOD($A79-1,23)+1)&amp;TEXT(D$2+FLOOR((D$2-1)/9,1),"000"),"")</f>
        <v/>
      </c>
      <c r="E79" s="22" t="str">
        <f>IF(INDEX('Shot Map'!$B$6:$V$26,CEILING($A79/5,1),CEILING(E$2/5,1))=1,INDEX('Serial Reference'!$A$8:$W$8,1,FLOOR(($A79-1)/23,1)+1)&amp;INDEX('Serial Reference'!$A$8:$W$8,1,MOD($A79-1,23)+1)&amp;TEXT(E$2+FLOOR((E$2-1)/9,1),"000"),"")</f>
        <v/>
      </c>
      <c r="F79" s="23" t="str">
        <f>IF(INDEX('Shot Map'!$B$6:$V$26,CEILING($A79/5,1),CEILING(F$2/5,1))=1,INDEX('Serial Reference'!$A$8:$W$8,1,FLOOR(($A79-1)/23,1)+1)&amp;INDEX('Serial Reference'!$A$8:$W$8,1,MOD($A79-1,23)+1)&amp;TEXT(F$2+FLOOR((F$2-1)/9,1),"000"),"")</f>
        <v/>
      </c>
      <c r="G79" s="21" t="str">
        <f>IF(INDEX('Shot Map'!$B$6:$V$26,CEILING($A79/5,1),CEILING(G$2/5,1))=1,INDEX('Serial Reference'!$A$8:$W$8,1,FLOOR(($A79-1)/23,1)+1)&amp;INDEX('Serial Reference'!$A$8:$W$8,1,MOD($A79-1,23)+1)&amp;TEXT(G$2+FLOOR((G$2-1)/9,1),"000"),"")</f>
        <v/>
      </c>
      <c r="H79" s="22" t="str">
        <f>IF(INDEX('Shot Map'!$B$6:$V$26,CEILING($A79/5,1),CEILING(H$2/5,1))=1,INDEX('Serial Reference'!$A$8:$W$8,1,FLOOR(($A79-1)/23,1)+1)&amp;INDEX('Serial Reference'!$A$8:$W$8,1,MOD($A79-1,23)+1)&amp;TEXT(H$2+FLOOR((H$2-1)/9,1),"000"),"")</f>
        <v/>
      </c>
      <c r="I79" s="22" t="str">
        <f>IF(INDEX('Shot Map'!$B$6:$V$26,CEILING($A79/5,1),CEILING(I$2/5,1))=1,INDEX('Serial Reference'!$A$8:$W$8,1,FLOOR(($A79-1)/23,1)+1)&amp;INDEX('Serial Reference'!$A$8:$W$8,1,MOD($A79-1,23)+1)&amp;TEXT(I$2+FLOOR((I$2-1)/9,1),"000"),"")</f>
        <v/>
      </c>
      <c r="J79" s="22" t="str">
        <f>IF(INDEX('Shot Map'!$B$6:$V$26,CEILING($A79/5,1),CEILING(J$2/5,1))=1,INDEX('Serial Reference'!$A$8:$W$8,1,FLOOR(($A79-1)/23,1)+1)&amp;INDEX('Serial Reference'!$A$8:$W$8,1,MOD($A79-1,23)+1)&amp;TEXT(J$2+FLOOR((J$2-1)/9,1),"000"),"")</f>
        <v/>
      </c>
      <c r="K79" s="23" t="str">
        <f>IF(INDEX('Shot Map'!$B$6:$V$26,CEILING($A79/5,1),CEILING(K$2/5,1))=1,INDEX('Serial Reference'!$A$8:$W$8,1,FLOOR(($A79-1)/23,1)+1)&amp;INDEX('Serial Reference'!$A$8:$W$8,1,MOD($A79-1,23)+1)&amp;TEXT(K$2+FLOOR((K$2-1)/9,1),"000"),"")</f>
        <v/>
      </c>
      <c r="L79" s="21" t="str">
        <f>IF(INDEX('Shot Map'!$B$6:$V$26,CEILING($A79/5,1),CEILING(L$2/5,1))=1,INDEX('Serial Reference'!$A$8:$W$8,1,FLOOR(($A79-1)/23,1)+1)&amp;INDEX('Serial Reference'!$A$8:$W$8,1,MOD($A79-1,23)+1)&amp;TEXT(L$2+FLOOR((L$2-1)/9,1),"000"),"")</f>
        <v>DH012</v>
      </c>
      <c r="M79" s="22" t="str">
        <f>IF(INDEX('Shot Map'!$B$6:$V$26,CEILING($A79/5,1),CEILING(M$2/5,1))=1,INDEX('Serial Reference'!$A$8:$W$8,1,FLOOR(($A79-1)/23,1)+1)&amp;INDEX('Serial Reference'!$A$8:$W$8,1,MOD($A79-1,23)+1)&amp;TEXT(M$2+FLOOR((M$2-1)/9,1),"000"),"")</f>
        <v>DH013</v>
      </c>
      <c r="N79" s="22" t="str">
        <f>IF(INDEX('Shot Map'!$B$6:$V$26,CEILING($A79/5,1),CEILING(N$2/5,1))=1,INDEX('Serial Reference'!$A$8:$W$8,1,FLOOR(($A79-1)/23,1)+1)&amp;INDEX('Serial Reference'!$A$8:$W$8,1,MOD($A79-1,23)+1)&amp;TEXT(N$2+FLOOR((N$2-1)/9,1),"000"),"")</f>
        <v>DH014</v>
      </c>
      <c r="O79" s="22" t="str">
        <f>IF(INDEX('Shot Map'!$B$6:$V$26,CEILING($A79/5,1),CEILING(O$2/5,1))=1,INDEX('Serial Reference'!$A$8:$W$8,1,FLOOR(($A79-1)/23,1)+1)&amp;INDEX('Serial Reference'!$A$8:$W$8,1,MOD($A79-1,23)+1)&amp;TEXT(O$2+FLOOR((O$2-1)/9,1),"000"),"")</f>
        <v>DH015</v>
      </c>
      <c r="P79" s="23" t="str">
        <f>IF(INDEX('Shot Map'!$B$6:$V$26,CEILING($A79/5,1),CEILING(P$2/5,1))=1,INDEX('Serial Reference'!$A$8:$W$8,1,FLOOR(($A79-1)/23,1)+1)&amp;INDEX('Serial Reference'!$A$8:$W$8,1,MOD($A79-1,23)+1)&amp;TEXT(P$2+FLOOR((P$2-1)/9,1),"000"),"")</f>
        <v>DH016</v>
      </c>
      <c r="Q79" s="21" t="str">
        <f>IF(INDEX('Shot Map'!$B$6:$V$26,CEILING($A79/5,1),CEILING(Q$2/5,1))=1,INDEX('Serial Reference'!$A$8:$W$8,1,FLOOR(($A79-1)/23,1)+1)&amp;INDEX('Serial Reference'!$A$8:$W$8,1,MOD($A79-1,23)+1)&amp;TEXT(Q$2+FLOOR((Q$2-1)/9,1),"000"),"")</f>
        <v>DH017</v>
      </c>
      <c r="R79" s="22" t="str">
        <f>IF(INDEX('Shot Map'!$B$6:$V$26,CEILING($A79/5,1),CEILING(R$2/5,1))=1,INDEX('Serial Reference'!$A$8:$W$8,1,FLOOR(($A79-1)/23,1)+1)&amp;INDEX('Serial Reference'!$A$8:$W$8,1,MOD($A79-1,23)+1)&amp;TEXT(R$2+FLOOR((R$2-1)/9,1),"000"),"")</f>
        <v>DH018</v>
      </c>
      <c r="S79" s="22" t="str">
        <f>IF(INDEX('Shot Map'!$B$6:$V$26,CEILING($A79/5,1),CEILING(S$2/5,1))=1,INDEX('Serial Reference'!$A$8:$W$8,1,FLOOR(($A79-1)/23,1)+1)&amp;INDEX('Serial Reference'!$A$8:$W$8,1,MOD($A79-1,23)+1)&amp;TEXT(S$2+FLOOR((S$2-1)/9,1),"000"),"")</f>
        <v>DH019</v>
      </c>
      <c r="T79" s="22" t="str">
        <f>IF(INDEX('Shot Map'!$B$6:$V$26,CEILING($A79/5,1),CEILING(T$2/5,1))=1,INDEX('Serial Reference'!$A$8:$W$8,1,FLOOR(($A79-1)/23,1)+1)&amp;INDEX('Serial Reference'!$A$8:$W$8,1,MOD($A79-1,23)+1)&amp;TEXT(T$2+FLOOR((T$2-1)/9,1),"000"),"")</f>
        <v>DH021</v>
      </c>
      <c r="U79" s="23" t="str">
        <f>IF(INDEX('Shot Map'!$B$6:$V$26,CEILING($A79/5,1),CEILING(U$2/5,1))=1,INDEX('Serial Reference'!$A$8:$W$8,1,FLOOR(($A79-1)/23,1)+1)&amp;INDEX('Serial Reference'!$A$8:$W$8,1,MOD($A79-1,23)+1)&amp;TEXT(U$2+FLOOR((U$2-1)/9,1),"000"),"")</f>
        <v>DH022</v>
      </c>
      <c r="V79" s="21" t="str">
        <f>IF(INDEX('Shot Map'!$B$6:$V$26,CEILING($A79/5,1),CEILING(V$2/5,1))=1,INDEX('Serial Reference'!$A$8:$W$8,1,FLOOR(($A79-1)/23,1)+1)&amp;INDEX('Serial Reference'!$A$8:$W$8,1,MOD($A79-1,23)+1)&amp;TEXT(V$2+FLOOR((V$2-1)/9,1),"000"),"")</f>
        <v>DH023</v>
      </c>
      <c r="W79" s="22" t="str">
        <f>IF(INDEX('Shot Map'!$B$6:$V$26,CEILING($A79/5,1),CEILING(W$2/5,1))=1,INDEX('Serial Reference'!$A$8:$W$8,1,FLOOR(($A79-1)/23,1)+1)&amp;INDEX('Serial Reference'!$A$8:$W$8,1,MOD($A79-1,23)+1)&amp;TEXT(W$2+FLOOR((W$2-1)/9,1),"000"),"")</f>
        <v>DH024</v>
      </c>
      <c r="X79" s="22" t="str">
        <f>IF(INDEX('Shot Map'!$B$6:$V$26,CEILING($A79/5,1),CEILING(X$2/5,1))=1,INDEX('Serial Reference'!$A$8:$W$8,1,FLOOR(($A79-1)/23,1)+1)&amp;INDEX('Serial Reference'!$A$8:$W$8,1,MOD($A79-1,23)+1)&amp;TEXT(X$2+FLOOR((X$2-1)/9,1),"000"),"")</f>
        <v>DH025</v>
      </c>
      <c r="Y79" s="22" t="str">
        <f>IF(INDEX('Shot Map'!$B$6:$V$26,CEILING($A79/5,1),CEILING(Y$2/5,1))=1,INDEX('Serial Reference'!$A$8:$W$8,1,FLOOR(($A79-1)/23,1)+1)&amp;INDEX('Serial Reference'!$A$8:$W$8,1,MOD($A79-1,23)+1)&amp;TEXT(Y$2+FLOOR((Y$2-1)/9,1),"000"),"")</f>
        <v>DH026</v>
      </c>
      <c r="Z79" s="23" t="str">
        <f>IF(INDEX('Shot Map'!$B$6:$V$26,CEILING($A79/5,1),CEILING(Z$2/5,1))=1,INDEX('Serial Reference'!$A$8:$W$8,1,FLOOR(($A79-1)/23,1)+1)&amp;INDEX('Serial Reference'!$A$8:$W$8,1,MOD($A79-1,23)+1)&amp;TEXT(Z$2+FLOOR((Z$2-1)/9,1),"000"),"")</f>
        <v>DH027</v>
      </c>
      <c r="AA79" s="21" t="str">
        <f>IF(INDEX('Shot Map'!$B$6:$V$26,CEILING($A79/5,1),CEILING(AA$2/5,1))=1,INDEX('Serial Reference'!$A$8:$W$8,1,FLOOR(($A79-1)/23,1)+1)&amp;INDEX('Serial Reference'!$A$8:$W$8,1,MOD($A79-1,23)+1)&amp;TEXT(AA$2+FLOOR((AA$2-1)/9,1),"000"),"")</f>
        <v>DH028</v>
      </c>
      <c r="AB79" s="22" t="str">
        <f>IF(INDEX('Shot Map'!$B$6:$V$26,CEILING($A79/5,1),CEILING(AB$2/5,1))=1,INDEX('Serial Reference'!$A$8:$W$8,1,FLOOR(($A79-1)/23,1)+1)&amp;INDEX('Serial Reference'!$A$8:$W$8,1,MOD($A79-1,23)+1)&amp;TEXT(AB$2+FLOOR((AB$2-1)/9,1),"000"),"")</f>
        <v>DH029</v>
      </c>
      <c r="AC79" s="22" t="str">
        <f>IF(INDEX('Shot Map'!$B$6:$V$26,CEILING($A79/5,1),CEILING(AC$2/5,1))=1,INDEX('Serial Reference'!$A$8:$W$8,1,FLOOR(($A79-1)/23,1)+1)&amp;INDEX('Serial Reference'!$A$8:$W$8,1,MOD($A79-1,23)+1)&amp;TEXT(AC$2+FLOOR((AC$2-1)/9,1),"000"),"")</f>
        <v>DH031</v>
      </c>
      <c r="AD79" s="22" t="str">
        <f>IF(INDEX('Shot Map'!$B$6:$V$26,CEILING($A79/5,1),CEILING(AD$2/5,1))=1,INDEX('Serial Reference'!$A$8:$W$8,1,FLOOR(($A79-1)/23,1)+1)&amp;INDEX('Serial Reference'!$A$8:$W$8,1,MOD($A79-1,23)+1)&amp;TEXT(AD$2+FLOOR((AD$2-1)/9,1),"000"),"")</f>
        <v>DH032</v>
      </c>
      <c r="AE79" s="23" t="str">
        <f>IF(INDEX('Shot Map'!$B$6:$V$26,CEILING($A79/5,1),CEILING(AE$2/5,1))=1,INDEX('Serial Reference'!$A$8:$W$8,1,FLOOR(($A79-1)/23,1)+1)&amp;INDEX('Serial Reference'!$A$8:$W$8,1,MOD($A79-1,23)+1)&amp;TEXT(AE$2+FLOOR((AE$2-1)/9,1),"000"),"")</f>
        <v>DH033</v>
      </c>
      <c r="AF79" s="21" t="str">
        <f>IF(INDEX('Shot Map'!$B$6:$V$26,CEILING($A79/5,1),CEILING(AF$2/5,1))=1,INDEX('Serial Reference'!$A$8:$W$8,1,FLOOR(($A79-1)/23,1)+1)&amp;INDEX('Serial Reference'!$A$8:$W$8,1,MOD($A79-1,23)+1)&amp;TEXT(AF$2+FLOOR((AF$2-1)/9,1),"000"),"")</f>
        <v>DH034</v>
      </c>
      <c r="AG79" s="22" t="str">
        <f>IF(INDEX('Shot Map'!$B$6:$V$26,CEILING($A79/5,1),CEILING(AG$2/5,1))=1,INDEX('Serial Reference'!$A$8:$W$8,1,FLOOR(($A79-1)/23,1)+1)&amp;INDEX('Serial Reference'!$A$8:$W$8,1,MOD($A79-1,23)+1)&amp;TEXT(AG$2+FLOOR((AG$2-1)/9,1),"000"),"")</f>
        <v>DH035</v>
      </c>
      <c r="AH79" s="22" t="str">
        <f>IF(INDEX('Shot Map'!$B$6:$V$26,CEILING($A79/5,1),CEILING(AH$2/5,1))=1,INDEX('Serial Reference'!$A$8:$W$8,1,FLOOR(($A79-1)/23,1)+1)&amp;INDEX('Serial Reference'!$A$8:$W$8,1,MOD($A79-1,23)+1)&amp;TEXT(AH$2+FLOOR((AH$2-1)/9,1),"000"),"")</f>
        <v>DH036</v>
      </c>
      <c r="AI79" s="22" t="str">
        <f>IF(INDEX('Shot Map'!$B$6:$V$26,CEILING($A79/5,1),CEILING(AI$2/5,1))=1,INDEX('Serial Reference'!$A$8:$W$8,1,FLOOR(($A79-1)/23,1)+1)&amp;INDEX('Serial Reference'!$A$8:$W$8,1,MOD($A79-1,23)+1)&amp;TEXT(AI$2+FLOOR((AI$2-1)/9,1),"000"),"")</f>
        <v>DH037</v>
      </c>
      <c r="AJ79" s="23" t="str">
        <f>IF(INDEX('Shot Map'!$B$6:$V$26,CEILING($A79/5,1),CEILING(AJ$2/5,1))=1,INDEX('Serial Reference'!$A$8:$W$8,1,FLOOR(($A79-1)/23,1)+1)&amp;INDEX('Serial Reference'!$A$8:$W$8,1,MOD($A79-1,23)+1)&amp;TEXT(AJ$2+FLOOR((AJ$2-1)/9,1),"000"),"")</f>
        <v>DH038</v>
      </c>
      <c r="AK79" s="21" t="str">
        <f>IF(INDEX('Shot Map'!$B$6:$V$26,CEILING($A79/5,1),CEILING(AK$2/5,1))=1,INDEX('Serial Reference'!$A$8:$W$8,1,FLOOR(($A79-1)/23,1)+1)&amp;INDEX('Serial Reference'!$A$8:$W$8,1,MOD($A79-1,23)+1)&amp;TEXT(AK$2+FLOOR((AK$2-1)/9,1),"000"),"")</f>
        <v>DH039</v>
      </c>
      <c r="AL79" s="22" t="str">
        <f>IF(INDEX('Shot Map'!$B$6:$V$26,CEILING($A79/5,1),CEILING(AL$2/5,1))=1,INDEX('Serial Reference'!$A$8:$W$8,1,FLOOR(($A79-1)/23,1)+1)&amp;INDEX('Serial Reference'!$A$8:$W$8,1,MOD($A79-1,23)+1)&amp;TEXT(AL$2+FLOOR((AL$2-1)/9,1),"000"),"")</f>
        <v>DH041</v>
      </c>
      <c r="AM79" s="22" t="str">
        <f>IF(INDEX('Shot Map'!$B$6:$V$26,CEILING($A79/5,1),CEILING(AM$2/5,1))=1,INDEX('Serial Reference'!$A$8:$W$8,1,FLOOR(($A79-1)/23,1)+1)&amp;INDEX('Serial Reference'!$A$8:$W$8,1,MOD($A79-1,23)+1)&amp;TEXT(AM$2+FLOOR((AM$2-1)/9,1),"000"),"")</f>
        <v>DH042</v>
      </c>
      <c r="AN79" s="22" t="str">
        <f>IF(INDEX('Shot Map'!$B$6:$V$26,CEILING($A79/5,1),CEILING(AN$2/5,1))=1,INDEX('Serial Reference'!$A$8:$W$8,1,FLOOR(($A79-1)/23,1)+1)&amp;INDEX('Serial Reference'!$A$8:$W$8,1,MOD($A79-1,23)+1)&amp;TEXT(AN$2+FLOOR((AN$2-1)/9,1),"000"),"")</f>
        <v>DH043</v>
      </c>
      <c r="AO79" s="23" t="str">
        <f>IF(INDEX('Shot Map'!$B$6:$V$26,CEILING($A79/5,1),CEILING(AO$2/5,1))=1,INDEX('Serial Reference'!$A$8:$W$8,1,FLOOR(($A79-1)/23,1)+1)&amp;INDEX('Serial Reference'!$A$8:$W$8,1,MOD($A79-1,23)+1)&amp;TEXT(AO$2+FLOOR((AO$2-1)/9,1),"000"),"")</f>
        <v>DH044</v>
      </c>
      <c r="AP79" s="21" t="str">
        <f>IF(INDEX('Shot Map'!$B$6:$V$26,CEILING($A79/5,1),CEILING(AP$2/5,1))=1,INDEX('Serial Reference'!$A$8:$W$8,1,FLOOR(($A79-1)/23,1)+1)&amp;INDEX('Serial Reference'!$A$8:$W$8,1,MOD($A79-1,23)+1)&amp;TEXT(AP$2+FLOOR((AP$2-1)/9,1),"000"),"")</f>
        <v>DH045</v>
      </c>
      <c r="AQ79" s="22" t="str">
        <f>IF(INDEX('Shot Map'!$B$6:$V$26,CEILING($A79/5,1),CEILING(AQ$2/5,1))=1,INDEX('Serial Reference'!$A$8:$W$8,1,FLOOR(($A79-1)/23,1)+1)&amp;INDEX('Serial Reference'!$A$8:$W$8,1,MOD($A79-1,23)+1)&amp;TEXT(AQ$2+FLOOR((AQ$2-1)/9,1),"000"),"")</f>
        <v>DH046</v>
      </c>
      <c r="AR79" s="22" t="str">
        <f>IF(INDEX('Shot Map'!$B$6:$V$26,CEILING($A79/5,1),CEILING(AR$2/5,1))=1,INDEX('Serial Reference'!$A$8:$W$8,1,FLOOR(($A79-1)/23,1)+1)&amp;INDEX('Serial Reference'!$A$8:$W$8,1,MOD($A79-1,23)+1)&amp;TEXT(AR$2+FLOOR((AR$2-1)/9,1),"000"),"")</f>
        <v>DH047</v>
      </c>
      <c r="AS79" s="22" t="str">
        <f>IF(INDEX('Shot Map'!$B$6:$V$26,CEILING($A79/5,1),CEILING(AS$2/5,1))=1,INDEX('Serial Reference'!$A$8:$W$8,1,FLOOR(($A79-1)/23,1)+1)&amp;INDEX('Serial Reference'!$A$8:$W$8,1,MOD($A79-1,23)+1)&amp;TEXT(AS$2+FLOOR((AS$2-1)/9,1),"000"),"")</f>
        <v>DH048</v>
      </c>
      <c r="AT79" s="23" t="str">
        <f>IF(INDEX('Shot Map'!$B$6:$V$26,CEILING($A79/5,1),CEILING(AT$2/5,1))=1,INDEX('Serial Reference'!$A$8:$W$8,1,FLOOR(($A79-1)/23,1)+1)&amp;INDEX('Serial Reference'!$A$8:$W$8,1,MOD($A79-1,23)+1)&amp;TEXT(AT$2+FLOOR((AT$2-1)/9,1),"000"),"")</f>
        <v>DH049</v>
      </c>
      <c r="AU79" s="21" t="str">
        <f>IF(INDEX('Shot Map'!$B$6:$V$26,CEILING($A79/5,1),CEILING(AU$2/5,1))=1,INDEX('Serial Reference'!$A$8:$W$8,1,FLOOR(($A79-1)/23,1)+1)&amp;INDEX('Serial Reference'!$A$8:$W$8,1,MOD($A79-1,23)+1)&amp;TEXT(AU$2+FLOOR((AU$2-1)/9,1),"000"),"")</f>
        <v>DH051</v>
      </c>
      <c r="AV79" s="22" t="str">
        <f>IF(INDEX('Shot Map'!$B$6:$V$26,CEILING($A79/5,1),CEILING(AV$2/5,1))=1,INDEX('Serial Reference'!$A$8:$W$8,1,FLOOR(($A79-1)/23,1)+1)&amp;INDEX('Serial Reference'!$A$8:$W$8,1,MOD($A79-1,23)+1)&amp;TEXT(AV$2+FLOOR((AV$2-1)/9,1),"000"),"")</f>
        <v>DH052</v>
      </c>
      <c r="AW79" s="22" t="str">
        <f>IF(INDEX('Shot Map'!$B$6:$V$26,CEILING($A79/5,1),CEILING(AW$2/5,1))=1,INDEX('Serial Reference'!$A$8:$W$8,1,FLOOR(($A79-1)/23,1)+1)&amp;INDEX('Serial Reference'!$A$8:$W$8,1,MOD($A79-1,23)+1)&amp;TEXT(AW$2+FLOOR((AW$2-1)/9,1),"000"),"")</f>
        <v>DH053</v>
      </c>
      <c r="AX79" s="22" t="str">
        <f>IF(INDEX('Shot Map'!$B$6:$V$26,CEILING($A79/5,1),CEILING(AX$2/5,1))=1,INDEX('Serial Reference'!$A$8:$W$8,1,FLOOR(($A79-1)/23,1)+1)&amp;INDEX('Serial Reference'!$A$8:$W$8,1,MOD($A79-1,23)+1)&amp;TEXT(AX$2+FLOOR((AX$2-1)/9,1),"000"),"")</f>
        <v>DH054</v>
      </c>
      <c r="AY79" s="23" t="str">
        <f>IF(INDEX('Shot Map'!$B$6:$V$26,CEILING($A79/5,1),CEILING(AY$2/5,1))=1,INDEX('Serial Reference'!$A$8:$W$8,1,FLOOR(($A79-1)/23,1)+1)&amp;INDEX('Serial Reference'!$A$8:$W$8,1,MOD($A79-1,23)+1)&amp;TEXT(AY$2+FLOOR((AY$2-1)/9,1),"000"),"")</f>
        <v>DH055</v>
      </c>
      <c r="AZ79" s="21" t="str">
        <f>IF(INDEX('Shot Map'!$B$6:$V$26,CEILING($A79/5,1),CEILING(AZ$2/5,1))=1,INDEX('Serial Reference'!$A$8:$W$8,1,FLOOR(($A79-1)/23,1)+1)&amp;INDEX('Serial Reference'!$A$8:$W$8,1,MOD($A79-1,23)+1)&amp;TEXT(AZ$2+FLOOR((AZ$2-1)/9,1),"000"),"")</f>
        <v>DH056</v>
      </c>
      <c r="BA79" s="22" t="str">
        <f>IF(INDEX('Shot Map'!$B$6:$V$26,CEILING($A79/5,1),CEILING(BA$2/5,1))=1,INDEX('Serial Reference'!$A$8:$W$8,1,FLOOR(($A79-1)/23,1)+1)&amp;INDEX('Serial Reference'!$A$8:$W$8,1,MOD($A79-1,23)+1)&amp;TEXT(BA$2+FLOOR((BA$2-1)/9,1),"000"),"")</f>
        <v>DH057</v>
      </c>
      <c r="BB79" s="22" t="str">
        <f>IF(INDEX('Shot Map'!$B$6:$V$26,CEILING($A79/5,1),CEILING(BB$2/5,1))=1,INDEX('Serial Reference'!$A$8:$W$8,1,FLOOR(($A79-1)/23,1)+1)&amp;INDEX('Serial Reference'!$A$8:$W$8,1,MOD($A79-1,23)+1)&amp;TEXT(BB$2+FLOOR((BB$2-1)/9,1),"000"),"")</f>
        <v>DH058</v>
      </c>
      <c r="BC79" s="22" t="str">
        <f>IF(INDEX('Shot Map'!$B$6:$V$26,CEILING($A79/5,1),CEILING(BC$2/5,1))=1,INDEX('Serial Reference'!$A$8:$W$8,1,FLOOR(($A79-1)/23,1)+1)&amp;INDEX('Serial Reference'!$A$8:$W$8,1,MOD($A79-1,23)+1)&amp;TEXT(BC$2+FLOOR((BC$2-1)/9,1),"000"),"")</f>
        <v>DH059</v>
      </c>
      <c r="BD79" s="23" t="str">
        <f>IF(INDEX('Shot Map'!$B$6:$V$26,CEILING($A79/5,1),CEILING(BD$2/5,1))=1,INDEX('Serial Reference'!$A$8:$W$8,1,FLOOR(($A79-1)/23,1)+1)&amp;INDEX('Serial Reference'!$A$8:$W$8,1,MOD($A79-1,23)+1)&amp;TEXT(BD$2+FLOOR((BD$2-1)/9,1),"000"),"")</f>
        <v>DH061</v>
      </c>
      <c r="BE79" s="21" t="str">
        <f>IF(INDEX('Shot Map'!$B$6:$V$26,CEILING($A79/5,1),CEILING(BE$2/5,1))=1,INDEX('Serial Reference'!$A$8:$W$8,1,FLOOR(($A79-1)/23,1)+1)&amp;INDEX('Serial Reference'!$A$8:$W$8,1,MOD($A79-1,23)+1)&amp;TEXT(BE$2+FLOOR((BE$2-1)/9,1),"000"),"")</f>
        <v>DH062</v>
      </c>
      <c r="BF79" s="22" t="str">
        <f>IF(INDEX('Shot Map'!$B$6:$V$26,CEILING($A79/5,1),CEILING(BF$2/5,1))=1,INDEX('Serial Reference'!$A$8:$W$8,1,FLOOR(($A79-1)/23,1)+1)&amp;INDEX('Serial Reference'!$A$8:$W$8,1,MOD($A79-1,23)+1)&amp;TEXT(BF$2+FLOOR((BF$2-1)/9,1),"000"),"")</f>
        <v>DH063</v>
      </c>
      <c r="BG79" s="22" t="str">
        <f>IF(INDEX('Shot Map'!$B$6:$V$26,CEILING($A79/5,1),CEILING(BG$2/5,1))=1,INDEX('Serial Reference'!$A$8:$W$8,1,FLOOR(($A79-1)/23,1)+1)&amp;INDEX('Serial Reference'!$A$8:$W$8,1,MOD($A79-1,23)+1)&amp;TEXT(BG$2+FLOOR((BG$2-1)/9,1),"000"),"")</f>
        <v>DH064</v>
      </c>
      <c r="BH79" s="22" t="str">
        <f>IF(INDEX('Shot Map'!$B$6:$V$26,CEILING($A79/5,1),CEILING(BH$2/5,1))=1,INDEX('Serial Reference'!$A$8:$W$8,1,FLOOR(($A79-1)/23,1)+1)&amp;INDEX('Serial Reference'!$A$8:$W$8,1,MOD($A79-1,23)+1)&amp;TEXT(BH$2+FLOOR((BH$2-1)/9,1),"000"),"")</f>
        <v>DH065</v>
      </c>
      <c r="BI79" s="23" t="str">
        <f>IF(INDEX('Shot Map'!$B$6:$V$26,CEILING($A79/5,1),CEILING(BI$2/5,1))=1,INDEX('Serial Reference'!$A$8:$W$8,1,FLOOR(($A79-1)/23,1)+1)&amp;INDEX('Serial Reference'!$A$8:$W$8,1,MOD($A79-1,23)+1)&amp;TEXT(BI$2+FLOOR((BI$2-1)/9,1),"000"),"")</f>
        <v>DH066</v>
      </c>
      <c r="BJ79" s="21" t="str">
        <f>IF(INDEX('Shot Map'!$B$6:$V$26,CEILING($A79/5,1),CEILING(BJ$2/5,1))=1,INDEX('Serial Reference'!$A$8:$W$8,1,FLOOR(($A79-1)/23,1)+1)&amp;INDEX('Serial Reference'!$A$8:$W$8,1,MOD($A79-1,23)+1)&amp;TEXT(BJ$2+FLOOR((BJ$2-1)/9,1),"000"),"")</f>
        <v>DH067</v>
      </c>
      <c r="BK79" s="22" t="str">
        <f>IF(INDEX('Shot Map'!$B$6:$V$26,CEILING($A79/5,1),CEILING(BK$2/5,1))=1,INDEX('Serial Reference'!$A$8:$W$8,1,FLOOR(($A79-1)/23,1)+1)&amp;INDEX('Serial Reference'!$A$8:$W$8,1,MOD($A79-1,23)+1)&amp;TEXT(BK$2+FLOOR((BK$2-1)/9,1),"000"),"")</f>
        <v>DH068</v>
      </c>
      <c r="BL79" s="22" t="str">
        <f>IF(INDEX('Shot Map'!$B$6:$V$26,CEILING($A79/5,1),CEILING(BL$2/5,1))=1,INDEX('Serial Reference'!$A$8:$W$8,1,FLOOR(($A79-1)/23,1)+1)&amp;INDEX('Serial Reference'!$A$8:$W$8,1,MOD($A79-1,23)+1)&amp;TEXT(BL$2+FLOOR((BL$2-1)/9,1),"000"),"")</f>
        <v>DH069</v>
      </c>
      <c r="BM79" s="22" t="str">
        <f>IF(INDEX('Shot Map'!$B$6:$V$26,CEILING($A79/5,1),CEILING(BM$2/5,1))=1,INDEX('Serial Reference'!$A$8:$W$8,1,FLOOR(($A79-1)/23,1)+1)&amp;INDEX('Serial Reference'!$A$8:$W$8,1,MOD($A79-1,23)+1)&amp;TEXT(BM$2+FLOOR((BM$2-1)/9,1),"000"),"")</f>
        <v>DH071</v>
      </c>
      <c r="BN79" s="23" t="str">
        <f>IF(INDEX('Shot Map'!$B$6:$V$26,CEILING($A79/5,1),CEILING(BN$2/5,1))=1,INDEX('Serial Reference'!$A$8:$W$8,1,FLOOR(($A79-1)/23,1)+1)&amp;INDEX('Serial Reference'!$A$8:$W$8,1,MOD($A79-1,23)+1)&amp;TEXT(BN$2+FLOOR((BN$2-1)/9,1),"000"),"")</f>
        <v>DH072</v>
      </c>
      <c r="BO79" s="21" t="str">
        <f>IF(INDEX('Shot Map'!$B$6:$V$26,CEILING($A79/5,1),CEILING(BO$2/5,1))=1,INDEX('Serial Reference'!$A$8:$W$8,1,FLOOR(($A79-1)/23,1)+1)&amp;INDEX('Serial Reference'!$A$8:$W$8,1,MOD($A79-1,23)+1)&amp;TEXT(BO$2+FLOOR((BO$2-1)/9,1),"000"),"")</f>
        <v>DH073</v>
      </c>
      <c r="BP79" s="22" t="str">
        <f>IF(INDEX('Shot Map'!$B$6:$V$26,CEILING($A79/5,1),CEILING(BP$2/5,1))=1,INDEX('Serial Reference'!$A$8:$W$8,1,FLOOR(($A79-1)/23,1)+1)&amp;INDEX('Serial Reference'!$A$8:$W$8,1,MOD($A79-1,23)+1)&amp;TEXT(BP$2+FLOOR((BP$2-1)/9,1),"000"),"")</f>
        <v>DH074</v>
      </c>
      <c r="BQ79" s="22" t="str">
        <f>IF(INDEX('Shot Map'!$B$6:$V$26,CEILING($A79/5,1),CEILING(BQ$2/5,1))=1,INDEX('Serial Reference'!$A$8:$W$8,1,FLOOR(($A79-1)/23,1)+1)&amp;INDEX('Serial Reference'!$A$8:$W$8,1,MOD($A79-1,23)+1)&amp;TEXT(BQ$2+FLOOR((BQ$2-1)/9,1),"000"),"")</f>
        <v>DH075</v>
      </c>
      <c r="BR79" s="22" t="str">
        <f>IF(INDEX('Shot Map'!$B$6:$V$26,CEILING($A79/5,1),CEILING(BR$2/5,1))=1,INDEX('Serial Reference'!$A$8:$W$8,1,FLOOR(($A79-1)/23,1)+1)&amp;INDEX('Serial Reference'!$A$8:$W$8,1,MOD($A79-1,23)+1)&amp;TEXT(BR$2+FLOOR((BR$2-1)/9,1),"000"),"")</f>
        <v>DH076</v>
      </c>
      <c r="BS79" s="23" t="str">
        <f>IF(INDEX('Shot Map'!$B$6:$V$26,CEILING($A79/5,1),CEILING(BS$2/5,1))=1,INDEX('Serial Reference'!$A$8:$W$8,1,FLOOR(($A79-1)/23,1)+1)&amp;INDEX('Serial Reference'!$A$8:$W$8,1,MOD($A79-1,23)+1)&amp;TEXT(BS$2+FLOOR((BS$2-1)/9,1),"000"),"")</f>
        <v>DH077</v>
      </c>
      <c r="BT79" s="21" t="str">
        <f>IF(INDEX('Shot Map'!$B$6:$V$26,CEILING($A79/5,1),CEILING(BT$2/5,1))=1,INDEX('Serial Reference'!$A$8:$W$8,1,FLOOR(($A79-1)/23,1)+1)&amp;INDEX('Serial Reference'!$A$8:$W$8,1,MOD($A79-1,23)+1)&amp;TEXT(BT$2+FLOOR((BT$2-1)/9,1),"000"),"")</f>
        <v>DH078</v>
      </c>
      <c r="BU79" s="22" t="str">
        <f>IF(INDEX('Shot Map'!$B$6:$V$26,CEILING($A79/5,1),CEILING(BU$2/5,1))=1,INDEX('Serial Reference'!$A$8:$W$8,1,FLOOR(($A79-1)/23,1)+1)&amp;INDEX('Serial Reference'!$A$8:$W$8,1,MOD($A79-1,23)+1)&amp;TEXT(BU$2+FLOOR((BU$2-1)/9,1),"000"),"")</f>
        <v>DH079</v>
      </c>
      <c r="BV79" s="22" t="str">
        <f>IF(INDEX('Shot Map'!$B$6:$V$26,CEILING($A79/5,1),CEILING(BV$2/5,1))=1,INDEX('Serial Reference'!$A$8:$W$8,1,FLOOR(($A79-1)/23,1)+1)&amp;INDEX('Serial Reference'!$A$8:$W$8,1,MOD($A79-1,23)+1)&amp;TEXT(BV$2+FLOOR((BV$2-1)/9,1),"000"),"")</f>
        <v>DH081</v>
      </c>
      <c r="BW79" s="22" t="str">
        <f>IF(INDEX('Shot Map'!$B$6:$V$26,CEILING($A79/5,1),CEILING(BW$2/5,1))=1,INDEX('Serial Reference'!$A$8:$W$8,1,FLOOR(($A79-1)/23,1)+1)&amp;INDEX('Serial Reference'!$A$8:$W$8,1,MOD($A79-1,23)+1)&amp;TEXT(BW$2+FLOOR((BW$2-1)/9,1),"000"),"")</f>
        <v>DH082</v>
      </c>
      <c r="BX79" s="23" t="str">
        <f>IF(INDEX('Shot Map'!$B$6:$V$26,CEILING($A79/5,1),CEILING(BX$2/5,1))=1,INDEX('Serial Reference'!$A$8:$W$8,1,FLOOR(($A79-1)/23,1)+1)&amp;INDEX('Serial Reference'!$A$8:$W$8,1,MOD($A79-1,23)+1)&amp;TEXT(BX$2+FLOOR((BX$2-1)/9,1),"000"),"")</f>
        <v>DH083</v>
      </c>
      <c r="BY79" s="21" t="str">
        <f>IF(INDEX('Shot Map'!$B$6:$V$26,CEILING($A79/5,1),CEILING(BY$2/5,1))=1,INDEX('Serial Reference'!$A$8:$W$8,1,FLOOR(($A79-1)/23,1)+1)&amp;INDEX('Serial Reference'!$A$8:$W$8,1,MOD($A79-1,23)+1)&amp;TEXT(BY$2+FLOOR((BY$2-1)/9,1),"000"),"")</f>
        <v>DH084</v>
      </c>
      <c r="BZ79" s="22" t="str">
        <f>IF(INDEX('Shot Map'!$B$6:$V$26,CEILING($A79/5,1),CEILING(BZ$2/5,1))=1,INDEX('Serial Reference'!$A$8:$W$8,1,FLOOR(($A79-1)/23,1)+1)&amp;INDEX('Serial Reference'!$A$8:$W$8,1,MOD($A79-1,23)+1)&amp;TEXT(BZ$2+FLOOR((BZ$2-1)/9,1),"000"),"")</f>
        <v>DH085</v>
      </c>
      <c r="CA79" s="22" t="str">
        <f>IF(INDEX('Shot Map'!$B$6:$V$26,CEILING($A79/5,1),CEILING(CA$2/5,1))=1,INDEX('Serial Reference'!$A$8:$W$8,1,FLOOR(($A79-1)/23,1)+1)&amp;INDEX('Serial Reference'!$A$8:$W$8,1,MOD($A79-1,23)+1)&amp;TEXT(CA$2+FLOOR((CA$2-1)/9,1),"000"),"")</f>
        <v>DH086</v>
      </c>
      <c r="CB79" s="22" t="str">
        <f>IF(INDEX('Shot Map'!$B$6:$V$26,CEILING($A79/5,1),CEILING(CB$2/5,1))=1,INDEX('Serial Reference'!$A$8:$W$8,1,FLOOR(($A79-1)/23,1)+1)&amp;INDEX('Serial Reference'!$A$8:$W$8,1,MOD($A79-1,23)+1)&amp;TEXT(CB$2+FLOOR((CB$2-1)/9,1),"000"),"")</f>
        <v>DH087</v>
      </c>
      <c r="CC79" s="23" t="str">
        <f>IF(INDEX('Shot Map'!$B$6:$V$26,CEILING($A79/5,1),CEILING(CC$2/5,1))=1,INDEX('Serial Reference'!$A$8:$W$8,1,FLOOR(($A79-1)/23,1)+1)&amp;INDEX('Serial Reference'!$A$8:$W$8,1,MOD($A79-1,23)+1)&amp;TEXT(CC$2+FLOOR((CC$2-1)/9,1),"000"),"")</f>
        <v>DH088</v>
      </c>
      <c r="CD79" s="21" t="str">
        <f>IF(INDEX('Shot Map'!$B$6:$V$26,CEILING($A79/5,1),CEILING(CD$2/5,1))=1,INDEX('Serial Reference'!$A$8:$W$8,1,FLOOR(($A79-1)/23,1)+1)&amp;INDEX('Serial Reference'!$A$8:$W$8,1,MOD($A79-1,23)+1)&amp;TEXT(CD$2+FLOOR((CD$2-1)/9,1),"000"),"")</f>
        <v>DH089</v>
      </c>
      <c r="CE79" s="22" t="str">
        <f>IF(INDEX('Shot Map'!$B$6:$V$26,CEILING($A79/5,1),CEILING(CE$2/5,1))=1,INDEX('Serial Reference'!$A$8:$W$8,1,FLOOR(($A79-1)/23,1)+1)&amp;INDEX('Serial Reference'!$A$8:$W$8,1,MOD($A79-1,23)+1)&amp;TEXT(CE$2+FLOOR((CE$2-1)/9,1),"000"),"")</f>
        <v>DH091</v>
      </c>
      <c r="CF79" s="22" t="str">
        <f>IF(INDEX('Shot Map'!$B$6:$V$26,CEILING($A79/5,1),CEILING(CF$2/5,1))=1,INDEX('Serial Reference'!$A$8:$W$8,1,FLOOR(($A79-1)/23,1)+1)&amp;INDEX('Serial Reference'!$A$8:$W$8,1,MOD($A79-1,23)+1)&amp;TEXT(CF$2+FLOOR((CF$2-1)/9,1),"000"),"")</f>
        <v>DH092</v>
      </c>
      <c r="CG79" s="22" t="str">
        <f>IF(INDEX('Shot Map'!$B$6:$V$26,CEILING($A79/5,1),CEILING(CG$2/5,1))=1,INDEX('Serial Reference'!$A$8:$W$8,1,FLOOR(($A79-1)/23,1)+1)&amp;INDEX('Serial Reference'!$A$8:$W$8,1,MOD($A79-1,23)+1)&amp;TEXT(CG$2+FLOOR((CG$2-1)/9,1),"000"),"")</f>
        <v>DH093</v>
      </c>
      <c r="CH79" s="23" t="str">
        <f>IF(INDEX('Shot Map'!$B$6:$V$26,CEILING($A79/5,1),CEILING(CH$2/5,1))=1,INDEX('Serial Reference'!$A$8:$W$8,1,FLOOR(($A79-1)/23,1)+1)&amp;INDEX('Serial Reference'!$A$8:$W$8,1,MOD($A79-1,23)+1)&amp;TEXT(CH$2+FLOOR((CH$2-1)/9,1),"000"),"")</f>
        <v>DH094</v>
      </c>
      <c r="CI79" s="21" t="str">
        <f>IF(INDEX('Shot Map'!$B$6:$V$26,CEILING($A79/5,1),CEILING(CI$2/5,1))=1,INDEX('Serial Reference'!$A$8:$W$8,1,FLOOR(($A79-1)/23,1)+1)&amp;INDEX('Serial Reference'!$A$8:$W$8,1,MOD($A79-1,23)+1)&amp;TEXT(CI$2+FLOOR((CI$2-1)/9,1),"000"),"")</f>
        <v>DH095</v>
      </c>
      <c r="CJ79" s="22" t="str">
        <f>IF(INDEX('Shot Map'!$B$6:$V$26,CEILING($A79/5,1),CEILING(CJ$2/5,1))=1,INDEX('Serial Reference'!$A$8:$W$8,1,FLOOR(($A79-1)/23,1)+1)&amp;INDEX('Serial Reference'!$A$8:$W$8,1,MOD($A79-1,23)+1)&amp;TEXT(CJ$2+FLOOR((CJ$2-1)/9,1),"000"),"")</f>
        <v>DH096</v>
      </c>
      <c r="CK79" s="22" t="str">
        <f>IF(INDEX('Shot Map'!$B$6:$V$26,CEILING($A79/5,1),CEILING(CK$2/5,1))=1,INDEX('Serial Reference'!$A$8:$W$8,1,FLOOR(($A79-1)/23,1)+1)&amp;INDEX('Serial Reference'!$A$8:$W$8,1,MOD($A79-1,23)+1)&amp;TEXT(CK$2+FLOOR((CK$2-1)/9,1),"000"),"")</f>
        <v>DH097</v>
      </c>
      <c r="CL79" s="22" t="str">
        <f>IF(INDEX('Shot Map'!$B$6:$V$26,CEILING($A79/5,1),CEILING(CL$2/5,1))=1,INDEX('Serial Reference'!$A$8:$W$8,1,FLOOR(($A79-1)/23,1)+1)&amp;INDEX('Serial Reference'!$A$8:$W$8,1,MOD($A79-1,23)+1)&amp;TEXT(CL$2+FLOOR((CL$2-1)/9,1),"000"),"")</f>
        <v>DH098</v>
      </c>
      <c r="CM79" s="23" t="str">
        <f>IF(INDEX('Shot Map'!$B$6:$V$26,CEILING($A79/5,1),CEILING(CM$2/5,1))=1,INDEX('Serial Reference'!$A$8:$W$8,1,FLOOR(($A79-1)/23,1)+1)&amp;INDEX('Serial Reference'!$A$8:$W$8,1,MOD($A79-1,23)+1)&amp;TEXT(CM$2+FLOOR((CM$2-1)/9,1),"000"),"")</f>
        <v>DH099</v>
      </c>
      <c r="CN79" s="21" t="str">
        <f>IF(INDEX('Shot Map'!$B$6:$V$26,CEILING($A79/5,1),CEILING(CN$2/5,1))=1,INDEX('Serial Reference'!$A$8:$W$8,1,FLOOR(($A79-1)/23,1)+1)&amp;INDEX('Serial Reference'!$A$8:$W$8,1,MOD($A79-1,23)+1)&amp;TEXT(CN$2+FLOOR((CN$2-1)/9,1),"000"),"")</f>
        <v>DH101</v>
      </c>
      <c r="CO79" s="22" t="str">
        <f>IF(INDEX('Shot Map'!$B$6:$V$26,CEILING($A79/5,1),CEILING(CO$2/5,1))=1,INDEX('Serial Reference'!$A$8:$W$8,1,FLOOR(($A79-1)/23,1)+1)&amp;INDEX('Serial Reference'!$A$8:$W$8,1,MOD($A79-1,23)+1)&amp;TEXT(CO$2+FLOOR((CO$2-1)/9,1),"000"),"")</f>
        <v>DH102</v>
      </c>
      <c r="CP79" s="22" t="str">
        <f>IF(INDEX('Shot Map'!$B$6:$V$26,CEILING($A79/5,1),CEILING(CP$2/5,1))=1,INDEX('Serial Reference'!$A$8:$W$8,1,FLOOR(($A79-1)/23,1)+1)&amp;INDEX('Serial Reference'!$A$8:$W$8,1,MOD($A79-1,23)+1)&amp;TEXT(CP$2+FLOOR((CP$2-1)/9,1),"000"),"")</f>
        <v>DH103</v>
      </c>
      <c r="CQ79" s="22" t="str">
        <f>IF(INDEX('Shot Map'!$B$6:$V$26,CEILING($A79/5,1),CEILING(CQ$2/5,1))=1,INDEX('Serial Reference'!$A$8:$W$8,1,FLOOR(($A79-1)/23,1)+1)&amp;INDEX('Serial Reference'!$A$8:$W$8,1,MOD($A79-1,23)+1)&amp;TEXT(CQ$2+FLOOR((CQ$2-1)/9,1),"000"),"")</f>
        <v>DH104</v>
      </c>
      <c r="CR79" s="23" t="str">
        <f>IF(INDEX('Shot Map'!$B$6:$V$26,CEILING($A79/5,1),CEILING(CR$2/5,1))=1,INDEX('Serial Reference'!$A$8:$W$8,1,FLOOR(($A79-1)/23,1)+1)&amp;INDEX('Serial Reference'!$A$8:$W$8,1,MOD($A79-1,23)+1)&amp;TEXT(CR$2+FLOOR((CR$2-1)/9,1),"000"),"")</f>
        <v>DH105</v>
      </c>
      <c r="CS79" s="21" t="str">
        <f>IF(INDEX('Shot Map'!$B$6:$V$26,CEILING($A79/5,1),CEILING(CS$2/5,1))=1,INDEX('Serial Reference'!$A$8:$W$8,1,FLOOR(($A79-1)/23,1)+1)&amp;INDEX('Serial Reference'!$A$8:$W$8,1,MOD($A79-1,23)+1)&amp;TEXT(CS$2+FLOOR((CS$2-1)/9,1),"000"),"")</f>
        <v/>
      </c>
      <c r="CT79" s="22" t="str">
        <f>IF(INDEX('Shot Map'!$B$6:$V$26,CEILING($A79/5,1),CEILING(CT$2/5,1))=1,INDEX('Serial Reference'!$A$8:$W$8,1,FLOOR(($A79-1)/23,1)+1)&amp;INDEX('Serial Reference'!$A$8:$W$8,1,MOD($A79-1,23)+1)&amp;TEXT(CT$2+FLOOR((CT$2-1)/9,1),"000"),"")</f>
        <v/>
      </c>
      <c r="CU79" s="22" t="str">
        <f>IF(INDEX('Shot Map'!$B$6:$V$26,CEILING($A79/5,1),CEILING(CU$2/5,1))=1,INDEX('Serial Reference'!$A$8:$W$8,1,FLOOR(($A79-1)/23,1)+1)&amp;INDEX('Serial Reference'!$A$8:$W$8,1,MOD($A79-1,23)+1)&amp;TEXT(CU$2+FLOOR((CU$2-1)/9,1),"000"),"")</f>
        <v/>
      </c>
      <c r="CV79" s="22" t="str">
        <f>IF(INDEX('Shot Map'!$B$6:$V$26,CEILING($A79/5,1),CEILING(CV$2/5,1))=1,INDEX('Serial Reference'!$A$8:$W$8,1,FLOOR(($A79-1)/23,1)+1)&amp;INDEX('Serial Reference'!$A$8:$W$8,1,MOD($A79-1,23)+1)&amp;TEXT(CV$2+FLOOR((CV$2-1)/9,1),"000"),"")</f>
        <v/>
      </c>
      <c r="CW79" s="23" t="str">
        <f>IF(INDEX('Shot Map'!$B$6:$V$26,CEILING($A79/5,1),CEILING(CW$2/5,1))=1,INDEX('Serial Reference'!$A$8:$W$8,1,FLOOR(($A79-1)/23,1)+1)&amp;INDEX('Serial Reference'!$A$8:$W$8,1,MOD($A79-1,23)+1)&amp;TEXT(CW$2+FLOOR((CW$2-1)/9,1),"000"),"")</f>
        <v/>
      </c>
      <c r="CX79" s="21" t="str">
        <f>IF(INDEX('Shot Map'!$B$6:$V$26,CEILING($A79/5,1),CEILING(CX$2/5,1))=1,INDEX('Serial Reference'!$A$8:$W$8,1,FLOOR(($A79-1)/23,1)+1)&amp;INDEX('Serial Reference'!$A$8:$W$8,1,MOD($A79-1,23)+1)&amp;TEXT(CX$2+FLOOR((CX$2-1)/9,1),"000"),"")</f>
        <v/>
      </c>
      <c r="CY79" s="22" t="str">
        <f>IF(INDEX('Shot Map'!$B$6:$V$26,CEILING($A79/5,1),CEILING(CY$2/5,1))=1,INDEX('Serial Reference'!$A$8:$W$8,1,FLOOR(($A79-1)/23,1)+1)&amp;INDEX('Serial Reference'!$A$8:$W$8,1,MOD($A79-1,23)+1)&amp;TEXT(CY$2+FLOOR((CY$2-1)/9,1),"000"),"")</f>
        <v/>
      </c>
      <c r="CZ79" s="22" t="str">
        <f>IF(INDEX('Shot Map'!$B$6:$V$26,CEILING($A79/5,1),CEILING(CZ$2/5,1))=1,INDEX('Serial Reference'!$A$8:$W$8,1,FLOOR(($A79-1)/23,1)+1)&amp;INDEX('Serial Reference'!$A$8:$W$8,1,MOD($A79-1,23)+1)&amp;TEXT(CZ$2+FLOOR((CZ$2-1)/9,1),"000"),"")</f>
        <v/>
      </c>
      <c r="DA79" s="22" t="str">
        <f>IF(INDEX('Shot Map'!$B$6:$V$26,CEILING($A79/5,1),CEILING(DA$2/5,1))=1,INDEX('Serial Reference'!$A$8:$W$8,1,FLOOR(($A79-1)/23,1)+1)&amp;INDEX('Serial Reference'!$A$8:$W$8,1,MOD($A79-1,23)+1)&amp;TEXT(DA$2+FLOOR((DA$2-1)/9,1),"000"),"")</f>
        <v/>
      </c>
      <c r="DB79" s="23" t="str">
        <f>IF(INDEX('Shot Map'!$B$6:$V$26,CEILING($A79/5,1),CEILING(DB$2/5,1))=1,INDEX('Serial Reference'!$A$8:$W$8,1,FLOOR(($A79-1)/23,1)+1)&amp;INDEX('Serial Reference'!$A$8:$W$8,1,MOD($A79-1,23)+1)&amp;TEXT(DB$2+FLOOR((DB$2-1)/9,1),"000"),"")</f>
        <v/>
      </c>
    </row>
    <row r="80" spans="1:106" ht="12.75" customHeight="1" x14ac:dyDescent="0.25">
      <c r="A80" s="17">
        <v>78</v>
      </c>
      <c r="B80" s="21" t="str">
        <f>IF(INDEX('Shot Map'!$B$6:$V$26,CEILING($A80/5,1),CEILING(B$2/5,1))=1,INDEX('Serial Reference'!$A$8:$W$8,1,FLOOR(($A80-1)/23,1)+1)&amp;INDEX('Serial Reference'!$A$8:$W$8,1,MOD($A80-1,23)+1)&amp;TEXT(B$2+FLOOR((B$2-1)/9,1),"000"),"")</f>
        <v/>
      </c>
      <c r="C80" s="22" t="str">
        <f>IF(INDEX('Shot Map'!$B$6:$V$26,CEILING($A80/5,1),CEILING(C$2/5,1))=1,INDEX('Serial Reference'!$A$8:$W$8,1,FLOOR(($A80-1)/23,1)+1)&amp;INDEX('Serial Reference'!$A$8:$W$8,1,MOD($A80-1,23)+1)&amp;TEXT(C$2+FLOOR((C$2-1)/9,1),"000"),"")</f>
        <v/>
      </c>
      <c r="D80" s="22" t="str">
        <f>IF(INDEX('Shot Map'!$B$6:$V$26,CEILING($A80/5,1),CEILING(D$2/5,1))=1,INDEX('Serial Reference'!$A$8:$W$8,1,FLOOR(($A80-1)/23,1)+1)&amp;INDEX('Serial Reference'!$A$8:$W$8,1,MOD($A80-1,23)+1)&amp;TEXT(D$2+FLOOR((D$2-1)/9,1),"000"),"")</f>
        <v/>
      </c>
      <c r="E80" s="22" t="str">
        <f>IF(INDEX('Shot Map'!$B$6:$V$26,CEILING($A80/5,1),CEILING(E$2/5,1))=1,INDEX('Serial Reference'!$A$8:$W$8,1,FLOOR(($A80-1)/23,1)+1)&amp;INDEX('Serial Reference'!$A$8:$W$8,1,MOD($A80-1,23)+1)&amp;TEXT(E$2+FLOOR((E$2-1)/9,1),"000"),"")</f>
        <v/>
      </c>
      <c r="F80" s="23" t="str">
        <f>IF(INDEX('Shot Map'!$B$6:$V$26,CEILING($A80/5,1),CEILING(F$2/5,1))=1,INDEX('Serial Reference'!$A$8:$W$8,1,FLOOR(($A80-1)/23,1)+1)&amp;INDEX('Serial Reference'!$A$8:$W$8,1,MOD($A80-1,23)+1)&amp;TEXT(F$2+FLOOR((F$2-1)/9,1),"000"),"")</f>
        <v/>
      </c>
      <c r="G80" s="21" t="str">
        <f>IF(INDEX('Shot Map'!$B$6:$V$26,CEILING($A80/5,1),CEILING(G$2/5,1))=1,INDEX('Serial Reference'!$A$8:$W$8,1,FLOOR(($A80-1)/23,1)+1)&amp;INDEX('Serial Reference'!$A$8:$W$8,1,MOD($A80-1,23)+1)&amp;TEXT(G$2+FLOOR((G$2-1)/9,1),"000"),"")</f>
        <v/>
      </c>
      <c r="H80" s="22" t="str">
        <f>IF(INDEX('Shot Map'!$B$6:$V$26,CEILING($A80/5,1),CEILING(H$2/5,1))=1,INDEX('Serial Reference'!$A$8:$W$8,1,FLOOR(($A80-1)/23,1)+1)&amp;INDEX('Serial Reference'!$A$8:$W$8,1,MOD($A80-1,23)+1)&amp;TEXT(H$2+FLOOR((H$2-1)/9,1),"000"),"")</f>
        <v/>
      </c>
      <c r="I80" s="22" t="str">
        <f>IF(INDEX('Shot Map'!$B$6:$V$26,CEILING($A80/5,1),CEILING(I$2/5,1))=1,INDEX('Serial Reference'!$A$8:$W$8,1,FLOOR(($A80-1)/23,1)+1)&amp;INDEX('Serial Reference'!$A$8:$W$8,1,MOD($A80-1,23)+1)&amp;TEXT(I$2+FLOOR((I$2-1)/9,1),"000"),"")</f>
        <v/>
      </c>
      <c r="J80" s="22" t="str">
        <f>IF(INDEX('Shot Map'!$B$6:$V$26,CEILING($A80/5,1),CEILING(J$2/5,1))=1,INDEX('Serial Reference'!$A$8:$W$8,1,FLOOR(($A80-1)/23,1)+1)&amp;INDEX('Serial Reference'!$A$8:$W$8,1,MOD($A80-1,23)+1)&amp;TEXT(J$2+FLOOR((J$2-1)/9,1),"000"),"")</f>
        <v/>
      </c>
      <c r="K80" s="23" t="str">
        <f>IF(INDEX('Shot Map'!$B$6:$V$26,CEILING($A80/5,1),CEILING(K$2/5,1))=1,INDEX('Serial Reference'!$A$8:$W$8,1,FLOOR(($A80-1)/23,1)+1)&amp;INDEX('Serial Reference'!$A$8:$W$8,1,MOD($A80-1,23)+1)&amp;TEXT(K$2+FLOOR((K$2-1)/9,1),"000"),"")</f>
        <v/>
      </c>
      <c r="L80" s="21" t="str">
        <f>IF(INDEX('Shot Map'!$B$6:$V$26,CEILING($A80/5,1),CEILING(L$2/5,1))=1,INDEX('Serial Reference'!$A$8:$W$8,1,FLOOR(($A80-1)/23,1)+1)&amp;INDEX('Serial Reference'!$A$8:$W$8,1,MOD($A80-1,23)+1)&amp;TEXT(L$2+FLOOR((L$2-1)/9,1),"000"),"")</f>
        <v>DJ012</v>
      </c>
      <c r="M80" s="22" t="str">
        <f>IF(INDEX('Shot Map'!$B$6:$V$26,CEILING($A80/5,1),CEILING(M$2/5,1))=1,INDEX('Serial Reference'!$A$8:$W$8,1,FLOOR(($A80-1)/23,1)+1)&amp;INDEX('Serial Reference'!$A$8:$W$8,1,MOD($A80-1,23)+1)&amp;TEXT(M$2+FLOOR((M$2-1)/9,1),"000"),"")</f>
        <v>DJ013</v>
      </c>
      <c r="N80" s="22" t="str">
        <f>IF(INDEX('Shot Map'!$B$6:$V$26,CEILING($A80/5,1),CEILING(N$2/5,1))=1,INDEX('Serial Reference'!$A$8:$W$8,1,FLOOR(($A80-1)/23,1)+1)&amp;INDEX('Serial Reference'!$A$8:$W$8,1,MOD($A80-1,23)+1)&amp;TEXT(N$2+FLOOR((N$2-1)/9,1),"000"),"")</f>
        <v>DJ014</v>
      </c>
      <c r="O80" s="22" t="str">
        <f>IF(INDEX('Shot Map'!$B$6:$V$26,CEILING($A80/5,1),CEILING(O$2/5,1))=1,INDEX('Serial Reference'!$A$8:$W$8,1,FLOOR(($A80-1)/23,1)+1)&amp;INDEX('Serial Reference'!$A$8:$W$8,1,MOD($A80-1,23)+1)&amp;TEXT(O$2+FLOOR((O$2-1)/9,1),"000"),"")</f>
        <v>DJ015</v>
      </c>
      <c r="P80" s="23" t="str">
        <f>IF(INDEX('Shot Map'!$B$6:$V$26,CEILING($A80/5,1),CEILING(P$2/5,1))=1,INDEX('Serial Reference'!$A$8:$W$8,1,FLOOR(($A80-1)/23,1)+1)&amp;INDEX('Serial Reference'!$A$8:$W$8,1,MOD($A80-1,23)+1)&amp;TEXT(P$2+FLOOR((P$2-1)/9,1),"000"),"")</f>
        <v>DJ016</v>
      </c>
      <c r="Q80" s="21" t="str">
        <f>IF(INDEX('Shot Map'!$B$6:$V$26,CEILING($A80/5,1),CEILING(Q$2/5,1))=1,INDEX('Serial Reference'!$A$8:$W$8,1,FLOOR(($A80-1)/23,1)+1)&amp;INDEX('Serial Reference'!$A$8:$W$8,1,MOD($A80-1,23)+1)&amp;TEXT(Q$2+FLOOR((Q$2-1)/9,1),"000"),"")</f>
        <v>DJ017</v>
      </c>
      <c r="R80" s="22" t="str">
        <f>IF(INDEX('Shot Map'!$B$6:$V$26,CEILING($A80/5,1),CEILING(R$2/5,1))=1,INDEX('Serial Reference'!$A$8:$W$8,1,FLOOR(($A80-1)/23,1)+1)&amp;INDEX('Serial Reference'!$A$8:$W$8,1,MOD($A80-1,23)+1)&amp;TEXT(R$2+FLOOR((R$2-1)/9,1),"000"),"")</f>
        <v>DJ018</v>
      </c>
      <c r="S80" s="22" t="str">
        <f>IF(INDEX('Shot Map'!$B$6:$V$26,CEILING($A80/5,1),CEILING(S$2/5,1))=1,INDEX('Serial Reference'!$A$8:$W$8,1,FLOOR(($A80-1)/23,1)+1)&amp;INDEX('Serial Reference'!$A$8:$W$8,1,MOD($A80-1,23)+1)&amp;TEXT(S$2+FLOOR((S$2-1)/9,1),"000"),"")</f>
        <v>DJ019</v>
      </c>
      <c r="T80" s="22" t="str">
        <f>IF(INDEX('Shot Map'!$B$6:$V$26,CEILING($A80/5,1),CEILING(T$2/5,1))=1,INDEX('Serial Reference'!$A$8:$W$8,1,FLOOR(($A80-1)/23,1)+1)&amp;INDEX('Serial Reference'!$A$8:$W$8,1,MOD($A80-1,23)+1)&amp;TEXT(T$2+FLOOR((T$2-1)/9,1),"000"),"")</f>
        <v>DJ021</v>
      </c>
      <c r="U80" s="23" t="str">
        <f>IF(INDEX('Shot Map'!$B$6:$V$26,CEILING($A80/5,1),CEILING(U$2/5,1))=1,INDEX('Serial Reference'!$A$8:$W$8,1,FLOOR(($A80-1)/23,1)+1)&amp;INDEX('Serial Reference'!$A$8:$W$8,1,MOD($A80-1,23)+1)&amp;TEXT(U$2+FLOOR((U$2-1)/9,1),"000"),"")</f>
        <v>DJ022</v>
      </c>
      <c r="V80" s="21" t="str">
        <f>IF(INDEX('Shot Map'!$B$6:$V$26,CEILING($A80/5,1),CEILING(V$2/5,1))=1,INDEX('Serial Reference'!$A$8:$W$8,1,FLOOR(($A80-1)/23,1)+1)&amp;INDEX('Serial Reference'!$A$8:$W$8,1,MOD($A80-1,23)+1)&amp;TEXT(V$2+FLOOR((V$2-1)/9,1),"000"),"")</f>
        <v>DJ023</v>
      </c>
      <c r="W80" s="22" t="str">
        <f>IF(INDEX('Shot Map'!$B$6:$V$26,CEILING($A80/5,1),CEILING(W$2/5,1))=1,INDEX('Serial Reference'!$A$8:$W$8,1,FLOOR(($A80-1)/23,1)+1)&amp;INDEX('Serial Reference'!$A$8:$W$8,1,MOD($A80-1,23)+1)&amp;TEXT(W$2+FLOOR((W$2-1)/9,1),"000"),"")</f>
        <v>DJ024</v>
      </c>
      <c r="X80" s="22" t="str">
        <f>IF(INDEX('Shot Map'!$B$6:$V$26,CEILING($A80/5,1),CEILING(X$2/5,1))=1,INDEX('Serial Reference'!$A$8:$W$8,1,FLOOR(($A80-1)/23,1)+1)&amp;INDEX('Serial Reference'!$A$8:$W$8,1,MOD($A80-1,23)+1)&amp;TEXT(X$2+FLOOR((X$2-1)/9,1),"000"),"")</f>
        <v>DJ025</v>
      </c>
      <c r="Y80" s="22" t="str">
        <f>IF(INDEX('Shot Map'!$B$6:$V$26,CEILING($A80/5,1),CEILING(Y$2/5,1))=1,INDEX('Serial Reference'!$A$8:$W$8,1,FLOOR(($A80-1)/23,1)+1)&amp;INDEX('Serial Reference'!$A$8:$W$8,1,MOD($A80-1,23)+1)&amp;TEXT(Y$2+FLOOR((Y$2-1)/9,1),"000"),"")</f>
        <v>DJ026</v>
      </c>
      <c r="Z80" s="23" t="str">
        <f>IF(INDEX('Shot Map'!$B$6:$V$26,CEILING($A80/5,1),CEILING(Z$2/5,1))=1,INDEX('Serial Reference'!$A$8:$W$8,1,FLOOR(($A80-1)/23,1)+1)&amp;INDEX('Serial Reference'!$A$8:$W$8,1,MOD($A80-1,23)+1)&amp;TEXT(Z$2+FLOOR((Z$2-1)/9,1),"000"),"")</f>
        <v>DJ027</v>
      </c>
      <c r="AA80" s="21" t="str">
        <f>IF(INDEX('Shot Map'!$B$6:$V$26,CEILING($A80/5,1),CEILING(AA$2/5,1))=1,INDEX('Serial Reference'!$A$8:$W$8,1,FLOOR(($A80-1)/23,1)+1)&amp;INDEX('Serial Reference'!$A$8:$W$8,1,MOD($A80-1,23)+1)&amp;TEXT(AA$2+FLOOR((AA$2-1)/9,1),"000"),"")</f>
        <v>DJ028</v>
      </c>
      <c r="AB80" s="22" t="str">
        <f>IF(INDEX('Shot Map'!$B$6:$V$26,CEILING($A80/5,1),CEILING(AB$2/5,1))=1,INDEX('Serial Reference'!$A$8:$W$8,1,FLOOR(($A80-1)/23,1)+1)&amp;INDEX('Serial Reference'!$A$8:$W$8,1,MOD($A80-1,23)+1)&amp;TEXT(AB$2+FLOOR((AB$2-1)/9,1),"000"),"")</f>
        <v>DJ029</v>
      </c>
      <c r="AC80" s="22" t="str">
        <f>IF(INDEX('Shot Map'!$B$6:$V$26,CEILING($A80/5,1),CEILING(AC$2/5,1))=1,INDEX('Serial Reference'!$A$8:$W$8,1,FLOOR(($A80-1)/23,1)+1)&amp;INDEX('Serial Reference'!$A$8:$W$8,1,MOD($A80-1,23)+1)&amp;TEXT(AC$2+FLOOR((AC$2-1)/9,1),"000"),"")</f>
        <v>DJ031</v>
      </c>
      <c r="AD80" s="22" t="str">
        <f>IF(INDEX('Shot Map'!$B$6:$V$26,CEILING($A80/5,1),CEILING(AD$2/5,1))=1,INDEX('Serial Reference'!$A$8:$W$8,1,FLOOR(($A80-1)/23,1)+1)&amp;INDEX('Serial Reference'!$A$8:$W$8,1,MOD($A80-1,23)+1)&amp;TEXT(AD$2+FLOOR((AD$2-1)/9,1),"000"),"")</f>
        <v>DJ032</v>
      </c>
      <c r="AE80" s="23" t="str">
        <f>IF(INDEX('Shot Map'!$B$6:$V$26,CEILING($A80/5,1),CEILING(AE$2/5,1))=1,INDEX('Serial Reference'!$A$8:$W$8,1,FLOOR(($A80-1)/23,1)+1)&amp;INDEX('Serial Reference'!$A$8:$W$8,1,MOD($A80-1,23)+1)&amp;TEXT(AE$2+FLOOR((AE$2-1)/9,1),"000"),"")</f>
        <v>DJ033</v>
      </c>
      <c r="AF80" s="21" t="str">
        <f>IF(INDEX('Shot Map'!$B$6:$V$26,CEILING($A80/5,1),CEILING(AF$2/5,1))=1,INDEX('Serial Reference'!$A$8:$W$8,1,FLOOR(($A80-1)/23,1)+1)&amp;INDEX('Serial Reference'!$A$8:$W$8,1,MOD($A80-1,23)+1)&amp;TEXT(AF$2+FLOOR((AF$2-1)/9,1),"000"),"")</f>
        <v>DJ034</v>
      </c>
      <c r="AG80" s="22" t="str">
        <f>IF(INDEX('Shot Map'!$B$6:$V$26,CEILING($A80/5,1),CEILING(AG$2/5,1))=1,INDEX('Serial Reference'!$A$8:$W$8,1,FLOOR(($A80-1)/23,1)+1)&amp;INDEX('Serial Reference'!$A$8:$W$8,1,MOD($A80-1,23)+1)&amp;TEXT(AG$2+FLOOR((AG$2-1)/9,1),"000"),"")</f>
        <v>DJ035</v>
      </c>
      <c r="AH80" s="22" t="str">
        <f>IF(INDEX('Shot Map'!$B$6:$V$26,CEILING($A80/5,1),CEILING(AH$2/5,1))=1,INDEX('Serial Reference'!$A$8:$W$8,1,FLOOR(($A80-1)/23,1)+1)&amp;INDEX('Serial Reference'!$A$8:$W$8,1,MOD($A80-1,23)+1)&amp;TEXT(AH$2+FLOOR((AH$2-1)/9,1),"000"),"")</f>
        <v>DJ036</v>
      </c>
      <c r="AI80" s="22" t="str">
        <f>IF(INDEX('Shot Map'!$B$6:$V$26,CEILING($A80/5,1),CEILING(AI$2/5,1))=1,INDEX('Serial Reference'!$A$8:$W$8,1,FLOOR(($A80-1)/23,1)+1)&amp;INDEX('Serial Reference'!$A$8:$W$8,1,MOD($A80-1,23)+1)&amp;TEXT(AI$2+FLOOR((AI$2-1)/9,1),"000"),"")</f>
        <v>DJ037</v>
      </c>
      <c r="AJ80" s="23" t="str">
        <f>IF(INDEX('Shot Map'!$B$6:$V$26,CEILING($A80/5,1),CEILING(AJ$2/5,1))=1,INDEX('Serial Reference'!$A$8:$W$8,1,FLOOR(($A80-1)/23,1)+1)&amp;INDEX('Serial Reference'!$A$8:$W$8,1,MOD($A80-1,23)+1)&amp;TEXT(AJ$2+FLOOR((AJ$2-1)/9,1),"000"),"")</f>
        <v>DJ038</v>
      </c>
      <c r="AK80" s="21" t="str">
        <f>IF(INDEX('Shot Map'!$B$6:$V$26,CEILING($A80/5,1),CEILING(AK$2/5,1))=1,INDEX('Serial Reference'!$A$8:$W$8,1,FLOOR(($A80-1)/23,1)+1)&amp;INDEX('Serial Reference'!$A$8:$W$8,1,MOD($A80-1,23)+1)&amp;TEXT(AK$2+FLOOR((AK$2-1)/9,1),"000"),"")</f>
        <v>DJ039</v>
      </c>
      <c r="AL80" s="22" t="str">
        <f>IF(INDEX('Shot Map'!$B$6:$V$26,CEILING($A80/5,1),CEILING(AL$2/5,1))=1,INDEX('Serial Reference'!$A$8:$W$8,1,FLOOR(($A80-1)/23,1)+1)&amp;INDEX('Serial Reference'!$A$8:$W$8,1,MOD($A80-1,23)+1)&amp;TEXT(AL$2+FLOOR((AL$2-1)/9,1),"000"),"")</f>
        <v>DJ041</v>
      </c>
      <c r="AM80" s="22" t="str">
        <f>IF(INDEX('Shot Map'!$B$6:$V$26,CEILING($A80/5,1),CEILING(AM$2/5,1))=1,INDEX('Serial Reference'!$A$8:$W$8,1,FLOOR(($A80-1)/23,1)+1)&amp;INDEX('Serial Reference'!$A$8:$W$8,1,MOD($A80-1,23)+1)&amp;TEXT(AM$2+FLOOR((AM$2-1)/9,1),"000"),"")</f>
        <v>DJ042</v>
      </c>
      <c r="AN80" s="22" t="str">
        <f>IF(INDEX('Shot Map'!$B$6:$V$26,CEILING($A80/5,1),CEILING(AN$2/5,1))=1,INDEX('Serial Reference'!$A$8:$W$8,1,FLOOR(($A80-1)/23,1)+1)&amp;INDEX('Serial Reference'!$A$8:$W$8,1,MOD($A80-1,23)+1)&amp;TEXT(AN$2+FLOOR((AN$2-1)/9,1),"000"),"")</f>
        <v>DJ043</v>
      </c>
      <c r="AO80" s="23" t="str">
        <f>IF(INDEX('Shot Map'!$B$6:$V$26,CEILING($A80/5,1),CEILING(AO$2/5,1))=1,INDEX('Serial Reference'!$A$8:$W$8,1,FLOOR(($A80-1)/23,1)+1)&amp;INDEX('Serial Reference'!$A$8:$W$8,1,MOD($A80-1,23)+1)&amp;TEXT(AO$2+FLOOR((AO$2-1)/9,1),"000"),"")</f>
        <v>DJ044</v>
      </c>
      <c r="AP80" s="21" t="str">
        <f>IF(INDEX('Shot Map'!$B$6:$V$26,CEILING($A80/5,1),CEILING(AP$2/5,1))=1,INDEX('Serial Reference'!$A$8:$W$8,1,FLOOR(($A80-1)/23,1)+1)&amp;INDEX('Serial Reference'!$A$8:$W$8,1,MOD($A80-1,23)+1)&amp;TEXT(AP$2+FLOOR((AP$2-1)/9,1),"000"),"")</f>
        <v>DJ045</v>
      </c>
      <c r="AQ80" s="22" t="str">
        <f>IF(INDEX('Shot Map'!$B$6:$V$26,CEILING($A80/5,1),CEILING(AQ$2/5,1))=1,INDEX('Serial Reference'!$A$8:$W$8,1,FLOOR(($A80-1)/23,1)+1)&amp;INDEX('Serial Reference'!$A$8:$W$8,1,MOD($A80-1,23)+1)&amp;TEXT(AQ$2+FLOOR((AQ$2-1)/9,1),"000"),"")</f>
        <v>DJ046</v>
      </c>
      <c r="AR80" s="22" t="str">
        <f>IF(INDEX('Shot Map'!$B$6:$V$26,CEILING($A80/5,1),CEILING(AR$2/5,1))=1,INDEX('Serial Reference'!$A$8:$W$8,1,FLOOR(($A80-1)/23,1)+1)&amp;INDEX('Serial Reference'!$A$8:$W$8,1,MOD($A80-1,23)+1)&amp;TEXT(AR$2+FLOOR((AR$2-1)/9,1),"000"),"")</f>
        <v>DJ047</v>
      </c>
      <c r="AS80" s="22" t="str">
        <f>IF(INDEX('Shot Map'!$B$6:$V$26,CEILING($A80/5,1),CEILING(AS$2/5,1))=1,INDEX('Serial Reference'!$A$8:$W$8,1,FLOOR(($A80-1)/23,1)+1)&amp;INDEX('Serial Reference'!$A$8:$W$8,1,MOD($A80-1,23)+1)&amp;TEXT(AS$2+FLOOR((AS$2-1)/9,1),"000"),"")</f>
        <v>DJ048</v>
      </c>
      <c r="AT80" s="23" t="str">
        <f>IF(INDEX('Shot Map'!$B$6:$V$26,CEILING($A80/5,1),CEILING(AT$2/5,1))=1,INDEX('Serial Reference'!$A$8:$W$8,1,FLOOR(($A80-1)/23,1)+1)&amp;INDEX('Serial Reference'!$A$8:$W$8,1,MOD($A80-1,23)+1)&amp;TEXT(AT$2+FLOOR((AT$2-1)/9,1),"000"),"")</f>
        <v>DJ049</v>
      </c>
      <c r="AU80" s="21" t="str">
        <f>IF(INDEX('Shot Map'!$B$6:$V$26,CEILING($A80/5,1),CEILING(AU$2/5,1))=1,INDEX('Serial Reference'!$A$8:$W$8,1,FLOOR(($A80-1)/23,1)+1)&amp;INDEX('Serial Reference'!$A$8:$W$8,1,MOD($A80-1,23)+1)&amp;TEXT(AU$2+FLOOR((AU$2-1)/9,1),"000"),"")</f>
        <v>DJ051</v>
      </c>
      <c r="AV80" s="22" t="str">
        <f>IF(INDEX('Shot Map'!$B$6:$V$26,CEILING($A80/5,1),CEILING(AV$2/5,1))=1,INDEX('Serial Reference'!$A$8:$W$8,1,FLOOR(($A80-1)/23,1)+1)&amp;INDEX('Serial Reference'!$A$8:$W$8,1,MOD($A80-1,23)+1)&amp;TEXT(AV$2+FLOOR((AV$2-1)/9,1),"000"),"")</f>
        <v>DJ052</v>
      </c>
      <c r="AW80" s="22" t="str">
        <f>IF(INDEX('Shot Map'!$B$6:$V$26,CEILING($A80/5,1),CEILING(AW$2/5,1))=1,INDEX('Serial Reference'!$A$8:$W$8,1,FLOOR(($A80-1)/23,1)+1)&amp;INDEX('Serial Reference'!$A$8:$W$8,1,MOD($A80-1,23)+1)&amp;TEXT(AW$2+FLOOR((AW$2-1)/9,1),"000"),"")</f>
        <v>DJ053</v>
      </c>
      <c r="AX80" s="22" t="str">
        <f>IF(INDEX('Shot Map'!$B$6:$V$26,CEILING($A80/5,1),CEILING(AX$2/5,1))=1,INDEX('Serial Reference'!$A$8:$W$8,1,FLOOR(($A80-1)/23,1)+1)&amp;INDEX('Serial Reference'!$A$8:$W$8,1,MOD($A80-1,23)+1)&amp;TEXT(AX$2+FLOOR((AX$2-1)/9,1),"000"),"")</f>
        <v>DJ054</v>
      </c>
      <c r="AY80" s="23" t="str">
        <f>IF(INDEX('Shot Map'!$B$6:$V$26,CEILING($A80/5,1),CEILING(AY$2/5,1))=1,INDEX('Serial Reference'!$A$8:$W$8,1,FLOOR(($A80-1)/23,1)+1)&amp;INDEX('Serial Reference'!$A$8:$W$8,1,MOD($A80-1,23)+1)&amp;TEXT(AY$2+FLOOR((AY$2-1)/9,1),"000"),"")</f>
        <v>DJ055</v>
      </c>
      <c r="AZ80" s="21" t="str">
        <f>IF(INDEX('Shot Map'!$B$6:$V$26,CEILING($A80/5,1),CEILING(AZ$2/5,1))=1,INDEX('Serial Reference'!$A$8:$W$8,1,FLOOR(($A80-1)/23,1)+1)&amp;INDEX('Serial Reference'!$A$8:$W$8,1,MOD($A80-1,23)+1)&amp;TEXT(AZ$2+FLOOR((AZ$2-1)/9,1),"000"),"")</f>
        <v>DJ056</v>
      </c>
      <c r="BA80" s="22" t="str">
        <f>IF(INDEX('Shot Map'!$B$6:$V$26,CEILING($A80/5,1),CEILING(BA$2/5,1))=1,INDEX('Serial Reference'!$A$8:$W$8,1,FLOOR(($A80-1)/23,1)+1)&amp;INDEX('Serial Reference'!$A$8:$W$8,1,MOD($A80-1,23)+1)&amp;TEXT(BA$2+FLOOR((BA$2-1)/9,1),"000"),"")</f>
        <v>DJ057</v>
      </c>
      <c r="BB80" s="22" t="str">
        <f>IF(INDEX('Shot Map'!$B$6:$V$26,CEILING($A80/5,1),CEILING(BB$2/5,1))=1,INDEX('Serial Reference'!$A$8:$W$8,1,FLOOR(($A80-1)/23,1)+1)&amp;INDEX('Serial Reference'!$A$8:$W$8,1,MOD($A80-1,23)+1)&amp;TEXT(BB$2+FLOOR((BB$2-1)/9,1),"000"),"")</f>
        <v>DJ058</v>
      </c>
      <c r="BC80" s="22" t="str">
        <f>IF(INDEX('Shot Map'!$B$6:$V$26,CEILING($A80/5,1),CEILING(BC$2/5,1))=1,INDEX('Serial Reference'!$A$8:$W$8,1,FLOOR(($A80-1)/23,1)+1)&amp;INDEX('Serial Reference'!$A$8:$W$8,1,MOD($A80-1,23)+1)&amp;TEXT(BC$2+FLOOR((BC$2-1)/9,1),"000"),"")</f>
        <v>DJ059</v>
      </c>
      <c r="BD80" s="23" t="str">
        <f>IF(INDEX('Shot Map'!$B$6:$V$26,CEILING($A80/5,1),CEILING(BD$2/5,1))=1,INDEX('Serial Reference'!$A$8:$W$8,1,FLOOR(($A80-1)/23,1)+1)&amp;INDEX('Serial Reference'!$A$8:$W$8,1,MOD($A80-1,23)+1)&amp;TEXT(BD$2+FLOOR((BD$2-1)/9,1),"000"),"")</f>
        <v>DJ061</v>
      </c>
      <c r="BE80" s="21" t="str">
        <f>IF(INDEX('Shot Map'!$B$6:$V$26,CEILING($A80/5,1),CEILING(BE$2/5,1))=1,INDEX('Serial Reference'!$A$8:$W$8,1,FLOOR(($A80-1)/23,1)+1)&amp;INDEX('Serial Reference'!$A$8:$W$8,1,MOD($A80-1,23)+1)&amp;TEXT(BE$2+FLOOR((BE$2-1)/9,1),"000"),"")</f>
        <v>DJ062</v>
      </c>
      <c r="BF80" s="22" t="str">
        <f>IF(INDEX('Shot Map'!$B$6:$V$26,CEILING($A80/5,1),CEILING(BF$2/5,1))=1,INDEX('Serial Reference'!$A$8:$W$8,1,FLOOR(($A80-1)/23,1)+1)&amp;INDEX('Serial Reference'!$A$8:$W$8,1,MOD($A80-1,23)+1)&amp;TEXT(BF$2+FLOOR((BF$2-1)/9,1),"000"),"")</f>
        <v>DJ063</v>
      </c>
      <c r="BG80" s="22" t="str">
        <f>IF(INDEX('Shot Map'!$B$6:$V$26,CEILING($A80/5,1),CEILING(BG$2/5,1))=1,INDEX('Serial Reference'!$A$8:$W$8,1,FLOOR(($A80-1)/23,1)+1)&amp;INDEX('Serial Reference'!$A$8:$W$8,1,MOD($A80-1,23)+1)&amp;TEXT(BG$2+FLOOR((BG$2-1)/9,1),"000"),"")</f>
        <v>DJ064</v>
      </c>
      <c r="BH80" s="22" t="str">
        <f>IF(INDEX('Shot Map'!$B$6:$V$26,CEILING($A80/5,1),CEILING(BH$2/5,1))=1,INDEX('Serial Reference'!$A$8:$W$8,1,FLOOR(($A80-1)/23,1)+1)&amp;INDEX('Serial Reference'!$A$8:$W$8,1,MOD($A80-1,23)+1)&amp;TEXT(BH$2+FLOOR((BH$2-1)/9,1),"000"),"")</f>
        <v>DJ065</v>
      </c>
      <c r="BI80" s="23" t="str">
        <f>IF(INDEX('Shot Map'!$B$6:$V$26,CEILING($A80/5,1),CEILING(BI$2/5,1))=1,INDEX('Serial Reference'!$A$8:$W$8,1,FLOOR(($A80-1)/23,1)+1)&amp;INDEX('Serial Reference'!$A$8:$W$8,1,MOD($A80-1,23)+1)&amp;TEXT(BI$2+FLOOR((BI$2-1)/9,1),"000"),"")</f>
        <v>DJ066</v>
      </c>
      <c r="BJ80" s="21" t="str">
        <f>IF(INDEX('Shot Map'!$B$6:$V$26,CEILING($A80/5,1),CEILING(BJ$2/5,1))=1,INDEX('Serial Reference'!$A$8:$W$8,1,FLOOR(($A80-1)/23,1)+1)&amp;INDEX('Serial Reference'!$A$8:$W$8,1,MOD($A80-1,23)+1)&amp;TEXT(BJ$2+FLOOR((BJ$2-1)/9,1),"000"),"")</f>
        <v>DJ067</v>
      </c>
      <c r="BK80" s="22" t="str">
        <f>IF(INDEX('Shot Map'!$B$6:$V$26,CEILING($A80/5,1),CEILING(BK$2/5,1))=1,INDEX('Serial Reference'!$A$8:$W$8,1,FLOOR(($A80-1)/23,1)+1)&amp;INDEX('Serial Reference'!$A$8:$W$8,1,MOD($A80-1,23)+1)&amp;TEXT(BK$2+FLOOR((BK$2-1)/9,1),"000"),"")</f>
        <v>DJ068</v>
      </c>
      <c r="BL80" s="22" t="str">
        <f>IF(INDEX('Shot Map'!$B$6:$V$26,CEILING($A80/5,1),CEILING(BL$2/5,1))=1,INDEX('Serial Reference'!$A$8:$W$8,1,FLOOR(($A80-1)/23,1)+1)&amp;INDEX('Serial Reference'!$A$8:$W$8,1,MOD($A80-1,23)+1)&amp;TEXT(BL$2+FLOOR((BL$2-1)/9,1),"000"),"")</f>
        <v>DJ069</v>
      </c>
      <c r="BM80" s="22" t="str">
        <f>IF(INDEX('Shot Map'!$B$6:$V$26,CEILING($A80/5,1),CEILING(BM$2/5,1))=1,INDEX('Serial Reference'!$A$8:$W$8,1,FLOOR(($A80-1)/23,1)+1)&amp;INDEX('Serial Reference'!$A$8:$W$8,1,MOD($A80-1,23)+1)&amp;TEXT(BM$2+FLOOR((BM$2-1)/9,1),"000"),"")</f>
        <v>DJ071</v>
      </c>
      <c r="BN80" s="23" t="str">
        <f>IF(INDEX('Shot Map'!$B$6:$V$26,CEILING($A80/5,1),CEILING(BN$2/5,1))=1,INDEX('Serial Reference'!$A$8:$W$8,1,FLOOR(($A80-1)/23,1)+1)&amp;INDEX('Serial Reference'!$A$8:$W$8,1,MOD($A80-1,23)+1)&amp;TEXT(BN$2+FLOOR((BN$2-1)/9,1),"000"),"")</f>
        <v>DJ072</v>
      </c>
      <c r="BO80" s="21" t="str">
        <f>IF(INDEX('Shot Map'!$B$6:$V$26,CEILING($A80/5,1),CEILING(BO$2/5,1))=1,INDEX('Serial Reference'!$A$8:$W$8,1,FLOOR(($A80-1)/23,1)+1)&amp;INDEX('Serial Reference'!$A$8:$W$8,1,MOD($A80-1,23)+1)&amp;TEXT(BO$2+FLOOR((BO$2-1)/9,1),"000"),"")</f>
        <v>DJ073</v>
      </c>
      <c r="BP80" s="22" t="str">
        <f>IF(INDEX('Shot Map'!$B$6:$V$26,CEILING($A80/5,1),CEILING(BP$2/5,1))=1,INDEX('Serial Reference'!$A$8:$W$8,1,FLOOR(($A80-1)/23,1)+1)&amp;INDEX('Serial Reference'!$A$8:$W$8,1,MOD($A80-1,23)+1)&amp;TEXT(BP$2+FLOOR((BP$2-1)/9,1),"000"),"")</f>
        <v>DJ074</v>
      </c>
      <c r="BQ80" s="22" t="str">
        <f>IF(INDEX('Shot Map'!$B$6:$V$26,CEILING($A80/5,1),CEILING(BQ$2/5,1))=1,INDEX('Serial Reference'!$A$8:$W$8,1,FLOOR(($A80-1)/23,1)+1)&amp;INDEX('Serial Reference'!$A$8:$W$8,1,MOD($A80-1,23)+1)&amp;TEXT(BQ$2+FLOOR((BQ$2-1)/9,1),"000"),"")</f>
        <v>DJ075</v>
      </c>
      <c r="BR80" s="22" t="str">
        <f>IF(INDEX('Shot Map'!$B$6:$V$26,CEILING($A80/5,1),CEILING(BR$2/5,1))=1,INDEX('Serial Reference'!$A$8:$W$8,1,FLOOR(($A80-1)/23,1)+1)&amp;INDEX('Serial Reference'!$A$8:$W$8,1,MOD($A80-1,23)+1)&amp;TEXT(BR$2+FLOOR((BR$2-1)/9,1),"000"),"")</f>
        <v>DJ076</v>
      </c>
      <c r="BS80" s="23" t="str">
        <f>IF(INDEX('Shot Map'!$B$6:$V$26,CEILING($A80/5,1),CEILING(BS$2/5,1))=1,INDEX('Serial Reference'!$A$8:$W$8,1,FLOOR(($A80-1)/23,1)+1)&amp;INDEX('Serial Reference'!$A$8:$W$8,1,MOD($A80-1,23)+1)&amp;TEXT(BS$2+FLOOR((BS$2-1)/9,1),"000"),"")</f>
        <v>DJ077</v>
      </c>
      <c r="BT80" s="21" t="str">
        <f>IF(INDEX('Shot Map'!$B$6:$V$26,CEILING($A80/5,1),CEILING(BT$2/5,1))=1,INDEX('Serial Reference'!$A$8:$W$8,1,FLOOR(($A80-1)/23,1)+1)&amp;INDEX('Serial Reference'!$A$8:$W$8,1,MOD($A80-1,23)+1)&amp;TEXT(BT$2+FLOOR((BT$2-1)/9,1),"000"),"")</f>
        <v>DJ078</v>
      </c>
      <c r="BU80" s="22" t="str">
        <f>IF(INDEX('Shot Map'!$B$6:$V$26,CEILING($A80/5,1),CEILING(BU$2/5,1))=1,INDEX('Serial Reference'!$A$8:$W$8,1,FLOOR(($A80-1)/23,1)+1)&amp;INDEX('Serial Reference'!$A$8:$W$8,1,MOD($A80-1,23)+1)&amp;TEXT(BU$2+FLOOR((BU$2-1)/9,1),"000"),"")</f>
        <v>DJ079</v>
      </c>
      <c r="BV80" s="22" t="str">
        <f>IF(INDEX('Shot Map'!$B$6:$V$26,CEILING($A80/5,1),CEILING(BV$2/5,1))=1,INDEX('Serial Reference'!$A$8:$W$8,1,FLOOR(($A80-1)/23,1)+1)&amp;INDEX('Serial Reference'!$A$8:$W$8,1,MOD($A80-1,23)+1)&amp;TEXT(BV$2+FLOOR((BV$2-1)/9,1),"000"),"")</f>
        <v>DJ081</v>
      </c>
      <c r="BW80" s="22" t="str">
        <f>IF(INDEX('Shot Map'!$B$6:$V$26,CEILING($A80/5,1),CEILING(BW$2/5,1))=1,INDEX('Serial Reference'!$A$8:$W$8,1,FLOOR(($A80-1)/23,1)+1)&amp;INDEX('Serial Reference'!$A$8:$W$8,1,MOD($A80-1,23)+1)&amp;TEXT(BW$2+FLOOR((BW$2-1)/9,1),"000"),"")</f>
        <v>DJ082</v>
      </c>
      <c r="BX80" s="23" t="str">
        <f>IF(INDEX('Shot Map'!$B$6:$V$26,CEILING($A80/5,1),CEILING(BX$2/5,1))=1,INDEX('Serial Reference'!$A$8:$W$8,1,FLOOR(($A80-1)/23,1)+1)&amp;INDEX('Serial Reference'!$A$8:$W$8,1,MOD($A80-1,23)+1)&amp;TEXT(BX$2+FLOOR((BX$2-1)/9,1),"000"),"")</f>
        <v>DJ083</v>
      </c>
      <c r="BY80" s="21" t="str">
        <f>IF(INDEX('Shot Map'!$B$6:$V$26,CEILING($A80/5,1),CEILING(BY$2/5,1))=1,INDEX('Serial Reference'!$A$8:$W$8,1,FLOOR(($A80-1)/23,1)+1)&amp;INDEX('Serial Reference'!$A$8:$W$8,1,MOD($A80-1,23)+1)&amp;TEXT(BY$2+FLOOR((BY$2-1)/9,1),"000"),"")</f>
        <v>DJ084</v>
      </c>
      <c r="BZ80" s="22" t="str">
        <f>IF(INDEX('Shot Map'!$B$6:$V$26,CEILING($A80/5,1),CEILING(BZ$2/5,1))=1,INDEX('Serial Reference'!$A$8:$W$8,1,FLOOR(($A80-1)/23,1)+1)&amp;INDEX('Serial Reference'!$A$8:$W$8,1,MOD($A80-1,23)+1)&amp;TEXT(BZ$2+FLOOR((BZ$2-1)/9,1),"000"),"")</f>
        <v>DJ085</v>
      </c>
      <c r="CA80" s="22" t="str">
        <f>IF(INDEX('Shot Map'!$B$6:$V$26,CEILING($A80/5,1),CEILING(CA$2/5,1))=1,INDEX('Serial Reference'!$A$8:$W$8,1,FLOOR(($A80-1)/23,1)+1)&amp;INDEX('Serial Reference'!$A$8:$W$8,1,MOD($A80-1,23)+1)&amp;TEXT(CA$2+FLOOR((CA$2-1)/9,1),"000"),"")</f>
        <v>DJ086</v>
      </c>
      <c r="CB80" s="22" t="str">
        <f>IF(INDEX('Shot Map'!$B$6:$V$26,CEILING($A80/5,1),CEILING(CB$2/5,1))=1,INDEX('Serial Reference'!$A$8:$W$8,1,FLOOR(($A80-1)/23,1)+1)&amp;INDEX('Serial Reference'!$A$8:$W$8,1,MOD($A80-1,23)+1)&amp;TEXT(CB$2+FLOOR((CB$2-1)/9,1),"000"),"")</f>
        <v>DJ087</v>
      </c>
      <c r="CC80" s="23" t="str">
        <f>IF(INDEX('Shot Map'!$B$6:$V$26,CEILING($A80/5,1),CEILING(CC$2/5,1))=1,INDEX('Serial Reference'!$A$8:$W$8,1,FLOOR(($A80-1)/23,1)+1)&amp;INDEX('Serial Reference'!$A$8:$W$8,1,MOD($A80-1,23)+1)&amp;TEXT(CC$2+FLOOR((CC$2-1)/9,1),"000"),"")</f>
        <v>DJ088</v>
      </c>
      <c r="CD80" s="21" t="str">
        <f>IF(INDEX('Shot Map'!$B$6:$V$26,CEILING($A80/5,1),CEILING(CD$2/5,1))=1,INDEX('Serial Reference'!$A$8:$W$8,1,FLOOR(($A80-1)/23,1)+1)&amp;INDEX('Serial Reference'!$A$8:$W$8,1,MOD($A80-1,23)+1)&amp;TEXT(CD$2+FLOOR((CD$2-1)/9,1),"000"),"")</f>
        <v>DJ089</v>
      </c>
      <c r="CE80" s="22" t="str">
        <f>IF(INDEX('Shot Map'!$B$6:$V$26,CEILING($A80/5,1),CEILING(CE$2/5,1))=1,INDEX('Serial Reference'!$A$8:$W$8,1,FLOOR(($A80-1)/23,1)+1)&amp;INDEX('Serial Reference'!$A$8:$W$8,1,MOD($A80-1,23)+1)&amp;TEXT(CE$2+FLOOR((CE$2-1)/9,1),"000"),"")</f>
        <v>DJ091</v>
      </c>
      <c r="CF80" s="22" t="str">
        <f>IF(INDEX('Shot Map'!$B$6:$V$26,CEILING($A80/5,1),CEILING(CF$2/5,1))=1,INDEX('Serial Reference'!$A$8:$W$8,1,FLOOR(($A80-1)/23,1)+1)&amp;INDEX('Serial Reference'!$A$8:$W$8,1,MOD($A80-1,23)+1)&amp;TEXT(CF$2+FLOOR((CF$2-1)/9,1),"000"),"")</f>
        <v>DJ092</v>
      </c>
      <c r="CG80" s="22" t="str">
        <f>IF(INDEX('Shot Map'!$B$6:$V$26,CEILING($A80/5,1),CEILING(CG$2/5,1))=1,INDEX('Serial Reference'!$A$8:$W$8,1,FLOOR(($A80-1)/23,1)+1)&amp;INDEX('Serial Reference'!$A$8:$W$8,1,MOD($A80-1,23)+1)&amp;TEXT(CG$2+FLOOR((CG$2-1)/9,1),"000"),"")</f>
        <v>DJ093</v>
      </c>
      <c r="CH80" s="23" t="str">
        <f>IF(INDEX('Shot Map'!$B$6:$V$26,CEILING($A80/5,1),CEILING(CH$2/5,1))=1,INDEX('Serial Reference'!$A$8:$W$8,1,FLOOR(($A80-1)/23,1)+1)&amp;INDEX('Serial Reference'!$A$8:$W$8,1,MOD($A80-1,23)+1)&amp;TEXT(CH$2+FLOOR((CH$2-1)/9,1),"000"),"")</f>
        <v>DJ094</v>
      </c>
      <c r="CI80" s="21" t="str">
        <f>IF(INDEX('Shot Map'!$B$6:$V$26,CEILING($A80/5,1),CEILING(CI$2/5,1))=1,INDEX('Serial Reference'!$A$8:$W$8,1,FLOOR(($A80-1)/23,1)+1)&amp;INDEX('Serial Reference'!$A$8:$W$8,1,MOD($A80-1,23)+1)&amp;TEXT(CI$2+FLOOR((CI$2-1)/9,1),"000"),"")</f>
        <v>DJ095</v>
      </c>
      <c r="CJ80" s="22" t="str">
        <f>IF(INDEX('Shot Map'!$B$6:$V$26,CEILING($A80/5,1),CEILING(CJ$2/5,1))=1,INDEX('Serial Reference'!$A$8:$W$8,1,FLOOR(($A80-1)/23,1)+1)&amp;INDEX('Serial Reference'!$A$8:$W$8,1,MOD($A80-1,23)+1)&amp;TEXT(CJ$2+FLOOR((CJ$2-1)/9,1),"000"),"")</f>
        <v>DJ096</v>
      </c>
      <c r="CK80" s="22" t="str">
        <f>IF(INDEX('Shot Map'!$B$6:$V$26,CEILING($A80/5,1),CEILING(CK$2/5,1))=1,INDEX('Serial Reference'!$A$8:$W$8,1,FLOOR(($A80-1)/23,1)+1)&amp;INDEX('Serial Reference'!$A$8:$W$8,1,MOD($A80-1,23)+1)&amp;TEXT(CK$2+FLOOR((CK$2-1)/9,1),"000"),"")</f>
        <v>DJ097</v>
      </c>
      <c r="CL80" s="22" t="str">
        <f>IF(INDEX('Shot Map'!$B$6:$V$26,CEILING($A80/5,1),CEILING(CL$2/5,1))=1,INDEX('Serial Reference'!$A$8:$W$8,1,FLOOR(($A80-1)/23,1)+1)&amp;INDEX('Serial Reference'!$A$8:$W$8,1,MOD($A80-1,23)+1)&amp;TEXT(CL$2+FLOOR((CL$2-1)/9,1),"000"),"")</f>
        <v>DJ098</v>
      </c>
      <c r="CM80" s="23" t="str">
        <f>IF(INDEX('Shot Map'!$B$6:$V$26,CEILING($A80/5,1),CEILING(CM$2/5,1))=1,INDEX('Serial Reference'!$A$8:$W$8,1,FLOOR(($A80-1)/23,1)+1)&amp;INDEX('Serial Reference'!$A$8:$W$8,1,MOD($A80-1,23)+1)&amp;TEXT(CM$2+FLOOR((CM$2-1)/9,1),"000"),"")</f>
        <v>DJ099</v>
      </c>
      <c r="CN80" s="21" t="str">
        <f>IF(INDEX('Shot Map'!$B$6:$V$26,CEILING($A80/5,1),CEILING(CN$2/5,1))=1,INDEX('Serial Reference'!$A$8:$W$8,1,FLOOR(($A80-1)/23,1)+1)&amp;INDEX('Serial Reference'!$A$8:$W$8,1,MOD($A80-1,23)+1)&amp;TEXT(CN$2+FLOOR((CN$2-1)/9,1),"000"),"")</f>
        <v>DJ101</v>
      </c>
      <c r="CO80" s="22" t="str">
        <f>IF(INDEX('Shot Map'!$B$6:$V$26,CEILING($A80/5,1),CEILING(CO$2/5,1))=1,INDEX('Serial Reference'!$A$8:$W$8,1,FLOOR(($A80-1)/23,1)+1)&amp;INDEX('Serial Reference'!$A$8:$W$8,1,MOD($A80-1,23)+1)&amp;TEXT(CO$2+FLOOR((CO$2-1)/9,1),"000"),"")</f>
        <v>DJ102</v>
      </c>
      <c r="CP80" s="22" t="str">
        <f>IF(INDEX('Shot Map'!$B$6:$V$26,CEILING($A80/5,1),CEILING(CP$2/5,1))=1,INDEX('Serial Reference'!$A$8:$W$8,1,FLOOR(($A80-1)/23,1)+1)&amp;INDEX('Serial Reference'!$A$8:$W$8,1,MOD($A80-1,23)+1)&amp;TEXT(CP$2+FLOOR((CP$2-1)/9,1),"000"),"")</f>
        <v>DJ103</v>
      </c>
      <c r="CQ80" s="22" t="str">
        <f>IF(INDEX('Shot Map'!$B$6:$V$26,CEILING($A80/5,1),CEILING(CQ$2/5,1))=1,INDEX('Serial Reference'!$A$8:$W$8,1,FLOOR(($A80-1)/23,1)+1)&amp;INDEX('Serial Reference'!$A$8:$W$8,1,MOD($A80-1,23)+1)&amp;TEXT(CQ$2+FLOOR((CQ$2-1)/9,1),"000"),"")</f>
        <v>DJ104</v>
      </c>
      <c r="CR80" s="23" t="str">
        <f>IF(INDEX('Shot Map'!$B$6:$V$26,CEILING($A80/5,1),CEILING(CR$2/5,1))=1,INDEX('Serial Reference'!$A$8:$W$8,1,FLOOR(($A80-1)/23,1)+1)&amp;INDEX('Serial Reference'!$A$8:$W$8,1,MOD($A80-1,23)+1)&amp;TEXT(CR$2+FLOOR((CR$2-1)/9,1),"000"),"")</f>
        <v>DJ105</v>
      </c>
      <c r="CS80" s="21" t="str">
        <f>IF(INDEX('Shot Map'!$B$6:$V$26,CEILING($A80/5,1),CEILING(CS$2/5,1))=1,INDEX('Serial Reference'!$A$8:$W$8,1,FLOOR(($A80-1)/23,1)+1)&amp;INDEX('Serial Reference'!$A$8:$W$8,1,MOD($A80-1,23)+1)&amp;TEXT(CS$2+FLOOR((CS$2-1)/9,1),"000"),"")</f>
        <v/>
      </c>
      <c r="CT80" s="22" t="str">
        <f>IF(INDEX('Shot Map'!$B$6:$V$26,CEILING($A80/5,1),CEILING(CT$2/5,1))=1,INDEX('Serial Reference'!$A$8:$W$8,1,FLOOR(($A80-1)/23,1)+1)&amp;INDEX('Serial Reference'!$A$8:$W$8,1,MOD($A80-1,23)+1)&amp;TEXT(CT$2+FLOOR((CT$2-1)/9,1),"000"),"")</f>
        <v/>
      </c>
      <c r="CU80" s="22" t="str">
        <f>IF(INDEX('Shot Map'!$B$6:$V$26,CEILING($A80/5,1),CEILING(CU$2/5,1))=1,INDEX('Serial Reference'!$A$8:$W$8,1,FLOOR(($A80-1)/23,1)+1)&amp;INDEX('Serial Reference'!$A$8:$W$8,1,MOD($A80-1,23)+1)&amp;TEXT(CU$2+FLOOR((CU$2-1)/9,1),"000"),"")</f>
        <v/>
      </c>
      <c r="CV80" s="22" t="str">
        <f>IF(INDEX('Shot Map'!$B$6:$V$26,CEILING($A80/5,1),CEILING(CV$2/5,1))=1,INDEX('Serial Reference'!$A$8:$W$8,1,FLOOR(($A80-1)/23,1)+1)&amp;INDEX('Serial Reference'!$A$8:$W$8,1,MOD($A80-1,23)+1)&amp;TEXT(CV$2+FLOOR((CV$2-1)/9,1),"000"),"")</f>
        <v/>
      </c>
      <c r="CW80" s="23" t="str">
        <f>IF(INDEX('Shot Map'!$B$6:$V$26,CEILING($A80/5,1),CEILING(CW$2/5,1))=1,INDEX('Serial Reference'!$A$8:$W$8,1,FLOOR(($A80-1)/23,1)+1)&amp;INDEX('Serial Reference'!$A$8:$W$8,1,MOD($A80-1,23)+1)&amp;TEXT(CW$2+FLOOR((CW$2-1)/9,1),"000"),"")</f>
        <v/>
      </c>
      <c r="CX80" s="21" t="str">
        <f>IF(INDEX('Shot Map'!$B$6:$V$26,CEILING($A80/5,1),CEILING(CX$2/5,1))=1,INDEX('Serial Reference'!$A$8:$W$8,1,FLOOR(($A80-1)/23,1)+1)&amp;INDEX('Serial Reference'!$A$8:$W$8,1,MOD($A80-1,23)+1)&amp;TEXT(CX$2+FLOOR((CX$2-1)/9,1),"000"),"")</f>
        <v/>
      </c>
      <c r="CY80" s="22" t="str">
        <f>IF(INDEX('Shot Map'!$B$6:$V$26,CEILING($A80/5,1),CEILING(CY$2/5,1))=1,INDEX('Serial Reference'!$A$8:$W$8,1,FLOOR(($A80-1)/23,1)+1)&amp;INDEX('Serial Reference'!$A$8:$W$8,1,MOD($A80-1,23)+1)&amp;TEXT(CY$2+FLOOR((CY$2-1)/9,1),"000"),"")</f>
        <v/>
      </c>
      <c r="CZ80" s="22" t="str">
        <f>IF(INDEX('Shot Map'!$B$6:$V$26,CEILING($A80/5,1),CEILING(CZ$2/5,1))=1,INDEX('Serial Reference'!$A$8:$W$8,1,FLOOR(($A80-1)/23,1)+1)&amp;INDEX('Serial Reference'!$A$8:$W$8,1,MOD($A80-1,23)+1)&amp;TEXT(CZ$2+FLOOR((CZ$2-1)/9,1),"000"),"")</f>
        <v/>
      </c>
      <c r="DA80" s="22" t="str">
        <f>IF(INDEX('Shot Map'!$B$6:$V$26,CEILING($A80/5,1),CEILING(DA$2/5,1))=1,INDEX('Serial Reference'!$A$8:$W$8,1,FLOOR(($A80-1)/23,1)+1)&amp;INDEX('Serial Reference'!$A$8:$W$8,1,MOD($A80-1,23)+1)&amp;TEXT(DA$2+FLOOR((DA$2-1)/9,1),"000"),"")</f>
        <v/>
      </c>
      <c r="DB80" s="23" t="str">
        <f>IF(INDEX('Shot Map'!$B$6:$V$26,CEILING($A80/5,1),CEILING(DB$2/5,1))=1,INDEX('Serial Reference'!$A$8:$W$8,1,FLOOR(($A80-1)/23,1)+1)&amp;INDEX('Serial Reference'!$A$8:$W$8,1,MOD($A80-1,23)+1)&amp;TEXT(DB$2+FLOOR((DB$2-1)/9,1),"000"),"")</f>
        <v/>
      </c>
    </row>
    <row r="81" spans="1:106" ht="12.75" customHeight="1" x14ac:dyDescent="0.25">
      <c r="A81" s="17">
        <v>79</v>
      </c>
      <c r="B81" s="21" t="str">
        <f>IF(INDEX('Shot Map'!$B$6:$V$26,CEILING($A81/5,1),CEILING(B$2/5,1))=1,INDEX('Serial Reference'!$A$8:$W$8,1,FLOOR(($A81-1)/23,1)+1)&amp;INDEX('Serial Reference'!$A$8:$W$8,1,MOD($A81-1,23)+1)&amp;TEXT(B$2+FLOOR((B$2-1)/9,1),"000"),"")</f>
        <v/>
      </c>
      <c r="C81" s="22" t="str">
        <f>IF(INDEX('Shot Map'!$B$6:$V$26,CEILING($A81/5,1),CEILING(C$2/5,1))=1,INDEX('Serial Reference'!$A$8:$W$8,1,FLOOR(($A81-1)/23,1)+1)&amp;INDEX('Serial Reference'!$A$8:$W$8,1,MOD($A81-1,23)+1)&amp;TEXT(C$2+FLOOR((C$2-1)/9,1),"000"),"")</f>
        <v/>
      </c>
      <c r="D81" s="22" t="str">
        <f>IF(INDEX('Shot Map'!$B$6:$V$26,CEILING($A81/5,1),CEILING(D$2/5,1))=1,INDEX('Serial Reference'!$A$8:$W$8,1,FLOOR(($A81-1)/23,1)+1)&amp;INDEX('Serial Reference'!$A$8:$W$8,1,MOD($A81-1,23)+1)&amp;TEXT(D$2+FLOOR((D$2-1)/9,1),"000"),"")</f>
        <v/>
      </c>
      <c r="E81" s="22" t="str">
        <f>IF(INDEX('Shot Map'!$B$6:$V$26,CEILING($A81/5,1),CEILING(E$2/5,1))=1,INDEX('Serial Reference'!$A$8:$W$8,1,FLOOR(($A81-1)/23,1)+1)&amp;INDEX('Serial Reference'!$A$8:$W$8,1,MOD($A81-1,23)+1)&amp;TEXT(E$2+FLOOR((E$2-1)/9,1),"000"),"")</f>
        <v/>
      </c>
      <c r="F81" s="23" t="str">
        <f>IF(INDEX('Shot Map'!$B$6:$V$26,CEILING($A81/5,1),CEILING(F$2/5,1))=1,INDEX('Serial Reference'!$A$8:$W$8,1,FLOOR(($A81-1)/23,1)+1)&amp;INDEX('Serial Reference'!$A$8:$W$8,1,MOD($A81-1,23)+1)&amp;TEXT(F$2+FLOOR((F$2-1)/9,1),"000"),"")</f>
        <v/>
      </c>
      <c r="G81" s="21" t="str">
        <f>IF(INDEX('Shot Map'!$B$6:$V$26,CEILING($A81/5,1),CEILING(G$2/5,1))=1,INDEX('Serial Reference'!$A$8:$W$8,1,FLOOR(($A81-1)/23,1)+1)&amp;INDEX('Serial Reference'!$A$8:$W$8,1,MOD($A81-1,23)+1)&amp;TEXT(G$2+FLOOR((G$2-1)/9,1),"000"),"")</f>
        <v/>
      </c>
      <c r="H81" s="22" t="str">
        <f>IF(INDEX('Shot Map'!$B$6:$V$26,CEILING($A81/5,1),CEILING(H$2/5,1))=1,INDEX('Serial Reference'!$A$8:$W$8,1,FLOOR(($A81-1)/23,1)+1)&amp;INDEX('Serial Reference'!$A$8:$W$8,1,MOD($A81-1,23)+1)&amp;TEXT(H$2+FLOOR((H$2-1)/9,1),"000"),"")</f>
        <v/>
      </c>
      <c r="I81" s="22" t="str">
        <f>IF(INDEX('Shot Map'!$B$6:$V$26,CEILING($A81/5,1),CEILING(I$2/5,1))=1,INDEX('Serial Reference'!$A$8:$W$8,1,FLOOR(($A81-1)/23,1)+1)&amp;INDEX('Serial Reference'!$A$8:$W$8,1,MOD($A81-1,23)+1)&amp;TEXT(I$2+FLOOR((I$2-1)/9,1),"000"),"")</f>
        <v/>
      </c>
      <c r="J81" s="22" t="str">
        <f>IF(INDEX('Shot Map'!$B$6:$V$26,CEILING($A81/5,1),CEILING(J$2/5,1))=1,INDEX('Serial Reference'!$A$8:$W$8,1,FLOOR(($A81-1)/23,1)+1)&amp;INDEX('Serial Reference'!$A$8:$W$8,1,MOD($A81-1,23)+1)&amp;TEXT(J$2+FLOOR((J$2-1)/9,1),"000"),"")</f>
        <v/>
      </c>
      <c r="K81" s="23" t="str">
        <f>IF(INDEX('Shot Map'!$B$6:$V$26,CEILING($A81/5,1),CEILING(K$2/5,1))=1,INDEX('Serial Reference'!$A$8:$W$8,1,FLOOR(($A81-1)/23,1)+1)&amp;INDEX('Serial Reference'!$A$8:$W$8,1,MOD($A81-1,23)+1)&amp;TEXT(K$2+FLOOR((K$2-1)/9,1),"000"),"")</f>
        <v/>
      </c>
      <c r="L81" s="21" t="str">
        <f>IF(INDEX('Shot Map'!$B$6:$V$26,CEILING($A81/5,1),CEILING(L$2/5,1))=1,INDEX('Serial Reference'!$A$8:$W$8,1,FLOOR(($A81-1)/23,1)+1)&amp;INDEX('Serial Reference'!$A$8:$W$8,1,MOD($A81-1,23)+1)&amp;TEXT(L$2+FLOOR((L$2-1)/9,1),"000"),"")</f>
        <v>DK012</v>
      </c>
      <c r="M81" s="22" t="str">
        <f>IF(INDEX('Shot Map'!$B$6:$V$26,CEILING($A81/5,1),CEILING(M$2/5,1))=1,INDEX('Serial Reference'!$A$8:$W$8,1,FLOOR(($A81-1)/23,1)+1)&amp;INDEX('Serial Reference'!$A$8:$W$8,1,MOD($A81-1,23)+1)&amp;TEXT(M$2+FLOOR((M$2-1)/9,1),"000"),"")</f>
        <v>DK013</v>
      </c>
      <c r="N81" s="22" t="str">
        <f>IF(INDEX('Shot Map'!$B$6:$V$26,CEILING($A81/5,1),CEILING(N$2/5,1))=1,INDEX('Serial Reference'!$A$8:$W$8,1,FLOOR(($A81-1)/23,1)+1)&amp;INDEX('Serial Reference'!$A$8:$W$8,1,MOD($A81-1,23)+1)&amp;TEXT(N$2+FLOOR((N$2-1)/9,1),"000"),"")</f>
        <v>DK014</v>
      </c>
      <c r="O81" s="22" t="str">
        <f>IF(INDEX('Shot Map'!$B$6:$V$26,CEILING($A81/5,1),CEILING(O$2/5,1))=1,INDEX('Serial Reference'!$A$8:$W$8,1,FLOOR(($A81-1)/23,1)+1)&amp;INDEX('Serial Reference'!$A$8:$W$8,1,MOD($A81-1,23)+1)&amp;TEXT(O$2+FLOOR((O$2-1)/9,1),"000"),"")</f>
        <v>DK015</v>
      </c>
      <c r="P81" s="23" t="str">
        <f>IF(INDEX('Shot Map'!$B$6:$V$26,CEILING($A81/5,1),CEILING(P$2/5,1))=1,INDEX('Serial Reference'!$A$8:$W$8,1,FLOOR(($A81-1)/23,1)+1)&amp;INDEX('Serial Reference'!$A$8:$W$8,1,MOD($A81-1,23)+1)&amp;TEXT(P$2+FLOOR((P$2-1)/9,1),"000"),"")</f>
        <v>DK016</v>
      </c>
      <c r="Q81" s="21" t="str">
        <f>IF(INDEX('Shot Map'!$B$6:$V$26,CEILING($A81/5,1),CEILING(Q$2/5,1))=1,INDEX('Serial Reference'!$A$8:$W$8,1,FLOOR(($A81-1)/23,1)+1)&amp;INDEX('Serial Reference'!$A$8:$W$8,1,MOD($A81-1,23)+1)&amp;TEXT(Q$2+FLOOR((Q$2-1)/9,1),"000"),"")</f>
        <v>DK017</v>
      </c>
      <c r="R81" s="22" t="str">
        <f>IF(INDEX('Shot Map'!$B$6:$V$26,CEILING($A81/5,1),CEILING(R$2/5,1))=1,INDEX('Serial Reference'!$A$8:$W$8,1,FLOOR(($A81-1)/23,1)+1)&amp;INDEX('Serial Reference'!$A$8:$W$8,1,MOD($A81-1,23)+1)&amp;TEXT(R$2+FLOOR((R$2-1)/9,1),"000"),"")</f>
        <v>DK018</v>
      </c>
      <c r="S81" s="22" t="str">
        <f>IF(INDEX('Shot Map'!$B$6:$V$26,CEILING($A81/5,1),CEILING(S$2/5,1))=1,INDEX('Serial Reference'!$A$8:$W$8,1,FLOOR(($A81-1)/23,1)+1)&amp;INDEX('Serial Reference'!$A$8:$W$8,1,MOD($A81-1,23)+1)&amp;TEXT(S$2+FLOOR((S$2-1)/9,1),"000"),"")</f>
        <v>DK019</v>
      </c>
      <c r="T81" s="22" t="str">
        <f>IF(INDEX('Shot Map'!$B$6:$V$26,CEILING($A81/5,1),CEILING(T$2/5,1))=1,INDEX('Serial Reference'!$A$8:$W$8,1,FLOOR(($A81-1)/23,1)+1)&amp;INDEX('Serial Reference'!$A$8:$W$8,1,MOD($A81-1,23)+1)&amp;TEXT(T$2+FLOOR((T$2-1)/9,1),"000"),"")</f>
        <v>DK021</v>
      </c>
      <c r="U81" s="23" t="str">
        <f>IF(INDEX('Shot Map'!$B$6:$V$26,CEILING($A81/5,1),CEILING(U$2/5,1))=1,INDEX('Serial Reference'!$A$8:$W$8,1,FLOOR(($A81-1)/23,1)+1)&amp;INDEX('Serial Reference'!$A$8:$W$8,1,MOD($A81-1,23)+1)&amp;TEXT(U$2+FLOOR((U$2-1)/9,1),"000"),"")</f>
        <v>DK022</v>
      </c>
      <c r="V81" s="21" t="str">
        <f>IF(INDEX('Shot Map'!$B$6:$V$26,CEILING($A81/5,1),CEILING(V$2/5,1))=1,INDEX('Serial Reference'!$A$8:$W$8,1,FLOOR(($A81-1)/23,1)+1)&amp;INDEX('Serial Reference'!$A$8:$W$8,1,MOD($A81-1,23)+1)&amp;TEXT(V$2+FLOOR((V$2-1)/9,1),"000"),"")</f>
        <v>DK023</v>
      </c>
      <c r="W81" s="22" t="str">
        <f>IF(INDEX('Shot Map'!$B$6:$V$26,CEILING($A81/5,1),CEILING(W$2/5,1))=1,INDEX('Serial Reference'!$A$8:$W$8,1,FLOOR(($A81-1)/23,1)+1)&amp;INDEX('Serial Reference'!$A$8:$W$8,1,MOD($A81-1,23)+1)&amp;TEXT(W$2+FLOOR((W$2-1)/9,1),"000"),"")</f>
        <v>DK024</v>
      </c>
      <c r="X81" s="22" t="str">
        <f>IF(INDEX('Shot Map'!$B$6:$V$26,CEILING($A81/5,1),CEILING(X$2/5,1))=1,INDEX('Serial Reference'!$A$8:$W$8,1,FLOOR(($A81-1)/23,1)+1)&amp;INDEX('Serial Reference'!$A$8:$W$8,1,MOD($A81-1,23)+1)&amp;TEXT(X$2+FLOOR((X$2-1)/9,1),"000"),"")</f>
        <v>DK025</v>
      </c>
      <c r="Y81" s="22" t="str">
        <f>IF(INDEX('Shot Map'!$B$6:$V$26,CEILING($A81/5,1),CEILING(Y$2/5,1))=1,INDEX('Serial Reference'!$A$8:$W$8,1,FLOOR(($A81-1)/23,1)+1)&amp;INDEX('Serial Reference'!$A$8:$W$8,1,MOD($A81-1,23)+1)&amp;TEXT(Y$2+FLOOR((Y$2-1)/9,1),"000"),"")</f>
        <v>DK026</v>
      </c>
      <c r="Z81" s="23" t="str">
        <f>IF(INDEX('Shot Map'!$B$6:$V$26,CEILING($A81/5,1),CEILING(Z$2/5,1))=1,INDEX('Serial Reference'!$A$8:$W$8,1,FLOOR(($A81-1)/23,1)+1)&amp;INDEX('Serial Reference'!$A$8:$W$8,1,MOD($A81-1,23)+1)&amp;TEXT(Z$2+FLOOR((Z$2-1)/9,1),"000"),"")</f>
        <v>DK027</v>
      </c>
      <c r="AA81" s="21" t="str">
        <f>IF(INDEX('Shot Map'!$B$6:$V$26,CEILING($A81/5,1),CEILING(AA$2/5,1))=1,INDEX('Serial Reference'!$A$8:$W$8,1,FLOOR(($A81-1)/23,1)+1)&amp;INDEX('Serial Reference'!$A$8:$W$8,1,MOD($A81-1,23)+1)&amp;TEXT(AA$2+FLOOR((AA$2-1)/9,1),"000"),"")</f>
        <v>DK028</v>
      </c>
      <c r="AB81" s="22" t="str">
        <f>IF(INDEX('Shot Map'!$B$6:$V$26,CEILING($A81/5,1),CEILING(AB$2/5,1))=1,INDEX('Serial Reference'!$A$8:$W$8,1,FLOOR(($A81-1)/23,1)+1)&amp;INDEX('Serial Reference'!$A$8:$W$8,1,MOD($A81-1,23)+1)&amp;TEXT(AB$2+FLOOR((AB$2-1)/9,1),"000"),"")</f>
        <v>DK029</v>
      </c>
      <c r="AC81" s="22" t="str">
        <f>IF(INDEX('Shot Map'!$B$6:$V$26,CEILING($A81/5,1),CEILING(AC$2/5,1))=1,INDEX('Serial Reference'!$A$8:$W$8,1,FLOOR(($A81-1)/23,1)+1)&amp;INDEX('Serial Reference'!$A$8:$W$8,1,MOD($A81-1,23)+1)&amp;TEXT(AC$2+FLOOR((AC$2-1)/9,1),"000"),"")</f>
        <v>DK031</v>
      </c>
      <c r="AD81" s="22" t="str">
        <f>IF(INDEX('Shot Map'!$B$6:$V$26,CEILING($A81/5,1),CEILING(AD$2/5,1))=1,INDEX('Serial Reference'!$A$8:$W$8,1,FLOOR(($A81-1)/23,1)+1)&amp;INDEX('Serial Reference'!$A$8:$W$8,1,MOD($A81-1,23)+1)&amp;TEXT(AD$2+FLOOR((AD$2-1)/9,1),"000"),"")</f>
        <v>DK032</v>
      </c>
      <c r="AE81" s="23" t="str">
        <f>IF(INDEX('Shot Map'!$B$6:$V$26,CEILING($A81/5,1),CEILING(AE$2/5,1))=1,INDEX('Serial Reference'!$A$8:$W$8,1,FLOOR(($A81-1)/23,1)+1)&amp;INDEX('Serial Reference'!$A$8:$W$8,1,MOD($A81-1,23)+1)&amp;TEXT(AE$2+FLOOR((AE$2-1)/9,1),"000"),"")</f>
        <v>DK033</v>
      </c>
      <c r="AF81" s="21" t="str">
        <f>IF(INDEX('Shot Map'!$B$6:$V$26,CEILING($A81/5,1),CEILING(AF$2/5,1))=1,INDEX('Serial Reference'!$A$8:$W$8,1,FLOOR(($A81-1)/23,1)+1)&amp;INDEX('Serial Reference'!$A$8:$W$8,1,MOD($A81-1,23)+1)&amp;TEXT(AF$2+FLOOR((AF$2-1)/9,1),"000"),"")</f>
        <v>DK034</v>
      </c>
      <c r="AG81" s="22" t="str">
        <f>IF(INDEX('Shot Map'!$B$6:$V$26,CEILING($A81/5,1),CEILING(AG$2/5,1))=1,INDEX('Serial Reference'!$A$8:$W$8,1,FLOOR(($A81-1)/23,1)+1)&amp;INDEX('Serial Reference'!$A$8:$W$8,1,MOD($A81-1,23)+1)&amp;TEXT(AG$2+FLOOR((AG$2-1)/9,1),"000"),"")</f>
        <v>DK035</v>
      </c>
      <c r="AH81" s="22" t="str">
        <f>IF(INDEX('Shot Map'!$B$6:$V$26,CEILING($A81/5,1),CEILING(AH$2/5,1))=1,INDEX('Serial Reference'!$A$8:$W$8,1,FLOOR(($A81-1)/23,1)+1)&amp;INDEX('Serial Reference'!$A$8:$W$8,1,MOD($A81-1,23)+1)&amp;TEXT(AH$2+FLOOR((AH$2-1)/9,1),"000"),"")</f>
        <v>DK036</v>
      </c>
      <c r="AI81" s="22" t="str">
        <f>IF(INDEX('Shot Map'!$B$6:$V$26,CEILING($A81/5,1),CEILING(AI$2/5,1))=1,INDEX('Serial Reference'!$A$8:$W$8,1,FLOOR(($A81-1)/23,1)+1)&amp;INDEX('Serial Reference'!$A$8:$W$8,1,MOD($A81-1,23)+1)&amp;TEXT(AI$2+FLOOR((AI$2-1)/9,1),"000"),"")</f>
        <v>DK037</v>
      </c>
      <c r="AJ81" s="23" t="str">
        <f>IF(INDEX('Shot Map'!$B$6:$V$26,CEILING($A81/5,1),CEILING(AJ$2/5,1))=1,INDEX('Serial Reference'!$A$8:$W$8,1,FLOOR(($A81-1)/23,1)+1)&amp;INDEX('Serial Reference'!$A$8:$W$8,1,MOD($A81-1,23)+1)&amp;TEXT(AJ$2+FLOOR((AJ$2-1)/9,1),"000"),"")</f>
        <v>DK038</v>
      </c>
      <c r="AK81" s="21" t="str">
        <f>IF(INDEX('Shot Map'!$B$6:$V$26,CEILING($A81/5,1),CEILING(AK$2/5,1))=1,INDEX('Serial Reference'!$A$8:$W$8,1,FLOOR(($A81-1)/23,1)+1)&amp;INDEX('Serial Reference'!$A$8:$W$8,1,MOD($A81-1,23)+1)&amp;TEXT(AK$2+FLOOR((AK$2-1)/9,1),"000"),"")</f>
        <v>DK039</v>
      </c>
      <c r="AL81" s="22" t="str">
        <f>IF(INDEX('Shot Map'!$B$6:$V$26,CEILING($A81/5,1),CEILING(AL$2/5,1))=1,INDEX('Serial Reference'!$A$8:$W$8,1,FLOOR(($A81-1)/23,1)+1)&amp;INDEX('Serial Reference'!$A$8:$W$8,1,MOD($A81-1,23)+1)&amp;TEXT(AL$2+FLOOR((AL$2-1)/9,1),"000"),"")</f>
        <v>DK041</v>
      </c>
      <c r="AM81" s="22" t="str">
        <f>IF(INDEX('Shot Map'!$B$6:$V$26,CEILING($A81/5,1),CEILING(AM$2/5,1))=1,INDEX('Serial Reference'!$A$8:$W$8,1,FLOOR(($A81-1)/23,1)+1)&amp;INDEX('Serial Reference'!$A$8:$W$8,1,MOD($A81-1,23)+1)&amp;TEXT(AM$2+FLOOR((AM$2-1)/9,1),"000"),"")</f>
        <v>DK042</v>
      </c>
      <c r="AN81" s="22" t="str">
        <f>IF(INDEX('Shot Map'!$B$6:$V$26,CEILING($A81/5,1),CEILING(AN$2/5,1))=1,INDEX('Serial Reference'!$A$8:$W$8,1,FLOOR(($A81-1)/23,1)+1)&amp;INDEX('Serial Reference'!$A$8:$W$8,1,MOD($A81-1,23)+1)&amp;TEXT(AN$2+FLOOR((AN$2-1)/9,1),"000"),"")</f>
        <v>DK043</v>
      </c>
      <c r="AO81" s="23" t="str">
        <f>IF(INDEX('Shot Map'!$B$6:$V$26,CEILING($A81/5,1),CEILING(AO$2/5,1))=1,INDEX('Serial Reference'!$A$8:$W$8,1,FLOOR(($A81-1)/23,1)+1)&amp;INDEX('Serial Reference'!$A$8:$W$8,1,MOD($A81-1,23)+1)&amp;TEXT(AO$2+FLOOR((AO$2-1)/9,1),"000"),"")</f>
        <v>DK044</v>
      </c>
      <c r="AP81" s="21" t="str">
        <f>IF(INDEX('Shot Map'!$B$6:$V$26,CEILING($A81/5,1),CEILING(AP$2/5,1))=1,INDEX('Serial Reference'!$A$8:$W$8,1,FLOOR(($A81-1)/23,1)+1)&amp;INDEX('Serial Reference'!$A$8:$W$8,1,MOD($A81-1,23)+1)&amp;TEXT(AP$2+FLOOR((AP$2-1)/9,1),"000"),"")</f>
        <v>DK045</v>
      </c>
      <c r="AQ81" s="22" t="str">
        <f>IF(INDEX('Shot Map'!$B$6:$V$26,CEILING($A81/5,1),CEILING(AQ$2/5,1))=1,INDEX('Serial Reference'!$A$8:$W$8,1,FLOOR(($A81-1)/23,1)+1)&amp;INDEX('Serial Reference'!$A$8:$W$8,1,MOD($A81-1,23)+1)&amp;TEXT(AQ$2+FLOOR((AQ$2-1)/9,1),"000"),"")</f>
        <v>DK046</v>
      </c>
      <c r="AR81" s="22" t="str">
        <f>IF(INDEX('Shot Map'!$B$6:$V$26,CEILING($A81/5,1),CEILING(AR$2/5,1))=1,INDEX('Serial Reference'!$A$8:$W$8,1,FLOOR(($A81-1)/23,1)+1)&amp;INDEX('Serial Reference'!$A$8:$W$8,1,MOD($A81-1,23)+1)&amp;TEXT(AR$2+FLOOR((AR$2-1)/9,1),"000"),"")</f>
        <v>DK047</v>
      </c>
      <c r="AS81" s="22" t="str">
        <f>IF(INDEX('Shot Map'!$B$6:$V$26,CEILING($A81/5,1),CEILING(AS$2/5,1))=1,INDEX('Serial Reference'!$A$8:$W$8,1,FLOOR(($A81-1)/23,1)+1)&amp;INDEX('Serial Reference'!$A$8:$W$8,1,MOD($A81-1,23)+1)&amp;TEXT(AS$2+FLOOR((AS$2-1)/9,1),"000"),"")</f>
        <v>DK048</v>
      </c>
      <c r="AT81" s="23" t="str">
        <f>IF(INDEX('Shot Map'!$B$6:$V$26,CEILING($A81/5,1),CEILING(AT$2/5,1))=1,INDEX('Serial Reference'!$A$8:$W$8,1,FLOOR(($A81-1)/23,1)+1)&amp;INDEX('Serial Reference'!$A$8:$W$8,1,MOD($A81-1,23)+1)&amp;TEXT(AT$2+FLOOR((AT$2-1)/9,1),"000"),"")</f>
        <v>DK049</v>
      </c>
      <c r="AU81" s="21" t="str">
        <f>IF(INDEX('Shot Map'!$B$6:$V$26,CEILING($A81/5,1),CEILING(AU$2/5,1))=1,INDEX('Serial Reference'!$A$8:$W$8,1,FLOOR(($A81-1)/23,1)+1)&amp;INDEX('Serial Reference'!$A$8:$W$8,1,MOD($A81-1,23)+1)&amp;TEXT(AU$2+FLOOR((AU$2-1)/9,1),"000"),"")</f>
        <v>DK051</v>
      </c>
      <c r="AV81" s="22" t="str">
        <f>IF(INDEX('Shot Map'!$B$6:$V$26,CEILING($A81/5,1),CEILING(AV$2/5,1))=1,INDEX('Serial Reference'!$A$8:$W$8,1,FLOOR(($A81-1)/23,1)+1)&amp;INDEX('Serial Reference'!$A$8:$W$8,1,MOD($A81-1,23)+1)&amp;TEXT(AV$2+FLOOR((AV$2-1)/9,1),"000"),"")</f>
        <v>DK052</v>
      </c>
      <c r="AW81" s="22" t="str">
        <f>IF(INDEX('Shot Map'!$B$6:$V$26,CEILING($A81/5,1),CEILING(AW$2/5,1))=1,INDEX('Serial Reference'!$A$8:$W$8,1,FLOOR(($A81-1)/23,1)+1)&amp;INDEX('Serial Reference'!$A$8:$W$8,1,MOD($A81-1,23)+1)&amp;TEXT(AW$2+FLOOR((AW$2-1)/9,1),"000"),"")</f>
        <v>DK053</v>
      </c>
      <c r="AX81" s="22" t="str">
        <f>IF(INDEX('Shot Map'!$B$6:$V$26,CEILING($A81/5,1),CEILING(AX$2/5,1))=1,INDEX('Serial Reference'!$A$8:$W$8,1,FLOOR(($A81-1)/23,1)+1)&amp;INDEX('Serial Reference'!$A$8:$W$8,1,MOD($A81-1,23)+1)&amp;TEXT(AX$2+FLOOR((AX$2-1)/9,1),"000"),"")</f>
        <v>DK054</v>
      </c>
      <c r="AY81" s="23" t="str">
        <f>IF(INDEX('Shot Map'!$B$6:$V$26,CEILING($A81/5,1),CEILING(AY$2/5,1))=1,INDEX('Serial Reference'!$A$8:$W$8,1,FLOOR(($A81-1)/23,1)+1)&amp;INDEX('Serial Reference'!$A$8:$W$8,1,MOD($A81-1,23)+1)&amp;TEXT(AY$2+FLOOR((AY$2-1)/9,1),"000"),"")</f>
        <v>DK055</v>
      </c>
      <c r="AZ81" s="21" t="str">
        <f>IF(INDEX('Shot Map'!$B$6:$V$26,CEILING($A81/5,1),CEILING(AZ$2/5,1))=1,INDEX('Serial Reference'!$A$8:$W$8,1,FLOOR(($A81-1)/23,1)+1)&amp;INDEX('Serial Reference'!$A$8:$W$8,1,MOD($A81-1,23)+1)&amp;TEXT(AZ$2+FLOOR((AZ$2-1)/9,1),"000"),"")</f>
        <v>DK056</v>
      </c>
      <c r="BA81" s="22" t="str">
        <f>IF(INDEX('Shot Map'!$B$6:$V$26,CEILING($A81/5,1),CEILING(BA$2/5,1))=1,INDEX('Serial Reference'!$A$8:$W$8,1,FLOOR(($A81-1)/23,1)+1)&amp;INDEX('Serial Reference'!$A$8:$W$8,1,MOD($A81-1,23)+1)&amp;TEXT(BA$2+FLOOR((BA$2-1)/9,1),"000"),"")</f>
        <v>DK057</v>
      </c>
      <c r="BB81" s="22" t="str">
        <f>IF(INDEX('Shot Map'!$B$6:$V$26,CEILING($A81/5,1),CEILING(BB$2/5,1))=1,INDEX('Serial Reference'!$A$8:$W$8,1,FLOOR(($A81-1)/23,1)+1)&amp;INDEX('Serial Reference'!$A$8:$W$8,1,MOD($A81-1,23)+1)&amp;TEXT(BB$2+FLOOR((BB$2-1)/9,1),"000"),"")</f>
        <v>DK058</v>
      </c>
      <c r="BC81" s="22" t="str">
        <f>IF(INDEX('Shot Map'!$B$6:$V$26,CEILING($A81/5,1),CEILING(BC$2/5,1))=1,INDEX('Serial Reference'!$A$8:$W$8,1,FLOOR(($A81-1)/23,1)+1)&amp;INDEX('Serial Reference'!$A$8:$W$8,1,MOD($A81-1,23)+1)&amp;TEXT(BC$2+FLOOR((BC$2-1)/9,1),"000"),"")</f>
        <v>DK059</v>
      </c>
      <c r="BD81" s="23" t="str">
        <f>IF(INDEX('Shot Map'!$B$6:$V$26,CEILING($A81/5,1),CEILING(BD$2/5,1))=1,INDEX('Serial Reference'!$A$8:$W$8,1,FLOOR(($A81-1)/23,1)+1)&amp;INDEX('Serial Reference'!$A$8:$W$8,1,MOD($A81-1,23)+1)&amp;TEXT(BD$2+FLOOR((BD$2-1)/9,1),"000"),"")</f>
        <v>DK061</v>
      </c>
      <c r="BE81" s="21" t="str">
        <f>IF(INDEX('Shot Map'!$B$6:$V$26,CEILING($A81/5,1),CEILING(BE$2/5,1))=1,INDEX('Serial Reference'!$A$8:$W$8,1,FLOOR(($A81-1)/23,1)+1)&amp;INDEX('Serial Reference'!$A$8:$W$8,1,MOD($A81-1,23)+1)&amp;TEXT(BE$2+FLOOR((BE$2-1)/9,1),"000"),"")</f>
        <v>DK062</v>
      </c>
      <c r="BF81" s="22" t="str">
        <f>IF(INDEX('Shot Map'!$B$6:$V$26,CEILING($A81/5,1),CEILING(BF$2/5,1))=1,INDEX('Serial Reference'!$A$8:$W$8,1,FLOOR(($A81-1)/23,1)+1)&amp;INDEX('Serial Reference'!$A$8:$W$8,1,MOD($A81-1,23)+1)&amp;TEXT(BF$2+FLOOR((BF$2-1)/9,1),"000"),"")</f>
        <v>DK063</v>
      </c>
      <c r="BG81" s="22" t="str">
        <f>IF(INDEX('Shot Map'!$B$6:$V$26,CEILING($A81/5,1),CEILING(BG$2/5,1))=1,INDEX('Serial Reference'!$A$8:$W$8,1,FLOOR(($A81-1)/23,1)+1)&amp;INDEX('Serial Reference'!$A$8:$W$8,1,MOD($A81-1,23)+1)&amp;TEXT(BG$2+FLOOR((BG$2-1)/9,1),"000"),"")</f>
        <v>DK064</v>
      </c>
      <c r="BH81" s="22" t="str">
        <f>IF(INDEX('Shot Map'!$B$6:$V$26,CEILING($A81/5,1),CEILING(BH$2/5,1))=1,INDEX('Serial Reference'!$A$8:$W$8,1,FLOOR(($A81-1)/23,1)+1)&amp;INDEX('Serial Reference'!$A$8:$W$8,1,MOD($A81-1,23)+1)&amp;TEXT(BH$2+FLOOR((BH$2-1)/9,1),"000"),"")</f>
        <v>DK065</v>
      </c>
      <c r="BI81" s="23" t="str">
        <f>IF(INDEX('Shot Map'!$B$6:$V$26,CEILING($A81/5,1),CEILING(BI$2/5,1))=1,INDEX('Serial Reference'!$A$8:$W$8,1,FLOOR(($A81-1)/23,1)+1)&amp;INDEX('Serial Reference'!$A$8:$W$8,1,MOD($A81-1,23)+1)&amp;TEXT(BI$2+FLOOR((BI$2-1)/9,1),"000"),"")</f>
        <v>DK066</v>
      </c>
      <c r="BJ81" s="21" t="str">
        <f>IF(INDEX('Shot Map'!$B$6:$V$26,CEILING($A81/5,1),CEILING(BJ$2/5,1))=1,INDEX('Serial Reference'!$A$8:$W$8,1,FLOOR(($A81-1)/23,1)+1)&amp;INDEX('Serial Reference'!$A$8:$W$8,1,MOD($A81-1,23)+1)&amp;TEXT(BJ$2+FLOOR((BJ$2-1)/9,1),"000"),"")</f>
        <v>DK067</v>
      </c>
      <c r="BK81" s="22" t="str">
        <f>IF(INDEX('Shot Map'!$B$6:$V$26,CEILING($A81/5,1),CEILING(BK$2/5,1))=1,INDEX('Serial Reference'!$A$8:$W$8,1,FLOOR(($A81-1)/23,1)+1)&amp;INDEX('Serial Reference'!$A$8:$W$8,1,MOD($A81-1,23)+1)&amp;TEXT(BK$2+FLOOR((BK$2-1)/9,1),"000"),"")</f>
        <v>DK068</v>
      </c>
      <c r="BL81" s="22" t="str">
        <f>IF(INDEX('Shot Map'!$B$6:$V$26,CEILING($A81/5,1),CEILING(BL$2/5,1))=1,INDEX('Serial Reference'!$A$8:$W$8,1,FLOOR(($A81-1)/23,1)+1)&amp;INDEX('Serial Reference'!$A$8:$W$8,1,MOD($A81-1,23)+1)&amp;TEXT(BL$2+FLOOR((BL$2-1)/9,1),"000"),"")</f>
        <v>DK069</v>
      </c>
      <c r="BM81" s="22" t="str">
        <f>IF(INDEX('Shot Map'!$B$6:$V$26,CEILING($A81/5,1),CEILING(BM$2/5,1))=1,INDEX('Serial Reference'!$A$8:$W$8,1,FLOOR(($A81-1)/23,1)+1)&amp;INDEX('Serial Reference'!$A$8:$W$8,1,MOD($A81-1,23)+1)&amp;TEXT(BM$2+FLOOR((BM$2-1)/9,1),"000"),"")</f>
        <v>DK071</v>
      </c>
      <c r="BN81" s="23" t="str">
        <f>IF(INDEX('Shot Map'!$B$6:$V$26,CEILING($A81/5,1),CEILING(BN$2/5,1))=1,INDEX('Serial Reference'!$A$8:$W$8,1,FLOOR(($A81-1)/23,1)+1)&amp;INDEX('Serial Reference'!$A$8:$W$8,1,MOD($A81-1,23)+1)&amp;TEXT(BN$2+FLOOR((BN$2-1)/9,1),"000"),"")</f>
        <v>DK072</v>
      </c>
      <c r="BO81" s="21" t="str">
        <f>IF(INDEX('Shot Map'!$B$6:$V$26,CEILING($A81/5,1),CEILING(BO$2/5,1))=1,INDEX('Serial Reference'!$A$8:$W$8,1,FLOOR(($A81-1)/23,1)+1)&amp;INDEX('Serial Reference'!$A$8:$W$8,1,MOD($A81-1,23)+1)&amp;TEXT(BO$2+FLOOR((BO$2-1)/9,1),"000"),"")</f>
        <v>DK073</v>
      </c>
      <c r="BP81" s="22" t="str">
        <f>IF(INDEX('Shot Map'!$B$6:$V$26,CEILING($A81/5,1),CEILING(BP$2/5,1))=1,INDEX('Serial Reference'!$A$8:$W$8,1,FLOOR(($A81-1)/23,1)+1)&amp;INDEX('Serial Reference'!$A$8:$W$8,1,MOD($A81-1,23)+1)&amp;TEXT(BP$2+FLOOR((BP$2-1)/9,1),"000"),"")</f>
        <v>DK074</v>
      </c>
      <c r="BQ81" s="22" t="str">
        <f>IF(INDEX('Shot Map'!$B$6:$V$26,CEILING($A81/5,1),CEILING(BQ$2/5,1))=1,INDEX('Serial Reference'!$A$8:$W$8,1,FLOOR(($A81-1)/23,1)+1)&amp;INDEX('Serial Reference'!$A$8:$W$8,1,MOD($A81-1,23)+1)&amp;TEXT(BQ$2+FLOOR((BQ$2-1)/9,1),"000"),"")</f>
        <v>DK075</v>
      </c>
      <c r="BR81" s="22" t="str">
        <f>IF(INDEX('Shot Map'!$B$6:$V$26,CEILING($A81/5,1),CEILING(BR$2/5,1))=1,INDEX('Serial Reference'!$A$8:$W$8,1,FLOOR(($A81-1)/23,1)+1)&amp;INDEX('Serial Reference'!$A$8:$W$8,1,MOD($A81-1,23)+1)&amp;TEXT(BR$2+FLOOR((BR$2-1)/9,1),"000"),"")</f>
        <v>DK076</v>
      </c>
      <c r="BS81" s="23" t="str">
        <f>IF(INDEX('Shot Map'!$B$6:$V$26,CEILING($A81/5,1),CEILING(BS$2/5,1))=1,INDEX('Serial Reference'!$A$8:$W$8,1,FLOOR(($A81-1)/23,1)+1)&amp;INDEX('Serial Reference'!$A$8:$W$8,1,MOD($A81-1,23)+1)&amp;TEXT(BS$2+FLOOR((BS$2-1)/9,1),"000"),"")</f>
        <v>DK077</v>
      </c>
      <c r="BT81" s="21" t="str">
        <f>IF(INDEX('Shot Map'!$B$6:$V$26,CEILING($A81/5,1),CEILING(BT$2/5,1))=1,INDEX('Serial Reference'!$A$8:$W$8,1,FLOOR(($A81-1)/23,1)+1)&amp;INDEX('Serial Reference'!$A$8:$W$8,1,MOD($A81-1,23)+1)&amp;TEXT(BT$2+FLOOR((BT$2-1)/9,1),"000"),"")</f>
        <v>DK078</v>
      </c>
      <c r="BU81" s="22" t="str">
        <f>IF(INDEX('Shot Map'!$B$6:$V$26,CEILING($A81/5,1),CEILING(BU$2/5,1))=1,INDEX('Serial Reference'!$A$8:$W$8,1,FLOOR(($A81-1)/23,1)+1)&amp;INDEX('Serial Reference'!$A$8:$W$8,1,MOD($A81-1,23)+1)&amp;TEXT(BU$2+FLOOR((BU$2-1)/9,1),"000"),"")</f>
        <v>DK079</v>
      </c>
      <c r="BV81" s="22" t="str">
        <f>IF(INDEX('Shot Map'!$B$6:$V$26,CEILING($A81/5,1),CEILING(BV$2/5,1))=1,INDEX('Serial Reference'!$A$8:$W$8,1,FLOOR(($A81-1)/23,1)+1)&amp;INDEX('Serial Reference'!$A$8:$W$8,1,MOD($A81-1,23)+1)&amp;TEXT(BV$2+FLOOR((BV$2-1)/9,1),"000"),"")</f>
        <v>DK081</v>
      </c>
      <c r="BW81" s="22" t="str">
        <f>IF(INDEX('Shot Map'!$B$6:$V$26,CEILING($A81/5,1),CEILING(BW$2/5,1))=1,INDEX('Serial Reference'!$A$8:$W$8,1,FLOOR(($A81-1)/23,1)+1)&amp;INDEX('Serial Reference'!$A$8:$W$8,1,MOD($A81-1,23)+1)&amp;TEXT(BW$2+FLOOR((BW$2-1)/9,1),"000"),"")</f>
        <v>DK082</v>
      </c>
      <c r="BX81" s="23" t="str">
        <f>IF(INDEX('Shot Map'!$B$6:$V$26,CEILING($A81/5,1),CEILING(BX$2/5,1))=1,INDEX('Serial Reference'!$A$8:$W$8,1,FLOOR(($A81-1)/23,1)+1)&amp;INDEX('Serial Reference'!$A$8:$W$8,1,MOD($A81-1,23)+1)&amp;TEXT(BX$2+FLOOR((BX$2-1)/9,1),"000"),"")</f>
        <v>DK083</v>
      </c>
      <c r="BY81" s="21" t="str">
        <f>IF(INDEX('Shot Map'!$B$6:$V$26,CEILING($A81/5,1),CEILING(BY$2/5,1))=1,INDEX('Serial Reference'!$A$8:$W$8,1,FLOOR(($A81-1)/23,1)+1)&amp;INDEX('Serial Reference'!$A$8:$W$8,1,MOD($A81-1,23)+1)&amp;TEXT(BY$2+FLOOR((BY$2-1)/9,1),"000"),"")</f>
        <v>DK084</v>
      </c>
      <c r="BZ81" s="22" t="str">
        <f>IF(INDEX('Shot Map'!$B$6:$V$26,CEILING($A81/5,1),CEILING(BZ$2/5,1))=1,INDEX('Serial Reference'!$A$8:$W$8,1,FLOOR(($A81-1)/23,1)+1)&amp;INDEX('Serial Reference'!$A$8:$W$8,1,MOD($A81-1,23)+1)&amp;TEXT(BZ$2+FLOOR((BZ$2-1)/9,1),"000"),"")</f>
        <v>DK085</v>
      </c>
      <c r="CA81" s="22" t="str">
        <f>IF(INDEX('Shot Map'!$B$6:$V$26,CEILING($A81/5,1),CEILING(CA$2/5,1))=1,INDEX('Serial Reference'!$A$8:$W$8,1,FLOOR(($A81-1)/23,1)+1)&amp;INDEX('Serial Reference'!$A$8:$W$8,1,MOD($A81-1,23)+1)&amp;TEXT(CA$2+FLOOR((CA$2-1)/9,1),"000"),"")</f>
        <v>DK086</v>
      </c>
      <c r="CB81" s="22" t="str">
        <f>IF(INDEX('Shot Map'!$B$6:$V$26,CEILING($A81/5,1),CEILING(CB$2/5,1))=1,INDEX('Serial Reference'!$A$8:$W$8,1,FLOOR(($A81-1)/23,1)+1)&amp;INDEX('Serial Reference'!$A$8:$W$8,1,MOD($A81-1,23)+1)&amp;TEXT(CB$2+FLOOR((CB$2-1)/9,1),"000"),"")</f>
        <v>DK087</v>
      </c>
      <c r="CC81" s="23" t="str">
        <f>IF(INDEX('Shot Map'!$B$6:$V$26,CEILING($A81/5,1),CEILING(CC$2/5,1))=1,INDEX('Serial Reference'!$A$8:$W$8,1,FLOOR(($A81-1)/23,1)+1)&amp;INDEX('Serial Reference'!$A$8:$W$8,1,MOD($A81-1,23)+1)&amp;TEXT(CC$2+FLOOR((CC$2-1)/9,1),"000"),"")</f>
        <v>DK088</v>
      </c>
      <c r="CD81" s="21" t="str">
        <f>IF(INDEX('Shot Map'!$B$6:$V$26,CEILING($A81/5,1),CEILING(CD$2/5,1))=1,INDEX('Serial Reference'!$A$8:$W$8,1,FLOOR(($A81-1)/23,1)+1)&amp;INDEX('Serial Reference'!$A$8:$W$8,1,MOD($A81-1,23)+1)&amp;TEXT(CD$2+FLOOR((CD$2-1)/9,1),"000"),"")</f>
        <v>DK089</v>
      </c>
      <c r="CE81" s="22" t="str">
        <f>IF(INDEX('Shot Map'!$B$6:$V$26,CEILING($A81/5,1),CEILING(CE$2/5,1))=1,INDEX('Serial Reference'!$A$8:$W$8,1,FLOOR(($A81-1)/23,1)+1)&amp;INDEX('Serial Reference'!$A$8:$W$8,1,MOD($A81-1,23)+1)&amp;TEXT(CE$2+FLOOR((CE$2-1)/9,1),"000"),"")</f>
        <v>DK091</v>
      </c>
      <c r="CF81" s="22" t="str">
        <f>IF(INDEX('Shot Map'!$B$6:$V$26,CEILING($A81/5,1),CEILING(CF$2/5,1))=1,INDEX('Serial Reference'!$A$8:$W$8,1,FLOOR(($A81-1)/23,1)+1)&amp;INDEX('Serial Reference'!$A$8:$W$8,1,MOD($A81-1,23)+1)&amp;TEXT(CF$2+FLOOR((CF$2-1)/9,1),"000"),"")</f>
        <v>DK092</v>
      </c>
      <c r="CG81" s="22" t="str">
        <f>IF(INDEX('Shot Map'!$B$6:$V$26,CEILING($A81/5,1),CEILING(CG$2/5,1))=1,INDEX('Serial Reference'!$A$8:$W$8,1,FLOOR(($A81-1)/23,1)+1)&amp;INDEX('Serial Reference'!$A$8:$W$8,1,MOD($A81-1,23)+1)&amp;TEXT(CG$2+FLOOR((CG$2-1)/9,1),"000"),"")</f>
        <v>DK093</v>
      </c>
      <c r="CH81" s="23" t="str">
        <f>IF(INDEX('Shot Map'!$B$6:$V$26,CEILING($A81/5,1),CEILING(CH$2/5,1))=1,INDEX('Serial Reference'!$A$8:$W$8,1,FLOOR(($A81-1)/23,1)+1)&amp;INDEX('Serial Reference'!$A$8:$W$8,1,MOD($A81-1,23)+1)&amp;TEXT(CH$2+FLOOR((CH$2-1)/9,1),"000"),"")</f>
        <v>DK094</v>
      </c>
      <c r="CI81" s="21" t="str">
        <f>IF(INDEX('Shot Map'!$B$6:$V$26,CEILING($A81/5,1),CEILING(CI$2/5,1))=1,INDEX('Serial Reference'!$A$8:$W$8,1,FLOOR(($A81-1)/23,1)+1)&amp;INDEX('Serial Reference'!$A$8:$W$8,1,MOD($A81-1,23)+1)&amp;TEXT(CI$2+FLOOR((CI$2-1)/9,1),"000"),"")</f>
        <v>DK095</v>
      </c>
      <c r="CJ81" s="22" t="str">
        <f>IF(INDEX('Shot Map'!$B$6:$V$26,CEILING($A81/5,1),CEILING(CJ$2/5,1))=1,INDEX('Serial Reference'!$A$8:$W$8,1,FLOOR(($A81-1)/23,1)+1)&amp;INDEX('Serial Reference'!$A$8:$W$8,1,MOD($A81-1,23)+1)&amp;TEXT(CJ$2+FLOOR((CJ$2-1)/9,1),"000"),"")</f>
        <v>DK096</v>
      </c>
      <c r="CK81" s="22" t="str">
        <f>IF(INDEX('Shot Map'!$B$6:$V$26,CEILING($A81/5,1),CEILING(CK$2/5,1))=1,INDEX('Serial Reference'!$A$8:$W$8,1,FLOOR(($A81-1)/23,1)+1)&amp;INDEX('Serial Reference'!$A$8:$W$8,1,MOD($A81-1,23)+1)&amp;TEXT(CK$2+FLOOR((CK$2-1)/9,1),"000"),"")</f>
        <v>DK097</v>
      </c>
      <c r="CL81" s="22" t="str">
        <f>IF(INDEX('Shot Map'!$B$6:$V$26,CEILING($A81/5,1),CEILING(CL$2/5,1))=1,INDEX('Serial Reference'!$A$8:$W$8,1,FLOOR(($A81-1)/23,1)+1)&amp;INDEX('Serial Reference'!$A$8:$W$8,1,MOD($A81-1,23)+1)&amp;TEXT(CL$2+FLOOR((CL$2-1)/9,1),"000"),"")</f>
        <v>DK098</v>
      </c>
      <c r="CM81" s="23" t="str">
        <f>IF(INDEX('Shot Map'!$B$6:$V$26,CEILING($A81/5,1),CEILING(CM$2/5,1))=1,INDEX('Serial Reference'!$A$8:$W$8,1,FLOOR(($A81-1)/23,1)+1)&amp;INDEX('Serial Reference'!$A$8:$W$8,1,MOD($A81-1,23)+1)&amp;TEXT(CM$2+FLOOR((CM$2-1)/9,1),"000"),"")</f>
        <v>DK099</v>
      </c>
      <c r="CN81" s="21" t="str">
        <f>IF(INDEX('Shot Map'!$B$6:$V$26,CEILING($A81/5,1),CEILING(CN$2/5,1))=1,INDEX('Serial Reference'!$A$8:$W$8,1,FLOOR(($A81-1)/23,1)+1)&amp;INDEX('Serial Reference'!$A$8:$W$8,1,MOD($A81-1,23)+1)&amp;TEXT(CN$2+FLOOR((CN$2-1)/9,1),"000"),"")</f>
        <v>DK101</v>
      </c>
      <c r="CO81" s="22" t="str">
        <f>IF(INDEX('Shot Map'!$B$6:$V$26,CEILING($A81/5,1),CEILING(CO$2/5,1))=1,INDEX('Serial Reference'!$A$8:$W$8,1,FLOOR(($A81-1)/23,1)+1)&amp;INDEX('Serial Reference'!$A$8:$W$8,1,MOD($A81-1,23)+1)&amp;TEXT(CO$2+FLOOR((CO$2-1)/9,1),"000"),"")</f>
        <v>DK102</v>
      </c>
      <c r="CP81" s="22" t="str">
        <f>IF(INDEX('Shot Map'!$B$6:$V$26,CEILING($A81/5,1),CEILING(CP$2/5,1))=1,INDEX('Serial Reference'!$A$8:$W$8,1,FLOOR(($A81-1)/23,1)+1)&amp;INDEX('Serial Reference'!$A$8:$W$8,1,MOD($A81-1,23)+1)&amp;TEXT(CP$2+FLOOR((CP$2-1)/9,1),"000"),"")</f>
        <v>DK103</v>
      </c>
      <c r="CQ81" s="22" t="str">
        <f>IF(INDEX('Shot Map'!$B$6:$V$26,CEILING($A81/5,1),CEILING(CQ$2/5,1))=1,INDEX('Serial Reference'!$A$8:$W$8,1,FLOOR(($A81-1)/23,1)+1)&amp;INDEX('Serial Reference'!$A$8:$W$8,1,MOD($A81-1,23)+1)&amp;TEXT(CQ$2+FLOOR((CQ$2-1)/9,1),"000"),"")</f>
        <v>DK104</v>
      </c>
      <c r="CR81" s="23" t="str">
        <f>IF(INDEX('Shot Map'!$B$6:$V$26,CEILING($A81/5,1),CEILING(CR$2/5,1))=1,INDEX('Serial Reference'!$A$8:$W$8,1,FLOOR(($A81-1)/23,1)+1)&amp;INDEX('Serial Reference'!$A$8:$W$8,1,MOD($A81-1,23)+1)&amp;TEXT(CR$2+FLOOR((CR$2-1)/9,1),"000"),"")</f>
        <v>DK105</v>
      </c>
      <c r="CS81" s="21" t="str">
        <f>IF(INDEX('Shot Map'!$B$6:$V$26,CEILING($A81/5,1),CEILING(CS$2/5,1))=1,INDEX('Serial Reference'!$A$8:$W$8,1,FLOOR(($A81-1)/23,1)+1)&amp;INDEX('Serial Reference'!$A$8:$W$8,1,MOD($A81-1,23)+1)&amp;TEXT(CS$2+FLOOR((CS$2-1)/9,1),"000"),"")</f>
        <v/>
      </c>
      <c r="CT81" s="22" t="str">
        <f>IF(INDEX('Shot Map'!$B$6:$V$26,CEILING($A81/5,1),CEILING(CT$2/5,1))=1,INDEX('Serial Reference'!$A$8:$W$8,1,FLOOR(($A81-1)/23,1)+1)&amp;INDEX('Serial Reference'!$A$8:$W$8,1,MOD($A81-1,23)+1)&amp;TEXT(CT$2+FLOOR((CT$2-1)/9,1),"000"),"")</f>
        <v/>
      </c>
      <c r="CU81" s="22" t="str">
        <f>IF(INDEX('Shot Map'!$B$6:$V$26,CEILING($A81/5,1),CEILING(CU$2/5,1))=1,INDEX('Serial Reference'!$A$8:$W$8,1,FLOOR(($A81-1)/23,1)+1)&amp;INDEX('Serial Reference'!$A$8:$W$8,1,MOD($A81-1,23)+1)&amp;TEXT(CU$2+FLOOR((CU$2-1)/9,1),"000"),"")</f>
        <v/>
      </c>
      <c r="CV81" s="22" t="str">
        <f>IF(INDEX('Shot Map'!$B$6:$V$26,CEILING($A81/5,1),CEILING(CV$2/5,1))=1,INDEX('Serial Reference'!$A$8:$W$8,1,FLOOR(($A81-1)/23,1)+1)&amp;INDEX('Serial Reference'!$A$8:$W$8,1,MOD($A81-1,23)+1)&amp;TEXT(CV$2+FLOOR((CV$2-1)/9,1),"000"),"")</f>
        <v/>
      </c>
      <c r="CW81" s="23" t="str">
        <f>IF(INDEX('Shot Map'!$B$6:$V$26,CEILING($A81/5,1),CEILING(CW$2/5,1))=1,INDEX('Serial Reference'!$A$8:$W$8,1,FLOOR(($A81-1)/23,1)+1)&amp;INDEX('Serial Reference'!$A$8:$W$8,1,MOD($A81-1,23)+1)&amp;TEXT(CW$2+FLOOR((CW$2-1)/9,1),"000"),"")</f>
        <v/>
      </c>
      <c r="CX81" s="21" t="str">
        <f>IF(INDEX('Shot Map'!$B$6:$V$26,CEILING($A81/5,1),CEILING(CX$2/5,1))=1,INDEX('Serial Reference'!$A$8:$W$8,1,FLOOR(($A81-1)/23,1)+1)&amp;INDEX('Serial Reference'!$A$8:$W$8,1,MOD($A81-1,23)+1)&amp;TEXT(CX$2+FLOOR((CX$2-1)/9,1),"000"),"")</f>
        <v/>
      </c>
      <c r="CY81" s="22" t="str">
        <f>IF(INDEX('Shot Map'!$B$6:$V$26,CEILING($A81/5,1),CEILING(CY$2/5,1))=1,INDEX('Serial Reference'!$A$8:$W$8,1,FLOOR(($A81-1)/23,1)+1)&amp;INDEX('Serial Reference'!$A$8:$W$8,1,MOD($A81-1,23)+1)&amp;TEXT(CY$2+FLOOR((CY$2-1)/9,1),"000"),"")</f>
        <v/>
      </c>
      <c r="CZ81" s="22" t="str">
        <f>IF(INDEX('Shot Map'!$B$6:$V$26,CEILING($A81/5,1),CEILING(CZ$2/5,1))=1,INDEX('Serial Reference'!$A$8:$W$8,1,FLOOR(($A81-1)/23,1)+1)&amp;INDEX('Serial Reference'!$A$8:$W$8,1,MOD($A81-1,23)+1)&amp;TEXT(CZ$2+FLOOR((CZ$2-1)/9,1),"000"),"")</f>
        <v/>
      </c>
      <c r="DA81" s="22" t="str">
        <f>IF(INDEX('Shot Map'!$B$6:$V$26,CEILING($A81/5,1),CEILING(DA$2/5,1))=1,INDEX('Serial Reference'!$A$8:$W$8,1,FLOOR(($A81-1)/23,1)+1)&amp;INDEX('Serial Reference'!$A$8:$W$8,1,MOD($A81-1,23)+1)&amp;TEXT(DA$2+FLOOR((DA$2-1)/9,1),"000"),"")</f>
        <v/>
      </c>
      <c r="DB81" s="23" t="str">
        <f>IF(INDEX('Shot Map'!$B$6:$V$26,CEILING($A81/5,1),CEILING(DB$2/5,1))=1,INDEX('Serial Reference'!$A$8:$W$8,1,FLOOR(($A81-1)/23,1)+1)&amp;INDEX('Serial Reference'!$A$8:$W$8,1,MOD($A81-1,23)+1)&amp;TEXT(DB$2+FLOOR((DB$2-1)/9,1),"000"),"")</f>
        <v/>
      </c>
    </row>
    <row r="82" spans="1:106" ht="12.75" customHeight="1" x14ac:dyDescent="0.25">
      <c r="A82" s="17">
        <v>80</v>
      </c>
      <c r="B82" s="24" t="str">
        <f>IF(INDEX('Shot Map'!$B$6:$V$26,CEILING($A82/5,1),CEILING(B$2/5,1))=1,INDEX('Serial Reference'!$A$8:$W$8,1,FLOOR(($A82-1)/23,1)+1)&amp;INDEX('Serial Reference'!$A$8:$W$8,1,MOD($A82-1,23)+1)&amp;TEXT(B$2+FLOOR((B$2-1)/9,1),"000"),"")</f>
        <v/>
      </c>
      <c r="C82" s="25" t="str">
        <f>IF(INDEX('Shot Map'!$B$6:$V$26,CEILING($A82/5,1),CEILING(C$2/5,1))=1,INDEX('Serial Reference'!$A$8:$W$8,1,FLOOR(($A82-1)/23,1)+1)&amp;INDEX('Serial Reference'!$A$8:$W$8,1,MOD($A82-1,23)+1)&amp;TEXT(C$2+FLOOR((C$2-1)/9,1),"000"),"")</f>
        <v/>
      </c>
      <c r="D82" s="25" t="str">
        <f>IF(INDEX('Shot Map'!$B$6:$V$26,CEILING($A82/5,1),CEILING(D$2/5,1))=1,INDEX('Serial Reference'!$A$8:$W$8,1,FLOOR(($A82-1)/23,1)+1)&amp;INDEX('Serial Reference'!$A$8:$W$8,1,MOD($A82-1,23)+1)&amp;TEXT(D$2+FLOOR((D$2-1)/9,1),"000"),"")</f>
        <v/>
      </c>
      <c r="E82" s="25" t="str">
        <f>IF(INDEX('Shot Map'!$B$6:$V$26,CEILING($A82/5,1),CEILING(E$2/5,1))=1,INDEX('Serial Reference'!$A$8:$W$8,1,FLOOR(($A82-1)/23,1)+1)&amp;INDEX('Serial Reference'!$A$8:$W$8,1,MOD($A82-1,23)+1)&amp;TEXT(E$2+FLOOR((E$2-1)/9,1),"000"),"")</f>
        <v/>
      </c>
      <c r="F82" s="26" t="str">
        <f>IF(INDEX('Shot Map'!$B$6:$V$26,CEILING($A82/5,1),CEILING(F$2/5,1))=1,INDEX('Serial Reference'!$A$8:$W$8,1,FLOOR(($A82-1)/23,1)+1)&amp;INDEX('Serial Reference'!$A$8:$W$8,1,MOD($A82-1,23)+1)&amp;TEXT(F$2+FLOOR((F$2-1)/9,1),"000"),"")</f>
        <v/>
      </c>
      <c r="G82" s="24" t="str">
        <f>IF(INDEX('Shot Map'!$B$6:$V$26,CEILING($A82/5,1),CEILING(G$2/5,1))=1,INDEX('Serial Reference'!$A$8:$W$8,1,FLOOR(($A82-1)/23,1)+1)&amp;INDEX('Serial Reference'!$A$8:$W$8,1,MOD($A82-1,23)+1)&amp;TEXT(G$2+FLOOR((G$2-1)/9,1),"000"),"")</f>
        <v/>
      </c>
      <c r="H82" s="25" t="str">
        <f>IF(INDEX('Shot Map'!$B$6:$V$26,CEILING($A82/5,1),CEILING(H$2/5,1))=1,INDEX('Serial Reference'!$A$8:$W$8,1,FLOOR(($A82-1)/23,1)+1)&amp;INDEX('Serial Reference'!$A$8:$W$8,1,MOD($A82-1,23)+1)&amp;TEXT(H$2+FLOOR((H$2-1)/9,1),"000"),"")</f>
        <v/>
      </c>
      <c r="I82" s="25" t="str">
        <f>IF(INDEX('Shot Map'!$B$6:$V$26,CEILING($A82/5,1),CEILING(I$2/5,1))=1,INDEX('Serial Reference'!$A$8:$W$8,1,FLOOR(($A82-1)/23,1)+1)&amp;INDEX('Serial Reference'!$A$8:$W$8,1,MOD($A82-1,23)+1)&amp;TEXT(I$2+FLOOR((I$2-1)/9,1),"000"),"")</f>
        <v/>
      </c>
      <c r="J82" s="25" t="str">
        <f>IF(INDEX('Shot Map'!$B$6:$V$26,CEILING($A82/5,1),CEILING(J$2/5,1))=1,INDEX('Serial Reference'!$A$8:$W$8,1,FLOOR(($A82-1)/23,1)+1)&amp;INDEX('Serial Reference'!$A$8:$W$8,1,MOD($A82-1,23)+1)&amp;TEXT(J$2+FLOOR((J$2-1)/9,1),"000"),"")</f>
        <v/>
      </c>
      <c r="K82" s="26" t="str">
        <f>IF(INDEX('Shot Map'!$B$6:$V$26,CEILING($A82/5,1),CEILING(K$2/5,1))=1,INDEX('Serial Reference'!$A$8:$W$8,1,FLOOR(($A82-1)/23,1)+1)&amp;INDEX('Serial Reference'!$A$8:$W$8,1,MOD($A82-1,23)+1)&amp;TEXT(K$2+FLOOR((K$2-1)/9,1),"000"),"")</f>
        <v/>
      </c>
      <c r="L82" s="24" t="str">
        <f>IF(INDEX('Shot Map'!$B$6:$V$26,CEILING($A82/5,1),CEILING(L$2/5,1))=1,INDEX('Serial Reference'!$A$8:$W$8,1,FLOOR(($A82-1)/23,1)+1)&amp;INDEX('Serial Reference'!$A$8:$W$8,1,MOD($A82-1,23)+1)&amp;TEXT(L$2+FLOOR((L$2-1)/9,1),"000"),"")</f>
        <v>DL012</v>
      </c>
      <c r="M82" s="25" t="str">
        <f>IF(INDEX('Shot Map'!$B$6:$V$26,CEILING($A82/5,1),CEILING(M$2/5,1))=1,INDEX('Serial Reference'!$A$8:$W$8,1,FLOOR(($A82-1)/23,1)+1)&amp;INDEX('Serial Reference'!$A$8:$W$8,1,MOD($A82-1,23)+1)&amp;TEXT(M$2+FLOOR((M$2-1)/9,1),"000"),"")</f>
        <v>DL013</v>
      </c>
      <c r="N82" s="25" t="str">
        <f>IF(INDEX('Shot Map'!$B$6:$V$26,CEILING($A82/5,1),CEILING(N$2/5,1))=1,INDEX('Serial Reference'!$A$8:$W$8,1,FLOOR(($A82-1)/23,1)+1)&amp;INDEX('Serial Reference'!$A$8:$W$8,1,MOD($A82-1,23)+1)&amp;TEXT(N$2+FLOOR((N$2-1)/9,1),"000"),"")</f>
        <v>DL014</v>
      </c>
      <c r="O82" s="25" t="str">
        <f>IF(INDEX('Shot Map'!$B$6:$V$26,CEILING($A82/5,1),CEILING(O$2/5,1))=1,INDEX('Serial Reference'!$A$8:$W$8,1,FLOOR(($A82-1)/23,1)+1)&amp;INDEX('Serial Reference'!$A$8:$W$8,1,MOD($A82-1,23)+1)&amp;TEXT(O$2+FLOOR((O$2-1)/9,1),"000"),"")</f>
        <v>DL015</v>
      </c>
      <c r="P82" s="26" t="str">
        <f>IF(INDEX('Shot Map'!$B$6:$V$26,CEILING($A82/5,1),CEILING(P$2/5,1))=1,INDEX('Serial Reference'!$A$8:$W$8,1,FLOOR(($A82-1)/23,1)+1)&amp;INDEX('Serial Reference'!$A$8:$W$8,1,MOD($A82-1,23)+1)&amp;TEXT(P$2+FLOOR((P$2-1)/9,1),"000"),"")</f>
        <v>DL016</v>
      </c>
      <c r="Q82" s="24" t="str">
        <f>IF(INDEX('Shot Map'!$B$6:$V$26,CEILING($A82/5,1),CEILING(Q$2/5,1))=1,INDEX('Serial Reference'!$A$8:$W$8,1,FLOOR(($A82-1)/23,1)+1)&amp;INDEX('Serial Reference'!$A$8:$W$8,1,MOD($A82-1,23)+1)&amp;TEXT(Q$2+FLOOR((Q$2-1)/9,1),"000"),"")</f>
        <v>DL017</v>
      </c>
      <c r="R82" s="25" t="str">
        <f>IF(INDEX('Shot Map'!$B$6:$V$26,CEILING($A82/5,1),CEILING(R$2/5,1))=1,INDEX('Serial Reference'!$A$8:$W$8,1,FLOOR(($A82-1)/23,1)+1)&amp;INDEX('Serial Reference'!$A$8:$W$8,1,MOD($A82-1,23)+1)&amp;TEXT(R$2+FLOOR((R$2-1)/9,1),"000"),"")</f>
        <v>DL018</v>
      </c>
      <c r="S82" s="25" t="str">
        <f>IF(INDEX('Shot Map'!$B$6:$V$26,CEILING($A82/5,1),CEILING(S$2/5,1))=1,INDEX('Serial Reference'!$A$8:$W$8,1,FLOOR(($A82-1)/23,1)+1)&amp;INDEX('Serial Reference'!$A$8:$W$8,1,MOD($A82-1,23)+1)&amp;TEXT(S$2+FLOOR((S$2-1)/9,1),"000"),"")</f>
        <v>DL019</v>
      </c>
      <c r="T82" s="25" t="str">
        <f>IF(INDEX('Shot Map'!$B$6:$V$26,CEILING($A82/5,1),CEILING(T$2/5,1))=1,INDEX('Serial Reference'!$A$8:$W$8,1,FLOOR(($A82-1)/23,1)+1)&amp;INDEX('Serial Reference'!$A$8:$W$8,1,MOD($A82-1,23)+1)&amp;TEXT(T$2+FLOOR((T$2-1)/9,1),"000"),"")</f>
        <v>DL021</v>
      </c>
      <c r="U82" s="26" t="str">
        <f>IF(INDEX('Shot Map'!$B$6:$V$26,CEILING($A82/5,1),CEILING(U$2/5,1))=1,INDEX('Serial Reference'!$A$8:$W$8,1,FLOOR(($A82-1)/23,1)+1)&amp;INDEX('Serial Reference'!$A$8:$W$8,1,MOD($A82-1,23)+1)&amp;TEXT(U$2+FLOOR((U$2-1)/9,1),"000"),"")</f>
        <v>DL022</v>
      </c>
      <c r="V82" s="24" t="str">
        <f>IF(INDEX('Shot Map'!$B$6:$V$26,CEILING($A82/5,1),CEILING(V$2/5,1))=1,INDEX('Serial Reference'!$A$8:$W$8,1,FLOOR(($A82-1)/23,1)+1)&amp;INDEX('Serial Reference'!$A$8:$W$8,1,MOD($A82-1,23)+1)&amp;TEXT(V$2+FLOOR((V$2-1)/9,1),"000"),"")</f>
        <v>DL023</v>
      </c>
      <c r="W82" s="25" t="str">
        <f>IF(INDEX('Shot Map'!$B$6:$V$26,CEILING($A82/5,1),CEILING(W$2/5,1))=1,INDEX('Serial Reference'!$A$8:$W$8,1,FLOOR(($A82-1)/23,1)+1)&amp;INDEX('Serial Reference'!$A$8:$W$8,1,MOD($A82-1,23)+1)&amp;TEXT(W$2+FLOOR((W$2-1)/9,1),"000"),"")</f>
        <v>DL024</v>
      </c>
      <c r="X82" s="25" t="str">
        <f>IF(INDEX('Shot Map'!$B$6:$V$26,CEILING($A82/5,1),CEILING(X$2/5,1))=1,INDEX('Serial Reference'!$A$8:$W$8,1,FLOOR(($A82-1)/23,1)+1)&amp;INDEX('Serial Reference'!$A$8:$W$8,1,MOD($A82-1,23)+1)&amp;TEXT(X$2+FLOOR((X$2-1)/9,1),"000"),"")</f>
        <v>DL025</v>
      </c>
      <c r="Y82" s="25" t="str">
        <f>IF(INDEX('Shot Map'!$B$6:$V$26,CEILING($A82/5,1),CEILING(Y$2/5,1))=1,INDEX('Serial Reference'!$A$8:$W$8,1,FLOOR(($A82-1)/23,1)+1)&amp;INDEX('Serial Reference'!$A$8:$W$8,1,MOD($A82-1,23)+1)&amp;TEXT(Y$2+FLOOR((Y$2-1)/9,1),"000"),"")</f>
        <v>DL026</v>
      </c>
      <c r="Z82" s="26" t="str">
        <f>IF(INDEX('Shot Map'!$B$6:$V$26,CEILING($A82/5,1),CEILING(Z$2/5,1))=1,INDEX('Serial Reference'!$A$8:$W$8,1,FLOOR(($A82-1)/23,1)+1)&amp;INDEX('Serial Reference'!$A$8:$W$8,1,MOD($A82-1,23)+1)&amp;TEXT(Z$2+FLOOR((Z$2-1)/9,1),"000"),"")</f>
        <v>DL027</v>
      </c>
      <c r="AA82" s="24" t="str">
        <f>IF(INDEX('Shot Map'!$B$6:$V$26,CEILING($A82/5,1),CEILING(AA$2/5,1))=1,INDEX('Serial Reference'!$A$8:$W$8,1,FLOOR(($A82-1)/23,1)+1)&amp;INDEX('Serial Reference'!$A$8:$W$8,1,MOD($A82-1,23)+1)&amp;TEXT(AA$2+FLOOR((AA$2-1)/9,1),"000"),"")</f>
        <v>DL028</v>
      </c>
      <c r="AB82" s="25" t="str">
        <f>IF(INDEX('Shot Map'!$B$6:$V$26,CEILING($A82/5,1),CEILING(AB$2/5,1))=1,INDEX('Serial Reference'!$A$8:$W$8,1,FLOOR(($A82-1)/23,1)+1)&amp;INDEX('Serial Reference'!$A$8:$W$8,1,MOD($A82-1,23)+1)&amp;TEXT(AB$2+FLOOR((AB$2-1)/9,1),"000"),"")</f>
        <v>DL029</v>
      </c>
      <c r="AC82" s="25" t="str">
        <f>IF(INDEX('Shot Map'!$B$6:$V$26,CEILING($A82/5,1),CEILING(AC$2/5,1))=1,INDEX('Serial Reference'!$A$8:$W$8,1,FLOOR(($A82-1)/23,1)+1)&amp;INDEX('Serial Reference'!$A$8:$W$8,1,MOD($A82-1,23)+1)&amp;TEXT(AC$2+FLOOR((AC$2-1)/9,1),"000"),"")</f>
        <v>DL031</v>
      </c>
      <c r="AD82" s="25" t="str">
        <f>IF(INDEX('Shot Map'!$B$6:$V$26,CEILING($A82/5,1),CEILING(AD$2/5,1))=1,INDEX('Serial Reference'!$A$8:$W$8,1,FLOOR(($A82-1)/23,1)+1)&amp;INDEX('Serial Reference'!$A$8:$W$8,1,MOD($A82-1,23)+1)&amp;TEXT(AD$2+FLOOR((AD$2-1)/9,1),"000"),"")</f>
        <v>DL032</v>
      </c>
      <c r="AE82" s="26" t="str">
        <f>IF(INDEX('Shot Map'!$B$6:$V$26,CEILING($A82/5,1),CEILING(AE$2/5,1))=1,INDEX('Serial Reference'!$A$8:$W$8,1,FLOOR(($A82-1)/23,1)+1)&amp;INDEX('Serial Reference'!$A$8:$W$8,1,MOD($A82-1,23)+1)&amp;TEXT(AE$2+FLOOR((AE$2-1)/9,1),"000"),"")</f>
        <v>DL033</v>
      </c>
      <c r="AF82" s="24" t="str">
        <f>IF(INDEX('Shot Map'!$B$6:$V$26,CEILING($A82/5,1),CEILING(AF$2/5,1))=1,INDEX('Serial Reference'!$A$8:$W$8,1,FLOOR(($A82-1)/23,1)+1)&amp;INDEX('Serial Reference'!$A$8:$W$8,1,MOD($A82-1,23)+1)&amp;TEXT(AF$2+FLOOR((AF$2-1)/9,1),"000"),"")</f>
        <v>DL034</v>
      </c>
      <c r="AG82" s="25" t="str">
        <f>IF(INDEX('Shot Map'!$B$6:$V$26,CEILING($A82/5,1),CEILING(AG$2/5,1))=1,INDEX('Serial Reference'!$A$8:$W$8,1,FLOOR(($A82-1)/23,1)+1)&amp;INDEX('Serial Reference'!$A$8:$W$8,1,MOD($A82-1,23)+1)&amp;TEXT(AG$2+FLOOR((AG$2-1)/9,1),"000"),"")</f>
        <v>DL035</v>
      </c>
      <c r="AH82" s="25" t="str">
        <f>IF(INDEX('Shot Map'!$B$6:$V$26,CEILING($A82/5,1),CEILING(AH$2/5,1))=1,INDEX('Serial Reference'!$A$8:$W$8,1,FLOOR(($A82-1)/23,1)+1)&amp;INDEX('Serial Reference'!$A$8:$W$8,1,MOD($A82-1,23)+1)&amp;TEXT(AH$2+FLOOR((AH$2-1)/9,1),"000"),"")</f>
        <v>DL036</v>
      </c>
      <c r="AI82" s="25" t="str">
        <f>IF(INDEX('Shot Map'!$B$6:$V$26,CEILING($A82/5,1),CEILING(AI$2/5,1))=1,INDEX('Serial Reference'!$A$8:$W$8,1,FLOOR(($A82-1)/23,1)+1)&amp;INDEX('Serial Reference'!$A$8:$W$8,1,MOD($A82-1,23)+1)&amp;TEXT(AI$2+FLOOR((AI$2-1)/9,1),"000"),"")</f>
        <v>DL037</v>
      </c>
      <c r="AJ82" s="26" t="str">
        <f>IF(INDEX('Shot Map'!$B$6:$V$26,CEILING($A82/5,1),CEILING(AJ$2/5,1))=1,INDEX('Serial Reference'!$A$8:$W$8,1,FLOOR(($A82-1)/23,1)+1)&amp;INDEX('Serial Reference'!$A$8:$W$8,1,MOD($A82-1,23)+1)&amp;TEXT(AJ$2+FLOOR((AJ$2-1)/9,1),"000"),"")</f>
        <v>DL038</v>
      </c>
      <c r="AK82" s="24" t="str">
        <f>IF(INDEX('Shot Map'!$B$6:$V$26,CEILING($A82/5,1),CEILING(AK$2/5,1))=1,INDEX('Serial Reference'!$A$8:$W$8,1,FLOOR(($A82-1)/23,1)+1)&amp;INDEX('Serial Reference'!$A$8:$W$8,1,MOD($A82-1,23)+1)&amp;TEXT(AK$2+FLOOR((AK$2-1)/9,1),"000"),"")</f>
        <v>DL039</v>
      </c>
      <c r="AL82" s="25" t="str">
        <f>IF(INDEX('Shot Map'!$B$6:$V$26,CEILING($A82/5,1),CEILING(AL$2/5,1))=1,INDEX('Serial Reference'!$A$8:$W$8,1,FLOOR(($A82-1)/23,1)+1)&amp;INDEX('Serial Reference'!$A$8:$W$8,1,MOD($A82-1,23)+1)&amp;TEXT(AL$2+FLOOR((AL$2-1)/9,1),"000"),"")</f>
        <v>DL041</v>
      </c>
      <c r="AM82" s="25" t="str">
        <f>IF(INDEX('Shot Map'!$B$6:$V$26,CEILING($A82/5,1),CEILING(AM$2/5,1))=1,INDEX('Serial Reference'!$A$8:$W$8,1,FLOOR(($A82-1)/23,1)+1)&amp;INDEX('Serial Reference'!$A$8:$W$8,1,MOD($A82-1,23)+1)&amp;TEXT(AM$2+FLOOR((AM$2-1)/9,1),"000"),"")</f>
        <v>DL042</v>
      </c>
      <c r="AN82" s="25" t="str">
        <f>IF(INDEX('Shot Map'!$B$6:$V$26,CEILING($A82/5,1),CEILING(AN$2/5,1))=1,INDEX('Serial Reference'!$A$8:$W$8,1,FLOOR(($A82-1)/23,1)+1)&amp;INDEX('Serial Reference'!$A$8:$W$8,1,MOD($A82-1,23)+1)&amp;TEXT(AN$2+FLOOR((AN$2-1)/9,1),"000"),"")</f>
        <v>DL043</v>
      </c>
      <c r="AO82" s="26" t="str">
        <f>IF(INDEX('Shot Map'!$B$6:$V$26,CEILING($A82/5,1),CEILING(AO$2/5,1))=1,INDEX('Serial Reference'!$A$8:$W$8,1,FLOOR(($A82-1)/23,1)+1)&amp;INDEX('Serial Reference'!$A$8:$W$8,1,MOD($A82-1,23)+1)&amp;TEXT(AO$2+FLOOR((AO$2-1)/9,1),"000"),"")</f>
        <v>DL044</v>
      </c>
      <c r="AP82" s="24" t="str">
        <f>IF(INDEX('Shot Map'!$B$6:$V$26,CEILING($A82/5,1),CEILING(AP$2/5,1))=1,INDEX('Serial Reference'!$A$8:$W$8,1,FLOOR(($A82-1)/23,1)+1)&amp;INDEX('Serial Reference'!$A$8:$W$8,1,MOD($A82-1,23)+1)&amp;TEXT(AP$2+FLOOR((AP$2-1)/9,1),"000"),"")</f>
        <v>DL045</v>
      </c>
      <c r="AQ82" s="25" t="str">
        <f>IF(INDEX('Shot Map'!$B$6:$V$26,CEILING($A82/5,1),CEILING(AQ$2/5,1))=1,INDEX('Serial Reference'!$A$8:$W$8,1,FLOOR(($A82-1)/23,1)+1)&amp;INDEX('Serial Reference'!$A$8:$W$8,1,MOD($A82-1,23)+1)&amp;TEXT(AQ$2+FLOOR((AQ$2-1)/9,1),"000"),"")</f>
        <v>DL046</v>
      </c>
      <c r="AR82" s="25" t="str">
        <f>IF(INDEX('Shot Map'!$B$6:$V$26,CEILING($A82/5,1),CEILING(AR$2/5,1))=1,INDEX('Serial Reference'!$A$8:$W$8,1,FLOOR(($A82-1)/23,1)+1)&amp;INDEX('Serial Reference'!$A$8:$W$8,1,MOD($A82-1,23)+1)&amp;TEXT(AR$2+FLOOR((AR$2-1)/9,1),"000"),"")</f>
        <v>DL047</v>
      </c>
      <c r="AS82" s="25" t="str">
        <f>IF(INDEX('Shot Map'!$B$6:$V$26,CEILING($A82/5,1),CEILING(AS$2/5,1))=1,INDEX('Serial Reference'!$A$8:$W$8,1,FLOOR(($A82-1)/23,1)+1)&amp;INDEX('Serial Reference'!$A$8:$W$8,1,MOD($A82-1,23)+1)&amp;TEXT(AS$2+FLOOR((AS$2-1)/9,1),"000"),"")</f>
        <v>DL048</v>
      </c>
      <c r="AT82" s="26" t="str">
        <f>IF(INDEX('Shot Map'!$B$6:$V$26,CEILING($A82/5,1),CEILING(AT$2/5,1))=1,INDEX('Serial Reference'!$A$8:$W$8,1,FLOOR(($A82-1)/23,1)+1)&amp;INDEX('Serial Reference'!$A$8:$W$8,1,MOD($A82-1,23)+1)&amp;TEXT(AT$2+FLOOR((AT$2-1)/9,1),"000"),"")</f>
        <v>DL049</v>
      </c>
      <c r="AU82" s="24" t="str">
        <f>IF(INDEX('Shot Map'!$B$6:$V$26,CEILING($A82/5,1),CEILING(AU$2/5,1))=1,INDEX('Serial Reference'!$A$8:$W$8,1,FLOOR(($A82-1)/23,1)+1)&amp;INDEX('Serial Reference'!$A$8:$W$8,1,MOD($A82-1,23)+1)&amp;TEXT(AU$2+FLOOR((AU$2-1)/9,1),"000"),"")</f>
        <v>DL051</v>
      </c>
      <c r="AV82" s="25" t="str">
        <f>IF(INDEX('Shot Map'!$B$6:$V$26,CEILING($A82/5,1),CEILING(AV$2/5,1))=1,INDEX('Serial Reference'!$A$8:$W$8,1,FLOOR(($A82-1)/23,1)+1)&amp;INDEX('Serial Reference'!$A$8:$W$8,1,MOD($A82-1,23)+1)&amp;TEXT(AV$2+FLOOR((AV$2-1)/9,1),"000"),"")</f>
        <v>DL052</v>
      </c>
      <c r="AW82" s="25" t="str">
        <f>IF(INDEX('Shot Map'!$B$6:$V$26,CEILING($A82/5,1),CEILING(AW$2/5,1))=1,INDEX('Serial Reference'!$A$8:$W$8,1,FLOOR(($A82-1)/23,1)+1)&amp;INDEX('Serial Reference'!$A$8:$W$8,1,MOD($A82-1,23)+1)&amp;TEXT(AW$2+FLOOR((AW$2-1)/9,1),"000"),"")</f>
        <v>DL053</v>
      </c>
      <c r="AX82" s="25" t="str">
        <f>IF(INDEX('Shot Map'!$B$6:$V$26,CEILING($A82/5,1),CEILING(AX$2/5,1))=1,INDEX('Serial Reference'!$A$8:$W$8,1,FLOOR(($A82-1)/23,1)+1)&amp;INDEX('Serial Reference'!$A$8:$W$8,1,MOD($A82-1,23)+1)&amp;TEXT(AX$2+FLOOR((AX$2-1)/9,1),"000"),"")</f>
        <v>DL054</v>
      </c>
      <c r="AY82" s="26" t="str">
        <f>IF(INDEX('Shot Map'!$B$6:$V$26,CEILING($A82/5,1),CEILING(AY$2/5,1))=1,INDEX('Serial Reference'!$A$8:$W$8,1,FLOOR(($A82-1)/23,1)+1)&amp;INDEX('Serial Reference'!$A$8:$W$8,1,MOD($A82-1,23)+1)&amp;TEXT(AY$2+FLOOR((AY$2-1)/9,1),"000"),"")</f>
        <v>DL055</v>
      </c>
      <c r="AZ82" s="24" t="str">
        <f>IF(INDEX('Shot Map'!$B$6:$V$26,CEILING($A82/5,1),CEILING(AZ$2/5,1))=1,INDEX('Serial Reference'!$A$8:$W$8,1,FLOOR(($A82-1)/23,1)+1)&amp;INDEX('Serial Reference'!$A$8:$W$8,1,MOD($A82-1,23)+1)&amp;TEXT(AZ$2+FLOOR((AZ$2-1)/9,1),"000"),"")</f>
        <v>DL056</v>
      </c>
      <c r="BA82" s="25" t="str">
        <f>IF(INDEX('Shot Map'!$B$6:$V$26,CEILING($A82/5,1),CEILING(BA$2/5,1))=1,INDEX('Serial Reference'!$A$8:$W$8,1,FLOOR(($A82-1)/23,1)+1)&amp;INDEX('Serial Reference'!$A$8:$W$8,1,MOD($A82-1,23)+1)&amp;TEXT(BA$2+FLOOR((BA$2-1)/9,1),"000"),"")</f>
        <v>DL057</v>
      </c>
      <c r="BB82" s="25" t="str">
        <f>IF(INDEX('Shot Map'!$B$6:$V$26,CEILING($A82/5,1),CEILING(BB$2/5,1))=1,INDEX('Serial Reference'!$A$8:$W$8,1,FLOOR(($A82-1)/23,1)+1)&amp;INDEX('Serial Reference'!$A$8:$W$8,1,MOD($A82-1,23)+1)&amp;TEXT(BB$2+FLOOR((BB$2-1)/9,1),"000"),"")</f>
        <v>DL058</v>
      </c>
      <c r="BC82" s="25" t="str">
        <f>IF(INDEX('Shot Map'!$B$6:$V$26,CEILING($A82/5,1),CEILING(BC$2/5,1))=1,INDEX('Serial Reference'!$A$8:$W$8,1,FLOOR(($A82-1)/23,1)+1)&amp;INDEX('Serial Reference'!$A$8:$W$8,1,MOD($A82-1,23)+1)&amp;TEXT(BC$2+FLOOR((BC$2-1)/9,1),"000"),"")</f>
        <v>DL059</v>
      </c>
      <c r="BD82" s="26" t="str">
        <f>IF(INDEX('Shot Map'!$B$6:$V$26,CEILING($A82/5,1),CEILING(BD$2/5,1))=1,INDEX('Serial Reference'!$A$8:$W$8,1,FLOOR(($A82-1)/23,1)+1)&amp;INDEX('Serial Reference'!$A$8:$W$8,1,MOD($A82-1,23)+1)&amp;TEXT(BD$2+FLOOR((BD$2-1)/9,1),"000"),"")</f>
        <v>DL061</v>
      </c>
      <c r="BE82" s="24" t="str">
        <f>IF(INDEX('Shot Map'!$B$6:$V$26,CEILING($A82/5,1),CEILING(BE$2/5,1))=1,INDEX('Serial Reference'!$A$8:$W$8,1,FLOOR(($A82-1)/23,1)+1)&amp;INDEX('Serial Reference'!$A$8:$W$8,1,MOD($A82-1,23)+1)&amp;TEXT(BE$2+FLOOR((BE$2-1)/9,1),"000"),"")</f>
        <v>DL062</v>
      </c>
      <c r="BF82" s="25" t="str">
        <f>IF(INDEX('Shot Map'!$B$6:$V$26,CEILING($A82/5,1),CEILING(BF$2/5,1))=1,INDEX('Serial Reference'!$A$8:$W$8,1,FLOOR(($A82-1)/23,1)+1)&amp;INDEX('Serial Reference'!$A$8:$W$8,1,MOD($A82-1,23)+1)&amp;TEXT(BF$2+FLOOR((BF$2-1)/9,1),"000"),"")</f>
        <v>DL063</v>
      </c>
      <c r="BG82" s="25" t="str">
        <f>IF(INDEX('Shot Map'!$B$6:$V$26,CEILING($A82/5,1),CEILING(BG$2/5,1))=1,INDEX('Serial Reference'!$A$8:$W$8,1,FLOOR(($A82-1)/23,1)+1)&amp;INDEX('Serial Reference'!$A$8:$W$8,1,MOD($A82-1,23)+1)&amp;TEXT(BG$2+FLOOR((BG$2-1)/9,1),"000"),"")</f>
        <v>DL064</v>
      </c>
      <c r="BH82" s="25" t="str">
        <f>IF(INDEX('Shot Map'!$B$6:$V$26,CEILING($A82/5,1),CEILING(BH$2/5,1))=1,INDEX('Serial Reference'!$A$8:$W$8,1,FLOOR(($A82-1)/23,1)+1)&amp;INDEX('Serial Reference'!$A$8:$W$8,1,MOD($A82-1,23)+1)&amp;TEXT(BH$2+FLOOR((BH$2-1)/9,1),"000"),"")</f>
        <v>DL065</v>
      </c>
      <c r="BI82" s="26" t="str">
        <f>IF(INDEX('Shot Map'!$B$6:$V$26,CEILING($A82/5,1),CEILING(BI$2/5,1))=1,INDEX('Serial Reference'!$A$8:$W$8,1,FLOOR(($A82-1)/23,1)+1)&amp;INDEX('Serial Reference'!$A$8:$W$8,1,MOD($A82-1,23)+1)&amp;TEXT(BI$2+FLOOR((BI$2-1)/9,1),"000"),"")</f>
        <v>DL066</v>
      </c>
      <c r="BJ82" s="24" t="str">
        <f>IF(INDEX('Shot Map'!$B$6:$V$26,CEILING($A82/5,1),CEILING(BJ$2/5,1))=1,INDEX('Serial Reference'!$A$8:$W$8,1,FLOOR(($A82-1)/23,1)+1)&amp;INDEX('Serial Reference'!$A$8:$W$8,1,MOD($A82-1,23)+1)&amp;TEXT(BJ$2+FLOOR((BJ$2-1)/9,1),"000"),"")</f>
        <v>DL067</v>
      </c>
      <c r="BK82" s="25" t="str">
        <f>IF(INDEX('Shot Map'!$B$6:$V$26,CEILING($A82/5,1),CEILING(BK$2/5,1))=1,INDEX('Serial Reference'!$A$8:$W$8,1,FLOOR(($A82-1)/23,1)+1)&amp;INDEX('Serial Reference'!$A$8:$W$8,1,MOD($A82-1,23)+1)&amp;TEXT(BK$2+FLOOR((BK$2-1)/9,1),"000"),"")</f>
        <v>DL068</v>
      </c>
      <c r="BL82" s="25" t="str">
        <f>IF(INDEX('Shot Map'!$B$6:$V$26,CEILING($A82/5,1),CEILING(BL$2/5,1))=1,INDEX('Serial Reference'!$A$8:$W$8,1,FLOOR(($A82-1)/23,1)+1)&amp;INDEX('Serial Reference'!$A$8:$W$8,1,MOD($A82-1,23)+1)&amp;TEXT(BL$2+FLOOR((BL$2-1)/9,1),"000"),"")</f>
        <v>DL069</v>
      </c>
      <c r="BM82" s="25" t="str">
        <f>IF(INDEX('Shot Map'!$B$6:$V$26,CEILING($A82/5,1),CEILING(BM$2/5,1))=1,INDEX('Serial Reference'!$A$8:$W$8,1,FLOOR(($A82-1)/23,1)+1)&amp;INDEX('Serial Reference'!$A$8:$W$8,1,MOD($A82-1,23)+1)&amp;TEXT(BM$2+FLOOR((BM$2-1)/9,1),"000"),"")</f>
        <v>DL071</v>
      </c>
      <c r="BN82" s="26" t="str">
        <f>IF(INDEX('Shot Map'!$B$6:$V$26,CEILING($A82/5,1),CEILING(BN$2/5,1))=1,INDEX('Serial Reference'!$A$8:$W$8,1,FLOOR(($A82-1)/23,1)+1)&amp;INDEX('Serial Reference'!$A$8:$W$8,1,MOD($A82-1,23)+1)&amp;TEXT(BN$2+FLOOR((BN$2-1)/9,1),"000"),"")</f>
        <v>DL072</v>
      </c>
      <c r="BO82" s="24" t="str">
        <f>IF(INDEX('Shot Map'!$B$6:$V$26,CEILING($A82/5,1),CEILING(BO$2/5,1))=1,INDEX('Serial Reference'!$A$8:$W$8,1,FLOOR(($A82-1)/23,1)+1)&amp;INDEX('Serial Reference'!$A$8:$W$8,1,MOD($A82-1,23)+1)&amp;TEXT(BO$2+FLOOR((BO$2-1)/9,1),"000"),"")</f>
        <v>DL073</v>
      </c>
      <c r="BP82" s="25" t="str">
        <f>IF(INDEX('Shot Map'!$B$6:$V$26,CEILING($A82/5,1),CEILING(BP$2/5,1))=1,INDEX('Serial Reference'!$A$8:$W$8,1,FLOOR(($A82-1)/23,1)+1)&amp;INDEX('Serial Reference'!$A$8:$W$8,1,MOD($A82-1,23)+1)&amp;TEXT(BP$2+FLOOR((BP$2-1)/9,1),"000"),"")</f>
        <v>DL074</v>
      </c>
      <c r="BQ82" s="25" t="str">
        <f>IF(INDEX('Shot Map'!$B$6:$V$26,CEILING($A82/5,1),CEILING(BQ$2/5,1))=1,INDEX('Serial Reference'!$A$8:$W$8,1,FLOOR(($A82-1)/23,1)+1)&amp;INDEX('Serial Reference'!$A$8:$W$8,1,MOD($A82-1,23)+1)&amp;TEXT(BQ$2+FLOOR((BQ$2-1)/9,1),"000"),"")</f>
        <v>DL075</v>
      </c>
      <c r="BR82" s="25" t="str">
        <f>IF(INDEX('Shot Map'!$B$6:$V$26,CEILING($A82/5,1),CEILING(BR$2/5,1))=1,INDEX('Serial Reference'!$A$8:$W$8,1,FLOOR(($A82-1)/23,1)+1)&amp;INDEX('Serial Reference'!$A$8:$W$8,1,MOD($A82-1,23)+1)&amp;TEXT(BR$2+FLOOR((BR$2-1)/9,1),"000"),"")</f>
        <v>DL076</v>
      </c>
      <c r="BS82" s="26" t="str">
        <f>IF(INDEX('Shot Map'!$B$6:$V$26,CEILING($A82/5,1),CEILING(BS$2/5,1))=1,INDEX('Serial Reference'!$A$8:$W$8,1,FLOOR(($A82-1)/23,1)+1)&amp;INDEX('Serial Reference'!$A$8:$W$8,1,MOD($A82-1,23)+1)&amp;TEXT(BS$2+FLOOR((BS$2-1)/9,1),"000"),"")</f>
        <v>DL077</v>
      </c>
      <c r="BT82" s="24" t="str">
        <f>IF(INDEX('Shot Map'!$B$6:$V$26,CEILING($A82/5,1),CEILING(BT$2/5,1))=1,INDEX('Serial Reference'!$A$8:$W$8,1,FLOOR(($A82-1)/23,1)+1)&amp;INDEX('Serial Reference'!$A$8:$W$8,1,MOD($A82-1,23)+1)&amp;TEXT(BT$2+FLOOR((BT$2-1)/9,1),"000"),"")</f>
        <v>DL078</v>
      </c>
      <c r="BU82" s="25" t="str">
        <f>IF(INDEX('Shot Map'!$B$6:$V$26,CEILING($A82/5,1),CEILING(BU$2/5,1))=1,INDEX('Serial Reference'!$A$8:$W$8,1,FLOOR(($A82-1)/23,1)+1)&amp;INDEX('Serial Reference'!$A$8:$W$8,1,MOD($A82-1,23)+1)&amp;TEXT(BU$2+FLOOR((BU$2-1)/9,1),"000"),"")</f>
        <v>DL079</v>
      </c>
      <c r="BV82" s="25" t="str">
        <f>IF(INDEX('Shot Map'!$B$6:$V$26,CEILING($A82/5,1),CEILING(BV$2/5,1))=1,INDEX('Serial Reference'!$A$8:$W$8,1,FLOOR(($A82-1)/23,1)+1)&amp;INDEX('Serial Reference'!$A$8:$W$8,1,MOD($A82-1,23)+1)&amp;TEXT(BV$2+FLOOR((BV$2-1)/9,1),"000"),"")</f>
        <v>DL081</v>
      </c>
      <c r="BW82" s="25" t="str">
        <f>IF(INDEX('Shot Map'!$B$6:$V$26,CEILING($A82/5,1),CEILING(BW$2/5,1))=1,INDEX('Serial Reference'!$A$8:$W$8,1,FLOOR(($A82-1)/23,1)+1)&amp;INDEX('Serial Reference'!$A$8:$W$8,1,MOD($A82-1,23)+1)&amp;TEXT(BW$2+FLOOR((BW$2-1)/9,1),"000"),"")</f>
        <v>DL082</v>
      </c>
      <c r="BX82" s="26" t="str">
        <f>IF(INDEX('Shot Map'!$B$6:$V$26,CEILING($A82/5,1),CEILING(BX$2/5,1))=1,INDEX('Serial Reference'!$A$8:$W$8,1,FLOOR(($A82-1)/23,1)+1)&amp;INDEX('Serial Reference'!$A$8:$W$8,1,MOD($A82-1,23)+1)&amp;TEXT(BX$2+FLOOR((BX$2-1)/9,1),"000"),"")</f>
        <v>DL083</v>
      </c>
      <c r="BY82" s="24" t="str">
        <f>IF(INDEX('Shot Map'!$B$6:$V$26,CEILING($A82/5,1),CEILING(BY$2/5,1))=1,INDEX('Serial Reference'!$A$8:$W$8,1,FLOOR(($A82-1)/23,1)+1)&amp;INDEX('Serial Reference'!$A$8:$W$8,1,MOD($A82-1,23)+1)&amp;TEXT(BY$2+FLOOR((BY$2-1)/9,1),"000"),"")</f>
        <v>DL084</v>
      </c>
      <c r="BZ82" s="25" t="str">
        <f>IF(INDEX('Shot Map'!$B$6:$V$26,CEILING($A82/5,1),CEILING(BZ$2/5,1))=1,INDEX('Serial Reference'!$A$8:$W$8,1,FLOOR(($A82-1)/23,1)+1)&amp;INDEX('Serial Reference'!$A$8:$W$8,1,MOD($A82-1,23)+1)&amp;TEXT(BZ$2+FLOOR((BZ$2-1)/9,1),"000"),"")</f>
        <v>DL085</v>
      </c>
      <c r="CA82" s="25" t="str">
        <f>IF(INDEX('Shot Map'!$B$6:$V$26,CEILING($A82/5,1),CEILING(CA$2/5,1))=1,INDEX('Serial Reference'!$A$8:$W$8,1,FLOOR(($A82-1)/23,1)+1)&amp;INDEX('Serial Reference'!$A$8:$W$8,1,MOD($A82-1,23)+1)&amp;TEXT(CA$2+FLOOR((CA$2-1)/9,1),"000"),"")</f>
        <v>DL086</v>
      </c>
      <c r="CB82" s="25" t="str">
        <f>IF(INDEX('Shot Map'!$B$6:$V$26,CEILING($A82/5,1),CEILING(CB$2/5,1))=1,INDEX('Serial Reference'!$A$8:$W$8,1,FLOOR(($A82-1)/23,1)+1)&amp;INDEX('Serial Reference'!$A$8:$W$8,1,MOD($A82-1,23)+1)&amp;TEXT(CB$2+FLOOR((CB$2-1)/9,1),"000"),"")</f>
        <v>DL087</v>
      </c>
      <c r="CC82" s="26" t="str">
        <f>IF(INDEX('Shot Map'!$B$6:$V$26,CEILING($A82/5,1),CEILING(CC$2/5,1))=1,INDEX('Serial Reference'!$A$8:$W$8,1,FLOOR(($A82-1)/23,1)+1)&amp;INDEX('Serial Reference'!$A$8:$W$8,1,MOD($A82-1,23)+1)&amp;TEXT(CC$2+FLOOR((CC$2-1)/9,1),"000"),"")</f>
        <v>DL088</v>
      </c>
      <c r="CD82" s="24" t="str">
        <f>IF(INDEX('Shot Map'!$B$6:$V$26,CEILING($A82/5,1),CEILING(CD$2/5,1))=1,INDEX('Serial Reference'!$A$8:$W$8,1,FLOOR(($A82-1)/23,1)+1)&amp;INDEX('Serial Reference'!$A$8:$W$8,1,MOD($A82-1,23)+1)&amp;TEXT(CD$2+FLOOR((CD$2-1)/9,1),"000"),"")</f>
        <v>DL089</v>
      </c>
      <c r="CE82" s="25" t="str">
        <f>IF(INDEX('Shot Map'!$B$6:$V$26,CEILING($A82/5,1),CEILING(CE$2/5,1))=1,INDEX('Serial Reference'!$A$8:$W$8,1,FLOOR(($A82-1)/23,1)+1)&amp;INDEX('Serial Reference'!$A$8:$W$8,1,MOD($A82-1,23)+1)&amp;TEXT(CE$2+FLOOR((CE$2-1)/9,1),"000"),"")</f>
        <v>DL091</v>
      </c>
      <c r="CF82" s="25" t="str">
        <f>IF(INDEX('Shot Map'!$B$6:$V$26,CEILING($A82/5,1),CEILING(CF$2/5,1))=1,INDEX('Serial Reference'!$A$8:$W$8,1,FLOOR(($A82-1)/23,1)+1)&amp;INDEX('Serial Reference'!$A$8:$W$8,1,MOD($A82-1,23)+1)&amp;TEXT(CF$2+FLOOR((CF$2-1)/9,1),"000"),"")</f>
        <v>DL092</v>
      </c>
      <c r="CG82" s="25" t="str">
        <f>IF(INDEX('Shot Map'!$B$6:$V$26,CEILING($A82/5,1),CEILING(CG$2/5,1))=1,INDEX('Serial Reference'!$A$8:$W$8,1,FLOOR(($A82-1)/23,1)+1)&amp;INDEX('Serial Reference'!$A$8:$W$8,1,MOD($A82-1,23)+1)&amp;TEXT(CG$2+FLOOR((CG$2-1)/9,1),"000"),"")</f>
        <v>DL093</v>
      </c>
      <c r="CH82" s="26" t="str">
        <f>IF(INDEX('Shot Map'!$B$6:$V$26,CEILING($A82/5,1),CEILING(CH$2/5,1))=1,INDEX('Serial Reference'!$A$8:$W$8,1,FLOOR(($A82-1)/23,1)+1)&amp;INDEX('Serial Reference'!$A$8:$W$8,1,MOD($A82-1,23)+1)&amp;TEXT(CH$2+FLOOR((CH$2-1)/9,1),"000"),"")</f>
        <v>DL094</v>
      </c>
      <c r="CI82" s="24" t="str">
        <f>IF(INDEX('Shot Map'!$B$6:$V$26,CEILING($A82/5,1),CEILING(CI$2/5,1))=1,INDEX('Serial Reference'!$A$8:$W$8,1,FLOOR(($A82-1)/23,1)+1)&amp;INDEX('Serial Reference'!$A$8:$W$8,1,MOD($A82-1,23)+1)&amp;TEXT(CI$2+FLOOR((CI$2-1)/9,1),"000"),"")</f>
        <v>DL095</v>
      </c>
      <c r="CJ82" s="25" t="str">
        <f>IF(INDEX('Shot Map'!$B$6:$V$26,CEILING($A82/5,1),CEILING(CJ$2/5,1))=1,INDEX('Serial Reference'!$A$8:$W$8,1,FLOOR(($A82-1)/23,1)+1)&amp;INDEX('Serial Reference'!$A$8:$W$8,1,MOD($A82-1,23)+1)&amp;TEXT(CJ$2+FLOOR((CJ$2-1)/9,1),"000"),"")</f>
        <v>DL096</v>
      </c>
      <c r="CK82" s="25" t="str">
        <f>IF(INDEX('Shot Map'!$B$6:$V$26,CEILING($A82/5,1),CEILING(CK$2/5,1))=1,INDEX('Serial Reference'!$A$8:$W$8,1,FLOOR(($A82-1)/23,1)+1)&amp;INDEX('Serial Reference'!$A$8:$W$8,1,MOD($A82-1,23)+1)&amp;TEXT(CK$2+FLOOR((CK$2-1)/9,1),"000"),"")</f>
        <v>DL097</v>
      </c>
      <c r="CL82" s="25" t="str">
        <f>IF(INDEX('Shot Map'!$B$6:$V$26,CEILING($A82/5,1),CEILING(CL$2/5,1))=1,INDEX('Serial Reference'!$A$8:$W$8,1,FLOOR(($A82-1)/23,1)+1)&amp;INDEX('Serial Reference'!$A$8:$W$8,1,MOD($A82-1,23)+1)&amp;TEXT(CL$2+FLOOR((CL$2-1)/9,1),"000"),"")</f>
        <v>DL098</v>
      </c>
      <c r="CM82" s="26" t="str">
        <f>IF(INDEX('Shot Map'!$B$6:$V$26,CEILING($A82/5,1),CEILING(CM$2/5,1))=1,INDEX('Serial Reference'!$A$8:$W$8,1,FLOOR(($A82-1)/23,1)+1)&amp;INDEX('Serial Reference'!$A$8:$W$8,1,MOD($A82-1,23)+1)&amp;TEXT(CM$2+FLOOR((CM$2-1)/9,1),"000"),"")</f>
        <v>DL099</v>
      </c>
      <c r="CN82" s="24" t="str">
        <f>IF(INDEX('Shot Map'!$B$6:$V$26,CEILING($A82/5,1),CEILING(CN$2/5,1))=1,INDEX('Serial Reference'!$A$8:$W$8,1,FLOOR(($A82-1)/23,1)+1)&amp;INDEX('Serial Reference'!$A$8:$W$8,1,MOD($A82-1,23)+1)&amp;TEXT(CN$2+FLOOR((CN$2-1)/9,1),"000"),"")</f>
        <v>DL101</v>
      </c>
      <c r="CO82" s="25" t="str">
        <f>IF(INDEX('Shot Map'!$B$6:$V$26,CEILING($A82/5,1),CEILING(CO$2/5,1))=1,INDEX('Serial Reference'!$A$8:$W$8,1,FLOOR(($A82-1)/23,1)+1)&amp;INDEX('Serial Reference'!$A$8:$W$8,1,MOD($A82-1,23)+1)&amp;TEXT(CO$2+FLOOR((CO$2-1)/9,1),"000"),"")</f>
        <v>DL102</v>
      </c>
      <c r="CP82" s="25" t="str">
        <f>IF(INDEX('Shot Map'!$B$6:$V$26,CEILING($A82/5,1),CEILING(CP$2/5,1))=1,INDEX('Serial Reference'!$A$8:$W$8,1,FLOOR(($A82-1)/23,1)+1)&amp;INDEX('Serial Reference'!$A$8:$W$8,1,MOD($A82-1,23)+1)&amp;TEXT(CP$2+FLOOR((CP$2-1)/9,1),"000"),"")</f>
        <v>DL103</v>
      </c>
      <c r="CQ82" s="25" t="str">
        <f>IF(INDEX('Shot Map'!$B$6:$V$26,CEILING($A82/5,1),CEILING(CQ$2/5,1))=1,INDEX('Serial Reference'!$A$8:$W$8,1,FLOOR(($A82-1)/23,1)+1)&amp;INDEX('Serial Reference'!$A$8:$W$8,1,MOD($A82-1,23)+1)&amp;TEXT(CQ$2+FLOOR((CQ$2-1)/9,1),"000"),"")</f>
        <v>DL104</v>
      </c>
      <c r="CR82" s="26" t="str">
        <f>IF(INDEX('Shot Map'!$B$6:$V$26,CEILING($A82/5,1),CEILING(CR$2/5,1))=1,INDEX('Serial Reference'!$A$8:$W$8,1,FLOOR(($A82-1)/23,1)+1)&amp;INDEX('Serial Reference'!$A$8:$W$8,1,MOD($A82-1,23)+1)&amp;TEXT(CR$2+FLOOR((CR$2-1)/9,1),"000"),"")</f>
        <v>DL105</v>
      </c>
      <c r="CS82" s="24" t="str">
        <f>IF(INDEX('Shot Map'!$B$6:$V$26,CEILING($A82/5,1),CEILING(CS$2/5,1))=1,INDEX('Serial Reference'!$A$8:$W$8,1,FLOOR(($A82-1)/23,1)+1)&amp;INDEX('Serial Reference'!$A$8:$W$8,1,MOD($A82-1,23)+1)&amp;TEXT(CS$2+FLOOR((CS$2-1)/9,1),"000"),"")</f>
        <v/>
      </c>
      <c r="CT82" s="25" t="str">
        <f>IF(INDEX('Shot Map'!$B$6:$V$26,CEILING($A82/5,1),CEILING(CT$2/5,1))=1,INDEX('Serial Reference'!$A$8:$W$8,1,FLOOR(($A82-1)/23,1)+1)&amp;INDEX('Serial Reference'!$A$8:$W$8,1,MOD($A82-1,23)+1)&amp;TEXT(CT$2+FLOOR((CT$2-1)/9,1),"000"),"")</f>
        <v/>
      </c>
      <c r="CU82" s="25" t="str">
        <f>IF(INDEX('Shot Map'!$B$6:$V$26,CEILING($A82/5,1),CEILING(CU$2/5,1))=1,INDEX('Serial Reference'!$A$8:$W$8,1,FLOOR(($A82-1)/23,1)+1)&amp;INDEX('Serial Reference'!$A$8:$W$8,1,MOD($A82-1,23)+1)&amp;TEXT(CU$2+FLOOR((CU$2-1)/9,1),"000"),"")</f>
        <v/>
      </c>
      <c r="CV82" s="25" t="str">
        <f>IF(INDEX('Shot Map'!$B$6:$V$26,CEILING($A82/5,1),CEILING(CV$2/5,1))=1,INDEX('Serial Reference'!$A$8:$W$8,1,FLOOR(($A82-1)/23,1)+1)&amp;INDEX('Serial Reference'!$A$8:$W$8,1,MOD($A82-1,23)+1)&amp;TEXT(CV$2+FLOOR((CV$2-1)/9,1),"000"),"")</f>
        <v/>
      </c>
      <c r="CW82" s="26" t="str">
        <f>IF(INDEX('Shot Map'!$B$6:$V$26,CEILING($A82/5,1),CEILING(CW$2/5,1))=1,INDEX('Serial Reference'!$A$8:$W$8,1,FLOOR(($A82-1)/23,1)+1)&amp;INDEX('Serial Reference'!$A$8:$W$8,1,MOD($A82-1,23)+1)&amp;TEXT(CW$2+FLOOR((CW$2-1)/9,1),"000"),"")</f>
        <v/>
      </c>
      <c r="CX82" s="24" t="str">
        <f>IF(INDEX('Shot Map'!$B$6:$V$26,CEILING($A82/5,1),CEILING(CX$2/5,1))=1,INDEX('Serial Reference'!$A$8:$W$8,1,FLOOR(($A82-1)/23,1)+1)&amp;INDEX('Serial Reference'!$A$8:$W$8,1,MOD($A82-1,23)+1)&amp;TEXT(CX$2+FLOOR((CX$2-1)/9,1),"000"),"")</f>
        <v/>
      </c>
      <c r="CY82" s="25" t="str">
        <f>IF(INDEX('Shot Map'!$B$6:$V$26,CEILING($A82/5,1),CEILING(CY$2/5,1))=1,INDEX('Serial Reference'!$A$8:$W$8,1,FLOOR(($A82-1)/23,1)+1)&amp;INDEX('Serial Reference'!$A$8:$W$8,1,MOD($A82-1,23)+1)&amp;TEXT(CY$2+FLOOR((CY$2-1)/9,1),"000"),"")</f>
        <v/>
      </c>
      <c r="CZ82" s="25" t="str">
        <f>IF(INDEX('Shot Map'!$B$6:$V$26,CEILING($A82/5,1),CEILING(CZ$2/5,1))=1,INDEX('Serial Reference'!$A$8:$W$8,1,FLOOR(($A82-1)/23,1)+1)&amp;INDEX('Serial Reference'!$A$8:$W$8,1,MOD($A82-1,23)+1)&amp;TEXT(CZ$2+FLOOR((CZ$2-1)/9,1),"000"),"")</f>
        <v/>
      </c>
      <c r="DA82" s="25" t="str">
        <f>IF(INDEX('Shot Map'!$B$6:$V$26,CEILING($A82/5,1),CEILING(DA$2/5,1))=1,INDEX('Serial Reference'!$A$8:$W$8,1,FLOOR(($A82-1)/23,1)+1)&amp;INDEX('Serial Reference'!$A$8:$W$8,1,MOD($A82-1,23)+1)&amp;TEXT(DA$2+FLOOR((DA$2-1)/9,1),"000"),"")</f>
        <v/>
      </c>
      <c r="DB82" s="26" t="str">
        <f>IF(INDEX('Shot Map'!$B$6:$V$26,CEILING($A82/5,1),CEILING(DB$2/5,1))=1,INDEX('Serial Reference'!$A$8:$W$8,1,FLOOR(($A82-1)/23,1)+1)&amp;INDEX('Serial Reference'!$A$8:$W$8,1,MOD($A82-1,23)+1)&amp;TEXT(DB$2+FLOOR((DB$2-1)/9,1),"000"),"")</f>
        <v/>
      </c>
    </row>
    <row r="83" spans="1:106" ht="12.75" customHeight="1" x14ac:dyDescent="0.25">
      <c r="A83" s="17">
        <v>81</v>
      </c>
      <c r="B83" s="18" t="str">
        <f>IF(INDEX('Shot Map'!$B$6:$V$26,CEILING($A83/5,1),CEILING(B$2/5,1))=1,INDEX('Serial Reference'!$A$8:$W$8,1,FLOOR(($A83-1)/23,1)+1)&amp;INDEX('Serial Reference'!$A$8:$W$8,1,MOD($A83-1,23)+1)&amp;TEXT(B$2+FLOOR((B$2-1)/9,1),"000"),"")</f>
        <v/>
      </c>
      <c r="C83" s="19" t="str">
        <f>IF(INDEX('Shot Map'!$B$6:$V$26,CEILING($A83/5,1),CEILING(C$2/5,1))=1,INDEX('Serial Reference'!$A$8:$W$8,1,FLOOR(($A83-1)/23,1)+1)&amp;INDEX('Serial Reference'!$A$8:$W$8,1,MOD($A83-1,23)+1)&amp;TEXT(C$2+FLOOR((C$2-1)/9,1),"000"),"")</f>
        <v/>
      </c>
      <c r="D83" s="19" t="str">
        <f>IF(INDEX('Shot Map'!$B$6:$V$26,CEILING($A83/5,1),CEILING(D$2/5,1))=1,INDEX('Serial Reference'!$A$8:$W$8,1,FLOOR(($A83-1)/23,1)+1)&amp;INDEX('Serial Reference'!$A$8:$W$8,1,MOD($A83-1,23)+1)&amp;TEXT(D$2+FLOOR((D$2-1)/9,1),"000"),"")</f>
        <v/>
      </c>
      <c r="E83" s="19" t="str">
        <f>IF(INDEX('Shot Map'!$B$6:$V$26,CEILING($A83/5,1),CEILING(E$2/5,1))=1,INDEX('Serial Reference'!$A$8:$W$8,1,FLOOR(($A83-1)/23,1)+1)&amp;INDEX('Serial Reference'!$A$8:$W$8,1,MOD($A83-1,23)+1)&amp;TEXT(E$2+FLOOR((E$2-1)/9,1),"000"),"")</f>
        <v/>
      </c>
      <c r="F83" s="20" t="str">
        <f>IF(INDEX('Shot Map'!$B$6:$V$26,CEILING($A83/5,1),CEILING(F$2/5,1))=1,INDEX('Serial Reference'!$A$8:$W$8,1,FLOOR(($A83-1)/23,1)+1)&amp;INDEX('Serial Reference'!$A$8:$W$8,1,MOD($A83-1,23)+1)&amp;TEXT(F$2+FLOOR((F$2-1)/9,1),"000"),"")</f>
        <v/>
      </c>
      <c r="G83" s="18" t="str">
        <f>IF(INDEX('Shot Map'!$B$6:$V$26,CEILING($A83/5,1),CEILING(G$2/5,1))=1,INDEX('Serial Reference'!$A$8:$W$8,1,FLOOR(($A83-1)/23,1)+1)&amp;INDEX('Serial Reference'!$A$8:$W$8,1,MOD($A83-1,23)+1)&amp;TEXT(G$2+FLOOR((G$2-1)/9,1),"000"),"")</f>
        <v/>
      </c>
      <c r="H83" s="19" t="str">
        <f>IF(INDEX('Shot Map'!$B$6:$V$26,CEILING($A83/5,1),CEILING(H$2/5,1))=1,INDEX('Serial Reference'!$A$8:$W$8,1,FLOOR(($A83-1)/23,1)+1)&amp;INDEX('Serial Reference'!$A$8:$W$8,1,MOD($A83-1,23)+1)&amp;TEXT(H$2+FLOOR((H$2-1)/9,1),"000"),"")</f>
        <v/>
      </c>
      <c r="I83" s="19" t="str">
        <f>IF(INDEX('Shot Map'!$B$6:$V$26,CEILING($A83/5,1),CEILING(I$2/5,1))=1,INDEX('Serial Reference'!$A$8:$W$8,1,FLOOR(($A83-1)/23,1)+1)&amp;INDEX('Serial Reference'!$A$8:$W$8,1,MOD($A83-1,23)+1)&amp;TEXT(I$2+FLOOR((I$2-1)/9,1),"000"),"")</f>
        <v/>
      </c>
      <c r="J83" s="19" t="str">
        <f>IF(INDEX('Shot Map'!$B$6:$V$26,CEILING($A83/5,1),CEILING(J$2/5,1))=1,INDEX('Serial Reference'!$A$8:$W$8,1,FLOOR(($A83-1)/23,1)+1)&amp;INDEX('Serial Reference'!$A$8:$W$8,1,MOD($A83-1,23)+1)&amp;TEXT(J$2+FLOOR((J$2-1)/9,1),"000"),"")</f>
        <v/>
      </c>
      <c r="K83" s="20" t="str">
        <f>IF(INDEX('Shot Map'!$B$6:$V$26,CEILING($A83/5,1),CEILING(K$2/5,1))=1,INDEX('Serial Reference'!$A$8:$W$8,1,FLOOR(($A83-1)/23,1)+1)&amp;INDEX('Serial Reference'!$A$8:$W$8,1,MOD($A83-1,23)+1)&amp;TEXT(K$2+FLOOR((K$2-1)/9,1),"000"),"")</f>
        <v/>
      </c>
      <c r="L83" s="18" t="str">
        <f>IF(INDEX('Shot Map'!$B$6:$V$26,CEILING($A83/5,1),CEILING(L$2/5,1))=1,INDEX('Serial Reference'!$A$8:$W$8,1,FLOOR(($A83-1)/23,1)+1)&amp;INDEX('Serial Reference'!$A$8:$W$8,1,MOD($A83-1,23)+1)&amp;TEXT(L$2+FLOOR((L$2-1)/9,1),"000"),"")</f>
        <v>DM012</v>
      </c>
      <c r="M83" s="19" t="str">
        <f>IF(INDEX('Shot Map'!$B$6:$V$26,CEILING($A83/5,1),CEILING(M$2/5,1))=1,INDEX('Serial Reference'!$A$8:$W$8,1,FLOOR(($A83-1)/23,1)+1)&amp;INDEX('Serial Reference'!$A$8:$W$8,1,MOD($A83-1,23)+1)&amp;TEXT(M$2+FLOOR((M$2-1)/9,1),"000"),"")</f>
        <v>DM013</v>
      </c>
      <c r="N83" s="19" t="str">
        <f>IF(INDEX('Shot Map'!$B$6:$V$26,CEILING($A83/5,1),CEILING(N$2/5,1))=1,INDEX('Serial Reference'!$A$8:$W$8,1,FLOOR(($A83-1)/23,1)+1)&amp;INDEX('Serial Reference'!$A$8:$W$8,1,MOD($A83-1,23)+1)&amp;TEXT(N$2+FLOOR((N$2-1)/9,1),"000"),"")</f>
        <v>DM014</v>
      </c>
      <c r="O83" s="19" t="str">
        <f>IF(INDEX('Shot Map'!$B$6:$V$26,CEILING($A83/5,1),CEILING(O$2/5,1))=1,INDEX('Serial Reference'!$A$8:$W$8,1,FLOOR(($A83-1)/23,1)+1)&amp;INDEX('Serial Reference'!$A$8:$W$8,1,MOD($A83-1,23)+1)&amp;TEXT(O$2+FLOOR((O$2-1)/9,1),"000"),"")</f>
        <v>DM015</v>
      </c>
      <c r="P83" s="20" t="str">
        <f>IF(INDEX('Shot Map'!$B$6:$V$26,CEILING($A83/5,1),CEILING(P$2/5,1))=1,INDEX('Serial Reference'!$A$8:$W$8,1,FLOOR(($A83-1)/23,1)+1)&amp;INDEX('Serial Reference'!$A$8:$W$8,1,MOD($A83-1,23)+1)&amp;TEXT(P$2+FLOOR((P$2-1)/9,1),"000"),"")</f>
        <v>DM016</v>
      </c>
      <c r="Q83" s="18" t="str">
        <f>IF(INDEX('Shot Map'!$B$6:$V$26,CEILING($A83/5,1),CEILING(Q$2/5,1))=1,INDEX('Serial Reference'!$A$8:$W$8,1,FLOOR(($A83-1)/23,1)+1)&amp;INDEX('Serial Reference'!$A$8:$W$8,1,MOD($A83-1,23)+1)&amp;TEXT(Q$2+FLOOR((Q$2-1)/9,1),"000"),"")</f>
        <v>DM017</v>
      </c>
      <c r="R83" s="19" t="str">
        <f>IF(INDEX('Shot Map'!$B$6:$V$26,CEILING($A83/5,1),CEILING(R$2/5,1))=1,INDEX('Serial Reference'!$A$8:$W$8,1,FLOOR(($A83-1)/23,1)+1)&amp;INDEX('Serial Reference'!$A$8:$W$8,1,MOD($A83-1,23)+1)&amp;TEXT(R$2+FLOOR((R$2-1)/9,1),"000"),"")</f>
        <v>DM018</v>
      </c>
      <c r="S83" s="19" t="str">
        <f>IF(INDEX('Shot Map'!$B$6:$V$26,CEILING($A83/5,1),CEILING(S$2/5,1))=1,INDEX('Serial Reference'!$A$8:$W$8,1,FLOOR(($A83-1)/23,1)+1)&amp;INDEX('Serial Reference'!$A$8:$W$8,1,MOD($A83-1,23)+1)&amp;TEXT(S$2+FLOOR((S$2-1)/9,1),"000"),"")</f>
        <v>DM019</v>
      </c>
      <c r="T83" s="19" t="str">
        <f>IF(INDEX('Shot Map'!$B$6:$V$26,CEILING($A83/5,1),CEILING(T$2/5,1))=1,INDEX('Serial Reference'!$A$8:$W$8,1,FLOOR(($A83-1)/23,1)+1)&amp;INDEX('Serial Reference'!$A$8:$W$8,1,MOD($A83-1,23)+1)&amp;TEXT(T$2+FLOOR((T$2-1)/9,1),"000"),"")</f>
        <v>DM021</v>
      </c>
      <c r="U83" s="20" t="str">
        <f>IF(INDEX('Shot Map'!$B$6:$V$26,CEILING($A83/5,1),CEILING(U$2/5,1))=1,INDEX('Serial Reference'!$A$8:$W$8,1,FLOOR(($A83-1)/23,1)+1)&amp;INDEX('Serial Reference'!$A$8:$W$8,1,MOD($A83-1,23)+1)&amp;TEXT(U$2+FLOOR((U$2-1)/9,1),"000"),"")</f>
        <v>DM022</v>
      </c>
      <c r="V83" s="18" t="str">
        <f>IF(INDEX('Shot Map'!$B$6:$V$26,CEILING($A83/5,1),CEILING(V$2/5,1))=1,INDEX('Serial Reference'!$A$8:$W$8,1,FLOOR(($A83-1)/23,1)+1)&amp;INDEX('Serial Reference'!$A$8:$W$8,1,MOD($A83-1,23)+1)&amp;TEXT(V$2+FLOOR((V$2-1)/9,1),"000"),"")</f>
        <v>DM023</v>
      </c>
      <c r="W83" s="19" t="str">
        <f>IF(INDEX('Shot Map'!$B$6:$V$26,CEILING($A83/5,1),CEILING(W$2/5,1))=1,INDEX('Serial Reference'!$A$8:$W$8,1,FLOOR(($A83-1)/23,1)+1)&amp;INDEX('Serial Reference'!$A$8:$W$8,1,MOD($A83-1,23)+1)&amp;TEXT(W$2+FLOOR((W$2-1)/9,1),"000"),"")</f>
        <v>DM024</v>
      </c>
      <c r="X83" s="19" t="str">
        <f>IF(INDEX('Shot Map'!$B$6:$V$26,CEILING($A83/5,1),CEILING(X$2/5,1))=1,INDEX('Serial Reference'!$A$8:$W$8,1,FLOOR(($A83-1)/23,1)+1)&amp;INDEX('Serial Reference'!$A$8:$W$8,1,MOD($A83-1,23)+1)&amp;TEXT(X$2+FLOOR((X$2-1)/9,1),"000"),"")</f>
        <v>DM025</v>
      </c>
      <c r="Y83" s="19" t="str">
        <f>IF(INDEX('Shot Map'!$B$6:$V$26,CEILING($A83/5,1),CEILING(Y$2/5,1))=1,INDEX('Serial Reference'!$A$8:$W$8,1,FLOOR(($A83-1)/23,1)+1)&amp;INDEX('Serial Reference'!$A$8:$W$8,1,MOD($A83-1,23)+1)&amp;TEXT(Y$2+FLOOR((Y$2-1)/9,1),"000"),"")</f>
        <v>DM026</v>
      </c>
      <c r="Z83" s="20" t="str">
        <f>IF(INDEX('Shot Map'!$B$6:$V$26,CEILING($A83/5,1),CEILING(Z$2/5,1))=1,INDEX('Serial Reference'!$A$8:$W$8,1,FLOOR(($A83-1)/23,1)+1)&amp;INDEX('Serial Reference'!$A$8:$W$8,1,MOD($A83-1,23)+1)&amp;TEXT(Z$2+FLOOR((Z$2-1)/9,1),"000"),"")</f>
        <v>DM027</v>
      </c>
      <c r="AA83" s="18" t="str">
        <f>IF(INDEX('Shot Map'!$B$6:$V$26,CEILING($A83/5,1),CEILING(AA$2/5,1))=1,INDEX('Serial Reference'!$A$8:$W$8,1,FLOOR(($A83-1)/23,1)+1)&amp;INDEX('Serial Reference'!$A$8:$W$8,1,MOD($A83-1,23)+1)&amp;TEXT(AA$2+FLOOR((AA$2-1)/9,1),"000"),"")</f>
        <v>DM028</v>
      </c>
      <c r="AB83" s="19" t="str">
        <f>IF(INDEX('Shot Map'!$B$6:$V$26,CEILING($A83/5,1),CEILING(AB$2/5,1))=1,INDEX('Serial Reference'!$A$8:$W$8,1,FLOOR(($A83-1)/23,1)+1)&amp;INDEX('Serial Reference'!$A$8:$W$8,1,MOD($A83-1,23)+1)&amp;TEXT(AB$2+FLOOR((AB$2-1)/9,1),"000"),"")</f>
        <v>DM029</v>
      </c>
      <c r="AC83" s="19" t="str">
        <f>IF(INDEX('Shot Map'!$B$6:$V$26,CEILING($A83/5,1),CEILING(AC$2/5,1))=1,INDEX('Serial Reference'!$A$8:$W$8,1,FLOOR(($A83-1)/23,1)+1)&amp;INDEX('Serial Reference'!$A$8:$W$8,1,MOD($A83-1,23)+1)&amp;TEXT(AC$2+FLOOR((AC$2-1)/9,1),"000"),"")</f>
        <v>DM031</v>
      </c>
      <c r="AD83" s="19" t="str">
        <f>IF(INDEX('Shot Map'!$B$6:$V$26,CEILING($A83/5,1),CEILING(AD$2/5,1))=1,INDEX('Serial Reference'!$A$8:$W$8,1,FLOOR(($A83-1)/23,1)+1)&amp;INDEX('Serial Reference'!$A$8:$W$8,1,MOD($A83-1,23)+1)&amp;TEXT(AD$2+FLOOR((AD$2-1)/9,1),"000"),"")</f>
        <v>DM032</v>
      </c>
      <c r="AE83" s="20" t="str">
        <f>IF(INDEX('Shot Map'!$B$6:$V$26,CEILING($A83/5,1),CEILING(AE$2/5,1))=1,INDEX('Serial Reference'!$A$8:$W$8,1,FLOOR(($A83-1)/23,1)+1)&amp;INDEX('Serial Reference'!$A$8:$W$8,1,MOD($A83-1,23)+1)&amp;TEXT(AE$2+FLOOR((AE$2-1)/9,1),"000"),"")</f>
        <v>DM033</v>
      </c>
      <c r="AF83" s="18" t="str">
        <f>IF(INDEX('Shot Map'!$B$6:$V$26,CEILING($A83/5,1),CEILING(AF$2/5,1))=1,INDEX('Serial Reference'!$A$8:$W$8,1,FLOOR(($A83-1)/23,1)+1)&amp;INDEX('Serial Reference'!$A$8:$W$8,1,MOD($A83-1,23)+1)&amp;TEXT(AF$2+FLOOR((AF$2-1)/9,1),"000"),"")</f>
        <v>DM034</v>
      </c>
      <c r="AG83" s="19" t="str">
        <f>IF(INDEX('Shot Map'!$B$6:$V$26,CEILING($A83/5,1),CEILING(AG$2/5,1))=1,INDEX('Serial Reference'!$A$8:$W$8,1,FLOOR(($A83-1)/23,1)+1)&amp;INDEX('Serial Reference'!$A$8:$W$8,1,MOD($A83-1,23)+1)&amp;TEXT(AG$2+FLOOR((AG$2-1)/9,1),"000"),"")</f>
        <v>DM035</v>
      </c>
      <c r="AH83" s="19" t="str">
        <f>IF(INDEX('Shot Map'!$B$6:$V$26,CEILING($A83/5,1),CEILING(AH$2/5,1))=1,INDEX('Serial Reference'!$A$8:$W$8,1,FLOOR(($A83-1)/23,1)+1)&amp;INDEX('Serial Reference'!$A$8:$W$8,1,MOD($A83-1,23)+1)&amp;TEXT(AH$2+FLOOR((AH$2-1)/9,1),"000"),"")</f>
        <v>DM036</v>
      </c>
      <c r="AI83" s="19" t="str">
        <f>IF(INDEX('Shot Map'!$B$6:$V$26,CEILING($A83/5,1),CEILING(AI$2/5,1))=1,INDEX('Serial Reference'!$A$8:$W$8,1,FLOOR(($A83-1)/23,1)+1)&amp;INDEX('Serial Reference'!$A$8:$W$8,1,MOD($A83-1,23)+1)&amp;TEXT(AI$2+FLOOR((AI$2-1)/9,1),"000"),"")</f>
        <v>DM037</v>
      </c>
      <c r="AJ83" s="20" t="str">
        <f>IF(INDEX('Shot Map'!$B$6:$V$26,CEILING($A83/5,1),CEILING(AJ$2/5,1))=1,INDEX('Serial Reference'!$A$8:$W$8,1,FLOOR(($A83-1)/23,1)+1)&amp;INDEX('Serial Reference'!$A$8:$W$8,1,MOD($A83-1,23)+1)&amp;TEXT(AJ$2+FLOOR((AJ$2-1)/9,1),"000"),"")</f>
        <v>DM038</v>
      </c>
      <c r="AK83" s="18" t="str">
        <f>IF(INDEX('Shot Map'!$B$6:$V$26,CEILING($A83/5,1),CEILING(AK$2/5,1))=1,INDEX('Serial Reference'!$A$8:$W$8,1,FLOOR(($A83-1)/23,1)+1)&amp;INDEX('Serial Reference'!$A$8:$W$8,1,MOD($A83-1,23)+1)&amp;TEXT(AK$2+FLOOR((AK$2-1)/9,1),"000"),"")</f>
        <v>DM039</v>
      </c>
      <c r="AL83" s="19" t="str">
        <f>IF(INDEX('Shot Map'!$B$6:$V$26,CEILING($A83/5,1),CEILING(AL$2/5,1))=1,INDEX('Serial Reference'!$A$8:$W$8,1,FLOOR(($A83-1)/23,1)+1)&amp;INDEX('Serial Reference'!$A$8:$W$8,1,MOD($A83-1,23)+1)&amp;TEXT(AL$2+FLOOR((AL$2-1)/9,1),"000"),"")</f>
        <v>DM041</v>
      </c>
      <c r="AM83" s="19" t="str">
        <f>IF(INDEX('Shot Map'!$B$6:$V$26,CEILING($A83/5,1),CEILING(AM$2/5,1))=1,INDEX('Serial Reference'!$A$8:$W$8,1,FLOOR(($A83-1)/23,1)+1)&amp;INDEX('Serial Reference'!$A$8:$W$8,1,MOD($A83-1,23)+1)&amp;TEXT(AM$2+FLOOR((AM$2-1)/9,1),"000"),"")</f>
        <v>DM042</v>
      </c>
      <c r="AN83" s="19" t="str">
        <f>IF(INDEX('Shot Map'!$B$6:$V$26,CEILING($A83/5,1),CEILING(AN$2/5,1))=1,INDEX('Serial Reference'!$A$8:$W$8,1,FLOOR(($A83-1)/23,1)+1)&amp;INDEX('Serial Reference'!$A$8:$W$8,1,MOD($A83-1,23)+1)&amp;TEXT(AN$2+FLOOR((AN$2-1)/9,1),"000"),"")</f>
        <v>DM043</v>
      </c>
      <c r="AO83" s="20" t="str">
        <f>IF(INDEX('Shot Map'!$B$6:$V$26,CEILING($A83/5,1),CEILING(AO$2/5,1))=1,INDEX('Serial Reference'!$A$8:$W$8,1,FLOOR(($A83-1)/23,1)+1)&amp;INDEX('Serial Reference'!$A$8:$W$8,1,MOD($A83-1,23)+1)&amp;TEXT(AO$2+FLOOR((AO$2-1)/9,1),"000"),"")</f>
        <v>DM044</v>
      </c>
      <c r="AP83" s="18" t="str">
        <f>IF(INDEX('Shot Map'!$B$6:$V$26,CEILING($A83/5,1),CEILING(AP$2/5,1))=1,INDEX('Serial Reference'!$A$8:$W$8,1,FLOOR(($A83-1)/23,1)+1)&amp;INDEX('Serial Reference'!$A$8:$W$8,1,MOD($A83-1,23)+1)&amp;TEXT(AP$2+FLOOR((AP$2-1)/9,1),"000"),"")</f>
        <v>DM045</v>
      </c>
      <c r="AQ83" s="19" t="str">
        <f>IF(INDEX('Shot Map'!$B$6:$V$26,CEILING($A83/5,1),CEILING(AQ$2/5,1))=1,INDEX('Serial Reference'!$A$8:$W$8,1,FLOOR(($A83-1)/23,1)+1)&amp;INDEX('Serial Reference'!$A$8:$W$8,1,MOD($A83-1,23)+1)&amp;TEXT(AQ$2+FLOOR((AQ$2-1)/9,1),"000"),"")</f>
        <v>DM046</v>
      </c>
      <c r="AR83" s="19" t="str">
        <f>IF(INDEX('Shot Map'!$B$6:$V$26,CEILING($A83/5,1),CEILING(AR$2/5,1))=1,INDEX('Serial Reference'!$A$8:$W$8,1,FLOOR(($A83-1)/23,1)+1)&amp;INDEX('Serial Reference'!$A$8:$W$8,1,MOD($A83-1,23)+1)&amp;TEXT(AR$2+FLOOR((AR$2-1)/9,1),"000"),"")</f>
        <v>DM047</v>
      </c>
      <c r="AS83" s="19" t="str">
        <f>IF(INDEX('Shot Map'!$B$6:$V$26,CEILING($A83/5,1),CEILING(AS$2/5,1))=1,INDEX('Serial Reference'!$A$8:$W$8,1,FLOOR(($A83-1)/23,1)+1)&amp;INDEX('Serial Reference'!$A$8:$W$8,1,MOD($A83-1,23)+1)&amp;TEXT(AS$2+FLOOR((AS$2-1)/9,1),"000"),"")</f>
        <v>DM048</v>
      </c>
      <c r="AT83" s="20" t="str">
        <f>IF(INDEX('Shot Map'!$B$6:$V$26,CEILING($A83/5,1),CEILING(AT$2/5,1))=1,INDEX('Serial Reference'!$A$8:$W$8,1,FLOOR(($A83-1)/23,1)+1)&amp;INDEX('Serial Reference'!$A$8:$W$8,1,MOD($A83-1,23)+1)&amp;TEXT(AT$2+FLOOR((AT$2-1)/9,1),"000"),"")</f>
        <v>DM049</v>
      </c>
      <c r="AU83" s="18" t="str">
        <f>IF(INDEX('Shot Map'!$B$6:$V$26,CEILING($A83/5,1),CEILING(AU$2/5,1))=1,INDEX('Serial Reference'!$A$8:$W$8,1,FLOOR(($A83-1)/23,1)+1)&amp;INDEX('Serial Reference'!$A$8:$W$8,1,MOD($A83-1,23)+1)&amp;TEXT(AU$2+FLOOR((AU$2-1)/9,1),"000"),"")</f>
        <v>DM051</v>
      </c>
      <c r="AV83" s="19" t="str">
        <f>IF(INDEX('Shot Map'!$B$6:$V$26,CEILING($A83/5,1),CEILING(AV$2/5,1))=1,INDEX('Serial Reference'!$A$8:$W$8,1,FLOOR(($A83-1)/23,1)+1)&amp;INDEX('Serial Reference'!$A$8:$W$8,1,MOD($A83-1,23)+1)&amp;TEXT(AV$2+FLOOR((AV$2-1)/9,1),"000"),"")</f>
        <v>DM052</v>
      </c>
      <c r="AW83" s="19" t="str">
        <f>IF(INDEX('Shot Map'!$B$6:$V$26,CEILING($A83/5,1),CEILING(AW$2/5,1))=1,INDEX('Serial Reference'!$A$8:$W$8,1,FLOOR(($A83-1)/23,1)+1)&amp;INDEX('Serial Reference'!$A$8:$W$8,1,MOD($A83-1,23)+1)&amp;TEXT(AW$2+FLOOR((AW$2-1)/9,1),"000"),"")</f>
        <v>DM053</v>
      </c>
      <c r="AX83" s="19" t="str">
        <f>IF(INDEX('Shot Map'!$B$6:$V$26,CEILING($A83/5,1),CEILING(AX$2/5,1))=1,INDEX('Serial Reference'!$A$8:$W$8,1,FLOOR(($A83-1)/23,1)+1)&amp;INDEX('Serial Reference'!$A$8:$W$8,1,MOD($A83-1,23)+1)&amp;TEXT(AX$2+FLOOR((AX$2-1)/9,1),"000"),"")</f>
        <v>DM054</v>
      </c>
      <c r="AY83" s="20" t="str">
        <f>IF(INDEX('Shot Map'!$B$6:$V$26,CEILING($A83/5,1),CEILING(AY$2/5,1))=1,INDEX('Serial Reference'!$A$8:$W$8,1,FLOOR(($A83-1)/23,1)+1)&amp;INDEX('Serial Reference'!$A$8:$W$8,1,MOD($A83-1,23)+1)&amp;TEXT(AY$2+FLOOR((AY$2-1)/9,1),"000"),"")</f>
        <v>DM055</v>
      </c>
      <c r="AZ83" s="18" t="str">
        <f>IF(INDEX('Shot Map'!$B$6:$V$26,CEILING($A83/5,1),CEILING(AZ$2/5,1))=1,INDEX('Serial Reference'!$A$8:$W$8,1,FLOOR(($A83-1)/23,1)+1)&amp;INDEX('Serial Reference'!$A$8:$W$8,1,MOD($A83-1,23)+1)&amp;TEXT(AZ$2+FLOOR((AZ$2-1)/9,1),"000"),"")</f>
        <v>DM056</v>
      </c>
      <c r="BA83" s="19" t="str">
        <f>IF(INDEX('Shot Map'!$B$6:$V$26,CEILING($A83/5,1),CEILING(BA$2/5,1))=1,INDEX('Serial Reference'!$A$8:$W$8,1,FLOOR(($A83-1)/23,1)+1)&amp;INDEX('Serial Reference'!$A$8:$W$8,1,MOD($A83-1,23)+1)&amp;TEXT(BA$2+FLOOR((BA$2-1)/9,1),"000"),"")</f>
        <v>DM057</v>
      </c>
      <c r="BB83" s="19" t="str">
        <f>IF(INDEX('Shot Map'!$B$6:$V$26,CEILING($A83/5,1),CEILING(BB$2/5,1))=1,INDEX('Serial Reference'!$A$8:$W$8,1,FLOOR(($A83-1)/23,1)+1)&amp;INDEX('Serial Reference'!$A$8:$W$8,1,MOD($A83-1,23)+1)&amp;TEXT(BB$2+FLOOR((BB$2-1)/9,1),"000"),"")</f>
        <v>DM058</v>
      </c>
      <c r="BC83" s="19" t="str">
        <f>IF(INDEX('Shot Map'!$B$6:$V$26,CEILING($A83/5,1),CEILING(BC$2/5,1))=1,INDEX('Serial Reference'!$A$8:$W$8,1,FLOOR(($A83-1)/23,1)+1)&amp;INDEX('Serial Reference'!$A$8:$W$8,1,MOD($A83-1,23)+1)&amp;TEXT(BC$2+FLOOR((BC$2-1)/9,1),"000"),"")</f>
        <v>DM059</v>
      </c>
      <c r="BD83" s="20" t="str">
        <f>IF(INDEX('Shot Map'!$B$6:$V$26,CEILING($A83/5,1),CEILING(BD$2/5,1))=1,INDEX('Serial Reference'!$A$8:$W$8,1,FLOOR(($A83-1)/23,1)+1)&amp;INDEX('Serial Reference'!$A$8:$W$8,1,MOD($A83-1,23)+1)&amp;TEXT(BD$2+FLOOR((BD$2-1)/9,1),"000"),"")</f>
        <v>DM061</v>
      </c>
      <c r="BE83" s="18" t="str">
        <f>IF(INDEX('Shot Map'!$B$6:$V$26,CEILING($A83/5,1),CEILING(BE$2/5,1))=1,INDEX('Serial Reference'!$A$8:$W$8,1,FLOOR(($A83-1)/23,1)+1)&amp;INDEX('Serial Reference'!$A$8:$W$8,1,MOD($A83-1,23)+1)&amp;TEXT(BE$2+FLOOR((BE$2-1)/9,1),"000"),"")</f>
        <v>DM062</v>
      </c>
      <c r="BF83" s="19" t="str">
        <f>IF(INDEX('Shot Map'!$B$6:$V$26,CEILING($A83/5,1),CEILING(BF$2/5,1))=1,INDEX('Serial Reference'!$A$8:$W$8,1,FLOOR(($A83-1)/23,1)+1)&amp;INDEX('Serial Reference'!$A$8:$W$8,1,MOD($A83-1,23)+1)&amp;TEXT(BF$2+FLOOR((BF$2-1)/9,1),"000"),"")</f>
        <v>DM063</v>
      </c>
      <c r="BG83" s="19" t="str">
        <f>IF(INDEX('Shot Map'!$B$6:$V$26,CEILING($A83/5,1),CEILING(BG$2/5,1))=1,INDEX('Serial Reference'!$A$8:$W$8,1,FLOOR(($A83-1)/23,1)+1)&amp;INDEX('Serial Reference'!$A$8:$W$8,1,MOD($A83-1,23)+1)&amp;TEXT(BG$2+FLOOR((BG$2-1)/9,1),"000"),"")</f>
        <v>DM064</v>
      </c>
      <c r="BH83" s="19" t="str">
        <f>IF(INDEX('Shot Map'!$B$6:$V$26,CEILING($A83/5,1),CEILING(BH$2/5,1))=1,INDEX('Serial Reference'!$A$8:$W$8,1,FLOOR(($A83-1)/23,1)+1)&amp;INDEX('Serial Reference'!$A$8:$W$8,1,MOD($A83-1,23)+1)&amp;TEXT(BH$2+FLOOR((BH$2-1)/9,1),"000"),"")</f>
        <v>DM065</v>
      </c>
      <c r="BI83" s="20" t="str">
        <f>IF(INDEX('Shot Map'!$B$6:$V$26,CEILING($A83/5,1),CEILING(BI$2/5,1))=1,INDEX('Serial Reference'!$A$8:$W$8,1,FLOOR(($A83-1)/23,1)+1)&amp;INDEX('Serial Reference'!$A$8:$W$8,1,MOD($A83-1,23)+1)&amp;TEXT(BI$2+FLOOR((BI$2-1)/9,1),"000"),"")</f>
        <v>DM066</v>
      </c>
      <c r="BJ83" s="18" t="str">
        <f>IF(INDEX('Shot Map'!$B$6:$V$26,CEILING($A83/5,1),CEILING(BJ$2/5,1))=1,INDEX('Serial Reference'!$A$8:$W$8,1,FLOOR(($A83-1)/23,1)+1)&amp;INDEX('Serial Reference'!$A$8:$W$8,1,MOD($A83-1,23)+1)&amp;TEXT(BJ$2+FLOOR((BJ$2-1)/9,1),"000"),"")</f>
        <v>DM067</v>
      </c>
      <c r="BK83" s="19" t="str">
        <f>IF(INDEX('Shot Map'!$B$6:$V$26,CEILING($A83/5,1),CEILING(BK$2/5,1))=1,INDEX('Serial Reference'!$A$8:$W$8,1,FLOOR(($A83-1)/23,1)+1)&amp;INDEX('Serial Reference'!$A$8:$W$8,1,MOD($A83-1,23)+1)&amp;TEXT(BK$2+FLOOR((BK$2-1)/9,1),"000"),"")</f>
        <v>DM068</v>
      </c>
      <c r="BL83" s="19" t="str">
        <f>IF(INDEX('Shot Map'!$B$6:$V$26,CEILING($A83/5,1),CEILING(BL$2/5,1))=1,INDEX('Serial Reference'!$A$8:$W$8,1,FLOOR(($A83-1)/23,1)+1)&amp;INDEX('Serial Reference'!$A$8:$W$8,1,MOD($A83-1,23)+1)&amp;TEXT(BL$2+FLOOR((BL$2-1)/9,1),"000"),"")</f>
        <v>DM069</v>
      </c>
      <c r="BM83" s="19" t="str">
        <f>IF(INDEX('Shot Map'!$B$6:$V$26,CEILING($A83/5,1),CEILING(BM$2/5,1))=1,INDEX('Serial Reference'!$A$8:$W$8,1,FLOOR(($A83-1)/23,1)+1)&amp;INDEX('Serial Reference'!$A$8:$W$8,1,MOD($A83-1,23)+1)&amp;TEXT(BM$2+FLOOR((BM$2-1)/9,1),"000"),"")</f>
        <v>DM071</v>
      </c>
      <c r="BN83" s="20" t="str">
        <f>IF(INDEX('Shot Map'!$B$6:$V$26,CEILING($A83/5,1),CEILING(BN$2/5,1))=1,INDEX('Serial Reference'!$A$8:$W$8,1,FLOOR(($A83-1)/23,1)+1)&amp;INDEX('Serial Reference'!$A$8:$W$8,1,MOD($A83-1,23)+1)&amp;TEXT(BN$2+FLOOR((BN$2-1)/9,1),"000"),"")</f>
        <v>DM072</v>
      </c>
      <c r="BO83" s="18" t="str">
        <f>IF(INDEX('Shot Map'!$B$6:$V$26,CEILING($A83/5,1),CEILING(BO$2/5,1))=1,INDEX('Serial Reference'!$A$8:$W$8,1,FLOOR(($A83-1)/23,1)+1)&amp;INDEX('Serial Reference'!$A$8:$W$8,1,MOD($A83-1,23)+1)&amp;TEXT(BO$2+FLOOR((BO$2-1)/9,1),"000"),"")</f>
        <v>DM073</v>
      </c>
      <c r="BP83" s="19" t="str">
        <f>IF(INDEX('Shot Map'!$B$6:$V$26,CEILING($A83/5,1),CEILING(BP$2/5,1))=1,INDEX('Serial Reference'!$A$8:$W$8,1,FLOOR(($A83-1)/23,1)+1)&amp;INDEX('Serial Reference'!$A$8:$W$8,1,MOD($A83-1,23)+1)&amp;TEXT(BP$2+FLOOR((BP$2-1)/9,1),"000"),"")</f>
        <v>DM074</v>
      </c>
      <c r="BQ83" s="19" t="str">
        <f>IF(INDEX('Shot Map'!$B$6:$V$26,CEILING($A83/5,1),CEILING(BQ$2/5,1))=1,INDEX('Serial Reference'!$A$8:$W$8,1,FLOOR(($A83-1)/23,1)+1)&amp;INDEX('Serial Reference'!$A$8:$W$8,1,MOD($A83-1,23)+1)&amp;TEXT(BQ$2+FLOOR((BQ$2-1)/9,1),"000"),"")</f>
        <v>DM075</v>
      </c>
      <c r="BR83" s="19" t="str">
        <f>IF(INDEX('Shot Map'!$B$6:$V$26,CEILING($A83/5,1),CEILING(BR$2/5,1))=1,INDEX('Serial Reference'!$A$8:$W$8,1,FLOOR(($A83-1)/23,1)+1)&amp;INDEX('Serial Reference'!$A$8:$W$8,1,MOD($A83-1,23)+1)&amp;TEXT(BR$2+FLOOR((BR$2-1)/9,1),"000"),"")</f>
        <v>DM076</v>
      </c>
      <c r="BS83" s="20" t="str">
        <f>IF(INDEX('Shot Map'!$B$6:$V$26,CEILING($A83/5,1),CEILING(BS$2/5,1))=1,INDEX('Serial Reference'!$A$8:$W$8,1,FLOOR(($A83-1)/23,1)+1)&amp;INDEX('Serial Reference'!$A$8:$W$8,1,MOD($A83-1,23)+1)&amp;TEXT(BS$2+FLOOR((BS$2-1)/9,1),"000"),"")</f>
        <v>DM077</v>
      </c>
      <c r="BT83" s="18" t="str">
        <f>IF(INDEX('Shot Map'!$B$6:$V$26,CEILING($A83/5,1),CEILING(BT$2/5,1))=1,INDEX('Serial Reference'!$A$8:$W$8,1,FLOOR(($A83-1)/23,1)+1)&amp;INDEX('Serial Reference'!$A$8:$W$8,1,MOD($A83-1,23)+1)&amp;TEXT(BT$2+FLOOR((BT$2-1)/9,1),"000"),"")</f>
        <v>DM078</v>
      </c>
      <c r="BU83" s="19" t="str">
        <f>IF(INDEX('Shot Map'!$B$6:$V$26,CEILING($A83/5,1),CEILING(BU$2/5,1))=1,INDEX('Serial Reference'!$A$8:$W$8,1,FLOOR(($A83-1)/23,1)+1)&amp;INDEX('Serial Reference'!$A$8:$W$8,1,MOD($A83-1,23)+1)&amp;TEXT(BU$2+FLOOR((BU$2-1)/9,1),"000"),"")</f>
        <v>DM079</v>
      </c>
      <c r="BV83" s="19" t="str">
        <f>IF(INDEX('Shot Map'!$B$6:$V$26,CEILING($A83/5,1),CEILING(BV$2/5,1))=1,INDEX('Serial Reference'!$A$8:$W$8,1,FLOOR(($A83-1)/23,1)+1)&amp;INDEX('Serial Reference'!$A$8:$W$8,1,MOD($A83-1,23)+1)&amp;TEXT(BV$2+FLOOR((BV$2-1)/9,1),"000"),"")</f>
        <v>DM081</v>
      </c>
      <c r="BW83" s="19" t="str">
        <f>IF(INDEX('Shot Map'!$B$6:$V$26,CEILING($A83/5,1),CEILING(BW$2/5,1))=1,INDEX('Serial Reference'!$A$8:$W$8,1,FLOOR(($A83-1)/23,1)+1)&amp;INDEX('Serial Reference'!$A$8:$W$8,1,MOD($A83-1,23)+1)&amp;TEXT(BW$2+FLOOR((BW$2-1)/9,1),"000"),"")</f>
        <v>DM082</v>
      </c>
      <c r="BX83" s="20" t="str">
        <f>IF(INDEX('Shot Map'!$B$6:$V$26,CEILING($A83/5,1),CEILING(BX$2/5,1))=1,INDEX('Serial Reference'!$A$8:$W$8,1,FLOOR(($A83-1)/23,1)+1)&amp;INDEX('Serial Reference'!$A$8:$W$8,1,MOD($A83-1,23)+1)&amp;TEXT(BX$2+FLOOR((BX$2-1)/9,1),"000"),"")</f>
        <v>DM083</v>
      </c>
      <c r="BY83" s="18" t="str">
        <f>IF(INDEX('Shot Map'!$B$6:$V$26,CEILING($A83/5,1),CEILING(BY$2/5,1))=1,INDEX('Serial Reference'!$A$8:$W$8,1,FLOOR(($A83-1)/23,1)+1)&amp;INDEX('Serial Reference'!$A$8:$W$8,1,MOD($A83-1,23)+1)&amp;TEXT(BY$2+FLOOR((BY$2-1)/9,1),"000"),"")</f>
        <v>DM084</v>
      </c>
      <c r="BZ83" s="19" t="str">
        <f>IF(INDEX('Shot Map'!$B$6:$V$26,CEILING($A83/5,1),CEILING(BZ$2/5,1))=1,INDEX('Serial Reference'!$A$8:$W$8,1,FLOOR(($A83-1)/23,1)+1)&amp;INDEX('Serial Reference'!$A$8:$W$8,1,MOD($A83-1,23)+1)&amp;TEXT(BZ$2+FLOOR((BZ$2-1)/9,1),"000"),"")</f>
        <v>DM085</v>
      </c>
      <c r="CA83" s="19" t="str">
        <f>IF(INDEX('Shot Map'!$B$6:$V$26,CEILING($A83/5,1),CEILING(CA$2/5,1))=1,INDEX('Serial Reference'!$A$8:$W$8,1,FLOOR(($A83-1)/23,1)+1)&amp;INDEX('Serial Reference'!$A$8:$W$8,1,MOD($A83-1,23)+1)&amp;TEXT(CA$2+FLOOR((CA$2-1)/9,1),"000"),"")</f>
        <v>DM086</v>
      </c>
      <c r="CB83" s="19" t="str">
        <f>IF(INDEX('Shot Map'!$B$6:$V$26,CEILING($A83/5,1),CEILING(CB$2/5,1))=1,INDEX('Serial Reference'!$A$8:$W$8,1,FLOOR(($A83-1)/23,1)+1)&amp;INDEX('Serial Reference'!$A$8:$W$8,1,MOD($A83-1,23)+1)&amp;TEXT(CB$2+FLOOR((CB$2-1)/9,1),"000"),"")</f>
        <v>DM087</v>
      </c>
      <c r="CC83" s="20" t="str">
        <f>IF(INDEX('Shot Map'!$B$6:$V$26,CEILING($A83/5,1),CEILING(CC$2/5,1))=1,INDEX('Serial Reference'!$A$8:$W$8,1,FLOOR(($A83-1)/23,1)+1)&amp;INDEX('Serial Reference'!$A$8:$W$8,1,MOD($A83-1,23)+1)&amp;TEXT(CC$2+FLOOR((CC$2-1)/9,1),"000"),"")</f>
        <v>DM088</v>
      </c>
      <c r="CD83" s="18" t="str">
        <f>IF(INDEX('Shot Map'!$B$6:$V$26,CEILING($A83/5,1),CEILING(CD$2/5,1))=1,INDEX('Serial Reference'!$A$8:$W$8,1,FLOOR(($A83-1)/23,1)+1)&amp;INDEX('Serial Reference'!$A$8:$W$8,1,MOD($A83-1,23)+1)&amp;TEXT(CD$2+FLOOR((CD$2-1)/9,1),"000"),"")</f>
        <v>DM089</v>
      </c>
      <c r="CE83" s="19" t="str">
        <f>IF(INDEX('Shot Map'!$B$6:$V$26,CEILING($A83/5,1),CEILING(CE$2/5,1))=1,INDEX('Serial Reference'!$A$8:$W$8,1,FLOOR(($A83-1)/23,1)+1)&amp;INDEX('Serial Reference'!$A$8:$W$8,1,MOD($A83-1,23)+1)&amp;TEXT(CE$2+FLOOR((CE$2-1)/9,1),"000"),"")</f>
        <v>DM091</v>
      </c>
      <c r="CF83" s="19" t="str">
        <f>IF(INDEX('Shot Map'!$B$6:$V$26,CEILING($A83/5,1),CEILING(CF$2/5,1))=1,INDEX('Serial Reference'!$A$8:$W$8,1,FLOOR(($A83-1)/23,1)+1)&amp;INDEX('Serial Reference'!$A$8:$W$8,1,MOD($A83-1,23)+1)&amp;TEXT(CF$2+FLOOR((CF$2-1)/9,1),"000"),"")</f>
        <v>DM092</v>
      </c>
      <c r="CG83" s="19" t="str">
        <f>IF(INDEX('Shot Map'!$B$6:$V$26,CEILING($A83/5,1),CEILING(CG$2/5,1))=1,INDEX('Serial Reference'!$A$8:$W$8,1,FLOOR(($A83-1)/23,1)+1)&amp;INDEX('Serial Reference'!$A$8:$W$8,1,MOD($A83-1,23)+1)&amp;TEXT(CG$2+FLOOR((CG$2-1)/9,1),"000"),"")</f>
        <v>DM093</v>
      </c>
      <c r="CH83" s="20" t="str">
        <f>IF(INDEX('Shot Map'!$B$6:$V$26,CEILING($A83/5,1),CEILING(CH$2/5,1))=1,INDEX('Serial Reference'!$A$8:$W$8,1,FLOOR(($A83-1)/23,1)+1)&amp;INDEX('Serial Reference'!$A$8:$W$8,1,MOD($A83-1,23)+1)&amp;TEXT(CH$2+FLOOR((CH$2-1)/9,1),"000"),"")</f>
        <v>DM094</v>
      </c>
      <c r="CI83" s="18" t="str">
        <f>IF(INDEX('Shot Map'!$B$6:$V$26,CEILING($A83/5,1),CEILING(CI$2/5,1))=1,INDEX('Serial Reference'!$A$8:$W$8,1,FLOOR(($A83-1)/23,1)+1)&amp;INDEX('Serial Reference'!$A$8:$W$8,1,MOD($A83-1,23)+1)&amp;TEXT(CI$2+FLOOR((CI$2-1)/9,1),"000"),"")</f>
        <v>DM095</v>
      </c>
      <c r="CJ83" s="19" t="str">
        <f>IF(INDEX('Shot Map'!$B$6:$V$26,CEILING($A83/5,1),CEILING(CJ$2/5,1))=1,INDEX('Serial Reference'!$A$8:$W$8,1,FLOOR(($A83-1)/23,1)+1)&amp;INDEX('Serial Reference'!$A$8:$W$8,1,MOD($A83-1,23)+1)&amp;TEXT(CJ$2+FLOOR((CJ$2-1)/9,1),"000"),"")</f>
        <v>DM096</v>
      </c>
      <c r="CK83" s="19" t="str">
        <f>IF(INDEX('Shot Map'!$B$6:$V$26,CEILING($A83/5,1),CEILING(CK$2/5,1))=1,INDEX('Serial Reference'!$A$8:$W$8,1,FLOOR(($A83-1)/23,1)+1)&amp;INDEX('Serial Reference'!$A$8:$W$8,1,MOD($A83-1,23)+1)&amp;TEXT(CK$2+FLOOR((CK$2-1)/9,1),"000"),"")</f>
        <v>DM097</v>
      </c>
      <c r="CL83" s="19" t="str">
        <f>IF(INDEX('Shot Map'!$B$6:$V$26,CEILING($A83/5,1),CEILING(CL$2/5,1))=1,INDEX('Serial Reference'!$A$8:$W$8,1,FLOOR(($A83-1)/23,1)+1)&amp;INDEX('Serial Reference'!$A$8:$W$8,1,MOD($A83-1,23)+1)&amp;TEXT(CL$2+FLOOR((CL$2-1)/9,1),"000"),"")</f>
        <v>DM098</v>
      </c>
      <c r="CM83" s="20" t="str">
        <f>IF(INDEX('Shot Map'!$B$6:$V$26,CEILING($A83/5,1),CEILING(CM$2/5,1))=1,INDEX('Serial Reference'!$A$8:$W$8,1,FLOOR(($A83-1)/23,1)+1)&amp;INDEX('Serial Reference'!$A$8:$W$8,1,MOD($A83-1,23)+1)&amp;TEXT(CM$2+FLOOR((CM$2-1)/9,1),"000"),"")</f>
        <v>DM099</v>
      </c>
      <c r="CN83" s="18" t="str">
        <f>IF(INDEX('Shot Map'!$B$6:$V$26,CEILING($A83/5,1),CEILING(CN$2/5,1))=1,INDEX('Serial Reference'!$A$8:$W$8,1,FLOOR(($A83-1)/23,1)+1)&amp;INDEX('Serial Reference'!$A$8:$W$8,1,MOD($A83-1,23)+1)&amp;TEXT(CN$2+FLOOR((CN$2-1)/9,1),"000"),"")</f>
        <v>DM101</v>
      </c>
      <c r="CO83" s="19" t="str">
        <f>IF(INDEX('Shot Map'!$B$6:$V$26,CEILING($A83/5,1),CEILING(CO$2/5,1))=1,INDEX('Serial Reference'!$A$8:$W$8,1,FLOOR(($A83-1)/23,1)+1)&amp;INDEX('Serial Reference'!$A$8:$W$8,1,MOD($A83-1,23)+1)&amp;TEXT(CO$2+FLOOR((CO$2-1)/9,1),"000"),"")</f>
        <v>DM102</v>
      </c>
      <c r="CP83" s="19" t="str">
        <f>IF(INDEX('Shot Map'!$B$6:$V$26,CEILING($A83/5,1),CEILING(CP$2/5,1))=1,INDEX('Serial Reference'!$A$8:$W$8,1,FLOOR(($A83-1)/23,1)+1)&amp;INDEX('Serial Reference'!$A$8:$W$8,1,MOD($A83-1,23)+1)&amp;TEXT(CP$2+FLOOR((CP$2-1)/9,1),"000"),"")</f>
        <v>DM103</v>
      </c>
      <c r="CQ83" s="19" t="str">
        <f>IF(INDEX('Shot Map'!$B$6:$V$26,CEILING($A83/5,1),CEILING(CQ$2/5,1))=1,INDEX('Serial Reference'!$A$8:$W$8,1,FLOOR(($A83-1)/23,1)+1)&amp;INDEX('Serial Reference'!$A$8:$W$8,1,MOD($A83-1,23)+1)&amp;TEXT(CQ$2+FLOOR((CQ$2-1)/9,1),"000"),"")</f>
        <v>DM104</v>
      </c>
      <c r="CR83" s="20" t="str">
        <f>IF(INDEX('Shot Map'!$B$6:$V$26,CEILING($A83/5,1),CEILING(CR$2/5,1))=1,INDEX('Serial Reference'!$A$8:$W$8,1,FLOOR(($A83-1)/23,1)+1)&amp;INDEX('Serial Reference'!$A$8:$W$8,1,MOD($A83-1,23)+1)&amp;TEXT(CR$2+FLOOR((CR$2-1)/9,1),"000"),"")</f>
        <v>DM105</v>
      </c>
      <c r="CS83" s="18" t="str">
        <f>IF(INDEX('Shot Map'!$B$6:$V$26,CEILING($A83/5,1),CEILING(CS$2/5,1))=1,INDEX('Serial Reference'!$A$8:$W$8,1,FLOOR(($A83-1)/23,1)+1)&amp;INDEX('Serial Reference'!$A$8:$W$8,1,MOD($A83-1,23)+1)&amp;TEXT(CS$2+FLOOR((CS$2-1)/9,1),"000"),"")</f>
        <v/>
      </c>
      <c r="CT83" s="19" t="str">
        <f>IF(INDEX('Shot Map'!$B$6:$V$26,CEILING($A83/5,1),CEILING(CT$2/5,1))=1,INDEX('Serial Reference'!$A$8:$W$8,1,FLOOR(($A83-1)/23,1)+1)&amp;INDEX('Serial Reference'!$A$8:$W$8,1,MOD($A83-1,23)+1)&amp;TEXT(CT$2+FLOOR((CT$2-1)/9,1),"000"),"")</f>
        <v/>
      </c>
      <c r="CU83" s="19" t="str">
        <f>IF(INDEX('Shot Map'!$B$6:$V$26,CEILING($A83/5,1),CEILING(CU$2/5,1))=1,INDEX('Serial Reference'!$A$8:$W$8,1,FLOOR(($A83-1)/23,1)+1)&amp;INDEX('Serial Reference'!$A$8:$W$8,1,MOD($A83-1,23)+1)&amp;TEXT(CU$2+FLOOR((CU$2-1)/9,1),"000"),"")</f>
        <v/>
      </c>
      <c r="CV83" s="19" t="str">
        <f>IF(INDEX('Shot Map'!$B$6:$V$26,CEILING($A83/5,1),CEILING(CV$2/5,1))=1,INDEX('Serial Reference'!$A$8:$W$8,1,FLOOR(($A83-1)/23,1)+1)&amp;INDEX('Serial Reference'!$A$8:$W$8,1,MOD($A83-1,23)+1)&amp;TEXT(CV$2+FLOOR((CV$2-1)/9,1),"000"),"")</f>
        <v/>
      </c>
      <c r="CW83" s="20" t="str">
        <f>IF(INDEX('Shot Map'!$B$6:$V$26,CEILING($A83/5,1),CEILING(CW$2/5,1))=1,INDEX('Serial Reference'!$A$8:$W$8,1,FLOOR(($A83-1)/23,1)+1)&amp;INDEX('Serial Reference'!$A$8:$W$8,1,MOD($A83-1,23)+1)&amp;TEXT(CW$2+FLOOR((CW$2-1)/9,1),"000"),"")</f>
        <v/>
      </c>
      <c r="CX83" s="18" t="str">
        <f>IF(INDEX('Shot Map'!$B$6:$V$26,CEILING($A83/5,1),CEILING(CX$2/5,1))=1,INDEX('Serial Reference'!$A$8:$W$8,1,FLOOR(($A83-1)/23,1)+1)&amp;INDEX('Serial Reference'!$A$8:$W$8,1,MOD($A83-1,23)+1)&amp;TEXT(CX$2+FLOOR((CX$2-1)/9,1),"000"),"")</f>
        <v/>
      </c>
      <c r="CY83" s="19" t="str">
        <f>IF(INDEX('Shot Map'!$B$6:$V$26,CEILING($A83/5,1),CEILING(CY$2/5,1))=1,INDEX('Serial Reference'!$A$8:$W$8,1,FLOOR(($A83-1)/23,1)+1)&amp;INDEX('Serial Reference'!$A$8:$W$8,1,MOD($A83-1,23)+1)&amp;TEXT(CY$2+FLOOR((CY$2-1)/9,1),"000"),"")</f>
        <v/>
      </c>
      <c r="CZ83" s="19" t="str">
        <f>IF(INDEX('Shot Map'!$B$6:$V$26,CEILING($A83/5,1),CEILING(CZ$2/5,1))=1,INDEX('Serial Reference'!$A$8:$W$8,1,FLOOR(($A83-1)/23,1)+1)&amp;INDEX('Serial Reference'!$A$8:$W$8,1,MOD($A83-1,23)+1)&amp;TEXT(CZ$2+FLOOR((CZ$2-1)/9,1),"000"),"")</f>
        <v/>
      </c>
      <c r="DA83" s="19" t="str">
        <f>IF(INDEX('Shot Map'!$B$6:$V$26,CEILING($A83/5,1),CEILING(DA$2/5,1))=1,INDEX('Serial Reference'!$A$8:$W$8,1,FLOOR(($A83-1)/23,1)+1)&amp;INDEX('Serial Reference'!$A$8:$W$8,1,MOD($A83-1,23)+1)&amp;TEXT(DA$2+FLOOR((DA$2-1)/9,1),"000"),"")</f>
        <v/>
      </c>
      <c r="DB83" s="20" t="str">
        <f>IF(INDEX('Shot Map'!$B$6:$V$26,CEILING($A83/5,1),CEILING(DB$2/5,1))=1,INDEX('Serial Reference'!$A$8:$W$8,1,FLOOR(($A83-1)/23,1)+1)&amp;INDEX('Serial Reference'!$A$8:$W$8,1,MOD($A83-1,23)+1)&amp;TEXT(DB$2+FLOOR((DB$2-1)/9,1),"000"),"")</f>
        <v/>
      </c>
    </row>
    <row r="84" spans="1:106" ht="12.75" customHeight="1" x14ac:dyDescent="0.25">
      <c r="A84" s="17">
        <v>82</v>
      </c>
      <c r="B84" s="21" t="str">
        <f>IF(INDEX('Shot Map'!$B$6:$V$26,CEILING($A84/5,1),CEILING(B$2/5,1))=1,INDEX('Serial Reference'!$A$8:$W$8,1,FLOOR(($A84-1)/23,1)+1)&amp;INDEX('Serial Reference'!$A$8:$W$8,1,MOD($A84-1,23)+1)&amp;TEXT(B$2+FLOOR((B$2-1)/9,1),"000"),"")</f>
        <v/>
      </c>
      <c r="C84" s="22" t="str">
        <f>IF(INDEX('Shot Map'!$B$6:$V$26,CEILING($A84/5,1),CEILING(C$2/5,1))=1,INDEX('Serial Reference'!$A$8:$W$8,1,FLOOR(($A84-1)/23,1)+1)&amp;INDEX('Serial Reference'!$A$8:$W$8,1,MOD($A84-1,23)+1)&amp;TEXT(C$2+FLOOR((C$2-1)/9,1),"000"),"")</f>
        <v/>
      </c>
      <c r="D84" s="22" t="str">
        <f>IF(INDEX('Shot Map'!$B$6:$V$26,CEILING($A84/5,1),CEILING(D$2/5,1))=1,INDEX('Serial Reference'!$A$8:$W$8,1,FLOOR(($A84-1)/23,1)+1)&amp;INDEX('Serial Reference'!$A$8:$W$8,1,MOD($A84-1,23)+1)&amp;TEXT(D$2+FLOOR((D$2-1)/9,1),"000"),"")</f>
        <v/>
      </c>
      <c r="E84" s="22" t="str">
        <f>IF(INDEX('Shot Map'!$B$6:$V$26,CEILING($A84/5,1),CEILING(E$2/5,1))=1,INDEX('Serial Reference'!$A$8:$W$8,1,FLOOR(($A84-1)/23,1)+1)&amp;INDEX('Serial Reference'!$A$8:$W$8,1,MOD($A84-1,23)+1)&amp;TEXT(E$2+FLOOR((E$2-1)/9,1),"000"),"")</f>
        <v/>
      </c>
      <c r="F84" s="23" t="str">
        <f>IF(INDEX('Shot Map'!$B$6:$V$26,CEILING($A84/5,1),CEILING(F$2/5,1))=1,INDEX('Serial Reference'!$A$8:$W$8,1,FLOOR(($A84-1)/23,1)+1)&amp;INDEX('Serial Reference'!$A$8:$W$8,1,MOD($A84-1,23)+1)&amp;TEXT(F$2+FLOOR((F$2-1)/9,1),"000"),"")</f>
        <v/>
      </c>
      <c r="G84" s="21" t="str">
        <f>IF(INDEX('Shot Map'!$B$6:$V$26,CEILING($A84/5,1),CEILING(G$2/5,1))=1,INDEX('Serial Reference'!$A$8:$W$8,1,FLOOR(($A84-1)/23,1)+1)&amp;INDEX('Serial Reference'!$A$8:$W$8,1,MOD($A84-1,23)+1)&amp;TEXT(G$2+FLOOR((G$2-1)/9,1),"000"),"")</f>
        <v/>
      </c>
      <c r="H84" s="22" t="str">
        <f>IF(INDEX('Shot Map'!$B$6:$V$26,CEILING($A84/5,1),CEILING(H$2/5,1))=1,INDEX('Serial Reference'!$A$8:$W$8,1,FLOOR(($A84-1)/23,1)+1)&amp;INDEX('Serial Reference'!$A$8:$W$8,1,MOD($A84-1,23)+1)&amp;TEXT(H$2+FLOOR((H$2-1)/9,1),"000"),"")</f>
        <v/>
      </c>
      <c r="I84" s="22" t="str">
        <f>IF(INDEX('Shot Map'!$B$6:$V$26,CEILING($A84/5,1),CEILING(I$2/5,1))=1,INDEX('Serial Reference'!$A$8:$W$8,1,FLOOR(($A84-1)/23,1)+1)&amp;INDEX('Serial Reference'!$A$8:$W$8,1,MOD($A84-1,23)+1)&amp;TEXT(I$2+FLOOR((I$2-1)/9,1),"000"),"")</f>
        <v/>
      </c>
      <c r="J84" s="22" t="str">
        <f>IF(INDEX('Shot Map'!$B$6:$V$26,CEILING($A84/5,1),CEILING(J$2/5,1))=1,INDEX('Serial Reference'!$A$8:$W$8,1,FLOOR(($A84-1)/23,1)+1)&amp;INDEX('Serial Reference'!$A$8:$W$8,1,MOD($A84-1,23)+1)&amp;TEXT(J$2+FLOOR((J$2-1)/9,1),"000"),"")</f>
        <v/>
      </c>
      <c r="K84" s="23" t="str">
        <f>IF(INDEX('Shot Map'!$B$6:$V$26,CEILING($A84/5,1),CEILING(K$2/5,1))=1,INDEX('Serial Reference'!$A$8:$W$8,1,FLOOR(($A84-1)/23,1)+1)&amp;INDEX('Serial Reference'!$A$8:$W$8,1,MOD($A84-1,23)+1)&amp;TEXT(K$2+FLOOR((K$2-1)/9,1),"000"),"")</f>
        <v/>
      </c>
      <c r="L84" s="21" t="str">
        <f>IF(INDEX('Shot Map'!$B$6:$V$26,CEILING($A84/5,1),CEILING(L$2/5,1))=1,INDEX('Serial Reference'!$A$8:$W$8,1,FLOOR(($A84-1)/23,1)+1)&amp;INDEX('Serial Reference'!$A$8:$W$8,1,MOD($A84-1,23)+1)&amp;TEXT(L$2+FLOOR((L$2-1)/9,1),"000"),"")</f>
        <v>DN012</v>
      </c>
      <c r="M84" s="22" t="str">
        <f>IF(INDEX('Shot Map'!$B$6:$V$26,CEILING($A84/5,1),CEILING(M$2/5,1))=1,INDEX('Serial Reference'!$A$8:$W$8,1,FLOOR(($A84-1)/23,1)+1)&amp;INDEX('Serial Reference'!$A$8:$W$8,1,MOD($A84-1,23)+1)&amp;TEXT(M$2+FLOOR((M$2-1)/9,1),"000"),"")</f>
        <v>DN013</v>
      </c>
      <c r="N84" s="22" t="str">
        <f>IF(INDEX('Shot Map'!$B$6:$V$26,CEILING($A84/5,1),CEILING(N$2/5,1))=1,INDEX('Serial Reference'!$A$8:$W$8,1,FLOOR(($A84-1)/23,1)+1)&amp;INDEX('Serial Reference'!$A$8:$W$8,1,MOD($A84-1,23)+1)&amp;TEXT(N$2+FLOOR((N$2-1)/9,1),"000"),"")</f>
        <v>DN014</v>
      </c>
      <c r="O84" s="22" t="str">
        <f>IF(INDEX('Shot Map'!$B$6:$V$26,CEILING($A84/5,1),CEILING(O$2/5,1))=1,INDEX('Serial Reference'!$A$8:$W$8,1,FLOOR(($A84-1)/23,1)+1)&amp;INDEX('Serial Reference'!$A$8:$W$8,1,MOD($A84-1,23)+1)&amp;TEXT(O$2+FLOOR((O$2-1)/9,1),"000"),"")</f>
        <v>DN015</v>
      </c>
      <c r="P84" s="23" t="str">
        <f>IF(INDEX('Shot Map'!$B$6:$V$26,CEILING($A84/5,1),CEILING(P$2/5,1))=1,INDEX('Serial Reference'!$A$8:$W$8,1,FLOOR(($A84-1)/23,1)+1)&amp;INDEX('Serial Reference'!$A$8:$W$8,1,MOD($A84-1,23)+1)&amp;TEXT(P$2+FLOOR((P$2-1)/9,1),"000"),"")</f>
        <v>DN016</v>
      </c>
      <c r="Q84" s="21" t="str">
        <f>IF(INDEX('Shot Map'!$B$6:$V$26,CEILING($A84/5,1),CEILING(Q$2/5,1))=1,INDEX('Serial Reference'!$A$8:$W$8,1,FLOOR(($A84-1)/23,1)+1)&amp;INDEX('Serial Reference'!$A$8:$W$8,1,MOD($A84-1,23)+1)&amp;TEXT(Q$2+FLOOR((Q$2-1)/9,1),"000"),"")</f>
        <v>DN017</v>
      </c>
      <c r="R84" s="22" t="str">
        <f>IF(INDEX('Shot Map'!$B$6:$V$26,CEILING($A84/5,1),CEILING(R$2/5,1))=1,INDEX('Serial Reference'!$A$8:$W$8,1,FLOOR(($A84-1)/23,1)+1)&amp;INDEX('Serial Reference'!$A$8:$W$8,1,MOD($A84-1,23)+1)&amp;TEXT(R$2+FLOOR((R$2-1)/9,1),"000"),"")</f>
        <v>DN018</v>
      </c>
      <c r="S84" s="22" t="str">
        <f>IF(INDEX('Shot Map'!$B$6:$V$26,CEILING($A84/5,1),CEILING(S$2/5,1))=1,INDEX('Serial Reference'!$A$8:$W$8,1,FLOOR(($A84-1)/23,1)+1)&amp;INDEX('Serial Reference'!$A$8:$W$8,1,MOD($A84-1,23)+1)&amp;TEXT(S$2+FLOOR((S$2-1)/9,1),"000"),"")</f>
        <v>DN019</v>
      </c>
      <c r="T84" s="22" t="str">
        <f>IF(INDEX('Shot Map'!$B$6:$V$26,CEILING($A84/5,1),CEILING(T$2/5,1))=1,INDEX('Serial Reference'!$A$8:$W$8,1,FLOOR(($A84-1)/23,1)+1)&amp;INDEX('Serial Reference'!$A$8:$W$8,1,MOD($A84-1,23)+1)&amp;TEXT(T$2+FLOOR((T$2-1)/9,1),"000"),"")</f>
        <v>DN021</v>
      </c>
      <c r="U84" s="23" t="str">
        <f>IF(INDEX('Shot Map'!$B$6:$V$26,CEILING($A84/5,1),CEILING(U$2/5,1))=1,INDEX('Serial Reference'!$A$8:$W$8,1,FLOOR(($A84-1)/23,1)+1)&amp;INDEX('Serial Reference'!$A$8:$W$8,1,MOD($A84-1,23)+1)&amp;TEXT(U$2+FLOOR((U$2-1)/9,1),"000"),"")</f>
        <v>DN022</v>
      </c>
      <c r="V84" s="21" t="str">
        <f>IF(INDEX('Shot Map'!$B$6:$V$26,CEILING($A84/5,1),CEILING(V$2/5,1))=1,INDEX('Serial Reference'!$A$8:$W$8,1,FLOOR(($A84-1)/23,1)+1)&amp;INDEX('Serial Reference'!$A$8:$W$8,1,MOD($A84-1,23)+1)&amp;TEXT(V$2+FLOOR((V$2-1)/9,1),"000"),"")</f>
        <v>DN023</v>
      </c>
      <c r="W84" s="22" t="str">
        <f>IF(INDEX('Shot Map'!$B$6:$V$26,CEILING($A84/5,1),CEILING(W$2/5,1))=1,INDEX('Serial Reference'!$A$8:$W$8,1,FLOOR(($A84-1)/23,1)+1)&amp;INDEX('Serial Reference'!$A$8:$W$8,1,MOD($A84-1,23)+1)&amp;TEXT(W$2+FLOOR((W$2-1)/9,1),"000"),"")</f>
        <v>DN024</v>
      </c>
      <c r="X84" s="22" t="str">
        <f>IF(INDEX('Shot Map'!$B$6:$V$26,CEILING($A84/5,1),CEILING(X$2/5,1))=1,INDEX('Serial Reference'!$A$8:$W$8,1,FLOOR(($A84-1)/23,1)+1)&amp;INDEX('Serial Reference'!$A$8:$W$8,1,MOD($A84-1,23)+1)&amp;TEXT(X$2+FLOOR((X$2-1)/9,1),"000"),"")</f>
        <v>DN025</v>
      </c>
      <c r="Y84" s="22" t="str">
        <f>IF(INDEX('Shot Map'!$B$6:$V$26,CEILING($A84/5,1),CEILING(Y$2/5,1))=1,INDEX('Serial Reference'!$A$8:$W$8,1,FLOOR(($A84-1)/23,1)+1)&amp;INDEX('Serial Reference'!$A$8:$W$8,1,MOD($A84-1,23)+1)&amp;TEXT(Y$2+FLOOR((Y$2-1)/9,1),"000"),"")</f>
        <v>DN026</v>
      </c>
      <c r="Z84" s="23" t="str">
        <f>IF(INDEX('Shot Map'!$B$6:$V$26,CEILING($A84/5,1),CEILING(Z$2/5,1))=1,INDEX('Serial Reference'!$A$8:$W$8,1,FLOOR(($A84-1)/23,1)+1)&amp;INDEX('Serial Reference'!$A$8:$W$8,1,MOD($A84-1,23)+1)&amp;TEXT(Z$2+FLOOR((Z$2-1)/9,1),"000"),"")</f>
        <v>DN027</v>
      </c>
      <c r="AA84" s="21" t="str">
        <f>IF(INDEX('Shot Map'!$B$6:$V$26,CEILING($A84/5,1),CEILING(AA$2/5,1))=1,INDEX('Serial Reference'!$A$8:$W$8,1,FLOOR(($A84-1)/23,1)+1)&amp;INDEX('Serial Reference'!$A$8:$W$8,1,MOD($A84-1,23)+1)&amp;TEXT(AA$2+FLOOR((AA$2-1)/9,1),"000"),"")</f>
        <v>DN028</v>
      </c>
      <c r="AB84" s="22" t="str">
        <f>IF(INDEX('Shot Map'!$B$6:$V$26,CEILING($A84/5,1),CEILING(AB$2/5,1))=1,INDEX('Serial Reference'!$A$8:$W$8,1,FLOOR(($A84-1)/23,1)+1)&amp;INDEX('Serial Reference'!$A$8:$W$8,1,MOD($A84-1,23)+1)&amp;TEXT(AB$2+FLOOR((AB$2-1)/9,1),"000"),"")</f>
        <v>DN029</v>
      </c>
      <c r="AC84" s="22" t="str">
        <f>IF(INDEX('Shot Map'!$B$6:$V$26,CEILING($A84/5,1),CEILING(AC$2/5,1))=1,INDEX('Serial Reference'!$A$8:$W$8,1,FLOOR(($A84-1)/23,1)+1)&amp;INDEX('Serial Reference'!$A$8:$W$8,1,MOD($A84-1,23)+1)&amp;TEXT(AC$2+FLOOR((AC$2-1)/9,1),"000"),"")</f>
        <v>DN031</v>
      </c>
      <c r="AD84" s="22" t="str">
        <f>IF(INDEX('Shot Map'!$B$6:$V$26,CEILING($A84/5,1),CEILING(AD$2/5,1))=1,INDEX('Serial Reference'!$A$8:$W$8,1,FLOOR(($A84-1)/23,1)+1)&amp;INDEX('Serial Reference'!$A$8:$W$8,1,MOD($A84-1,23)+1)&amp;TEXT(AD$2+FLOOR((AD$2-1)/9,1),"000"),"")</f>
        <v>DN032</v>
      </c>
      <c r="AE84" s="23" t="str">
        <f>IF(INDEX('Shot Map'!$B$6:$V$26,CEILING($A84/5,1),CEILING(AE$2/5,1))=1,INDEX('Serial Reference'!$A$8:$W$8,1,FLOOR(($A84-1)/23,1)+1)&amp;INDEX('Serial Reference'!$A$8:$W$8,1,MOD($A84-1,23)+1)&amp;TEXT(AE$2+FLOOR((AE$2-1)/9,1),"000"),"")</f>
        <v>DN033</v>
      </c>
      <c r="AF84" s="21" t="str">
        <f>IF(INDEX('Shot Map'!$B$6:$V$26,CEILING($A84/5,1),CEILING(AF$2/5,1))=1,INDEX('Serial Reference'!$A$8:$W$8,1,FLOOR(($A84-1)/23,1)+1)&amp;INDEX('Serial Reference'!$A$8:$W$8,1,MOD($A84-1,23)+1)&amp;TEXT(AF$2+FLOOR((AF$2-1)/9,1),"000"),"")</f>
        <v>DN034</v>
      </c>
      <c r="AG84" s="22" t="str">
        <f>IF(INDEX('Shot Map'!$B$6:$V$26,CEILING($A84/5,1),CEILING(AG$2/5,1))=1,INDEX('Serial Reference'!$A$8:$W$8,1,FLOOR(($A84-1)/23,1)+1)&amp;INDEX('Serial Reference'!$A$8:$W$8,1,MOD($A84-1,23)+1)&amp;TEXT(AG$2+FLOOR((AG$2-1)/9,1),"000"),"")</f>
        <v>DN035</v>
      </c>
      <c r="AH84" s="22" t="str">
        <f>IF(INDEX('Shot Map'!$B$6:$V$26,CEILING($A84/5,1),CEILING(AH$2/5,1))=1,INDEX('Serial Reference'!$A$8:$W$8,1,FLOOR(($A84-1)/23,1)+1)&amp;INDEX('Serial Reference'!$A$8:$W$8,1,MOD($A84-1,23)+1)&amp;TEXT(AH$2+FLOOR((AH$2-1)/9,1),"000"),"")</f>
        <v>DN036</v>
      </c>
      <c r="AI84" s="22" t="str">
        <f>IF(INDEX('Shot Map'!$B$6:$V$26,CEILING($A84/5,1),CEILING(AI$2/5,1))=1,INDEX('Serial Reference'!$A$8:$W$8,1,FLOOR(($A84-1)/23,1)+1)&amp;INDEX('Serial Reference'!$A$8:$W$8,1,MOD($A84-1,23)+1)&amp;TEXT(AI$2+FLOOR((AI$2-1)/9,1),"000"),"")</f>
        <v>DN037</v>
      </c>
      <c r="AJ84" s="23" t="str">
        <f>IF(INDEX('Shot Map'!$B$6:$V$26,CEILING($A84/5,1),CEILING(AJ$2/5,1))=1,INDEX('Serial Reference'!$A$8:$W$8,1,FLOOR(($A84-1)/23,1)+1)&amp;INDEX('Serial Reference'!$A$8:$W$8,1,MOD($A84-1,23)+1)&amp;TEXT(AJ$2+FLOOR((AJ$2-1)/9,1),"000"),"")</f>
        <v>DN038</v>
      </c>
      <c r="AK84" s="21" t="str">
        <f>IF(INDEX('Shot Map'!$B$6:$V$26,CEILING($A84/5,1),CEILING(AK$2/5,1))=1,INDEX('Serial Reference'!$A$8:$W$8,1,FLOOR(($A84-1)/23,1)+1)&amp;INDEX('Serial Reference'!$A$8:$W$8,1,MOD($A84-1,23)+1)&amp;TEXT(AK$2+FLOOR((AK$2-1)/9,1),"000"),"")</f>
        <v>DN039</v>
      </c>
      <c r="AL84" s="22" t="str">
        <f>IF(INDEX('Shot Map'!$B$6:$V$26,CEILING($A84/5,1),CEILING(AL$2/5,1))=1,INDEX('Serial Reference'!$A$8:$W$8,1,FLOOR(($A84-1)/23,1)+1)&amp;INDEX('Serial Reference'!$A$8:$W$8,1,MOD($A84-1,23)+1)&amp;TEXT(AL$2+FLOOR((AL$2-1)/9,1),"000"),"")</f>
        <v>DN041</v>
      </c>
      <c r="AM84" s="22" t="str">
        <f>IF(INDEX('Shot Map'!$B$6:$V$26,CEILING($A84/5,1),CEILING(AM$2/5,1))=1,INDEX('Serial Reference'!$A$8:$W$8,1,FLOOR(($A84-1)/23,1)+1)&amp;INDEX('Serial Reference'!$A$8:$W$8,1,MOD($A84-1,23)+1)&amp;TEXT(AM$2+FLOOR((AM$2-1)/9,1),"000"),"")</f>
        <v>DN042</v>
      </c>
      <c r="AN84" s="22" t="str">
        <f>IF(INDEX('Shot Map'!$B$6:$V$26,CEILING($A84/5,1),CEILING(AN$2/5,1))=1,INDEX('Serial Reference'!$A$8:$W$8,1,FLOOR(($A84-1)/23,1)+1)&amp;INDEX('Serial Reference'!$A$8:$W$8,1,MOD($A84-1,23)+1)&amp;TEXT(AN$2+FLOOR((AN$2-1)/9,1),"000"),"")</f>
        <v>DN043</v>
      </c>
      <c r="AO84" s="23" t="str">
        <f>IF(INDEX('Shot Map'!$B$6:$V$26,CEILING($A84/5,1),CEILING(AO$2/5,1))=1,INDEX('Serial Reference'!$A$8:$W$8,1,FLOOR(($A84-1)/23,1)+1)&amp;INDEX('Serial Reference'!$A$8:$W$8,1,MOD($A84-1,23)+1)&amp;TEXT(AO$2+FLOOR((AO$2-1)/9,1),"000"),"")</f>
        <v>DN044</v>
      </c>
      <c r="AP84" s="21" t="str">
        <f>IF(INDEX('Shot Map'!$B$6:$V$26,CEILING($A84/5,1),CEILING(AP$2/5,1))=1,INDEX('Serial Reference'!$A$8:$W$8,1,FLOOR(($A84-1)/23,1)+1)&amp;INDEX('Serial Reference'!$A$8:$W$8,1,MOD($A84-1,23)+1)&amp;TEXT(AP$2+FLOOR((AP$2-1)/9,1),"000"),"")</f>
        <v>DN045</v>
      </c>
      <c r="AQ84" s="22" t="str">
        <f>IF(INDEX('Shot Map'!$B$6:$V$26,CEILING($A84/5,1),CEILING(AQ$2/5,1))=1,INDEX('Serial Reference'!$A$8:$W$8,1,FLOOR(($A84-1)/23,1)+1)&amp;INDEX('Serial Reference'!$A$8:$W$8,1,MOD($A84-1,23)+1)&amp;TEXT(AQ$2+FLOOR((AQ$2-1)/9,1),"000"),"")</f>
        <v>DN046</v>
      </c>
      <c r="AR84" s="22" t="str">
        <f>IF(INDEX('Shot Map'!$B$6:$V$26,CEILING($A84/5,1),CEILING(AR$2/5,1))=1,INDEX('Serial Reference'!$A$8:$W$8,1,FLOOR(($A84-1)/23,1)+1)&amp;INDEX('Serial Reference'!$A$8:$W$8,1,MOD($A84-1,23)+1)&amp;TEXT(AR$2+FLOOR((AR$2-1)/9,1),"000"),"")</f>
        <v>DN047</v>
      </c>
      <c r="AS84" s="22" t="str">
        <f>IF(INDEX('Shot Map'!$B$6:$V$26,CEILING($A84/5,1),CEILING(AS$2/5,1))=1,INDEX('Serial Reference'!$A$8:$W$8,1,FLOOR(($A84-1)/23,1)+1)&amp;INDEX('Serial Reference'!$A$8:$W$8,1,MOD($A84-1,23)+1)&amp;TEXT(AS$2+FLOOR((AS$2-1)/9,1),"000"),"")</f>
        <v>DN048</v>
      </c>
      <c r="AT84" s="23" t="str">
        <f>IF(INDEX('Shot Map'!$B$6:$V$26,CEILING($A84/5,1),CEILING(AT$2/5,1))=1,INDEX('Serial Reference'!$A$8:$W$8,1,FLOOR(($A84-1)/23,1)+1)&amp;INDEX('Serial Reference'!$A$8:$W$8,1,MOD($A84-1,23)+1)&amp;TEXT(AT$2+FLOOR((AT$2-1)/9,1),"000"),"")</f>
        <v>DN049</v>
      </c>
      <c r="AU84" s="21" t="str">
        <f>IF(INDEX('Shot Map'!$B$6:$V$26,CEILING($A84/5,1),CEILING(AU$2/5,1))=1,INDEX('Serial Reference'!$A$8:$W$8,1,FLOOR(($A84-1)/23,1)+1)&amp;INDEX('Serial Reference'!$A$8:$W$8,1,MOD($A84-1,23)+1)&amp;TEXT(AU$2+FLOOR((AU$2-1)/9,1),"000"),"")</f>
        <v>DN051</v>
      </c>
      <c r="AV84" s="22" t="str">
        <f>IF(INDEX('Shot Map'!$B$6:$V$26,CEILING($A84/5,1),CEILING(AV$2/5,1))=1,INDEX('Serial Reference'!$A$8:$W$8,1,FLOOR(($A84-1)/23,1)+1)&amp;INDEX('Serial Reference'!$A$8:$W$8,1,MOD($A84-1,23)+1)&amp;TEXT(AV$2+FLOOR((AV$2-1)/9,1),"000"),"")</f>
        <v>DN052</v>
      </c>
      <c r="AW84" s="22" t="str">
        <f>IF(INDEX('Shot Map'!$B$6:$V$26,CEILING($A84/5,1),CEILING(AW$2/5,1))=1,INDEX('Serial Reference'!$A$8:$W$8,1,FLOOR(($A84-1)/23,1)+1)&amp;INDEX('Serial Reference'!$A$8:$W$8,1,MOD($A84-1,23)+1)&amp;TEXT(AW$2+FLOOR((AW$2-1)/9,1),"000"),"")</f>
        <v>DN053</v>
      </c>
      <c r="AX84" s="22" t="str">
        <f>IF(INDEX('Shot Map'!$B$6:$V$26,CEILING($A84/5,1),CEILING(AX$2/5,1))=1,INDEX('Serial Reference'!$A$8:$W$8,1,FLOOR(($A84-1)/23,1)+1)&amp;INDEX('Serial Reference'!$A$8:$W$8,1,MOD($A84-1,23)+1)&amp;TEXT(AX$2+FLOOR((AX$2-1)/9,1),"000"),"")</f>
        <v>DN054</v>
      </c>
      <c r="AY84" s="23" t="str">
        <f>IF(INDEX('Shot Map'!$B$6:$V$26,CEILING($A84/5,1),CEILING(AY$2/5,1))=1,INDEX('Serial Reference'!$A$8:$W$8,1,FLOOR(($A84-1)/23,1)+1)&amp;INDEX('Serial Reference'!$A$8:$W$8,1,MOD($A84-1,23)+1)&amp;TEXT(AY$2+FLOOR((AY$2-1)/9,1),"000"),"")</f>
        <v>DN055</v>
      </c>
      <c r="AZ84" s="21" t="str">
        <f>IF(INDEX('Shot Map'!$B$6:$V$26,CEILING($A84/5,1),CEILING(AZ$2/5,1))=1,INDEX('Serial Reference'!$A$8:$W$8,1,FLOOR(($A84-1)/23,1)+1)&amp;INDEX('Serial Reference'!$A$8:$W$8,1,MOD($A84-1,23)+1)&amp;TEXT(AZ$2+FLOOR((AZ$2-1)/9,1),"000"),"")</f>
        <v>DN056</v>
      </c>
      <c r="BA84" s="22" t="str">
        <f>IF(INDEX('Shot Map'!$B$6:$V$26,CEILING($A84/5,1),CEILING(BA$2/5,1))=1,INDEX('Serial Reference'!$A$8:$W$8,1,FLOOR(($A84-1)/23,1)+1)&amp;INDEX('Serial Reference'!$A$8:$W$8,1,MOD($A84-1,23)+1)&amp;TEXT(BA$2+FLOOR((BA$2-1)/9,1),"000"),"")</f>
        <v>DN057</v>
      </c>
      <c r="BB84" s="22" t="str">
        <f>IF(INDEX('Shot Map'!$B$6:$V$26,CEILING($A84/5,1),CEILING(BB$2/5,1))=1,INDEX('Serial Reference'!$A$8:$W$8,1,FLOOR(($A84-1)/23,1)+1)&amp;INDEX('Serial Reference'!$A$8:$W$8,1,MOD($A84-1,23)+1)&amp;TEXT(BB$2+FLOOR((BB$2-1)/9,1),"000"),"")</f>
        <v>DN058</v>
      </c>
      <c r="BC84" s="22" t="str">
        <f>IF(INDEX('Shot Map'!$B$6:$V$26,CEILING($A84/5,1),CEILING(BC$2/5,1))=1,INDEX('Serial Reference'!$A$8:$W$8,1,FLOOR(($A84-1)/23,1)+1)&amp;INDEX('Serial Reference'!$A$8:$W$8,1,MOD($A84-1,23)+1)&amp;TEXT(BC$2+FLOOR((BC$2-1)/9,1),"000"),"")</f>
        <v>DN059</v>
      </c>
      <c r="BD84" s="23" t="str">
        <f>IF(INDEX('Shot Map'!$B$6:$V$26,CEILING($A84/5,1),CEILING(BD$2/5,1))=1,INDEX('Serial Reference'!$A$8:$W$8,1,FLOOR(($A84-1)/23,1)+1)&amp;INDEX('Serial Reference'!$A$8:$W$8,1,MOD($A84-1,23)+1)&amp;TEXT(BD$2+FLOOR((BD$2-1)/9,1),"000"),"")</f>
        <v>DN061</v>
      </c>
      <c r="BE84" s="21" t="str">
        <f>IF(INDEX('Shot Map'!$B$6:$V$26,CEILING($A84/5,1),CEILING(BE$2/5,1))=1,INDEX('Serial Reference'!$A$8:$W$8,1,FLOOR(($A84-1)/23,1)+1)&amp;INDEX('Serial Reference'!$A$8:$W$8,1,MOD($A84-1,23)+1)&amp;TEXT(BE$2+FLOOR((BE$2-1)/9,1),"000"),"")</f>
        <v>DN062</v>
      </c>
      <c r="BF84" s="22" t="str">
        <f>IF(INDEX('Shot Map'!$B$6:$V$26,CEILING($A84/5,1),CEILING(BF$2/5,1))=1,INDEX('Serial Reference'!$A$8:$W$8,1,FLOOR(($A84-1)/23,1)+1)&amp;INDEX('Serial Reference'!$A$8:$W$8,1,MOD($A84-1,23)+1)&amp;TEXT(BF$2+FLOOR((BF$2-1)/9,1),"000"),"")</f>
        <v>DN063</v>
      </c>
      <c r="BG84" s="22" t="str">
        <f>IF(INDEX('Shot Map'!$B$6:$V$26,CEILING($A84/5,1),CEILING(BG$2/5,1))=1,INDEX('Serial Reference'!$A$8:$W$8,1,FLOOR(($A84-1)/23,1)+1)&amp;INDEX('Serial Reference'!$A$8:$W$8,1,MOD($A84-1,23)+1)&amp;TEXT(BG$2+FLOOR((BG$2-1)/9,1),"000"),"")</f>
        <v>DN064</v>
      </c>
      <c r="BH84" s="22" t="str">
        <f>IF(INDEX('Shot Map'!$B$6:$V$26,CEILING($A84/5,1),CEILING(BH$2/5,1))=1,INDEX('Serial Reference'!$A$8:$W$8,1,FLOOR(($A84-1)/23,1)+1)&amp;INDEX('Serial Reference'!$A$8:$W$8,1,MOD($A84-1,23)+1)&amp;TEXT(BH$2+FLOOR((BH$2-1)/9,1),"000"),"")</f>
        <v>DN065</v>
      </c>
      <c r="BI84" s="23" t="str">
        <f>IF(INDEX('Shot Map'!$B$6:$V$26,CEILING($A84/5,1),CEILING(BI$2/5,1))=1,INDEX('Serial Reference'!$A$8:$W$8,1,FLOOR(($A84-1)/23,1)+1)&amp;INDEX('Serial Reference'!$A$8:$W$8,1,MOD($A84-1,23)+1)&amp;TEXT(BI$2+FLOOR((BI$2-1)/9,1),"000"),"")</f>
        <v>DN066</v>
      </c>
      <c r="BJ84" s="21" t="str">
        <f>IF(INDEX('Shot Map'!$B$6:$V$26,CEILING($A84/5,1),CEILING(BJ$2/5,1))=1,INDEX('Serial Reference'!$A$8:$W$8,1,FLOOR(($A84-1)/23,1)+1)&amp;INDEX('Serial Reference'!$A$8:$W$8,1,MOD($A84-1,23)+1)&amp;TEXT(BJ$2+FLOOR((BJ$2-1)/9,1),"000"),"")</f>
        <v>DN067</v>
      </c>
      <c r="BK84" s="22" t="str">
        <f>IF(INDEX('Shot Map'!$B$6:$V$26,CEILING($A84/5,1),CEILING(BK$2/5,1))=1,INDEX('Serial Reference'!$A$8:$W$8,1,FLOOR(($A84-1)/23,1)+1)&amp;INDEX('Serial Reference'!$A$8:$W$8,1,MOD($A84-1,23)+1)&amp;TEXT(BK$2+FLOOR((BK$2-1)/9,1),"000"),"")</f>
        <v>DN068</v>
      </c>
      <c r="BL84" s="22" t="str">
        <f>IF(INDEX('Shot Map'!$B$6:$V$26,CEILING($A84/5,1),CEILING(BL$2/5,1))=1,INDEX('Serial Reference'!$A$8:$W$8,1,FLOOR(($A84-1)/23,1)+1)&amp;INDEX('Serial Reference'!$A$8:$W$8,1,MOD($A84-1,23)+1)&amp;TEXT(BL$2+FLOOR((BL$2-1)/9,1),"000"),"")</f>
        <v>DN069</v>
      </c>
      <c r="BM84" s="22" t="str">
        <f>IF(INDEX('Shot Map'!$B$6:$V$26,CEILING($A84/5,1),CEILING(BM$2/5,1))=1,INDEX('Serial Reference'!$A$8:$W$8,1,FLOOR(($A84-1)/23,1)+1)&amp;INDEX('Serial Reference'!$A$8:$W$8,1,MOD($A84-1,23)+1)&amp;TEXT(BM$2+FLOOR((BM$2-1)/9,1),"000"),"")</f>
        <v>DN071</v>
      </c>
      <c r="BN84" s="23" t="str">
        <f>IF(INDEX('Shot Map'!$B$6:$V$26,CEILING($A84/5,1),CEILING(BN$2/5,1))=1,INDEX('Serial Reference'!$A$8:$W$8,1,FLOOR(($A84-1)/23,1)+1)&amp;INDEX('Serial Reference'!$A$8:$W$8,1,MOD($A84-1,23)+1)&amp;TEXT(BN$2+FLOOR((BN$2-1)/9,1),"000"),"")</f>
        <v>DN072</v>
      </c>
      <c r="BO84" s="21" t="str">
        <f>IF(INDEX('Shot Map'!$B$6:$V$26,CEILING($A84/5,1),CEILING(BO$2/5,1))=1,INDEX('Serial Reference'!$A$8:$W$8,1,FLOOR(($A84-1)/23,1)+1)&amp;INDEX('Serial Reference'!$A$8:$W$8,1,MOD($A84-1,23)+1)&amp;TEXT(BO$2+FLOOR((BO$2-1)/9,1),"000"),"")</f>
        <v>DN073</v>
      </c>
      <c r="BP84" s="22" t="str">
        <f>IF(INDEX('Shot Map'!$B$6:$V$26,CEILING($A84/5,1),CEILING(BP$2/5,1))=1,INDEX('Serial Reference'!$A$8:$W$8,1,FLOOR(($A84-1)/23,1)+1)&amp;INDEX('Serial Reference'!$A$8:$W$8,1,MOD($A84-1,23)+1)&amp;TEXT(BP$2+FLOOR((BP$2-1)/9,1),"000"),"")</f>
        <v>DN074</v>
      </c>
      <c r="BQ84" s="22" t="str">
        <f>IF(INDEX('Shot Map'!$B$6:$V$26,CEILING($A84/5,1),CEILING(BQ$2/5,1))=1,INDEX('Serial Reference'!$A$8:$W$8,1,FLOOR(($A84-1)/23,1)+1)&amp;INDEX('Serial Reference'!$A$8:$W$8,1,MOD($A84-1,23)+1)&amp;TEXT(BQ$2+FLOOR((BQ$2-1)/9,1),"000"),"")</f>
        <v>DN075</v>
      </c>
      <c r="BR84" s="22" t="str">
        <f>IF(INDEX('Shot Map'!$B$6:$V$26,CEILING($A84/5,1),CEILING(BR$2/5,1))=1,INDEX('Serial Reference'!$A$8:$W$8,1,FLOOR(($A84-1)/23,1)+1)&amp;INDEX('Serial Reference'!$A$8:$W$8,1,MOD($A84-1,23)+1)&amp;TEXT(BR$2+FLOOR((BR$2-1)/9,1),"000"),"")</f>
        <v>DN076</v>
      </c>
      <c r="BS84" s="23" t="str">
        <f>IF(INDEX('Shot Map'!$B$6:$V$26,CEILING($A84/5,1),CEILING(BS$2/5,1))=1,INDEX('Serial Reference'!$A$8:$W$8,1,FLOOR(($A84-1)/23,1)+1)&amp;INDEX('Serial Reference'!$A$8:$W$8,1,MOD($A84-1,23)+1)&amp;TEXT(BS$2+FLOOR((BS$2-1)/9,1),"000"),"")</f>
        <v>DN077</v>
      </c>
      <c r="BT84" s="21" t="str">
        <f>IF(INDEX('Shot Map'!$B$6:$V$26,CEILING($A84/5,1),CEILING(BT$2/5,1))=1,INDEX('Serial Reference'!$A$8:$W$8,1,FLOOR(($A84-1)/23,1)+1)&amp;INDEX('Serial Reference'!$A$8:$W$8,1,MOD($A84-1,23)+1)&amp;TEXT(BT$2+FLOOR((BT$2-1)/9,1),"000"),"")</f>
        <v>DN078</v>
      </c>
      <c r="BU84" s="22" t="str">
        <f>IF(INDEX('Shot Map'!$B$6:$V$26,CEILING($A84/5,1),CEILING(BU$2/5,1))=1,INDEX('Serial Reference'!$A$8:$W$8,1,FLOOR(($A84-1)/23,1)+1)&amp;INDEX('Serial Reference'!$A$8:$W$8,1,MOD($A84-1,23)+1)&amp;TEXT(BU$2+FLOOR((BU$2-1)/9,1),"000"),"")</f>
        <v>DN079</v>
      </c>
      <c r="BV84" s="22" t="str">
        <f>IF(INDEX('Shot Map'!$B$6:$V$26,CEILING($A84/5,1),CEILING(BV$2/5,1))=1,INDEX('Serial Reference'!$A$8:$W$8,1,FLOOR(($A84-1)/23,1)+1)&amp;INDEX('Serial Reference'!$A$8:$W$8,1,MOD($A84-1,23)+1)&amp;TEXT(BV$2+FLOOR((BV$2-1)/9,1),"000"),"")</f>
        <v>DN081</v>
      </c>
      <c r="BW84" s="22" t="str">
        <f>IF(INDEX('Shot Map'!$B$6:$V$26,CEILING($A84/5,1),CEILING(BW$2/5,1))=1,INDEX('Serial Reference'!$A$8:$W$8,1,FLOOR(($A84-1)/23,1)+1)&amp;INDEX('Serial Reference'!$A$8:$W$8,1,MOD($A84-1,23)+1)&amp;TEXT(BW$2+FLOOR((BW$2-1)/9,1),"000"),"")</f>
        <v>DN082</v>
      </c>
      <c r="BX84" s="23" t="str">
        <f>IF(INDEX('Shot Map'!$B$6:$V$26,CEILING($A84/5,1),CEILING(BX$2/5,1))=1,INDEX('Serial Reference'!$A$8:$W$8,1,FLOOR(($A84-1)/23,1)+1)&amp;INDEX('Serial Reference'!$A$8:$W$8,1,MOD($A84-1,23)+1)&amp;TEXT(BX$2+FLOOR((BX$2-1)/9,1),"000"),"")</f>
        <v>DN083</v>
      </c>
      <c r="BY84" s="21" t="str">
        <f>IF(INDEX('Shot Map'!$B$6:$V$26,CEILING($A84/5,1),CEILING(BY$2/5,1))=1,INDEX('Serial Reference'!$A$8:$W$8,1,FLOOR(($A84-1)/23,1)+1)&amp;INDEX('Serial Reference'!$A$8:$W$8,1,MOD($A84-1,23)+1)&amp;TEXT(BY$2+FLOOR((BY$2-1)/9,1),"000"),"")</f>
        <v>DN084</v>
      </c>
      <c r="BZ84" s="22" t="str">
        <f>IF(INDEX('Shot Map'!$B$6:$V$26,CEILING($A84/5,1),CEILING(BZ$2/5,1))=1,INDEX('Serial Reference'!$A$8:$W$8,1,FLOOR(($A84-1)/23,1)+1)&amp;INDEX('Serial Reference'!$A$8:$W$8,1,MOD($A84-1,23)+1)&amp;TEXT(BZ$2+FLOOR((BZ$2-1)/9,1),"000"),"")</f>
        <v>DN085</v>
      </c>
      <c r="CA84" s="22" t="str">
        <f>IF(INDEX('Shot Map'!$B$6:$V$26,CEILING($A84/5,1),CEILING(CA$2/5,1))=1,INDEX('Serial Reference'!$A$8:$W$8,1,FLOOR(($A84-1)/23,1)+1)&amp;INDEX('Serial Reference'!$A$8:$W$8,1,MOD($A84-1,23)+1)&amp;TEXT(CA$2+FLOOR((CA$2-1)/9,1),"000"),"")</f>
        <v>DN086</v>
      </c>
      <c r="CB84" s="22" t="str">
        <f>IF(INDEX('Shot Map'!$B$6:$V$26,CEILING($A84/5,1),CEILING(CB$2/5,1))=1,INDEX('Serial Reference'!$A$8:$W$8,1,FLOOR(($A84-1)/23,1)+1)&amp;INDEX('Serial Reference'!$A$8:$W$8,1,MOD($A84-1,23)+1)&amp;TEXT(CB$2+FLOOR((CB$2-1)/9,1),"000"),"")</f>
        <v>DN087</v>
      </c>
      <c r="CC84" s="23" t="str">
        <f>IF(INDEX('Shot Map'!$B$6:$V$26,CEILING($A84/5,1),CEILING(CC$2/5,1))=1,INDEX('Serial Reference'!$A$8:$W$8,1,FLOOR(($A84-1)/23,1)+1)&amp;INDEX('Serial Reference'!$A$8:$W$8,1,MOD($A84-1,23)+1)&amp;TEXT(CC$2+FLOOR((CC$2-1)/9,1),"000"),"")</f>
        <v>DN088</v>
      </c>
      <c r="CD84" s="21" t="str">
        <f>IF(INDEX('Shot Map'!$B$6:$V$26,CEILING($A84/5,1),CEILING(CD$2/5,1))=1,INDEX('Serial Reference'!$A$8:$W$8,1,FLOOR(($A84-1)/23,1)+1)&amp;INDEX('Serial Reference'!$A$8:$W$8,1,MOD($A84-1,23)+1)&amp;TEXT(CD$2+FLOOR((CD$2-1)/9,1),"000"),"")</f>
        <v>DN089</v>
      </c>
      <c r="CE84" s="22" t="str">
        <f>IF(INDEX('Shot Map'!$B$6:$V$26,CEILING($A84/5,1),CEILING(CE$2/5,1))=1,INDEX('Serial Reference'!$A$8:$W$8,1,FLOOR(($A84-1)/23,1)+1)&amp;INDEX('Serial Reference'!$A$8:$W$8,1,MOD($A84-1,23)+1)&amp;TEXT(CE$2+FLOOR((CE$2-1)/9,1),"000"),"")</f>
        <v>DN091</v>
      </c>
      <c r="CF84" s="22" t="str">
        <f>IF(INDEX('Shot Map'!$B$6:$V$26,CEILING($A84/5,1),CEILING(CF$2/5,1))=1,INDEX('Serial Reference'!$A$8:$W$8,1,FLOOR(($A84-1)/23,1)+1)&amp;INDEX('Serial Reference'!$A$8:$W$8,1,MOD($A84-1,23)+1)&amp;TEXT(CF$2+FLOOR((CF$2-1)/9,1),"000"),"")</f>
        <v>DN092</v>
      </c>
      <c r="CG84" s="22" t="str">
        <f>IF(INDEX('Shot Map'!$B$6:$V$26,CEILING($A84/5,1),CEILING(CG$2/5,1))=1,INDEX('Serial Reference'!$A$8:$W$8,1,FLOOR(($A84-1)/23,1)+1)&amp;INDEX('Serial Reference'!$A$8:$W$8,1,MOD($A84-1,23)+1)&amp;TEXT(CG$2+FLOOR((CG$2-1)/9,1),"000"),"")</f>
        <v>DN093</v>
      </c>
      <c r="CH84" s="23" t="str">
        <f>IF(INDEX('Shot Map'!$B$6:$V$26,CEILING($A84/5,1),CEILING(CH$2/5,1))=1,INDEX('Serial Reference'!$A$8:$W$8,1,FLOOR(($A84-1)/23,1)+1)&amp;INDEX('Serial Reference'!$A$8:$W$8,1,MOD($A84-1,23)+1)&amp;TEXT(CH$2+FLOOR((CH$2-1)/9,1),"000"),"")</f>
        <v>DN094</v>
      </c>
      <c r="CI84" s="21" t="str">
        <f>IF(INDEX('Shot Map'!$B$6:$V$26,CEILING($A84/5,1),CEILING(CI$2/5,1))=1,INDEX('Serial Reference'!$A$8:$W$8,1,FLOOR(($A84-1)/23,1)+1)&amp;INDEX('Serial Reference'!$A$8:$W$8,1,MOD($A84-1,23)+1)&amp;TEXT(CI$2+FLOOR((CI$2-1)/9,1),"000"),"")</f>
        <v>DN095</v>
      </c>
      <c r="CJ84" s="22" t="str">
        <f>IF(INDEX('Shot Map'!$B$6:$V$26,CEILING($A84/5,1),CEILING(CJ$2/5,1))=1,INDEX('Serial Reference'!$A$8:$W$8,1,FLOOR(($A84-1)/23,1)+1)&amp;INDEX('Serial Reference'!$A$8:$W$8,1,MOD($A84-1,23)+1)&amp;TEXT(CJ$2+FLOOR((CJ$2-1)/9,1),"000"),"")</f>
        <v>DN096</v>
      </c>
      <c r="CK84" s="22" t="str">
        <f>IF(INDEX('Shot Map'!$B$6:$V$26,CEILING($A84/5,1),CEILING(CK$2/5,1))=1,INDEX('Serial Reference'!$A$8:$W$8,1,FLOOR(($A84-1)/23,1)+1)&amp;INDEX('Serial Reference'!$A$8:$W$8,1,MOD($A84-1,23)+1)&amp;TEXT(CK$2+FLOOR((CK$2-1)/9,1),"000"),"")</f>
        <v>DN097</v>
      </c>
      <c r="CL84" s="22" t="str">
        <f>IF(INDEX('Shot Map'!$B$6:$V$26,CEILING($A84/5,1),CEILING(CL$2/5,1))=1,INDEX('Serial Reference'!$A$8:$W$8,1,FLOOR(($A84-1)/23,1)+1)&amp;INDEX('Serial Reference'!$A$8:$W$8,1,MOD($A84-1,23)+1)&amp;TEXT(CL$2+FLOOR((CL$2-1)/9,1),"000"),"")</f>
        <v>DN098</v>
      </c>
      <c r="CM84" s="23" t="str">
        <f>IF(INDEX('Shot Map'!$B$6:$V$26,CEILING($A84/5,1),CEILING(CM$2/5,1))=1,INDEX('Serial Reference'!$A$8:$W$8,1,FLOOR(($A84-1)/23,1)+1)&amp;INDEX('Serial Reference'!$A$8:$W$8,1,MOD($A84-1,23)+1)&amp;TEXT(CM$2+FLOOR((CM$2-1)/9,1),"000"),"")</f>
        <v>DN099</v>
      </c>
      <c r="CN84" s="21" t="str">
        <f>IF(INDEX('Shot Map'!$B$6:$V$26,CEILING($A84/5,1),CEILING(CN$2/5,1))=1,INDEX('Serial Reference'!$A$8:$W$8,1,FLOOR(($A84-1)/23,1)+1)&amp;INDEX('Serial Reference'!$A$8:$W$8,1,MOD($A84-1,23)+1)&amp;TEXT(CN$2+FLOOR((CN$2-1)/9,1),"000"),"")</f>
        <v>DN101</v>
      </c>
      <c r="CO84" s="22" t="str">
        <f>IF(INDEX('Shot Map'!$B$6:$V$26,CEILING($A84/5,1),CEILING(CO$2/5,1))=1,INDEX('Serial Reference'!$A$8:$W$8,1,FLOOR(($A84-1)/23,1)+1)&amp;INDEX('Serial Reference'!$A$8:$W$8,1,MOD($A84-1,23)+1)&amp;TEXT(CO$2+FLOOR((CO$2-1)/9,1),"000"),"")</f>
        <v>DN102</v>
      </c>
      <c r="CP84" s="22" t="str">
        <f>IF(INDEX('Shot Map'!$B$6:$V$26,CEILING($A84/5,1),CEILING(CP$2/5,1))=1,INDEX('Serial Reference'!$A$8:$W$8,1,FLOOR(($A84-1)/23,1)+1)&amp;INDEX('Serial Reference'!$A$8:$W$8,1,MOD($A84-1,23)+1)&amp;TEXT(CP$2+FLOOR((CP$2-1)/9,1),"000"),"")</f>
        <v>DN103</v>
      </c>
      <c r="CQ84" s="22" t="str">
        <f>IF(INDEX('Shot Map'!$B$6:$V$26,CEILING($A84/5,1),CEILING(CQ$2/5,1))=1,INDEX('Serial Reference'!$A$8:$W$8,1,FLOOR(($A84-1)/23,1)+1)&amp;INDEX('Serial Reference'!$A$8:$W$8,1,MOD($A84-1,23)+1)&amp;TEXT(CQ$2+FLOOR((CQ$2-1)/9,1),"000"),"")</f>
        <v>DN104</v>
      </c>
      <c r="CR84" s="23" t="str">
        <f>IF(INDEX('Shot Map'!$B$6:$V$26,CEILING($A84/5,1),CEILING(CR$2/5,1))=1,INDEX('Serial Reference'!$A$8:$W$8,1,FLOOR(($A84-1)/23,1)+1)&amp;INDEX('Serial Reference'!$A$8:$W$8,1,MOD($A84-1,23)+1)&amp;TEXT(CR$2+FLOOR((CR$2-1)/9,1),"000"),"")</f>
        <v>DN105</v>
      </c>
      <c r="CS84" s="21" t="str">
        <f>IF(INDEX('Shot Map'!$B$6:$V$26,CEILING($A84/5,1),CEILING(CS$2/5,1))=1,INDEX('Serial Reference'!$A$8:$W$8,1,FLOOR(($A84-1)/23,1)+1)&amp;INDEX('Serial Reference'!$A$8:$W$8,1,MOD($A84-1,23)+1)&amp;TEXT(CS$2+FLOOR((CS$2-1)/9,1),"000"),"")</f>
        <v/>
      </c>
      <c r="CT84" s="22" t="str">
        <f>IF(INDEX('Shot Map'!$B$6:$V$26,CEILING($A84/5,1),CEILING(CT$2/5,1))=1,INDEX('Serial Reference'!$A$8:$W$8,1,FLOOR(($A84-1)/23,1)+1)&amp;INDEX('Serial Reference'!$A$8:$W$8,1,MOD($A84-1,23)+1)&amp;TEXT(CT$2+FLOOR((CT$2-1)/9,1),"000"),"")</f>
        <v/>
      </c>
      <c r="CU84" s="22" t="str">
        <f>IF(INDEX('Shot Map'!$B$6:$V$26,CEILING($A84/5,1),CEILING(CU$2/5,1))=1,INDEX('Serial Reference'!$A$8:$W$8,1,FLOOR(($A84-1)/23,1)+1)&amp;INDEX('Serial Reference'!$A$8:$W$8,1,MOD($A84-1,23)+1)&amp;TEXT(CU$2+FLOOR((CU$2-1)/9,1),"000"),"")</f>
        <v/>
      </c>
      <c r="CV84" s="22" t="str">
        <f>IF(INDEX('Shot Map'!$B$6:$V$26,CEILING($A84/5,1),CEILING(CV$2/5,1))=1,INDEX('Serial Reference'!$A$8:$W$8,1,FLOOR(($A84-1)/23,1)+1)&amp;INDEX('Serial Reference'!$A$8:$W$8,1,MOD($A84-1,23)+1)&amp;TEXT(CV$2+FLOOR((CV$2-1)/9,1),"000"),"")</f>
        <v/>
      </c>
      <c r="CW84" s="23" t="str">
        <f>IF(INDEX('Shot Map'!$B$6:$V$26,CEILING($A84/5,1),CEILING(CW$2/5,1))=1,INDEX('Serial Reference'!$A$8:$W$8,1,FLOOR(($A84-1)/23,1)+1)&amp;INDEX('Serial Reference'!$A$8:$W$8,1,MOD($A84-1,23)+1)&amp;TEXT(CW$2+FLOOR((CW$2-1)/9,1),"000"),"")</f>
        <v/>
      </c>
      <c r="CX84" s="21" t="str">
        <f>IF(INDEX('Shot Map'!$B$6:$V$26,CEILING($A84/5,1),CEILING(CX$2/5,1))=1,INDEX('Serial Reference'!$A$8:$W$8,1,FLOOR(($A84-1)/23,1)+1)&amp;INDEX('Serial Reference'!$A$8:$W$8,1,MOD($A84-1,23)+1)&amp;TEXT(CX$2+FLOOR((CX$2-1)/9,1),"000"),"")</f>
        <v/>
      </c>
      <c r="CY84" s="22" t="str">
        <f>IF(INDEX('Shot Map'!$B$6:$V$26,CEILING($A84/5,1),CEILING(CY$2/5,1))=1,INDEX('Serial Reference'!$A$8:$W$8,1,FLOOR(($A84-1)/23,1)+1)&amp;INDEX('Serial Reference'!$A$8:$W$8,1,MOD($A84-1,23)+1)&amp;TEXT(CY$2+FLOOR((CY$2-1)/9,1),"000"),"")</f>
        <v/>
      </c>
      <c r="CZ84" s="22" t="str">
        <f>IF(INDEX('Shot Map'!$B$6:$V$26,CEILING($A84/5,1),CEILING(CZ$2/5,1))=1,INDEX('Serial Reference'!$A$8:$W$8,1,FLOOR(($A84-1)/23,1)+1)&amp;INDEX('Serial Reference'!$A$8:$W$8,1,MOD($A84-1,23)+1)&amp;TEXT(CZ$2+FLOOR((CZ$2-1)/9,1),"000"),"")</f>
        <v/>
      </c>
      <c r="DA84" s="22" t="str">
        <f>IF(INDEX('Shot Map'!$B$6:$V$26,CEILING($A84/5,1),CEILING(DA$2/5,1))=1,INDEX('Serial Reference'!$A$8:$W$8,1,FLOOR(($A84-1)/23,1)+1)&amp;INDEX('Serial Reference'!$A$8:$W$8,1,MOD($A84-1,23)+1)&amp;TEXT(DA$2+FLOOR((DA$2-1)/9,1),"000"),"")</f>
        <v/>
      </c>
      <c r="DB84" s="23" t="str">
        <f>IF(INDEX('Shot Map'!$B$6:$V$26,CEILING($A84/5,1),CEILING(DB$2/5,1))=1,INDEX('Serial Reference'!$A$8:$W$8,1,FLOOR(($A84-1)/23,1)+1)&amp;INDEX('Serial Reference'!$A$8:$W$8,1,MOD($A84-1,23)+1)&amp;TEXT(DB$2+FLOOR((DB$2-1)/9,1),"000"),"")</f>
        <v/>
      </c>
    </row>
    <row r="85" spans="1:106" ht="12.75" customHeight="1" x14ac:dyDescent="0.25">
      <c r="A85" s="17">
        <v>83</v>
      </c>
      <c r="B85" s="21" t="str">
        <f>IF(INDEX('Shot Map'!$B$6:$V$26,CEILING($A85/5,1),CEILING(B$2/5,1))=1,INDEX('Serial Reference'!$A$8:$W$8,1,FLOOR(($A85-1)/23,1)+1)&amp;INDEX('Serial Reference'!$A$8:$W$8,1,MOD($A85-1,23)+1)&amp;TEXT(B$2+FLOOR((B$2-1)/9,1),"000"),"")</f>
        <v/>
      </c>
      <c r="C85" s="22" t="str">
        <f>IF(INDEX('Shot Map'!$B$6:$V$26,CEILING($A85/5,1),CEILING(C$2/5,1))=1,INDEX('Serial Reference'!$A$8:$W$8,1,FLOOR(($A85-1)/23,1)+1)&amp;INDEX('Serial Reference'!$A$8:$W$8,1,MOD($A85-1,23)+1)&amp;TEXT(C$2+FLOOR((C$2-1)/9,1),"000"),"")</f>
        <v/>
      </c>
      <c r="D85" s="22" t="str">
        <f>IF(INDEX('Shot Map'!$B$6:$V$26,CEILING($A85/5,1),CEILING(D$2/5,1))=1,INDEX('Serial Reference'!$A$8:$W$8,1,FLOOR(($A85-1)/23,1)+1)&amp;INDEX('Serial Reference'!$A$8:$W$8,1,MOD($A85-1,23)+1)&amp;TEXT(D$2+FLOOR((D$2-1)/9,1),"000"),"")</f>
        <v/>
      </c>
      <c r="E85" s="22" t="str">
        <f>IF(INDEX('Shot Map'!$B$6:$V$26,CEILING($A85/5,1),CEILING(E$2/5,1))=1,INDEX('Serial Reference'!$A$8:$W$8,1,FLOOR(($A85-1)/23,1)+1)&amp;INDEX('Serial Reference'!$A$8:$W$8,1,MOD($A85-1,23)+1)&amp;TEXT(E$2+FLOOR((E$2-1)/9,1),"000"),"")</f>
        <v/>
      </c>
      <c r="F85" s="23" t="str">
        <f>IF(INDEX('Shot Map'!$B$6:$V$26,CEILING($A85/5,1),CEILING(F$2/5,1))=1,INDEX('Serial Reference'!$A$8:$W$8,1,FLOOR(($A85-1)/23,1)+1)&amp;INDEX('Serial Reference'!$A$8:$W$8,1,MOD($A85-1,23)+1)&amp;TEXT(F$2+FLOOR((F$2-1)/9,1),"000"),"")</f>
        <v/>
      </c>
      <c r="G85" s="21" t="str">
        <f>IF(INDEX('Shot Map'!$B$6:$V$26,CEILING($A85/5,1),CEILING(G$2/5,1))=1,INDEX('Serial Reference'!$A$8:$W$8,1,FLOOR(($A85-1)/23,1)+1)&amp;INDEX('Serial Reference'!$A$8:$W$8,1,MOD($A85-1,23)+1)&amp;TEXT(G$2+FLOOR((G$2-1)/9,1),"000"),"")</f>
        <v/>
      </c>
      <c r="H85" s="22" t="str">
        <f>IF(INDEX('Shot Map'!$B$6:$V$26,CEILING($A85/5,1),CEILING(H$2/5,1))=1,INDEX('Serial Reference'!$A$8:$W$8,1,FLOOR(($A85-1)/23,1)+1)&amp;INDEX('Serial Reference'!$A$8:$W$8,1,MOD($A85-1,23)+1)&amp;TEXT(H$2+FLOOR((H$2-1)/9,1),"000"),"")</f>
        <v/>
      </c>
      <c r="I85" s="22" t="str">
        <f>IF(INDEX('Shot Map'!$B$6:$V$26,CEILING($A85/5,1),CEILING(I$2/5,1))=1,INDEX('Serial Reference'!$A$8:$W$8,1,FLOOR(($A85-1)/23,1)+1)&amp;INDEX('Serial Reference'!$A$8:$W$8,1,MOD($A85-1,23)+1)&amp;TEXT(I$2+FLOOR((I$2-1)/9,1),"000"),"")</f>
        <v/>
      </c>
      <c r="J85" s="22" t="str">
        <f>IF(INDEX('Shot Map'!$B$6:$V$26,CEILING($A85/5,1),CEILING(J$2/5,1))=1,INDEX('Serial Reference'!$A$8:$W$8,1,FLOOR(($A85-1)/23,1)+1)&amp;INDEX('Serial Reference'!$A$8:$W$8,1,MOD($A85-1,23)+1)&amp;TEXT(J$2+FLOOR((J$2-1)/9,1),"000"),"")</f>
        <v/>
      </c>
      <c r="K85" s="23" t="str">
        <f>IF(INDEX('Shot Map'!$B$6:$V$26,CEILING($A85/5,1),CEILING(K$2/5,1))=1,INDEX('Serial Reference'!$A$8:$W$8,1,FLOOR(($A85-1)/23,1)+1)&amp;INDEX('Serial Reference'!$A$8:$W$8,1,MOD($A85-1,23)+1)&amp;TEXT(K$2+FLOOR((K$2-1)/9,1),"000"),"")</f>
        <v/>
      </c>
      <c r="L85" s="21" t="str">
        <f>IF(INDEX('Shot Map'!$B$6:$V$26,CEILING($A85/5,1),CEILING(L$2/5,1))=1,INDEX('Serial Reference'!$A$8:$W$8,1,FLOOR(($A85-1)/23,1)+1)&amp;INDEX('Serial Reference'!$A$8:$W$8,1,MOD($A85-1,23)+1)&amp;TEXT(L$2+FLOOR((L$2-1)/9,1),"000"),"")</f>
        <v>DP012</v>
      </c>
      <c r="M85" s="22" t="str">
        <f>IF(INDEX('Shot Map'!$B$6:$V$26,CEILING($A85/5,1),CEILING(M$2/5,1))=1,INDEX('Serial Reference'!$A$8:$W$8,1,FLOOR(($A85-1)/23,1)+1)&amp;INDEX('Serial Reference'!$A$8:$W$8,1,MOD($A85-1,23)+1)&amp;TEXT(M$2+FLOOR((M$2-1)/9,1),"000"),"")</f>
        <v>DP013</v>
      </c>
      <c r="N85" s="22" t="str">
        <f>IF(INDEX('Shot Map'!$B$6:$V$26,CEILING($A85/5,1),CEILING(N$2/5,1))=1,INDEX('Serial Reference'!$A$8:$W$8,1,FLOOR(($A85-1)/23,1)+1)&amp;INDEX('Serial Reference'!$A$8:$W$8,1,MOD($A85-1,23)+1)&amp;TEXT(N$2+FLOOR((N$2-1)/9,1),"000"),"")</f>
        <v>DP014</v>
      </c>
      <c r="O85" s="22" t="str">
        <f>IF(INDEX('Shot Map'!$B$6:$V$26,CEILING($A85/5,1),CEILING(O$2/5,1))=1,INDEX('Serial Reference'!$A$8:$W$8,1,FLOOR(($A85-1)/23,1)+1)&amp;INDEX('Serial Reference'!$A$8:$W$8,1,MOD($A85-1,23)+1)&amp;TEXT(O$2+FLOOR((O$2-1)/9,1),"000"),"")</f>
        <v>DP015</v>
      </c>
      <c r="P85" s="23" t="str">
        <f>IF(INDEX('Shot Map'!$B$6:$V$26,CEILING($A85/5,1),CEILING(P$2/5,1))=1,INDEX('Serial Reference'!$A$8:$W$8,1,FLOOR(($A85-1)/23,1)+1)&amp;INDEX('Serial Reference'!$A$8:$W$8,1,MOD($A85-1,23)+1)&amp;TEXT(P$2+FLOOR((P$2-1)/9,1),"000"),"")</f>
        <v>DP016</v>
      </c>
      <c r="Q85" s="21" t="str">
        <f>IF(INDEX('Shot Map'!$B$6:$V$26,CEILING($A85/5,1),CEILING(Q$2/5,1))=1,INDEX('Serial Reference'!$A$8:$W$8,1,FLOOR(($A85-1)/23,1)+1)&amp;INDEX('Serial Reference'!$A$8:$W$8,1,MOD($A85-1,23)+1)&amp;TEXT(Q$2+FLOOR((Q$2-1)/9,1),"000"),"")</f>
        <v>DP017</v>
      </c>
      <c r="R85" s="22" t="str">
        <f>IF(INDEX('Shot Map'!$B$6:$V$26,CEILING($A85/5,1),CEILING(R$2/5,1))=1,INDEX('Serial Reference'!$A$8:$W$8,1,FLOOR(($A85-1)/23,1)+1)&amp;INDEX('Serial Reference'!$A$8:$W$8,1,MOD($A85-1,23)+1)&amp;TEXT(R$2+FLOOR((R$2-1)/9,1),"000"),"")</f>
        <v>DP018</v>
      </c>
      <c r="S85" s="22" t="str">
        <f>IF(INDEX('Shot Map'!$B$6:$V$26,CEILING($A85/5,1),CEILING(S$2/5,1))=1,INDEX('Serial Reference'!$A$8:$W$8,1,FLOOR(($A85-1)/23,1)+1)&amp;INDEX('Serial Reference'!$A$8:$W$8,1,MOD($A85-1,23)+1)&amp;TEXT(S$2+FLOOR((S$2-1)/9,1),"000"),"")</f>
        <v>DP019</v>
      </c>
      <c r="T85" s="22" t="str">
        <f>IF(INDEX('Shot Map'!$B$6:$V$26,CEILING($A85/5,1),CEILING(T$2/5,1))=1,INDEX('Serial Reference'!$A$8:$W$8,1,FLOOR(($A85-1)/23,1)+1)&amp;INDEX('Serial Reference'!$A$8:$W$8,1,MOD($A85-1,23)+1)&amp;TEXT(T$2+FLOOR((T$2-1)/9,1),"000"),"")</f>
        <v>DP021</v>
      </c>
      <c r="U85" s="23" t="str">
        <f>IF(INDEX('Shot Map'!$B$6:$V$26,CEILING($A85/5,1),CEILING(U$2/5,1))=1,INDEX('Serial Reference'!$A$8:$W$8,1,FLOOR(($A85-1)/23,1)+1)&amp;INDEX('Serial Reference'!$A$8:$W$8,1,MOD($A85-1,23)+1)&amp;TEXT(U$2+FLOOR((U$2-1)/9,1),"000"),"")</f>
        <v>DP022</v>
      </c>
      <c r="V85" s="21" t="str">
        <f>IF(INDEX('Shot Map'!$B$6:$V$26,CEILING($A85/5,1),CEILING(V$2/5,1))=1,INDEX('Serial Reference'!$A$8:$W$8,1,FLOOR(($A85-1)/23,1)+1)&amp;INDEX('Serial Reference'!$A$8:$W$8,1,MOD($A85-1,23)+1)&amp;TEXT(V$2+FLOOR((V$2-1)/9,1),"000"),"")</f>
        <v>DP023</v>
      </c>
      <c r="W85" s="22" t="str">
        <f>IF(INDEX('Shot Map'!$B$6:$V$26,CEILING($A85/5,1),CEILING(W$2/5,1))=1,INDEX('Serial Reference'!$A$8:$W$8,1,FLOOR(($A85-1)/23,1)+1)&amp;INDEX('Serial Reference'!$A$8:$W$8,1,MOD($A85-1,23)+1)&amp;TEXT(W$2+FLOOR((W$2-1)/9,1),"000"),"")</f>
        <v>DP024</v>
      </c>
      <c r="X85" s="22" t="str">
        <f>IF(INDEX('Shot Map'!$B$6:$V$26,CEILING($A85/5,1),CEILING(X$2/5,1))=1,INDEX('Serial Reference'!$A$8:$W$8,1,FLOOR(($A85-1)/23,1)+1)&amp;INDEX('Serial Reference'!$A$8:$W$8,1,MOD($A85-1,23)+1)&amp;TEXT(X$2+FLOOR((X$2-1)/9,1),"000"),"")</f>
        <v>DP025</v>
      </c>
      <c r="Y85" s="22" t="str">
        <f>IF(INDEX('Shot Map'!$B$6:$V$26,CEILING($A85/5,1),CEILING(Y$2/5,1))=1,INDEX('Serial Reference'!$A$8:$W$8,1,FLOOR(($A85-1)/23,1)+1)&amp;INDEX('Serial Reference'!$A$8:$W$8,1,MOD($A85-1,23)+1)&amp;TEXT(Y$2+FLOOR((Y$2-1)/9,1),"000"),"")</f>
        <v>DP026</v>
      </c>
      <c r="Z85" s="23" t="str">
        <f>IF(INDEX('Shot Map'!$B$6:$V$26,CEILING($A85/5,1),CEILING(Z$2/5,1))=1,INDEX('Serial Reference'!$A$8:$W$8,1,FLOOR(($A85-1)/23,1)+1)&amp;INDEX('Serial Reference'!$A$8:$W$8,1,MOD($A85-1,23)+1)&amp;TEXT(Z$2+FLOOR((Z$2-1)/9,1),"000"),"")</f>
        <v>DP027</v>
      </c>
      <c r="AA85" s="21" t="str">
        <f>IF(INDEX('Shot Map'!$B$6:$V$26,CEILING($A85/5,1),CEILING(AA$2/5,1))=1,INDEX('Serial Reference'!$A$8:$W$8,1,FLOOR(($A85-1)/23,1)+1)&amp;INDEX('Serial Reference'!$A$8:$W$8,1,MOD($A85-1,23)+1)&amp;TEXT(AA$2+FLOOR((AA$2-1)/9,1),"000"),"")</f>
        <v>DP028</v>
      </c>
      <c r="AB85" s="22" t="str">
        <f>IF(INDEX('Shot Map'!$B$6:$V$26,CEILING($A85/5,1),CEILING(AB$2/5,1))=1,INDEX('Serial Reference'!$A$8:$W$8,1,FLOOR(($A85-1)/23,1)+1)&amp;INDEX('Serial Reference'!$A$8:$W$8,1,MOD($A85-1,23)+1)&amp;TEXT(AB$2+FLOOR((AB$2-1)/9,1),"000"),"")</f>
        <v>DP029</v>
      </c>
      <c r="AC85" s="22" t="str">
        <f>IF(INDEX('Shot Map'!$B$6:$V$26,CEILING($A85/5,1),CEILING(AC$2/5,1))=1,INDEX('Serial Reference'!$A$8:$W$8,1,FLOOR(($A85-1)/23,1)+1)&amp;INDEX('Serial Reference'!$A$8:$W$8,1,MOD($A85-1,23)+1)&amp;TEXT(AC$2+FLOOR((AC$2-1)/9,1),"000"),"")</f>
        <v>DP031</v>
      </c>
      <c r="AD85" s="22" t="str">
        <f>IF(INDEX('Shot Map'!$B$6:$V$26,CEILING($A85/5,1),CEILING(AD$2/5,1))=1,INDEX('Serial Reference'!$A$8:$W$8,1,FLOOR(($A85-1)/23,1)+1)&amp;INDEX('Serial Reference'!$A$8:$W$8,1,MOD($A85-1,23)+1)&amp;TEXT(AD$2+FLOOR((AD$2-1)/9,1),"000"),"")</f>
        <v>DP032</v>
      </c>
      <c r="AE85" s="23" t="str">
        <f>IF(INDEX('Shot Map'!$B$6:$V$26,CEILING($A85/5,1),CEILING(AE$2/5,1))=1,INDEX('Serial Reference'!$A$8:$W$8,1,FLOOR(($A85-1)/23,1)+1)&amp;INDEX('Serial Reference'!$A$8:$W$8,1,MOD($A85-1,23)+1)&amp;TEXT(AE$2+FLOOR((AE$2-1)/9,1),"000"),"")</f>
        <v>DP033</v>
      </c>
      <c r="AF85" s="21" t="str">
        <f>IF(INDEX('Shot Map'!$B$6:$V$26,CEILING($A85/5,1),CEILING(AF$2/5,1))=1,INDEX('Serial Reference'!$A$8:$W$8,1,FLOOR(($A85-1)/23,1)+1)&amp;INDEX('Serial Reference'!$A$8:$W$8,1,MOD($A85-1,23)+1)&amp;TEXT(AF$2+FLOOR((AF$2-1)/9,1),"000"),"")</f>
        <v>DP034</v>
      </c>
      <c r="AG85" s="22" t="str">
        <f>IF(INDEX('Shot Map'!$B$6:$V$26,CEILING($A85/5,1),CEILING(AG$2/5,1))=1,INDEX('Serial Reference'!$A$8:$W$8,1,FLOOR(($A85-1)/23,1)+1)&amp;INDEX('Serial Reference'!$A$8:$W$8,1,MOD($A85-1,23)+1)&amp;TEXT(AG$2+FLOOR((AG$2-1)/9,1),"000"),"")</f>
        <v>DP035</v>
      </c>
      <c r="AH85" s="22" t="str">
        <f>IF(INDEX('Shot Map'!$B$6:$V$26,CEILING($A85/5,1),CEILING(AH$2/5,1))=1,INDEX('Serial Reference'!$A$8:$W$8,1,FLOOR(($A85-1)/23,1)+1)&amp;INDEX('Serial Reference'!$A$8:$W$8,1,MOD($A85-1,23)+1)&amp;TEXT(AH$2+FLOOR((AH$2-1)/9,1),"000"),"")</f>
        <v>DP036</v>
      </c>
      <c r="AI85" s="22" t="str">
        <f>IF(INDEX('Shot Map'!$B$6:$V$26,CEILING($A85/5,1),CEILING(AI$2/5,1))=1,INDEX('Serial Reference'!$A$8:$W$8,1,FLOOR(($A85-1)/23,1)+1)&amp;INDEX('Serial Reference'!$A$8:$W$8,1,MOD($A85-1,23)+1)&amp;TEXT(AI$2+FLOOR((AI$2-1)/9,1),"000"),"")</f>
        <v>DP037</v>
      </c>
      <c r="AJ85" s="23" t="str">
        <f>IF(INDEX('Shot Map'!$B$6:$V$26,CEILING($A85/5,1),CEILING(AJ$2/5,1))=1,INDEX('Serial Reference'!$A$8:$W$8,1,FLOOR(($A85-1)/23,1)+1)&amp;INDEX('Serial Reference'!$A$8:$W$8,1,MOD($A85-1,23)+1)&amp;TEXT(AJ$2+FLOOR((AJ$2-1)/9,1),"000"),"")</f>
        <v>DP038</v>
      </c>
      <c r="AK85" s="21" t="str">
        <f>IF(INDEX('Shot Map'!$B$6:$V$26,CEILING($A85/5,1),CEILING(AK$2/5,1))=1,INDEX('Serial Reference'!$A$8:$W$8,1,FLOOR(($A85-1)/23,1)+1)&amp;INDEX('Serial Reference'!$A$8:$W$8,1,MOD($A85-1,23)+1)&amp;TEXT(AK$2+FLOOR((AK$2-1)/9,1),"000"),"")</f>
        <v>DP039</v>
      </c>
      <c r="AL85" s="22" t="str">
        <f>IF(INDEX('Shot Map'!$B$6:$V$26,CEILING($A85/5,1),CEILING(AL$2/5,1))=1,INDEX('Serial Reference'!$A$8:$W$8,1,FLOOR(($A85-1)/23,1)+1)&amp;INDEX('Serial Reference'!$A$8:$W$8,1,MOD($A85-1,23)+1)&amp;TEXT(AL$2+FLOOR((AL$2-1)/9,1),"000"),"")</f>
        <v>DP041</v>
      </c>
      <c r="AM85" s="22" t="str">
        <f>IF(INDEX('Shot Map'!$B$6:$V$26,CEILING($A85/5,1),CEILING(AM$2/5,1))=1,INDEX('Serial Reference'!$A$8:$W$8,1,FLOOR(($A85-1)/23,1)+1)&amp;INDEX('Serial Reference'!$A$8:$W$8,1,MOD($A85-1,23)+1)&amp;TEXT(AM$2+FLOOR((AM$2-1)/9,1),"000"),"")</f>
        <v>DP042</v>
      </c>
      <c r="AN85" s="22" t="str">
        <f>IF(INDEX('Shot Map'!$B$6:$V$26,CEILING($A85/5,1),CEILING(AN$2/5,1))=1,INDEX('Serial Reference'!$A$8:$W$8,1,FLOOR(($A85-1)/23,1)+1)&amp;INDEX('Serial Reference'!$A$8:$W$8,1,MOD($A85-1,23)+1)&amp;TEXT(AN$2+FLOOR((AN$2-1)/9,1),"000"),"")</f>
        <v>DP043</v>
      </c>
      <c r="AO85" s="23" t="str">
        <f>IF(INDEX('Shot Map'!$B$6:$V$26,CEILING($A85/5,1),CEILING(AO$2/5,1))=1,INDEX('Serial Reference'!$A$8:$W$8,1,FLOOR(($A85-1)/23,1)+1)&amp;INDEX('Serial Reference'!$A$8:$W$8,1,MOD($A85-1,23)+1)&amp;TEXT(AO$2+FLOOR((AO$2-1)/9,1),"000"),"")</f>
        <v>DP044</v>
      </c>
      <c r="AP85" s="21" t="str">
        <f>IF(INDEX('Shot Map'!$B$6:$V$26,CEILING($A85/5,1),CEILING(AP$2/5,1))=1,INDEX('Serial Reference'!$A$8:$W$8,1,FLOOR(($A85-1)/23,1)+1)&amp;INDEX('Serial Reference'!$A$8:$W$8,1,MOD($A85-1,23)+1)&amp;TEXT(AP$2+FLOOR((AP$2-1)/9,1),"000"),"")</f>
        <v>DP045</v>
      </c>
      <c r="AQ85" s="22" t="str">
        <f>IF(INDEX('Shot Map'!$B$6:$V$26,CEILING($A85/5,1),CEILING(AQ$2/5,1))=1,INDEX('Serial Reference'!$A$8:$W$8,1,FLOOR(($A85-1)/23,1)+1)&amp;INDEX('Serial Reference'!$A$8:$W$8,1,MOD($A85-1,23)+1)&amp;TEXT(AQ$2+FLOOR((AQ$2-1)/9,1),"000"),"")</f>
        <v>DP046</v>
      </c>
      <c r="AR85" s="22" t="str">
        <f>IF(INDEX('Shot Map'!$B$6:$V$26,CEILING($A85/5,1),CEILING(AR$2/5,1))=1,INDEX('Serial Reference'!$A$8:$W$8,1,FLOOR(($A85-1)/23,1)+1)&amp;INDEX('Serial Reference'!$A$8:$W$8,1,MOD($A85-1,23)+1)&amp;TEXT(AR$2+FLOOR((AR$2-1)/9,1),"000"),"")</f>
        <v>DP047</v>
      </c>
      <c r="AS85" s="22" t="str">
        <f>IF(INDEX('Shot Map'!$B$6:$V$26,CEILING($A85/5,1),CEILING(AS$2/5,1))=1,INDEX('Serial Reference'!$A$8:$W$8,1,FLOOR(($A85-1)/23,1)+1)&amp;INDEX('Serial Reference'!$A$8:$W$8,1,MOD($A85-1,23)+1)&amp;TEXT(AS$2+FLOOR((AS$2-1)/9,1),"000"),"")</f>
        <v>DP048</v>
      </c>
      <c r="AT85" s="23" t="str">
        <f>IF(INDEX('Shot Map'!$B$6:$V$26,CEILING($A85/5,1),CEILING(AT$2/5,1))=1,INDEX('Serial Reference'!$A$8:$W$8,1,FLOOR(($A85-1)/23,1)+1)&amp;INDEX('Serial Reference'!$A$8:$W$8,1,MOD($A85-1,23)+1)&amp;TEXT(AT$2+FLOOR((AT$2-1)/9,1),"000"),"")</f>
        <v>DP049</v>
      </c>
      <c r="AU85" s="21" t="str">
        <f>IF(INDEX('Shot Map'!$B$6:$V$26,CEILING($A85/5,1),CEILING(AU$2/5,1))=1,INDEX('Serial Reference'!$A$8:$W$8,1,FLOOR(($A85-1)/23,1)+1)&amp;INDEX('Serial Reference'!$A$8:$W$8,1,MOD($A85-1,23)+1)&amp;TEXT(AU$2+FLOOR((AU$2-1)/9,1),"000"),"")</f>
        <v>DP051</v>
      </c>
      <c r="AV85" s="22" t="str">
        <f>IF(INDEX('Shot Map'!$B$6:$V$26,CEILING($A85/5,1),CEILING(AV$2/5,1))=1,INDEX('Serial Reference'!$A$8:$W$8,1,FLOOR(($A85-1)/23,1)+1)&amp;INDEX('Serial Reference'!$A$8:$W$8,1,MOD($A85-1,23)+1)&amp;TEXT(AV$2+FLOOR((AV$2-1)/9,1),"000"),"")</f>
        <v>DP052</v>
      </c>
      <c r="AW85" s="22" t="str">
        <f>IF(INDEX('Shot Map'!$B$6:$V$26,CEILING($A85/5,1),CEILING(AW$2/5,1))=1,INDEX('Serial Reference'!$A$8:$W$8,1,FLOOR(($A85-1)/23,1)+1)&amp;INDEX('Serial Reference'!$A$8:$W$8,1,MOD($A85-1,23)+1)&amp;TEXT(AW$2+FLOOR((AW$2-1)/9,1),"000"),"")</f>
        <v>DP053</v>
      </c>
      <c r="AX85" s="22" t="str">
        <f>IF(INDEX('Shot Map'!$B$6:$V$26,CEILING($A85/5,1),CEILING(AX$2/5,1))=1,INDEX('Serial Reference'!$A$8:$W$8,1,FLOOR(($A85-1)/23,1)+1)&amp;INDEX('Serial Reference'!$A$8:$W$8,1,MOD($A85-1,23)+1)&amp;TEXT(AX$2+FLOOR((AX$2-1)/9,1),"000"),"")</f>
        <v>DP054</v>
      </c>
      <c r="AY85" s="23" t="str">
        <f>IF(INDEX('Shot Map'!$B$6:$V$26,CEILING($A85/5,1),CEILING(AY$2/5,1))=1,INDEX('Serial Reference'!$A$8:$W$8,1,FLOOR(($A85-1)/23,1)+1)&amp;INDEX('Serial Reference'!$A$8:$W$8,1,MOD($A85-1,23)+1)&amp;TEXT(AY$2+FLOOR((AY$2-1)/9,1),"000"),"")</f>
        <v>DP055</v>
      </c>
      <c r="AZ85" s="21" t="str">
        <f>IF(INDEX('Shot Map'!$B$6:$V$26,CEILING($A85/5,1),CEILING(AZ$2/5,1))=1,INDEX('Serial Reference'!$A$8:$W$8,1,FLOOR(($A85-1)/23,1)+1)&amp;INDEX('Serial Reference'!$A$8:$W$8,1,MOD($A85-1,23)+1)&amp;TEXT(AZ$2+FLOOR((AZ$2-1)/9,1),"000"),"")</f>
        <v>DP056</v>
      </c>
      <c r="BA85" s="22" t="str">
        <f>IF(INDEX('Shot Map'!$B$6:$V$26,CEILING($A85/5,1),CEILING(BA$2/5,1))=1,INDEX('Serial Reference'!$A$8:$W$8,1,FLOOR(($A85-1)/23,1)+1)&amp;INDEX('Serial Reference'!$A$8:$W$8,1,MOD($A85-1,23)+1)&amp;TEXT(BA$2+FLOOR((BA$2-1)/9,1),"000"),"")</f>
        <v>DP057</v>
      </c>
      <c r="BB85" s="22" t="str">
        <f>IF(INDEX('Shot Map'!$B$6:$V$26,CEILING($A85/5,1),CEILING(BB$2/5,1))=1,INDEX('Serial Reference'!$A$8:$W$8,1,FLOOR(($A85-1)/23,1)+1)&amp;INDEX('Serial Reference'!$A$8:$W$8,1,MOD($A85-1,23)+1)&amp;TEXT(BB$2+FLOOR((BB$2-1)/9,1),"000"),"")</f>
        <v>DP058</v>
      </c>
      <c r="BC85" s="22" t="str">
        <f>IF(INDEX('Shot Map'!$B$6:$V$26,CEILING($A85/5,1),CEILING(BC$2/5,1))=1,INDEX('Serial Reference'!$A$8:$W$8,1,FLOOR(($A85-1)/23,1)+1)&amp;INDEX('Serial Reference'!$A$8:$W$8,1,MOD($A85-1,23)+1)&amp;TEXT(BC$2+FLOOR((BC$2-1)/9,1),"000"),"")</f>
        <v>DP059</v>
      </c>
      <c r="BD85" s="23" t="str">
        <f>IF(INDEX('Shot Map'!$B$6:$V$26,CEILING($A85/5,1),CEILING(BD$2/5,1))=1,INDEX('Serial Reference'!$A$8:$W$8,1,FLOOR(($A85-1)/23,1)+1)&amp;INDEX('Serial Reference'!$A$8:$W$8,1,MOD($A85-1,23)+1)&amp;TEXT(BD$2+FLOOR((BD$2-1)/9,1),"000"),"")</f>
        <v>DP061</v>
      </c>
      <c r="BE85" s="21" t="str">
        <f>IF(INDEX('Shot Map'!$B$6:$V$26,CEILING($A85/5,1),CEILING(BE$2/5,1))=1,INDEX('Serial Reference'!$A$8:$W$8,1,FLOOR(($A85-1)/23,1)+1)&amp;INDEX('Serial Reference'!$A$8:$W$8,1,MOD($A85-1,23)+1)&amp;TEXT(BE$2+FLOOR((BE$2-1)/9,1),"000"),"")</f>
        <v>DP062</v>
      </c>
      <c r="BF85" s="22" t="str">
        <f>IF(INDEX('Shot Map'!$B$6:$V$26,CEILING($A85/5,1),CEILING(BF$2/5,1))=1,INDEX('Serial Reference'!$A$8:$W$8,1,FLOOR(($A85-1)/23,1)+1)&amp;INDEX('Serial Reference'!$A$8:$W$8,1,MOD($A85-1,23)+1)&amp;TEXT(BF$2+FLOOR((BF$2-1)/9,1),"000"),"")</f>
        <v>DP063</v>
      </c>
      <c r="BG85" s="22" t="str">
        <f>IF(INDEX('Shot Map'!$B$6:$V$26,CEILING($A85/5,1),CEILING(BG$2/5,1))=1,INDEX('Serial Reference'!$A$8:$W$8,1,FLOOR(($A85-1)/23,1)+1)&amp;INDEX('Serial Reference'!$A$8:$W$8,1,MOD($A85-1,23)+1)&amp;TEXT(BG$2+FLOOR((BG$2-1)/9,1),"000"),"")</f>
        <v>DP064</v>
      </c>
      <c r="BH85" s="22" t="str">
        <f>IF(INDEX('Shot Map'!$B$6:$V$26,CEILING($A85/5,1),CEILING(BH$2/5,1))=1,INDEX('Serial Reference'!$A$8:$W$8,1,FLOOR(($A85-1)/23,1)+1)&amp;INDEX('Serial Reference'!$A$8:$W$8,1,MOD($A85-1,23)+1)&amp;TEXT(BH$2+FLOOR((BH$2-1)/9,1),"000"),"")</f>
        <v>DP065</v>
      </c>
      <c r="BI85" s="23" t="str">
        <f>IF(INDEX('Shot Map'!$B$6:$V$26,CEILING($A85/5,1),CEILING(BI$2/5,1))=1,INDEX('Serial Reference'!$A$8:$W$8,1,FLOOR(($A85-1)/23,1)+1)&amp;INDEX('Serial Reference'!$A$8:$W$8,1,MOD($A85-1,23)+1)&amp;TEXT(BI$2+FLOOR((BI$2-1)/9,1),"000"),"")</f>
        <v>DP066</v>
      </c>
      <c r="BJ85" s="21" t="str">
        <f>IF(INDEX('Shot Map'!$B$6:$V$26,CEILING($A85/5,1),CEILING(BJ$2/5,1))=1,INDEX('Serial Reference'!$A$8:$W$8,1,FLOOR(($A85-1)/23,1)+1)&amp;INDEX('Serial Reference'!$A$8:$W$8,1,MOD($A85-1,23)+1)&amp;TEXT(BJ$2+FLOOR((BJ$2-1)/9,1),"000"),"")</f>
        <v>DP067</v>
      </c>
      <c r="BK85" s="22" t="str">
        <f>IF(INDEX('Shot Map'!$B$6:$V$26,CEILING($A85/5,1),CEILING(BK$2/5,1))=1,INDEX('Serial Reference'!$A$8:$W$8,1,FLOOR(($A85-1)/23,1)+1)&amp;INDEX('Serial Reference'!$A$8:$W$8,1,MOD($A85-1,23)+1)&amp;TEXT(BK$2+FLOOR((BK$2-1)/9,1),"000"),"")</f>
        <v>DP068</v>
      </c>
      <c r="BL85" s="22" t="str">
        <f>IF(INDEX('Shot Map'!$B$6:$V$26,CEILING($A85/5,1),CEILING(BL$2/5,1))=1,INDEX('Serial Reference'!$A$8:$W$8,1,FLOOR(($A85-1)/23,1)+1)&amp;INDEX('Serial Reference'!$A$8:$W$8,1,MOD($A85-1,23)+1)&amp;TEXT(BL$2+FLOOR((BL$2-1)/9,1),"000"),"")</f>
        <v>DP069</v>
      </c>
      <c r="BM85" s="22" t="str">
        <f>IF(INDEX('Shot Map'!$B$6:$V$26,CEILING($A85/5,1),CEILING(BM$2/5,1))=1,INDEX('Serial Reference'!$A$8:$W$8,1,FLOOR(($A85-1)/23,1)+1)&amp;INDEX('Serial Reference'!$A$8:$W$8,1,MOD($A85-1,23)+1)&amp;TEXT(BM$2+FLOOR((BM$2-1)/9,1),"000"),"")</f>
        <v>DP071</v>
      </c>
      <c r="BN85" s="23" t="str">
        <f>IF(INDEX('Shot Map'!$B$6:$V$26,CEILING($A85/5,1),CEILING(BN$2/5,1))=1,INDEX('Serial Reference'!$A$8:$W$8,1,FLOOR(($A85-1)/23,1)+1)&amp;INDEX('Serial Reference'!$A$8:$W$8,1,MOD($A85-1,23)+1)&amp;TEXT(BN$2+FLOOR((BN$2-1)/9,1),"000"),"")</f>
        <v>DP072</v>
      </c>
      <c r="BO85" s="21" t="str">
        <f>IF(INDEX('Shot Map'!$B$6:$V$26,CEILING($A85/5,1),CEILING(BO$2/5,1))=1,INDEX('Serial Reference'!$A$8:$W$8,1,FLOOR(($A85-1)/23,1)+1)&amp;INDEX('Serial Reference'!$A$8:$W$8,1,MOD($A85-1,23)+1)&amp;TEXT(BO$2+FLOOR((BO$2-1)/9,1),"000"),"")</f>
        <v>DP073</v>
      </c>
      <c r="BP85" s="22" t="str">
        <f>IF(INDEX('Shot Map'!$B$6:$V$26,CEILING($A85/5,1),CEILING(BP$2/5,1))=1,INDEX('Serial Reference'!$A$8:$W$8,1,FLOOR(($A85-1)/23,1)+1)&amp;INDEX('Serial Reference'!$A$8:$W$8,1,MOD($A85-1,23)+1)&amp;TEXT(BP$2+FLOOR((BP$2-1)/9,1),"000"),"")</f>
        <v>DP074</v>
      </c>
      <c r="BQ85" s="22" t="str">
        <f>IF(INDEX('Shot Map'!$B$6:$V$26,CEILING($A85/5,1),CEILING(BQ$2/5,1))=1,INDEX('Serial Reference'!$A$8:$W$8,1,FLOOR(($A85-1)/23,1)+1)&amp;INDEX('Serial Reference'!$A$8:$W$8,1,MOD($A85-1,23)+1)&amp;TEXT(BQ$2+FLOOR((BQ$2-1)/9,1),"000"),"")</f>
        <v>DP075</v>
      </c>
      <c r="BR85" s="22" t="str">
        <f>IF(INDEX('Shot Map'!$B$6:$V$26,CEILING($A85/5,1),CEILING(BR$2/5,1))=1,INDEX('Serial Reference'!$A$8:$W$8,1,FLOOR(($A85-1)/23,1)+1)&amp;INDEX('Serial Reference'!$A$8:$W$8,1,MOD($A85-1,23)+1)&amp;TEXT(BR$2+FLOOR((BR$2-1)/9,1),"000"),"")</f>
        <v>DP076</v>
      </c>
      <c r="BS85" s="23" t="str">
        <f>IF(INDEX('Shot Map'!$B$6:$V$26,CEILING($A85/5,1),CEILING(BS$2/5,1))=1,INDEX('Serial Reference'!$A$8:$W$8,1,FLOOR(($A85-1)/23,1)+1)&amp;INDEX('Serial Reference'!$A$8:$W$8,1,MOD($A85-1,23)+1)&amp;TEXT(BS$2+FLOOR((BS$2-1)/9,1),"000"),"")</f>
        <v>DP077</v>
      </c>
      <c r="BT85" s="21" t="str">
        <f>IF(INDEX('Shot Map'!$B$6:$V$26,CEILING($A85/5,1),CEILING(BT$2/5,1))=1,INDEX('Serial Reference'!$A$8:$W$8,1,FLOOR(($A85-1)/23,1)+1)&amp;INDEX('Serial Reference'!$A$8:$W$8,1,MOD($A85-1,23)+1)&amp;TEXT(BT$2+FLOOR((BT$2-1)/9,1),"000"),"")</f>
        <v>DP078</v>
      </c>
      <c r="BU85" s="22" t="str">
        <f>IF(INDEX('Shot Map'!$B$6:$V$26,CEILING($A85/5,1),CEILING(BU$2/5,1))=1,INDEX('Serial Reference'!$A$8:$W$8,1,FLOOR(($A85-1)/23,1)+1)&amp;INDEX('Serial Reference'!$A$8:$W$8,1,MOD($A85-1,23)+1)&amp;TEXT(BU$2+FLOOR((BU$2-1)/9,1),"000"),"")</f>
        <v>DP079</v>
      </c>
      <c r="BV85" s="22" t="str">
        <f>IF(INDEX('Shot Map'!$B$6:$V$26,CEILING($A85/5,1),CEILING(BV$2/5,1))=1,INDEX('Serial Reference'!$A$8:$W$8,1,FLOOR(($A85-1)/23,1)+1)&amp;INDEX('Serial Reference'!$A$8:$W$8,1,MOD($A85-1,23)+1)&amp;TEXT(BV$2+FLOOR((BV$2-1)/9,1),"000"),"")</f>
        <v>DP081</v>
      </c>
      <c r="BW85" s="22" t="str">
        <f>IF(INDEX('Shot Map'!$B$6:$V$26,CEILING($A85/5,1),CEILING(BW$2/5,1))=1,INDEX('Serial Reference'!$A$8:$W$8,1,FLOOR(($A85-1)/23,1)+1)&amp;INDEX('Serial Reference'!$A$8:$W$8,1,MOD($A85-1,23)+1)&amp;TEXT(BW$2+FLOOR((BW$2-1)/9,1),"000"),"")</f>
        <v>DP082</v>
      </c>
      <c r="BX85" s="23" t="str">
        <f>IF(INDEX('Shot Map'!$B$6:$V$26,CEILING($A85/5,1),CEILING(BX$2/5,1))=1,INDEX('Serial Reference'!$A$8:$W$8,1,FLOOR(($A85-1)/23,1)+1)&amp;INDEX('Serial Reference'!$A$8:$W$8,1,MOD($A85-1,23)+1)&amp;TEXT(BX$2+FLOOR((BX$2-1)/9,1),"000"),"")</f>
        <v>DP083</v>
      </c>
      <c r="BY85" s="21" t="str">
        <f>IF(INDEX('Shot Map'!$B$6:$V$26,CEILING($A85/5,1),CEILING(BY$2/5,1))=1,INDEX('Serial Reference'!$A$8:$W$8,1,FLOOR(($A85-1)/23,1)+1)&amp;INDEX('Serial Reference'!$A$8:$W$8,1,MOD($A85-1,23)+1)&amp;TEXT(BY$2+FLOOR((BY$2-1)/9,1),"000"),"")</f>
        <v>DP084</v>
      </c>
      <c r="BZ85" s="22" t="str">
        <f>IF(INDEX('Shot Map'!$B$6:$V$26,CEILING($A85/5,1),CEILING(BZ$2/5,1))=1,INDEX('Serial Reference'!$A$8:$W$8,1,FLOOR(($A85-1)/23,1)+1)&amp;INDEX('Serial Reference'!$A$8:$W$8,1,MOD($A85-1,23)+1)&amp;TEXT(BZ$2+FLOOR((BZ$2-1)/9,1),"000"),"")</f>
        <v>DP085</v>
      </c>
      <c r="CA85" s="22" t="str">
        <f>IF(INDEX('Shot Map'!$B$6:$V$26,CEILING($A85/5,1),CEILING(CA$2/5,1))=1,INDEX('Serial Reference'!$A$8:$W$8,1,FLOOR(($A85-1)/23,1)+1)&amp;INDEX('Serial Reference'!$A$8:$W$8,1,MOD($A85-1,23)+1)&amp;TEXT(CA$2+FLOOR((CA$2-1)/9,1),"000"),"")</f>
        <v>DP086</v>
      </c>
      <c r="CB85" s="22" t="str">
        <f>IF(INDEX('Shot Map'!$B$6:$V$26,CEILING($A85/5,1),CEILING(CB$2/5,1))=1,INDEX('Serial Reference'!$A$8:$W$8,1,FLOOR(($A85-1)/23,1)+1)&amp;INDEX('Serial Reference'!$A$8:$W$8,1,MOD($A85-1,23)+1)&amp;TEXT(CB$2+FLOOR((CB$2-1)/9,1),"000"),"")</f>
        <v>DP087</v>
      </c>
      <c r="CC85" s="23" t="str">
        <f>IF(INDEX('Shot Map'!$B$6:$V$26,CEILING($A85/5,1),CEILING(CC$2/5,1))=1,INDEX('Serial Reference'!$A$8:$W$8,1,FLOOR(($A85-1)/23,1)+1)&amp;INDEX('Serial Reference'!$A$8:$W$8,1,MOD($A85-1,23)+1)&amp;TEXT(CC$2+FLOOR((CC$2-1)/9,1),"000"),"")</f>
        <v>DP088</v>
      </c>
      <c r="CD85" s="21" t="str">
        <f>IF(INDEX('Shot Map'!$B$6:$V$26,CEILING($A85/5,1),CEILING(CD$2/5,1))=1,INDEX('Serial Reference'!$A$8:$W$8,1,FLOOR(($A85-1)/23,1)+1)&amp;INDEX('Serial Reference'!$A$8:$W$8,1,MOD($A85-1,23)+1)&amp;TEXT(CD$2+FLOOR((CD$2-1)/9,1),"000"),"")</f>
        <v>DP089</v>
      </c>
      <c r="CE85" s="22" t="str">
        <f>IF(INDEX('Shot Map'!$B$6:$V$26,CEILING($A85/5,1),CEILING(CE$2/5,1))=1,INDEX('Serial Reference'!$A$8:$W$8,1,FLOOR(($A85-1)/23,1)+1)&amp;INDEX('Serial Reference'!$A$8:$W$8,1,MOD($A85-1,23)+1)&amp;TEXT(CE$2+FLOOR((CE$2-1)/9,1),"000"),"")</f>
        <v>DP091</v>
      </c>
      <c r="CF85" s="22" t="str">
        <f>IF(INDEX('Shot Map'!$B$6:$V$26,CEILING($A85/5,1),CEILING(CF$2/5,1))=1,INDEX('Serial Reference'!$A$8:$W$8,1,FLOOR(($A85-1)/23,1)+1)&amp;INDEX('Serial Reference'!$A$8:$W$8,1,MOD($A85-1,23)+1)&amp;TEXT(CF$2+FLOOR((CF$2-1)/9,1),"000"),"")</f>
        <v>DP092</v>
      </c>
      <c r="CG85" s="22" t="str">
        <f>IF(INDEX('Shot Map'!$B$6:$V$26,CEILING($A85/5,1),CEILING(CG$2/5,1))=1,INDEX('Serial Reference'!$A$8:$W$8,1,FLOOR(($A85-1)/23,1)+1)&amp;INDEX('Serial Reference'!$A$8:$W$8,1,MOD($A85-1,23)+1)&amp;TEXT(CG$2+FLOOR((CG$2-1)/9,1),"000"),"")</f>
        <v>DP093</v>
      </c>
      <c r="CH85" s="23" t="str">
        <f>IF(INDEX('Shot Map'!$B$6:$V$26,CEILING($A85/5,1),CEILING(CH$2/5,1))=1,INDEX('Serial Reference'!$A$8:$W$8,1,FLOOR(($A85-1)/23,1)+1)&amp;INDEX('Serial Reference'!$A$8:$W$8,1,MOD($A85-1,23)+1)&amp;TEXT(CH$2+FLOOR((CH$2-1)/9,1),"000"),"")</f>
        <v>DP094</v>
      </c>
      <c r="CI85" s="21" t="str">
        <f>IF(INDEX('Shot Map'!$B$6:$V$26,CEILING($A85/5,1),CEILING(CI$2/5,1))=1,INDEX('Serial Reference'!$A$8:$W$8,1,FLOOR(($A85-1)/23,1)+1)&amp;INDEX('Serial Reference'!$A$8:$W$8,1,MOD($A85-1,23)+1)&amp;TEXT(CI$2+FLOOR((CI$2-1)/9,1),"000"),"")</f>
        <v>DP095</v>
      </c>
      <c r="CJ85" s="22" t="str">
        <f>IF(INDEX('Shot Map'!$B$6:$V$26,CEILING($A85/5,1),CEILING(CJ$2/5,1))=1,INDEX('Serial Reference'!$A$8:$W$8,1,FLOOR(($A85-1)/23,1)+1)&amp;INDEX('Serial Reference'!$A$8:$W$8,1,MOD($A85-1,23)+1)&amp;TEXT(CJ$2+FLOOR((CJ$2-1)/9,1),"000"),"")</f>
        <v>DP096</v>
      </c>
      <c r="CK85" s="22" t="str">
        <f>IF(INDEX('Shot Map'!$B$6:$V$26,CEILING($A85/5,1),CEILING(CK$2/5,1))=1,INDEX('Serial Reference'!$A$8:$W$8,1,FLOOR(($A85-1)/23,1)+1)&amp;INDEX('Serial Reference'!$A$8:$W$8,1,MOD($A85-1,23)+1)&amp;TEXT(CK$2+FLOOR((CK$2-1)/9,1),"000"),"")</f>
        <v>DP097</v>
      </c>
      <c r="CL85" s="22" t="str">
        <f>IF(INDEX('Shot Map'!$B$6:$V$26,CEILING($A85/5,1),CEILING(CL$2/5,1))=1,INDEX('Serial Reference'!$A$8:$W$8,1,FLOOR(($A85-1)/23,1)+1)&amp;INDEX('Serial Reference'!$A$8:$W$8,1,MOD($A85-1,23)+1)&amp;TEXT(CL$2+FLOOR((CL$2-1)/9,1),"000"),"")</f>
        <v>DP098</v>
      </c>
      <c r="CM85" s="23" t="str">
        <f>IF(INDEX('Shot Map'!$B$6:$V$26,CEILING($A85/5,1),CEILING(CM$2/5,1))=1,INDEX('Serial Reference'!$A$8:$W$8,1,FLOOR(($A85-1)/23,1)+1)&amp;INDEX('Serial Reference'!$A$8:$W$8,1,MOD($A85-1,23)+1)&amp;TEXT(CM$2+FLOOR((CM$2-1)/9,1),"000"),"")</f>
        <v>DP099</v>
      </c>
      <c r="CN85" s="21" t="str">
        <f>IF(INDEX('Shot Map'!$B$6:$V$26,CEILING($A85/5,1),CEILING(CN$2/5,1))=1,INDEX('Serial Reference'!$A$8:$W$8,1,FLOOR(($A85-1)/23,1)+1)&amp;INDEX('Serial Reference'!$A$8:$W$8,1,MOD($A85-1,23)+1)&amp;TEXT(CN$2+FLOOR((CN$2-1)/9,1),"000"),"")</f>
        <v>DP101</v>
      </c>
      <c r="CO85" s="22" t="str">
        <f>IF(INDEX('Shot Map'!$B$6:$V$26,CEILING($A85/5,1),CEILING(CO$2/5,1))=1,INDEX('Serial Reference'!$A$8:$W$8,1,FLOOR(($A85-1)/23,1)+1)&amp;INDEX('Serial Reference'!$A$8:$W$8,1,MOD($A85-1,23)+1)&amp;TEXT(CO$2+FLOOR((CO$2-1)/9,1),"000"),"")</f>
        <v>DP102</v>
      </c>
      <c r="CP85" s="22" t="str">
        <f>IF(INDEX('Shot Map'!$B$6:$V$26,CEILING($A85/5,1),CEILING(CP$2/5,1))=1,INDEX('Serial Reference'!$A$8:$W$8,1,FLOOR(($A85-1)/23,1)+1)&amp;INDEX('Serial Reference'!$A$8:$W$8,1,MOD($A85-1,23)+1)&amp;TEXT(CP$2+FLOOR((CP$2-1)/9,1),"000"),"")</f>
        <v>DP103</v>
      </c>
      <c r="CQ85" s="22" t="str">
        <f>IF(INDEX('Shot Map'!$B$6:$V$26,CEILING($A85/5,1),CEILING(CQ$2/5,1))=1,INDEX('Serial Reference'!$A$8:$W$8,1,FLOOR(($A85-1)/23,1)+1)&amp;INDEX('Serial Reference'!$A$8:$W$8,1,MOD($A85-1,23)+1)&amp;TEXT(CQ$2+FLOOR((CQ$2-1)/9,1),"000"),"")</f>
        <v>DP104</v>
      </c>
      <c r="CR85" s="23" t="str">
        <f>IF(INDEX('Shot Map'!$B$6:$V$26,CEILING($A85/5,1),CEILING(CR$2/5,1))=1,INDEX('Serial Reference'!$A$8:$W$8,1,FLOOR(($A85-1)/23,1)+1)&amp;INDEX('Serial Reference'!$A$8:$W$8,1,MOD($A85-1,23)+1)&amp;TEXT(CR$2+FLOOR((CR$2-1)/9,1),"000"),"")</f>
        <v>DP105</v>
      </c>
      <c r="CS85" s="21" t="str">
        <f>IF(INDEX('Shot Map'!$B$6:$V$26,CEILING($A85/5,1),CEILING(CS$2/5,1))=1,INDEX('Serial Reference'!$A$8:$W$8,1,FLOOR(($A85-1)/23,1)+1)&amp;INDEX('Serial Reference'!$A$8:$W$8,1,MOD($A85-1,23)+1)&amp;TEXT(CS$2+FLOOR((CS$2-1)/9,1),"000"),"")</f>
        <v/>
      </c>
      <c r="CT85" s="22" t="str">
        <f>IF(INDEX('Shot Map'!$B$6:$V$26,CEILING($A85/5,1),CEILING(CT$2/5,1))=1,INDEX('Serial Reference'!$A$8:$W$8,1,FLOOR(($A85-1)/23,1)+1)&amp;INDEX('Serial Reference'!$A$8:$W$8,1,MOD($A85-1,23)+1)&amp;TEXT(CT$2+FLOOR((CT$2-1)/9,1),"000"),"")</f>
        <v/>
      </c>
      <c r="CU85" s="22" t="str">
        <f>IF(INDEX('Shot Map'!$B$6:$V$26,CEILING($A85/5,1),CEILING(CU$2/5,1))=1,INDEX('Serial Reference'!$A$8:$W$8,1,FLOOR(($A85-1)/23,1)+1)&amp;INDEX('Serial Reference'!$A$8:$W$8,1,MOD($A85-1,23)+1)&amp;TEXT(CU$2+FLOOR((CU$2-1)/9,1),"000"),"")</f>
        <v/>
      </c>
      <c r="CV85" s="22" t="str">
        <f>IF(INDEX('Shot Map'!$B$6:$V$26,CEILING($A85/5,1),CEILING(CV$2/5,1))=1,INDEX('Serial Reference'!$A$8:$W$8,1,FLOOR(($A85-1)/23,1)+1)&amp;INDEX('Serial Reference'!$A$8:$W$8,1,MOD($A85-1,23)+1)&amp;TEXT(CV$2+FLOOR((CV$2-1)/9,1),"000"),"")</f>
        <v/>
      </c>
      <c r="CW85" s="23" t="str">
        <f>IF(INDEX('Shot Map'!$B$6:$V$26,CEILING($A85/5,1),CEILING(CW$2/5,1))=1,INDEX('Serial Reference'!$A$8:$W$8,1,FLOOR(($A85-1)/23,1)+1)&amp;INDEX('Serial Reference'!$A$8:$W$8,1,MOD($A85-1,23)+1)&amp;TEXT(CW$2+FLOOR((CW$2-1)/9,1),"000"),"")</f>
        <v/>
      </c>
      <c r="CX85" s="21" t="str">
        <f>IF(INDEX('Shot Map'!$B$6:$V$26,CEILING($A85/5,1),CEILING(CX$2/5,1))=1,INDEX('Serial Reference'!$A$8:$W$8,1,FLOOR(($A85-1)/23,1)+1)&amp;INDEX('Serial Reference'!$A$8:$W$8,1,MOD($A85-1,23)+1)&amp;TEXT(CX$2+FLOOR((CX$2-1)/9,1),"000"),"")</f>
        <v/>
      </c>
      <c r="CY85" s="22" t="str">
        <f>IF(INDEX('Shot Map'!$B$6:$V$26,CEILING($A85/5,1),CEILING(CY$2/5,1))=1,INDEX('Serial Reference'!$A$8:$W$8,1,FLOOR(($A85-1)/23,1)+1)&amp;INDEX('Serial Reference'!$A$8:$W$8,1,MOD($A85-1,23)+1)&amp;TEXT(CY$2+FLOOR((CY$2-1)/9,1),"000"),"")</f>
        <v/>
      </c>
      <c r="CZ85" s="22" t="str">
        <f>IF(INDEX('Shot Map'!$B$6:$V$26,CEILING($A85/5,1),CEILING(CZ$2/5,1))=1,INDEX('Serial Reference'!$A$8:$W$8,1,FLOOR(($A85-1)/23,1)+1)&amp;INDEX('Serial Reference'!$A$8:$W$8,1,MOD($A85-1,23)+1)&amp;TEXT(CZ$2+FLOOR((CZ$2-1)/9,1),"000"),"")</f>
        <v/>
      </c>
      <c r="DA85" s="22" t="str">
        <f>IF(INDEX('Shot Map'!$B$6:$V$26,CEILING($A85/5,1),CEILING(DA$2/5,1))=1,INDEX('Serial Reference'!$A$8:$W$8,1,FLOOR(($A85-1)/23,1)+1)&amp;INDEX('Serial Reference'!$A$8:$W$8,1,MOD($A85-1,23)+1)&amp;TEXT(DA$2+FLOOR((DA$2-1)/9,1),"000"),"")</f>
        <v/>
      </c>
      <c r="DB85" s="23" t="str">
        <f>IF(INDEX('Shot Map'!$B$6:$V$26,CEILING($A85/5,1),CEILING(DB$2/5,1))=1,INDEX('Serial Reference'!$A$8:$W$8,1,FLOOR(($A85-1)/23,1)+1)&amp;INDEX('Serial Reference'!$A$8:$W$8,1,MOD($A85-1,23)+1)&amp;TEXT(DB$2+FLOOR((DB$2-1)/9,1),"000"),"")</f>
        <v/>
      </c>
    </row>
    <row r="86" spans="1:106" ht="12.75" customHeight="1" x14ac:dyDescent="0.25">
      <c r="A86" s="17">
        <v>84</v>
      </c>
      <c r="B86" s="21" t="str">
        <f>IF(INDEX('Shot Map'!$B$6:$V$26,CEILING($A86/5,1),CEILING(B$2/5,1))=1,INDEX('Serial Reference'!$A$8:$W$8,1,FLOOR(($A86-1)/23,1)+1)&amp;INDEX('Serial Reference'!$A$8:$W$8,1,MOD($A86-1,23)+1)&amp;TEXT(B$2+FLOOR((B$2-1)/9,1),"000"),"")</f>
        <v/>
      </c>
      <c r="C86" s="22" t="str">
        <f>IF(INDEX('Shot Map'!$B$6:$V$26,CEILING($A86/5,1),CEILING(C$2/5,1))=1,INDEX('Serial Reference'!$A$8:$W$8,1,FLOOR(($A86-1)/23,1)+1)&amp;INDEX('Serial Reference'!$A$8:$W$8,1,MOD($A86-1,23)+1)&amp;TEXT(C$2+FLOOR((C$2-1)/9,1),"000"),"")</f>
        <v/>
      </c>
      <c r="D86" s="22" t="str">
        <f>IF(INDEX('Shot Map'!$B$6:$V$26,CEILING($A86/5,1),CEILING(D$2/5,1))=1,INDEX('Serial Reference'!$A$8:$W$8,1,FLOOR(($A86-1)/23,1)+1)&amp;INDEX('Serial Reference'!$A$8:$W$8,1,MOD($A86-1,23)+1)&amp;TEXT(D$2+FLOOR((D$2-1)/9,1),"000"),"")</f>
        <v/>
      </c>
      <c r="E86" s="22" t="str">
        <f>IF(INDEX('Shot Map'!$B$6:$V$26,CEILING($A86/5,1),CEILING(E$2/5,1))=1,INDEX('Serial Reference'!$A$8:$W$8,1,FLOOR(($A86-1)/23,1)+1)&amp;INDEX('Serial Reference'!$A$8:$W$8,1,MOD($A86-1,23)+1)&amp;TEXT(E$2+FLOOR((E$2-1)/9,1),"000"),"")</f>
        <v/>
      </c>
      <c r="F86" s="23" t="str">
        <f>IF(INDEX('Shot Map'!$B$6:$V$26,CEILING($A86/5,1),CEILING(F$2/5,1))=1,INDEX('Serial Reference'!$A$8:$W$8,1,FLOOR(($A86-1)/23,1)+1)&amp;INDEX('Serial Reference'!$A$8:$W$8,1,MOD($A86-1,23)+1)&amp;TEXT(F$2+FLOOR((F$2-1)/9,1),"000"),"")</f>
        <v/>
      </c>
      <c r="G86" s="21" t="str">
        <f>IF(INDEX('Shot Map'!$B$6:$V$26,CEILING($A86/5,1),CEILING(G$2/5,1))=1,INDEX('Serial Reference'!$A$8:$W$8,1,FLOOR(($A86-1)/23,1)+1)&amp;INDEX('Serial Reference'!$A$8:$W$8,1,MOD($A86-1,23)+1)&amp;TEXT(G$2+FLOOR((G$2-1)/9,1),"000"),"")</f>
        <v/>
      </c>
      <c r="H86" s="22" t="str">
        <f>IF(INDEX('Shot Map'!$B$6:$V$26,CEILING($A86/5,1),CEILING(H$2/5,1))=1,INDEX('Serial Reference'!$A$8:$W$8,1,FLOOR(($A86-1)/23,1)+1)&amp;INDEX('Serial Reference'!$A$8:$W$8,1,MOD($A86-1,23)+1)&amp;TEXT(H$2+FLOOR((H$2-1)/9,1),"000"),"")</f>
        <v/>
      </c>
      <c r="I86" s="22" t="str">
        <f>IF(INDEX('Shot Map'!$B$6:$V$26,CEILING($A86/5,1),CEILING(I$2/5,1))=1,INDEX('Serial Reference'!$A$8:$W$8,1,FLOOR(($A86-1)/23,1)+1)&amp;INDEX('Serial Reference'!$A$8:$W$8,1,MOD($A86-1,23)+1)&amp;TEXT(I$2+FLOOR((I$2-1)/9,1),"000"),"")</f>
        <v/>
      </c>
      <c r="J86" s="22" t="str">
        <f>IF(INDEX('Shot Map'!$B$6:$V$26,CEILING($A86/5,1),CEILING(J$2/5,1))=1,INDEX('Serial Reference'!$A$8:$W$8,1,FLOOR(($A86-1)/23,1)+1)&amp;INDEX('Serial Reference'!$A$8:$W$8,1,MOD($A86-1,23)+1)&amp;TEXT(J$2+FLOOR((J$2-1)/9,1),"000"),"")</f>
        <v/>
      </c>
      <c r="K86" s="23" t="str">
        <f>IF(INDEX('Shot Map'!$B$6:$V$26,CEILING($A86/5,1),CEILING(K$2/5,1))=1,INDEX('Serial Reference'!$A$8:$W$8,1,FLOOR(($A86-1)/23,1)+1)&amp;INDEX('Serial Reference'!$A$8:$W$8,1,MOD($A86-1,23)+1)&amp;TEXT(K$2+FLOOR((K$2-1)/9,1),"000"),"")</f>
        <v/>
      </c>
      <c r="L86" s="21" t="str">
        <f>IF(INDEX('Shot Map'!$B$6:$V$26,CEILING($A86/5,1),CEILING(L$2/5,1))=1,INDEX('Serial Reference'!$A$8:$W$8,1,FLOOR(($A86-1)/23,1)+1)&amp;INDEX('Serial Reference'!$A$8:$W$8,1,MOD($A86-1,23)+1)&amp;TEXT(L$2+FLOOR((L$2-1)/9,1),"000"),"")</f>
        <v>DR012</v>
      </c>
      <c r="M86" s="22" t="str">
        <f>IF(INDEX('Shot Map'!$B$6:$V$26,CEILING($A86/5,1),CEILING(M$2/5,1))=1,INDEX('Serial Reference'!$A$8:$W$8,1,FLOOR(($A86-1)/23,1)+1)&amp;INDEX('Serial Reference'!$A$8:$W$8,1,MOD($A86-1,23)+1)&amp;TEXT(M$2+FLOOR((M$2-1)/9,1),"000"),"")</f>
        <v>DR013</v>
      </c>
      <c r="N86" s="22" t="str">
        <f>IF(INDEX('Shot Map'!$B$6:$V$26,CEILING($A86/5,1),CEILING(N$2/5,1))=1,INDEX('Serial Reference'!$A$8:$W$8,1,FLOOR(($A86-1)/23,1)+1)&amp;INDEX('Serial Reference'!$A$8:$W$8,1,MOD($A86-1,23)+1)&amp;TEXT(N$2+FLOOR((N$2-1)/9,1),"000"),"")</f>
        <v>DR014</v>
      </c>
      <c r="O86" s="22" t="str">
        <f>IF(INDEX('Shot Map'!$B$6:$V$26,CEILING($A86/5,1),CEILING(O$2/5,1))=1,INDEX('Serial Reference'!$A$8:$W$8,1,FLOOR(($A86-1)/23,1)+1)&amp;INDEX('Serial Reference'!$A$8:$W$8,1,MOD($A86-1,23)+1)&amp;TEXT(O$2+FLOOR((O$2-1)/9,1),"000"),"")</f>
        <v>DR015</v>
      </c>
      <c r="P86" s="23" t="str">
        <f>IF(INDEX('Shot Map'!$B$6:$V$26,CEILING($A86/5,1),CEILING(P$2/5,1))=1,INDEX('Serial Reference'!$A$8:$W$8,1,FLOOR(($A86-1)/23,1)+1)&amp;INDEX('Serial Reference'!$A$8:$W$8,1,MOD($A86-1,23)+1)&amp;TEXT(P$2+FLOOR((P$2-1)/9,1),"000"),"")</f>
        <v>DR016</v>
      </c>
      <c r="Q86" s="21" t="str">
        <f>IF(INDEX('Shot Map'!$B$6:$V$26,CEILING($A86/5,1),CEILING(Q$2/5,1))=1,INDEX('Serial Reference'!$A$8:$W$8,1,FLOOR(($A86-1)/23,1)+1)&amp;INDEX('Serial Reference'!$A$8:$W$8,1,MOD($A86-1,23)+1)&amp;TEXT(Q$2+FLOOR((Q$2-1)/9,1),"000"),"")</f>
        <v>DR017</v>
      </c>
      <c r="R86" s="22" t="str">
        <f>IF(INDEX('Shot Map'!$B$6:$V$26,CEILING($A86/5,1),CEILING(R$2/5,1))=1,INDEX('Serial Reference'!$A$8:$W$8,1,FLOOR(($A86-1)/23,1)+1)&amp;INDEX('Serial Reference'!$A$8:$W$8,1,MOD($A86-1,23)+1)&amp;TEXT(R$2+FLOOR((R$2-1)/9,1),"000"),"")</f>
        <v>DR018</v>
      </c>
      <c r="S86" s="22" t="str">
        <f>IF(INDEX('Shot Map'!$B$6:$V$26,CEILING($A86/5,1),CEILING(S$2/5,1))=1,INDEX('Serial Reference'!$A$8:$W$8,1,FLOOR(($A86-1)/23,1)+1)&amp;INDEX('Serial Reference'!$A$8:$W$8,1,MOD($A86-1,23)+1)&amp;TEXT(S$2+FLOOR((S$2-1)/9,1),"000"),"")</f>
        <v>DR019</v>
      </c>
      <c r="T86" s="22" t="str">
        <f>IF(INDEX('Shot Map'!$B$6:$V$26,CEILING($A86/5,1),CEILING(T$2/5,1))=1,INDEX('Serial Reference'!$A$8:$W$8,1,FLOOR(($A86-1)/23,1)+1)&amp;INDEX('Serial Reference'!$A$8:$W$8,1,MOD($A86-1,23)+1)&amp;TEXT(T$2+FLOOR((T$2-1)/9,1),"000"),"")</f>
        <v>DR021</v>
      </c>
      <c r="U86" s="23" t="str">
        <f>IF(INDEX('Shot Map'!$B$6:$V$26,CEILING($A86/5,1),CEILING(U$2/5,1))=1,INDEX('Serial Reference'!$A$8:$W$8,1,FLOOR(($A86-1)/23,1)+1)&amp;INDEX('Serial Reference'!$A$8:$W$8,1,MOD($A86-1,23)+1)&amp;TEXT(U$2+FLOOR((U$2-1)/9,1),"000"),"")</f>
        <v>DR022</v>
      </c>
      <c r="V86" s="21" t="str">
        <f>IF(INDEX('Shot Map'!$B$6:$V$26,CEILING($A86/5,1),CEILING(V$2/5,1))=1,INDEX('Serial Reference'!$A$8:$W$8,1,FLOOR(($A86-1)/23,1)+1)&amp;INDEX('Serial Reference'!$A$8:$W$8,1,MOD($A86-1,23)+1)&amp;TEXT(V$2+FLOOR((V$2-1)/9,1),"000"),"")</f>
        <v>DR023</v>
      </c>
      <c r="W86" s="22" t="str">
        <f>IF(INDEX('Shot Map'!$B$6:$V$26,CEILING($A86/5,1),CEILING(W$2/5,1))=1,INDEX('Serial Reference'!$A$8:$W$8,1,FLOOR(($A86-1)/23,1)+1)&amp;INDEX('Serial Reference'!$A$8:$W$8,1,MOD($A86-1,23)+1)&amp;TEXT(W$2+FLOOR((W$2-1)/9,1),"000"),"")</f>
        <v>DR024</v>
      </c>
      <c r="X86" s="22" t="str">
        <f>IF(INDEX('Shot Map'!$B$6:$V$26,CEILING($A86/5,1),CEILING(X$2/5,1))=1,INDEX('Serial Reference'!$A$8:$W$8,1,FLOOR(($A86-1)/23,1)+1)&amp;INDEX('Serial Reference'!$A$8:$W$8,1,MOD($A86-1,23)+1)&amp;TEXT(X$2+FLOOR((X$2-1)/9,1),"000"),"")</f>
        <v>DR025</v>
      </c>
      <c r="Y86" s="22" t="str">
        <f>IF(INDEX('Shot Map'!$B$6:$V$26,CEILING($A86/5,1),CEILING(Y$2/5,1))=1,INDEX('Serial Reference'!$A$8:$W$8,1,FLOOR(($A86-1)/23,1)+1)&amp;INDEX('Serial Reference'!$A$8:$W$8,1,MOD($A86-1,23)+1)&amp;TEXT(Y$2+FLOOR((Y$2-1)/9,1),"000"),"")</f>
        <v>DR026</v>
      </c>
      <c r="Z86" s="23" t="str">
        <f>IF(INDEX('Shot Map'!$B$6:$V$26,CEILING($A86/5,1),CEILING(Z$2/5,1))=1,INDEX('Serial Reference'!$A$8:$W$8,1,FLOOR(($A86-1)/23,1)+1)&amp;INDEX('Serial Reference'!$A$8:$W$8,1,MOD($A86-1,23)+1)&amp;TEXT(Z$2+FLOOR((Z$2-1)/9,1),"000"),"")</f>
        <v>DR027</v>
      </c>
      <c r="AA86" s="21" t="str">
        <f>IF(INDEX('Shot Map'!$B$6:$V$26,CEILING($A86/5,1),CEILING(AA$2/5,1))=1,INDEX('Serial Reference'!$A$8:$W$8,1,FLOOR(($A86-1)/23,1)+1)&amp;INDEX('Serial Reference'!$A$8:$W$8,1,MOD($A86-1,23)+1)&amp;TEXT(AA$2+FLOOR((AA$2-1)/9,1),"000"),"")</f>
        <v>DR028</v>
      </c>
      <c r="AB86" s="22" t="str">
        <f>IF(INDEX('Shot Map'!$B$6:$V$26,CEILING($A86/5,1),CEILING(AB$2/5,1))=1,INDEX('Serial Reference'!$A$8:$W$8,1,FLOOR(($A86-1)/23,1)+1)&amp;INDEX('Serial Reference'!$A$8:$W$8,1,MOD($A86-1,23)+1)&amp;TEXT(AB$2+FLOOR((AB$2-1)/9,1),"000"),"")</f>
        <v>DR029</v>
      </c>
      <c r="AC86" s="22" t="str">
        <f>IF(INDEX('Shot Map'!$B$6:$V$26,CEILING($A86/5,1),CEILING(AC$2/5,1))=1,INDEX('Serial Reference'!$A$8:$W$8,1,FLOOR(($A86-1)/23,1)+1)&amp;INDEX('Serial Reference'!$A$8:$W$8,1,MOD($A86-1,23)+1)&amp;TEXT(AC$2+FLOOR((AC$2-1)/9,1),"000"),"")</f>
        <v>DR031</v>
      </c>
      <c r="AD86" s="22" t="str">
        <f>IF(INDEX('Shot Map'!$B$6:$V$26,CEILING($A86/5,1),CEILING(AD$2/5,1))=1,INDEX('Serial Reference'!$A$8:$W$8,1,FLOOR(($A86-1)/23,1)+1)&amp;INDEX('Serial Reference'!$A$8:$W$8,1,MOD($A86-1,23)+1)&amp;TEXT(AD$2+FLOOR((AD$2-1)/9,1),"000"),"")</f>
        <v>DR032</v>
      </c>
      <c r="AE86" s="23" t="str">
        <f>IF(INDEX('Shot Map'!$B$6:$V$26,CEILING($A86/5,1),CEILING(AE$2/5,1))=1,INDEX('Serial Reference'!$A$8:$W$8,1,FLOOR(($A86-1)/23,1)+1)&amp;INDEX('Serial Reference'!$A$8:$W$8,1,MOD($A86-1,23)+1)&amp;TEXT(AE$2+FLOOR((AE$2-1)/9,1),"000"),"")</f>
        <v>DR033</v>
      </c>
      <c r="AF86" s="21" t="str">
        <f>IF(INDEX('Shot Map'!$B$6:$V$26,CEILING($A86/5,1),CEILING(AF$2/5,1))=1,INDEX('Serial Reference'!$A$8:$W$8,1,FLOOR(($A86-1)/23,1)+1)&amp;INDEX('Serial Reference'!$A$8:$W$8,1,MOD($A86-1,23)+1)&amp;TEXT(AF$2+FLOOR((AF$2-1)/9,1),"000"),"")</f>
        <v>DR034</v>
      </c>
      <c r="AG86" s="22" t="str">
        <f>IF(INDEX('Shot Map'!$B$6:$V$26,CEILING($A86/5,1),CEILING(AG$2/5,1))=1,INDEX('Serial Reference'!$A$8:$W$8,1,FLOOR(($A86-1)/23,1)+1)&amp;INDEX('Serial Reference'!$A$8:$W$8,1,MOD($A86-1,23)+1)&amp;TEXT(AG$2+FLOOR((AG$2-1)/9,1),"000"),"")</f>
        <v>DR035</v>
      </c>
      <c r="AH86" s="22" t="str">
        <f>IF(INDEX('Shot Map'!$B$6:$V$26,CEILING($A86/5,1),CEILING(AH$2/5,1))=1,INDEX('Serial Reference'!$A$8:$W$8,1,FLOOR(($A86-1)/23,1)+1)&amp;INDEX('Serial Reference'!$A$8:$W$8,1,MOD($A86-1,23)+1)&amp;TEXT(AH$2+FLOOR((AH$2-1)/9,1),"000"),"")</f>
        <v>DR036</v>
      </c>
      <c r="AI86" s="22" t="str">
        <f>IF(INDEX('Shot Map'!$B$6:$V$26,CEILING($A86/5,1),CEILING(AI$2/5,1))=1,INDEX('Serial Reference'!$A$8:$W$8,1,FLOOR(($A86-1)/23,1)+1)&amp;INDEX('Serial Reference'!$A$8:$W$8,1,MOD($A86-1,23)+1)&amp;TEXT(AI$2+FLOOR((AI$2-1)/9,1),"000"),"")</f>
        <v>DR037</v>
      </c>
      <c r="AJ86" s="23" t="str">
        <f>IF(INDEX('Shot Map'!$B$6:$V$26,CEILING($A86/5,1),CEILING(AJ$2/5,1))=1,INDEX('Serial Reference'!$A$8:$W$8,1,FLOOR(($A86-1)/23,1)+1)&amp;INDEX('Serial Reference'!$A$8:$W$8,1,MOD($A86-1,23)+1)&amp;TEXT(AJ$2+FLOOR((AJ$2-1)/9,1),"000"),"")</f>
        <v>DR038</v>
      </c>
      <c r="AK86" s="21" t="str">
        <f>IF(INDEX('Shot Map'!$B$6:$V$26,CEILING($A86/5,1),CEILING(AK$2/5,1))=1,INDEX('Serial Reference'!$A$8:$W$8,1,FLOOR(($A86-1)/23,1)+1)&amp;INDEX('Serial Reference'!$A$8:$W$8,1,MOD($A86-1,23)+1)&amp;TEXT(AK$2+FLOOR((AK$2-1)/9,1),"000"),"")</f>
        <v>DR039</v>
      </c>
      <c r="AL86" s="22" t="str">
        <f>IF(INDEX('Shot Map'!$B$6:$V$26,CEILING($A86/5,1),CEILING(AL$2/5,1))=1,INDEX('Serial Reference'!$A$8:$W$8,1,FLOOR(($A86-1)/23,1)+1)&amp;INDEX('Serial Reference'!$A$8:$W$8,1,MOD($A86-1,23)+1)&amp;TEXT(AL$2+FLOOR((AL$2-1)/9,1),"000"),"")</f>
        <v>DR041</v>
      </c>
      <c r="AM86" s="22" t="str">
        <f>IF(INDEX('Shot Map'!$B$6:$V$26,CEILING($A86/5,1),CEILING(AM$2/5,1))=1,INDEX('Serial Reference'!$A$8:$W$8,1,FLOOR(($A86-1)/23,1)+1)&amp;INDEX('Serial Reference'!$A$8:$W$8,1,MOD($A86-1,23)+1)&amp;TEXT(AM$2+FLOOR((AM$2-1)/9,1),"000"),"")</f>
        <v>DR042</v>
      </c>
      <c r="AN86" s="22" t="str">
        <f>IF(INDEX('Shot Map'!$B$6:$V$26,CEILING($A86/5,1),CEILING(AN$2/5,1))=1,INDEX('Serial Reference'!$A$8:$W$8,1,FLOOR(($A86-1)/23,1)+1)&amp;INDEX('Serial Reference'!$A$8:$W$8,1,MOD($A86-1,23)+1)&amp;TEXT(AN$2+FLOOR((AN$2-1)/9,1),"000"),"")</f>
        <v>DR043</v>
      </c>
      <c r="AO86" s="23" t="str">
        <f>IF(INDEX('Shot Map'!$B$6:$V$26,CEILING($A86/5,1),CEILING(AO$2/5,1))=1,INDEX('Serial Reference'!$A$8:$W$8,1,FLOOR(($A86-1)/23,1)+1)&amp;INDEX('Serial Reference'!$A$8:$W$8,1,MOD($A86-1,23)+1)&amp;TEXT(AO$2+FLOOR((AO$2-1)/9,1),"000"),"")</f>
        <v>DR044</v>
      </c>
      <c r="AP86" s="21" t="str">
        <f>IF(INDEX('Shot Map'!$B$6:$V$26,CEILING($A86/5,1),CEILING(AP$2/5,1))=1,INDEX('Serial Reference'!$A$8:$W$8,1,FLOOR(($A86-1)/23,1)+1)&amp;INDEX('Serial Reference'!$A$8:$W$8,1,MOD($A86-1,23)+1)&amp;TEXT(AP$2+FLOOR((AP$2-1)/9,1),"000"),"")</f>
        <v>DR045</v>
      </c>
      <c r="AQ86" s="22" t="str">
        <f>IF(INDEX('Shot Map'!$B$6:$V$26,CEILING($A86/5,1),CEILING(AQ$2/5,1))=1,INDEX('Serial Reference'!$A$8:$W$8,1,FLOOR(($A86-1)/23,1)+1)&amp;INDEX('Serial Reference'!$A$8:$W$8,1,MOD($A86-1,23)+1)&amp;TEXT(AQ$2+FLOOR((AQ$2-1)/9,1),"000"),"")</f>
        <v>DR046</v>
      </c>
      <c r="AR86" s="22" t="str">
        <f>IF(INDEX('Shot Map'!$B$6:$V$26,CEILING($A86/5,1),CEILING(AR$2/5,1))=1,INDEX('Serial Reference'!$A$8:$W$8,1,FLOOR(($A86-1)/23,1)+1)&amp;INDEX('Serial Reference'!$A$8:$W$8,1,MOD($A86-1,23)+1)&amp;TEXT(AR$2+FLOOR((AR$2-1)/9,1),"000"),"")</f>
        <v>DR047</v>
      </c>
      <c r="AS86" s="22" t="str">
        <f>IF(INDEX('Shot Map'!$B$6:$V$26,CEILING($A86/5,1),CEILING(AS$2/5,1))=1,INDEX('Serial Reference'!$A$8:$W$8,1,FLOOR(($A86-1)/23,1)+1)&amp;INDEX('Serial Reference'!$A$8:$W$8,1,MOD($A86-1,23)+1)&amp;TEXT(AS$2+FLOOR((AS$2-1)/9,1),"000"),"")</f>
        <v>DR048</v>
      </c>
      <c r="AT86" s="23" t="str">
        <f>IF(INDEX('Shot Map'!$B$6:$V$26,CEILING($A86/5,1),CEILING(AT$2/5,1))=1,INDEX('Serial Reference'!$A$8:$W$8,1,FLOOR(($A86-1)/23,1)+1)&amp;INDEX('Serial Reference'!$A$8:$W$8,1,MOD($A86-1,23)+1)&amp;TEXT(AT$2+FLOOR((AT$2-1)/9,1),"000"),"")</f>
        <v>DR049</v>
      </c>
      <c r="AU86" s="21" t="str">
        <f>IF(INDEX('Shot Map'!$B$6:$V$26,CEILING($A86/5,1),CEILING(AU$2/5,1))=1,INDEX('Serial Reference'!$A$8:$W$8,1,FLOOR(($A86-1)/23,1)+1)&amp;INDEX('Serial Reference'!$A$8:$W$8,1,MOD($A86-1,23)+1)&amp;TEXT(AU$2+FLOOR((AU$2-1)/9,1),"000"),"")</f>
        <v>DR051</v>
      </c>
      <c r="AV86" s="22" t="str">
        <f>IF(INDEX('Shot Map'!$B$6:$V$26,CEILING($A86/5,1),CEILING(AV$2/5,1))=1,INDEX('Serial Reference'!$A$8:$W$8,1,FLOOR(($A86-1)/23,1)+1)&amp;INDEX('Serial Reference'!$A$8:$W$8,1,MOD($A86-1,23)+1)&amp;TEXT(AV$2+FLOOR((AV$2-1)/9,1),"000"),"")</f>
        <v>DR052</v>
      </c>
      <c r="AW86" s="22" t="str">
        <f>IF(INDEX('Shot Map'!$B$6:$V$26,CEILING($A86/5,1),CEILING(AW$2/5,1))=1,INDEX('Serial Reference'!$A$8:$W$8,1,FLOOR(($A86-1)/23,1)+1)&amp;INDEX('Serial Reference'!$A$8:$W$8,1,MOD($A86-1,23)+1)&amp;TEXT(AW$2+FLOOR((AW$2-1)/9,1),"000"),"")</f>
        <v>DR053</v>
      </c>
      <c r="AX86" s="22" t="str">
        <f>IF(INDEX('Shot Map'!$B$6:$V$26,CEILING($A86/5,1),CEILING(AX$2/5,1))=1,INDEX('Serial Reference'!$A$8:$W$8,1,FLOOR(($A86-1)/23,1)+1)&amp;INDEX('Serial Reference'!$A$8:$W$8,1,MOD($A86-1,23)+1)&amp;TEXT(AX$2+FLOOR((AX$2-1)/9,1),"000"),"")</f>
        <v>DR054</v>
      </c>
      <c r="AY86" s="23" t="str">
        <f>IF(INDEX('Shot Map'!$B$6:$V$26,CEILING($A86/5,1),CEILING(AY$2/5,1))=1,INDEX('Serial Reference'!$A$8:$W$8,1,FLOOR(($A86-1)/23,1)+1)&amp;INDEX('Serial Reference'!$A$8:$W$8,1,MOD($A86-1,23)+1)&amp;TEXT(AY$2+FLOOR((AY$2-1)/9,1),"000"),"")</f>
        <v>DR055</v>
      </c>
      <c r="AZ86" s="21" t="str">
        <f>IF(INDEX('Shot Map'!$B$6:$V$26,CEILING($A86/5,1),CEILING(AZ$2/5,1))=1,INDEX('Serial Reference'!$A$8:$W$8,1,FLOOR(($A86-1)/23,1)+1)&amp;INDEX('Serial Reference'!$A$8:$W$8,1,MOD($A86-1,23)+1)&amp;TEXT(AZ$2+FLOOR((AZ$2-1)/9,1),"000"),"")</f>
        <v>DR056</v>
      </c>
      <c r="BA86" s="22" t="str">
        <f>IF(INDEX('Shot Map'!$B$6:$V$26,CEILING($A86/5,1),CEILING(BA$2/5,1))=1,INDEX('Serial Reference'!$A$8:$W$8,1,FLOOR(($A86-1)/23,1)+1)&amp;INDEX('Serial Reference'!$A$8:$W$8,1,MOD($A86-1,23)+1)&amp;TEXT(BA$2+FLOOR((BA$2-1)/9,1),"000"),"")</f>
        <v>DR057</v>
      </c>
      <c r="BB86" s="22" t="str">
        <f>IF(INDEX('Shot Map'!$B$6:$V$26,CEILING($A86/5,1),CEILING(BB$2/5,1))=1,INDEX('Serial Reference'!$A$8:$W$8,1,FLOOR(($A86-1)/23,1)+1)&amp;INDEX('Serial Reference'!$A$8:$W$8,1,MOD($A86-1,23)+1)&amp;TEXT(BB$2+FLOOR((BB$2-1)/9,1),"000"),"")</f>
        <v>DR058</v>
      </c>
      <c r="BC86" s="22" t="str">
        <f>IF(INDEX('Shot Map'!$B$6:$V$26,CEILING($A86/5,1),CEILING(BC$2/5,1))=1,INDEX('Serial Reference'!$A$8:$W$8,1,FLOOR(($A86-1)/23,1)+1)&amp;INDEX('Serial Reference'!$A$8:$W$8,1,MOD($A86-1,23)+1)&amp;TEXT(BC$2+FLOOR((BC$2-1)/9,1),"000"),"")</f>
        <v>DR059</v>
      </c>
      <c r="BD86" s="23" t="str">
        <f>IF(INDEX('Shot Map'!$B$6:$V$26,CEILING($A86/5,1),CEILING(BD$2/5,1))=1,INDEX('Serial Reference'!$A$8:$W$8,1,FLOOR(($A86-1)/23,1)+1)&amp;INDEX('Serial Reference'!$A$8:$W$8,1,MOD($A86-1,23)+1)&amp;TEXT(BD$2+FLOOR((BD$2-1)/9,1),"000"),"")</f>
        <v>DR061</v>
      </c>
      <c r="BE86" s="21" t="str">
        <f>IF(INDEX('Shot Map'!$B$6:$V$26,CEILING($A86/5,1),CEILING(BE$2/5,1))=1,INDEX('Serial Reference'!$A$8:$W$8,1,FLOOR(($A86-1)/23,1)+1)&amp;INDEX('Serial Reference'!$A$8:$W$8,1,MOD($A86-1,23)+1)&amp;TEXT(BE$2+FLOOR((BE$2-1)/9,1),"000"),"")</f>
        <v>DR062</v>
      </c>
      <c r="BF86" s="22" t="str">
        <f>IF(INDEX('Shot Map'!$B$6:$V$26,CEILING($A86/5,1),CEILING(BF$2/5,1))=1,INDEX('Serial Reference'!$A$8:$W$8,1,FLOOR(($A86-1)/23,1)+1)&amp;INDEX('Serial Reference'!$A$8:$W$8,1,MOD($A86-1,23)+1)&amp;TEXT(BF$2+FLOOR((BF$2-1)/9,1),"000"),"")</f>
        <v>DR063</v>
      </c>
      <c r="BG86" s="22" t="str">
        <f>IF(INDEX('Shot Map'!$B$6:$V$26,CEILING($A86/5,1),CEILING(BG$2/5,1))=1,INDEX('Serial Reference'!$A$8:$W$8,1,FLOOR(($A86-1)/23,1)+1)&amp;INDEX('Serial Reference'!$A$8:$W$8,1,MOD($A86-1,23)+1)&amp;TEXT(BG$2+FLOOR((BG$2-1)/9,1),"000"),"")</f>
        <v>DR064</v>
      </c>
      <c r="BH86" s="22" t="str">
        <f>IF(INDEX('Shot Map'!$B$6:$V$26,CEILING($A86/5,1),CEILING(BH$2/5,1))=1,INDEX('Serial Reference'!$A$8:$W$8,1,FLOOR(($A86-1)/23,1)+1)&amp;INDEX('Serial Reference'!$A$8:$W$8,1,MOD($A86-1,23)+1)&amp;TEXT(BH$2+FLOOR((BH$2-1)/9,1),"000"),"")</f>
        <v>DR065</v>
      </c>
      <c r="BI86" s="23" t="str">
        <f>IF(INDEX('Shot Map'!$B$6:$V$26,CEILING($A86/5,1),CEILING(BI$2/5,1))=1,INDEX('Serial Reference'!$A$8:$W$8,1,FLOOR(($A86-1)/23,1)+1)&amp;INDEX('Serial Reference'!$A$8:$W$8,1,MOD($A86-1,23)+1)&amp;TEXT(BI$2+FLOOR((BI$2-1)/9,1),"000"),"")</f>
        <v>DR066</v>
      </c>
      <c r="BJ86" s="21" t="str">
        <f>IF(INDEX('Shot Map'!$B$6:$V$26,CEILING($A86/5,1),CEILING(BJ$2/5,1))=1,INDEX('Serial Reference'!$A$8:$W$8,1,FLOOR(($A86-1)/23,1)+1)&amp;INDEX('Serial Reference'!$A$8:$W$8,1,MOD($A86-1,23)+1)&amp;TEXT(BJ$2+FLOOR((BJ$2-1)/9,1),"000"),"")</f>
        <v>DR067</v>
      </c>
      <c r="BK86" s="22" t="str">
        <f>IF(INDEX('Shot Map'!$B$6:$V$26,CEILING($A86/5,1),CEILING(BK$2/5,1))=1,INDEX('Serial Reference'!$A$8:$W$8,1,FLOOR(($A86-1)/23,1)+1)&amp;INDEX('Serial Reference'!$A$8:$W$8,1,MOD($A86-1,23)+1)&amp;TEXT(BK$2+FLOOR((BK$2-1)/9,1),"000"),"")</f>
        <v>DR068</v>
      </c>
      <c r="BL86" s="22" t="str">
        <f>IF(INDEX('Shot Map'!$B$6:$V$26,CEILING($A86/5,1),CEILING(BL$2/5,1))=1,INDEX('Serial Reference'!$A$8:$W$8,1,FLOOR(($A86-1)/23,1)+1)&amp;INDEX('Serial Reference'!$A$8:$W$8,1,MOD($A86-1,23)+1)&amp;TEXT(BL$2+FLOOR((BL$2-1)/9,1),"000"),"")</f>
        <v>DR069</v>
      </c>
      <c r="BM86" s="22" t="str">
        <f>IF(INDEX('Shot Map'!$B$6:$V$26,CEILING($A86/5,1),CEILING(BM$2/5,1))=1,INDEX('Serial Reference'!$A$8:$W$8,1,FLOOR(($A86-1)/23,1)+1)&amp;INDEX('Serial Reference'!$A$8:$W$8,1,MOD($A86-1,23)+1)&amp;TEXT(BM$2+FLOOR((BM$2-1)/9,1),"000"),"")</f>
        <v>DR071</v>
      </c>
      <c r="BN86" s="23" t="str">
        <f>IF(INDEX('Shot Map'!$B$6:$V$26,CEILING($A86/5,1),CEILING(BN$2/5,1))=1,INDEX('Serial Reference'!$A$8:$W$8,1,FLOOR(($A86-1)/23,1)+1)&amp;INDEX('Serial Reference'!$A$8:$W$8,1,MOD($A86-1,23)+1)&amp;TEXT(BN$2+FLOOR((BN$2-1)/9,1),"000"),"")</f>
        <v>DR072</v>
      </c>
      <c r="BO86" s="21" t="str">
        <f>IF(INDEX('Shot Map'!$B$6:$V$26,CEILING($A86/5,1),CEILING(BO$2/5,1))=1,INDEX('Serial Reference'!$A$8:$W$8,1,FLOOR(($A86-1)/23,1)+1)&amp;INDEX('Serial Reference'!$A$8:$W$8,1,MOD($A86-1,23)+1)&amp;TEXT(BO$2+FLOOR((BO$2-1)/9,1),"000"),"")</f>
        <v>DR073</v>
      </c>
      <c r="BP86" s="22" t="str">
        <f>IF(INDEX('Shot Map'!$B$6:$V$26,CEILING($A86/5,1),CEILING(BP$2/5,1))=1,INDEX('Serial Reference'!$A$8:$W$8,1,FLOOR(($A86-1)/23,1)+1)&amp;INDEX('Serial Reference'!$A$8:$W$8,1,MOD($A86-1,23)+1)&amp;TEXT(BP$2+FLOOR((BP$2-1)/9,1),"000"),"")</f>
        <v>DR074</v>
      </c>
      <c r="BQ86" s="22" t="str">
        <f>IF(INDEX('Shot Map'!$B$6:$V$26,CEILING($A86/5,1),CEILING(BQ$2/5,1))=1,INDEX('Serial Reference'!$A$8:$W$8,1,FLOOR(($A86-1)/23,1)+1)&amp;INDEX('Serial Reference'!$A$8:$W$8,1,MOD($A86-1,23)+1)&amp;TEXT(BQ$2+FLOOR((BQ$2-1)/9,1),"000"),"")</f>
        <v>DR075</v>
      </c>
      <c r="BR86" s="22" t="str">
        <f>IF(INDEX('Shot Map'!$B$6:$V$26,CEILING($A86/5,1),CEILING(BR$2/5,1))=1,INDEX('Serial Reference'!$A$8:$W$8,1,FLOOR(($A86-1)/23,1)+1)&amp;INDEX('Serial Reference'!$A$8:$W$8,1,MOD($A86-1,23)+1)&amp;TEXT(BR$2+FLOOR((BR$2-1)/9,1),"000"),"")</f>
        <v>DR076</v>
      </c>
      <c r="BS86" s="23" t="str">
        <f>IF(INDEX('Shot Map'!$B$6:$V$26,CEILING($A86/5,1),CEILING(BS$2/5,1))=1,INDEX('Serial Reference'!$A$8:$W$8,1,FLOOR(($A86-1)/23,1)+1)&amp;INDEX('Serial Reference'!$A$8:$W$8,1,MOD($A86-1,23)+1)&amp;TEXT(BS$2+FLOOR((BS$2-1)/9,1),"000"),"")</f>
        <v>DR077</v>
      </c>
      <c r="BT86" s="21" t="str">
        <f>IF(INDEX('Shot Map'!$B$6:$V$26,CEILING($A86/5,1),CEILING(BT$2/5,1))=1,INDEX('Serial Reference'!$A$8:$W$8,1,FLOOR(($A86-1)/23,1)+1)&amp;INDEX('Serial Reference'!$A$8:$W$8,1,MOD($A86-1,23)+1)&amp;TEXT(BT$2+FLOOR((BT$2-1)/9,1),"000"),"")</f>
        <v>DR078</v>
      </c>
      <c r="BU86" s="22" t="str">
        <f>IF(INDEX('Shot Map'!$B$6:$V$26,CEILING($A86/5,1),CEILING(BU$2/5,1))=1,INDEX('Serial Reference'!$A$8:$W$8,1,FLOOR(($A86-1)/23,1)+1)&amp;INDEX('Serial Reference'!$A$8:$W$8,1,MOD($A86-1,23)+1)&amp;TEXT(BU$2+FLOOR((BU$2-1)/9,1),"000"),"")</f>
        <v>DR079</v>
      </c>
      <c r="BV86" s="22" t="str">
        <f>IF(INDEX('Shot Map'!$B$6:$V$26,CEILING($A86/5,1),CEILING(BV$2/5,1))=1,INDEX('Serial Reference'!$A$8:$W$8,1,FLOOR(($A86-1)/23,1)+1)&amp;INDEX('Serial Reference'!$A$8:$W$8,1,MOD($A86-1,23)+1)&amp;TEXT(BV$2+FLOOR((BV$2-1)/9,1),"000"),"")</f>
        <v>DR081</v>
      </c>
      <c r="BW86" s="22" t="str">
        <f>IF(INDEX('Shot Map'!$B$6:$V$26,CEILING($A86/5,1),CEILING(BW$2/5,1))=1,INDEX('Serial Reference'!$A$8:$W$8,1,FLOOR(($A86-1)/23,1)+1)&amp;INDEX('Serial Reference'!$A$8:$W$8,1,MOD($A86-1,23)+1)&amp;TEXT(BW$2+FLOOR((BW$2-1)/9,1),"000"),"")</f>
        <v>DR082</v>
      </c>
      <c r="BX86" s="23" t="str">
        <f>IF(INDEX('Shot Map'!$B$6:$V$26,CEILING($A86/5,1),CEILING(BX$2/5,1))=1,INDEX('Serial Reference'!$A$8:$W$8,1,FLOOR(($A86-1)/23,1)+1)&amp;INDEX('Serial Reference'!$A$8:$W$8,1,MOD($A86-1,23)+1)&amp;TEXT(BX$2+FLOOR((BX$2-1)/9,1),"000"),"")</f>
        <v>DR083</v>
      </c>
      <c r="BY86" s="21" t="str">
        <f>IF(INDEX('Shot Map'!$B$6:$V$26,CEILING($A86/5,1),CEILING(BY$2/5,1))=1,INDEX('Serial Reference'!$A$8:$W$8,1,FLOOR(($A86-1)/23,1)+1)&amp;INDEX('Serial Reference'!$A$8:$W$8,1,MOD($A86-1,23)+1)&amp;TEXT(BY$2+FLOOR((BY$2-1)/9,1),"000"),"")</f>
        <v>DR084</v>
      </c>
      <c r="BZ86" s="22" t="str">
        <f>IF(INDEX('Shot Map'!$B$6:$V$26,CEILING($A86/5,1),CEILING(BZ$2/5,1))=1,INDEX('Serial Reference'!$A$8:$W$8,1,FLOOR(($A86-1)/23,1)+1)&amp;INDEX('Serial Reference'!$A$8:$W$8,1,MOD($A86-1,23)+1)&amp;TEXT(BZ$2+FLOOR((BZ$2-1)/9,1),"000"),"")</f>
        <v>DR085</v>
      </c>
      <c r="CA86" s="22" t="str">
        <f>IF(INDEX('Shot Map'!$B$6:$V$26,CEILING($A86/5,1),CEILING(CA$2/5,1))=1,INDEX('Serial Reference'!$A$8:$W$8,1,FLOOR(($A86-1)/23,1)+1)&amp;INDEX('Serial Reference'!$A$8:$W$8,1,MOD($A86-1,23)+1)&amp;TEXT(CA$2+FLOOR((CA$2-1)/9,1),"000"),"")</f>
        <v>DR086</v>
      </c>
      <c r="CB86" s="22" t="str">
        <f>IF(INDEX('Shot Map'!$B$6:$V$26,CEILING($A86/5,1),CEILING(CB$2/5,1))=1,INDEX('Serial Reference'!$A$8:$W$8,1,FLOOR(($A86-1)/23,1)+1)&amp;INDEX('Serial Reference'!$A$8:$W$8,1,MOD($A86-1,23)+1)&amp;TEXT(CB$2+FLOOR((CB$2-1)/9,1),"000"),"")</f>
        <v>DR087</v>
      </c>
      <c r="CC86" s="23" t="str">
        <f>IF(INDEX('Shot Map'!$B$6:$V$26,CEILING($A86/5,1),CEILING(CC$2/5,1))=1,INDEX('Serial Reference'!$A$8:$W$8,1,FLOOR(($A86-1)/23,1)+1)&amp;INDEX('Serial Reference'!$A$8:$W$8,1,MOD($A86-1,23)+1)&amp;TEXT(CC$2+FLOOR((CC$2-1)/9,1),"000"),"")</f>
        <v>DR088</v>
      </c>
      <c r="CD86" s="21" t="str">
        <f>IF(INDEX('Shot Map'!$B$6:$V$26,CEILING($A86/5,1),CEILING(CD$2/5,1))=1,INDEX('Serial Reference'!$A$8:$W$8,1,FLOOR(($A86-1)/23,1)+1)&amp;INDEX('Serial Reference'!$A$8:$W$8,1,MOD($A86-1,23)+1)&amp;TEXT(CD$2+FLOOR((CD$2-1)/9,1),"000"),"")</f>
        <v>DR089</v>
      </c>
      <c r="CE86" s="22" t="str">
        <f>IF(INDEX('Shot Map'!$B$6:$V$26,CEILING($A86/5,1),CEILING(CE$2/5,1))=1,INDEX('Serial Reference'!$A$8:$W$8,1,FLOOR(($A86-1)/23,1)+1)&amp;INDEX('Serial Reference'!$A$8:$W$8,1,MOD($A86-1,23)+1)&amp;TEXT(CE$2+FLOOR((CE$2-1)/9,1),"000"),"")</f>
        <v>DR091</v>
      </c>
      <c r="CF86" s="22" t="str">
        <f>IF(INDEX('Shot Map'!$B$6:$V$26,CEILING($A86/5,1),CEILING(CF$2/5,1))=1,INDEX('Serial Reference'!$A$8:$W$8,1,FLOOR(($A86-1)/23,1)+1)&amp;INDEX('Serial Reference'!$A$8:$W$8,1,MOD($A86-1,23)+1)&amp;TEXT(CF$2+FLOOR((CF$2-1)/9,1),"000"),"")</f>
        <v>DR092</v>
      </c>
      <c r="CG86" s="22" t="str">
        <f>IF(INDEX('Shot Map'!$B$6:$V$26,CEILING($A86/5,1),CEILING(CG$2/5,1))=1,INDEX('Serial Reference'!$A$8:$W$8,1,FLOOR(($A86-1)/23,1)+1)&amp;INDEX('Serial Reference'!$A$8:$W$8,1,MOD($A86-1,23)+1)&amp;TEXT(CG$2+FLOOR((CG$2-1)/9,1),"000"),"")</f>
        <v>DR093</v>
      </c>
      <c r="CH86" s="23" t="str">
        <f>IF(INDEX('Shot Map'!$B$6:$V$26,CEILING($A86/5,1),CEILING(CH$2/5,1))=1,INDEX('Serial Reference'!$A$8:$W$8,1,FLOOR(($A86-1)/23,1)+1)&amp;INDEX('Serial Reference'!$A$8:$W$8,1,MOD($A86-1,23)+1)&amp;TEXT(CH$2+FLOOR((CH$2-1)/9,1),"000"),"")</f>
        <v>DR094</v>
      </c>
      <c r="CI86" s="21" t="str">
        <f>IF(INDEX('Shot Map'!$B$6:$V$26,CEILING($A86/5,1),CEILING(CI$2/5,1))=1,INDEX('Serial Reference'!$A$8:$W$8,1,FLOOR(($A86-1)/23,1)+1)&amp;INDEX('Serial Reference'!$A$8:$W$8,1,MOD($A86-1,23)+1)&amp;TEXT(CI$2+FLOOR((CI$2-1)/9,1),"000"),"")</f>
        <v>DR095</v>
      </c>
      <c r="CJ86" s="22" t="str">
        <f>IF(INDEX('Shot Map'!$B$6:$V$26,CEILING($A86/5,1),CEILING(CJ$2/5,1))=1,INDEX('Serial Reference'!$A$8:$W$8,1,FLOOR(($A86-1)/23,1)+1)&amp;INDEX('Serial Reference'!$A$8:$W$8,1,MOD($A86-1,23)+1)&amp;TEXT(CJ$2+FLOOR((CJ$2-1)/9,1),"000"),"")</f>
        <v>DR096</v>
      </c>
      <c r="CK86" s="22" t="str">
        <f>IF(INDEX('Shot Map'!$B$6:$V$26,CEILING($A86/5,1),CEILING(CK$2/5,1))=1,INDEX('Serial Reference'!$A$8:$W$8,1,FLOOR(($A86-1)/23,1)+1)&amp;INDEX('Serial Reference'!$A$8:$W$8,1,MOD($A86-1,23)+1)&amp;TEXT(CK$2+FLOOR((CK$2-1)/9,1),"000"),"")</f>
        <v>DR097</v>
      </c>
      <c r="CL86" s="22" t="str">
        <f>IF(INDEX('Shot Map'!$B$6:$V$26,CEILING($A86/5,1),CEILING(CL$2/5,1))=1,INDEX('Serial Reference'!$A$8:$W$8,1,FLOOR(($A86-1)/23,1)+1)&amp;INDEX('Serial Reference'!$A$8:$W$8,1,MOD($A86-1,23)+1)&amp;TEXT(CL$2+FLOOR((CL$2-1)/9,1),"000"),"")</f>
        <v>DR098</v>
      </c>
      <c r="CM86" s="23" t="str">
        <f>IF(INDEX('Shot Map'!$B$6:$V$26,CEILING($A86/5,1),CEILING(CM$2/5,1))=1,INDEX('Serial Reference'!$A$8:$W$8,1,FLOOR(($A86-1)/23,1)+1)&amp;INDEX('Serial Reference'!$A$8:$W$8,1,MOD($A86-1,23)+1)&amp;TEXT(CM$2+FLOOR((CM$2-1)/9,1),"000"),"")</f>
        <v>DR099</v>
      </c>
      <c r="CN86" s="21" t="str">
        <f>IF(INDEX('Shot Map'!$B$6:$V$26,CEILING($A86/5,1),CEILING(CN$2/5,1))=1,INDEX('Serial Reference'!$A$8:$W$8,1,FLOOR(($A86-1)/23,1)+1)&amp;INDEX('Serial Reference'!$A$8:$W$8,1,MOD($A86-1,23)+1)&amp;TEXT(CN$2+FLOOR((CN$2-1)/9,1),"000"),"")</f>
        <v>DR101</v>
      </c>
      <c r="CO86" s="22" t="str">
        <f>IF(INDEX('Shot Map'!$B$6:$V$26,CEILING($A86/5,1),CEILING(CO$2/5,1))=1,INDEX('Serial Reference'!$A$8:$W$8,1,FLOOR(($A86-1)/23,1)+1)&amp;INDEX('Serial Reference'!$A$8:$W$8,1,MOD($A86-1,23)+1)&amp;TEXT(CO$2+FLOOR((CO$2-1)/9,1),"000"),"")</f>
        <v>DR102</v>
      </c>
      <c r="CP86" s="22" t="str">
        <f>IF(INDEX('Shot Map'!$B$6:$V$26,CEILING($A86/5,1),CEILING(CP$2/5,1))=1,INDEX('Serial Reference'!$A$8:$W$8,1,FLOOR(($A86-1)/23,1)+1)&amp;INDEX('Serial Reference'!$A$8:$W$8,1,MOD($A86-1,23)+1)&amp;TEXT(CP$2+FLOOR((CP$2-1)/9,1),"000"),"")</f>
        <v>DR103</v>
      </c>
      <c r="CQ86" s="22" t="str">
        <f>IF(INDEX('Shot Map'!$B$6:$V$26,CEILING($A86/5,1),CEILING(CQ$2/5,1))=1,INDEX('Serial Reference'!$A$8:$W$8,1,FLOOR(($A86-1)/23,1)+1)&amp;INDEX('Serial Reference'!$A$8:$W$8,1,MOD($A86-1,23)+1)&amp;TEXT(CQ$2+FLOOR((CQ$2-1)/9,1),"000"),"")</f>
        <v>DR104</v>
      </c>
      <c r="CR86" s="23" t="str">
        <f>IF(INDEX('Shot Map'!$B$6:$V$26,CEILING($A86/5,1),CEILING(CR$2/5,1))=1,INDEX('Serial Reference'!$A$8:$W$8,1,FLOOR(($A86-1)/23,1)+1)&amp;INDEX('Serial Reference'!$A$8:$W$8,1,MOD($A86-1,23)+1)&amp;TEXT(CR$2+FLOOR((CR$2-1)/9,1),"000"),"")</f>
        <v>DR105</v>
      </c>
      <c r="CS86" s="21" t="str">
        <f>IF(INDEX('Shot Map'!$B$6:$V$26,CEILING($A86/5,1),CEILING(CS$2/5,1))=1,INDEX('Serial Reference'!$A$8:$W$8,1,FLOOR(($A86-1)/23,1)+1)&amp;INDEX('Serial Reference'!$A$8:$W$8,1,MOD($A86-1,23)+1)&amp;TEXT(CS$2+FLOOR((CS$2-1)/9,1),"000"),"")</f>
        <v/>
      </c>
      <c r="CT86" s="22" t="str">
        <f>IF(INDEX('Shot Map'!$B$6:$V$26,CEILING($A86/5,1),CEILING(CT$2/5,1))=1,INDEX('Serial Reference'!$A$8:$W$8,1,FLOOR(($A86-1)/23,1)+1)&amp;INDEX('Serial Reference'!$A$8:$W$8,1,MOD($A86-1,23)+1)&amp;TEXT(CT$2+FLOOR((CT$2-1)/9,1),"000"),"")</f>
        <v/>
      </c>
      <c r="CU86" s="22" t="str">
        <f>IF(INDEX('Shot Map'!$B$6:$V$26,CEILING($A86/5,1),CEILING(CU$2/5,1))=1,INDEX('Serial Reference'!$A$8:$W$8,1,FLOOR(($A86-1)/23,1)+1)&amp;INDEX('Serial Reference'!$A$8:$W$8,1,MOD($A86-1,23)+1)&amp;TEXT(CU$2+FLOOR((CU$2-1)/9,1),"000"),"")</f>
        <v/>
      </c>
      <c r="CV86" s="22" t="str">
        <f>IF(INDEX('Shot Map'!$B$6:$V$26,CEILING($A86/5,1),CEILING(CV$2/5,1))=1,INDEX('Serial Reference'!$A$8:$W$8,1,FLOOR(($A86-1)/23,1)+1)&amp;INDEX('Serial Reference'!$A$8:$W$8,1,MOD($A86-1,23)+1)&amp;TEXT(CV$2+FLOOR((CV$2-1)/9,1),"000"),"")</f>
        <v/>
      </c>
      <c r="CW86" s="23" t="str">
        <f>IF(INDEX('Shot Map'!$B$6:$V$26,CEILING($A86/5,1),CEILING(CW$2/5,1))=1,INDEX('Serial Reference'!$A$8:$W$8,1,FLOOR(($A86-1)/23,1)+1)&amp;INDEX('Serial Reference'!$A$8:$W$8,1,MOD($A86-1,23)+1)&amp;TEXT(CW$2+FLOOR((CW$2-1)/9,1),"000"),"")</f>
        <v/>
      </c>
      <c r="CX86" s="21" t="str">
        <f>IF(INDEX('Shot Map'!$B$6:$V$26,CEILING($A86/5,1),CEILING(CX$2/5,1))=1,INDEX('Serial Reference'!$A$8:$W$8,1,FLOOR(($A86-1)/23,1)+1)&amp;INDEX('Serial Reference'!$A$8:$W$8,1,MOD($A86-1,23)+1)&amp;TEXT(CX$2+FLOOR((CX$2-1)/9,1),"000"),"")</f>
        <v/>
      </c>
      <c r="CY86" s="22" t="str">
        <f>IF(INDEX('Shot Map'!$B$6:$V$26,CEILING($A86/5,1),CEILING(CY$2/5,1))=1,INDEX('Serial Reference'!$A$8:$W$8,1,FLOOR(($A86-1)/23,1)+1)&amp;INDEX('Serial Reference'!$A$8:$W$8,1,MOD($A86-1,23)+1)&amp;TEXT(CY$2+FLOOR((CY$2-1)/9,1),"000"),"")</f>
        <v/>
      </c>
      <c r="CZ86" s="22" t="str">
        <f>IF(INDEX('Shot Map'!$B$6:$V$26,CEILING($A86/5,1),CEILING(CZ$2/5,1))=1,INDEX('Serial Reference'!$A$8:$W$8,1,FLOOR(($A86-1)/23,1)+1)&amp;INDEX('Serial Reference'!$A$8:$W$8,1,MOD($A86-1,23)+1)&amp;TEXT(CZ$2+FLOOR((CZ$2-1)/9,1),"000"),"")</f>
        <v/>
      </c>
      <c r="DA86" s="22" t="str">
        <f>IF(INDEX('Shot Map'!$B$6:$V$26,CEILING($A86/5,1),CEILING(DA$2/5,1))=1,INDEX('Serial Reference'!$A$8:$W$8,1,FLOOR(($A86-1)/23,1)+1)&amp;INDEX('Serial Reference'!$A$8:$W$8,1,MOD($A86-1,23)+1)&amp;TEXT(DA$2+FLOOR((DA$2-1)/9,1),"000"),"")</f>
        <v/>
      </c>
      <c r="DB86" s="23" t="str">
        <f>IF(INDEX('Shot Map'!$B$6:$V$26,CEILING($A86/5,1),CEILING(DB$2/5,1))=1,INDEX('Serial Reference'!$A$8:$W$8,1,FLOOR(($A86-1)/23,1)+1)&amp;INDEX('Serial Reference'!$A$8:$W$8,1,MOD($A86-1,23)+1)&amp;TEXT(DB$2+FLOOR((DB$2-1)/9,1),"000"),"")</f>
        <v/>
      </c>
    </row>
    <row r="87" spans="1:106" ht="12.75" customHeight="1" x14ac:dyDescent="0.25">
      <c r="A87" s="17">
        <v>85</v>
      </c>
      <c r="B87" s="24" t="str">
        <f>IF(INDEX('Shot Map'!$B$6:$V$26,CEILING($A87/5,1),CEILING(B$2/5,1))=1,INDEX('Serial Reference'!$A$8:$W$8,1,FLOOR(($A87-1)/23,1)+1)&amp;INDEX('Serial Reference'!$A$8:$W$8,1,MOD($A87-1,23)+1)&amp;TEXT(B$2+FLOOR((B$2-1)/9,1),"000"),"")</f>
        <v/>
      </c>
      <c r="C87" s="25" t="str">
        <f>IF(INDEX('Shot Map'!$B$6:$V$26,CEILING($A87/5,1),CEILING(C$2/5,1))=1,INDEX('Serial Reference'!$A$8:$W$8,1,FLOOR(($A87-1)/23,1)+1)&amp;INDEX('Serial Reference'!$A$8:$W$8,1,MOD($A87-1,23)+1)&amp;TEXT(C$2+FLOOR((C$2-1)/9,1),"000"),"")</f>
        <v/>
      </c>
      <c r="D87" s="25" t="str">
        <f>IF(INDEX('Shot Map'!$B$6:$V$26,CEILING($A87/5,1),CEILING(D$2/5,1))=1,INDEX('Serial Reference'!$A$8:$W$8,1,FLOOR(($A87-1)/23,1)+1)&amp;INDEX('Serial Reference'!$A$8:$W$8,1,MOD($A87-1,23)+1)&amp;TEXT(D$2+FLOOR((D$2-1)/9,1),"000"),"")</f>
        <v/>
      </c>
      <c r="E87" s="25" t="str">
        <f>IF(INDEX('Shot Map'!$B$6:$V$26,CEILING($A87/5,1),CEILING(E$2/5,1))=1,INDEX('Serial Reference'!$A$8:$W$8,1,FLOOR(($A87-1)/23,1)+1)&amp;INDEX('Serial Reference'!$A$8:$W$8,1,MOD($A87-1,23)+1)&amp;TEXT(E$2+FLOOR((E$2-1)/9,1),"000"),"")</f>
        <v/>
      </c>
      <c r="F87" s="26" t="str">
        <f>IF(INDEX('Shot Map'!$B$6:$V$26,CEILING($A87/5,1),CEILING(F$2/5,1))=1,INDEX('Serial Reference'!$A$8:$W$8,1,FLOOR(($A87-1)/23,1)+1)&amp;INDEX('Serial Reference'!$A$8:$W$8,1,MOD($A87-1,23)+1)&amp;TEXT(F$2+FLOOR((F$2-1)/9,1),"000"),"")</f>
        <v/>
      </c>
      <c r="G87" s="24" t="str">
        <f>IF(INDEX('Shot Map'!$B$6:$V$26,CEILING($A87/5,1),CEILING(G$2/5,1))=1,INDEX('Serial Reference'!$A$8:$W$8,1,FLOOR(($A87-1)/23,1)+1)&amp;INDEX('Serial Reference'!$A$8:$W$8,1,MOD($A87-1,23)+1)&amp;TEXT(G$2+FLOOR((G$2-1)/9,1),"000"),"")</f>
        <v/>
      </c>
      <c r="H87" s="25" t="str">
        <f>IF(INDEX('Shot Map'!$B$6:$V$26,CEILING($A87/5,1),CEILING(H$2/5,1))=1,INDEX('Serial Reference'!$A$8:$W$8,1,FLOOR(($A87-1)/23,1)+1)&amp;INDEX('Serial Reference'!$A$8:$W$8,1,MOD($A87-1,23)+1)&amp;TEXT(H$2+FLOOR((H$2-1)/9,1),"000"),"")</f>
        <v/>
      </c>
      <c r="I87" s="25" t="str">
        <f>IF(INDEX('Shot Map'!$B$6:$V$26,CEILING($A87/5,1),CEILING(I$2/5,1))=1,INDEX('Serial Reference'!$A$8:$W$8,1,FLOOR(($A87-1)/23,1)+1)&amp;INDEX('Serial Reference'!$A$8:$W$8,1,MOD($A87-1,23)+1)&amp;TEXT(I$2+FLOOR((I$2-1)/9,1),"000"),"")</f>
        <v/>
      </c>
      <c r="J87" s="25" t="str">
        <f>IF(INDEX('Shot Map'!$B$6:$V$26,CEILING($A87/5,1),CEILING(J$2/5,1))=1,INDEX('Serial Reference'!$A$8:$W$8,1,FLOOR(($A87-1)/23,1)+1)&amp;INDEX('Serial Reference'!$A$8:$W$8,1,MOD($A87-1,23)+1)&amp;TEXT(J$2+FLOOR((J$2-1)/9,1),"000"),"")</f>
        <v/>
      </c>
      <c r="K87" s="26" t="str">
        <f>IF(INDEX('Shot Map'!$B$6:$V$26,CEILING($A87/5,1),CEILING(K$2/5,1))=1,INDEX('Serial Reference'!$A$8:$W$8,1,FLOOR(($A87-1)/23,1)+1)&amp;INDEX('Serial Reference'!$A$8:$W$8,1,MOD($A87-1,23)+1)&amp;TEXT(K$2+FLOOR((K$2-1)/9,1),"000"),"")</f>
        <v/>
      </c>
      <c r="L87" s="24" t="str">
        <f>IF(INDEX('Shot Map'!$B$6:$V$26,CEILING($A87/5,1),CEILING(L$2/5,1))=1,INDEX('Serial Reference'!$A$8:$W$8,1,FLOOR(($A87-1)/23,1)+1)&amp;INDEX('Serial Reference'!$A$8:$W$8,1,MOD($A87-1,23)+1)&amp;TEXT(L$2+FLOOR((L$2-1)/9,1),"000"),"")</f>
        <v>DS012</v>
      </c>
      <c r="M87" s="25" t="str">
        <f>IF(INDEX('Shot Map'!$B$6:$V$26,CEILING($A87/5,1),CEILING(M$2/5,1))=1,INDEX('Serial Reference'!$A$8:$W$8,1,FLOOR(($A87-1)/23,1)+1)&amp;INDEX('Serial Reference'!$A$8:$W$8,1,MOD($A87-1,23)+1)&amp;TEXT(M$2+FLOOR((M$2-1)/9,1),"000"),"")</f>
        <v>DS013</v>
      </c>
      <c r="N87" s="25" t="str">
        <f>IF(INDEX('Shot Map'!$B$6:$V$26,CEILING($A87/5,1),CEILING(N$2/5,1))=1,INDEX('Serial Reference'!$A$8:$W$8,1,FLOOR(($A87-1)/23,1)+1)&amp;INDEX('Serial Reference'!$A$8:$W$8,1,MOD($A87-1,23)+1)&amp;TEXT(N$2+FLOOR((N$2-1)/9,1),"000"),"")</f>
        <v>DS014</v>
      </c>
      <c r="O87" s="25" t="str">
        <f>IF(INDEX('Shot Map'!$B$6:$V$26,CEILING($A87/5,1),CEILING(O$2/5,1))=1,INDEX('Serial Reference'!$A$8:$W$8,1,FLOOR(($A87-1)/23,1)+1)&amp;INDEX('Serial Reference'!$A$8:$W$8,1,MOD($A87-1,23)+1)&amp;TEXT(O$2+FLOOR((O$2-1)/9,1),"000"),"")</f>
        <v>DS015</v>
      </c>
      <c r="P87" s="26" t="str">
        <f>IF(INDEX('Shot Map'!$B$6:$V$26,CEILING($A87/5,1),CEILING(P$2/5,1))=1,INDEX('Serial Reference'!$A$8:$W$8,1,FLOOR(($A87-1)/23,1)+1)&amp;INDEX('Serial Reference'!$A$8:$W$8,1,MOD($A87-1,23)+1)&amp;TEXT(P$2+FLOOR((P$2-1)/9,1),"000"),"")</f>
        <v>DS016</v>
      </c>
      <c r="Q87" s="24" t="str">
        <f>IF(INDEX('Shot Map'!$B$6:$V$26,CEILING($A87/5,1),CEILING(Q$2/5,1))=1,INDEX('Serial Reference'!$A$8:$W$8,1,FLOOR(($A87-1)/23,1)+1)&amp;INDEX('Serial Reference'!$A$8:$W$8,1,MOD($A87-1,23)+1)&amp;TEXT(Q$2+FLOOR((Q$2-1)/9,1),"000"),"")</f>
        <v>DS017</v>
      </c>
      <c r="R87" s="25" t="str">
        <f>IF(INDEX('Shot Map'!$B$6:$V$26,CEILING($A87/5,1),CEILING(R$2/5,1))=1,INDEX('Serial Reference'!$A$8:$W$8,1,FLOOR(($A87-1)/23,1)+1)&amp;INDEX('Serial Reference'!$A$8:$W$8,1,MOD($A87-1,23)+1)&amp;TEXT(R$2+FLOOR((R$2-1)/9,1),"000"),"")</f>
        <v>DS018</v>
      </c>
      <c r="S87" s="25" t="str">
        <f>IF(INDEX('Shot Map'!$B$6:$V$26,CEILING($A87/5,1),CEILING(S$2/5,1))=1,INDEX('Serial Reference'!$A$8:$W$8,1,FLOOR(($A87-1)/23,1)+1)&amp;INDEX('Serial Reference'!$A$8:$W$8,1,MOD($A87-1,23)+1)&amp;TEXT(S$2+FLOOR((S$2-1)/9,1),"000"),"")</f>
        <v>DS019</v>
      </c>
      <c r="T87" s="25" t="str">
        <f>IF(INDEX('Shot Map'!$B$6:$V$26,CEILING($A87/5,1),CEILING(T$2/5,1))=1,INDEX('Serial Reference'!$A$8:$W$8,1,FLOOR(($A87-1)/23,1)+1)&amp;INDEX('Serial Reference'!$A$8:$W$8,1,MOD($A87-1,23)+1)&amp;TEXT(T$2+FLOOR((T$2-1)/9,1),"000"),"")</f>
        <v>DS021</v>
      </c>
      <c r="U87" s="26" t="str">
        <f>IF(INDEX('Shot Map'!$B$6:$V$26,CEILING($A87/5,1),CEILING(U$2/5,1))=1,INDEX('Serial Reference'!$A$8:$W$8,1,FLOOR(($A87-1)/23,1)+1)&amp;INDEX('Serial Reference'!$A$8:$W$8,1,MOD($A87-1,23)+1)&amp;TEXT(U$2+FLOOR((U$2-1)/9,1),"000"),"")</f>
        <v>DS022</v>
      </c>
      <c r="V87" s="24" t="str">
        <f>IF(INDEX('Shot Map'!$B$6:$V$26,CEILING($A87/5,1),CEILING(V$2/5,1))=1,INDEX('Serial Reference'!$A$8:$W$8,1,FLOOR(($A87-1)/23,1)+1)&amp;INDEX('Serial Reference'!$A$8:$W$8,1,MOD($A87-1,23)+1)&amp;TEXT(V$2+FLOOR((V$2-1)/9,1),"000"),"")</f>
        <v>DS023</v>
      </c>
      <c r="W87" s="25" t="str">
        <f>IF(INDEX('Shot Map'!$B$6:$V$26,CEILING($A87/5,1),CEILING(W$2/5,1))=1,INDEX('Serial Reference'!$A$8:$W$8,1,FLOOR(($A87-1)/23,1)+1)&amp;INDEX('Serial Reference'!$A$8:$W$8,1,MOD($A87-1,23)+1)&amp;TEXT(W$2+FLOOR((W$2-1)/9,1),"000"),"")</f>
        <v>DS024</v>
      </c>
      <c r="X87" s="25" t="str">
        <f>IF(INDEX('Shot Map'!$B$6:$V$26,CEILING($A87/5,1),CEILING(X$2/5,1))=1,INDEX('Serial Reference'!$A$8:$W$8,1,FLOOR(($A87-1)/23,1)+1)&amp;INDEX('Serial Reference'!$A$8:$W$8,1,MOD($A87-1,23)+1)&amp;TEXT(X$2+FLOOR((X$2-1)/9,1),"000"),"")</f>
        <v>DS025</v>
      </c>
      <c r="Y87" s="25" t="str">
        <f>IF(INDEX('Shot Map'!$B$6:$V$26,CEILING($A87/5,1),CEILING(Y$2/5,1))=1,INDEX('Serial Reference'!$A$8:$W$8,1,FLOOR(($A87-1)/23,1)+1)&amp;INDEX('Serial Reference'!$A$8:$W$8,1,MOD($A87-1,23)+1)&amp;TEXT(Y$2+FLOOR((Y$2-1)/9,1),"000"),"")</f>
        <v>DS026</v>
      </c>
      <c r="Z87" s="26" t="str">
        <f>IF(INDEX('Shot Map'!$B$6:$V$26,CEILING($A87/5,1),CEILING(Z$2/5,1))=1,INDEX('Serial Reference'!$A$8:$W$8,1,FLOOR(($A87-1)/23,1)+1)&amp;INDEX('Serial Reference'!$A$8:$W$8,1,MOD($A87-1,23)+1)&amp;TEXT(Z$2+FLOOR((Z$2-1)/9,1),"000"),"")</f>
        <v>DS027</v>
      </c>
      <c r="AA87" s="24" t="str">
        <f>IF(INDEX('Shot Map'!$B$6:$V$26,CEILING($A87/5,1),CEILING(AA$2/5,1))=1,INDEX('Serial Reference'!$A$8:$W$8,1,FLOOR(($A87-1)/23,1)+1)&amp;INDEX('Serial Reference'!$A$8:$W$8,1,MOD($A87-1,23)+1)&amp;TEXT(AA$2+FLOOR((AA$2-1)/9,1),"000"),"")</f>
        <v>DS028</v>
      </c>
      <c r="AB87" s="25" t="str">
        <f>IF(INDEX('Shot Map'!$B$6:$V$26,CEILING($A87/5,1),CEILING(AB$2/5,1))=1,INDEX('Serial Reference'!$A$8:$W$8,1,FLOOR(($A87-1)/23,1)+1)&amp;INDEX('Serial Reference'!$A$8:$W$8,1,MOD($A87-1,23)+1)&amp;TEXT(AB$2+FLOOR((AB$2-1)/9,1),"000"),"")</f>
        <v>DS029</v>
      </c>
      <c r="AC87" s="25" t="str">
        <f>IF(INDEX('Shot Map'!$B$6:$V$26,CEILING($A87/5,1),CEILING(AC$2/5,1))=1,INDEX('Serial Reference'!$A$8:$W$8,1,FLOOR(($A87-1)/23,1)+1)&amp;INDEX('Serial Reference'!$A$8:$W$8,1,MOD($A87-1,23)+1)&amp;TEXT(AC$2+FLOOR((AC$2-1)/9,1),"000"),"")</f>
        <v>DS031</v>
      </c>
      <c r="AD87" s="25" t="str">
        <f>IF(INDEX('Shot Map'!$B$6:$V$26,CEILING($A87/5,1),CEILING(AD$2/5,1))=1,INDEX('Serial Reference'!$A$8:$W$8,1,FLOOR(($A87-1)/23,1)+1)&amp;INDEX('Serial Reference'!$A$8:$W$8,1,MOD($A87-1,23)+1)&amp;TEXT(AD$2+FLOOR((AD$2-1)/9,1),"000"),"")</f>
        <v>DS032</v>
      </c>
      <c r="AE87" s="26" t="str">
        <f>IF(INDEX('Shot Map'!$B$6:$V$26,CEILING($A87/5,1),CEILING(AE$2/5,1))=1,INDEX('Serial Reference'!$A$8:$W$8,1,FLOOR(($A87-1)/23,1)+1)&amp;INDEX('Serial Reference'!$A$8:$W$8,1,MOD($A87-1,23)+1)&amp;TEXT(AE$2+FLOOR((AE$2-1)/9,1),"000"),"")</f>
        <v>DS033</v>
      </c>
      <c r="AF87" s="24" t="str">
        <f>IF(INDEX('Shot Map'!$B$6:$V$26,CEILING($A87/5,1),CEILING(AF$2/5,1))=1,INDEX('Serial Reference'!$A$8:$W$8,1,FLOOR(($A87-1)/23,1)+1)&amp;INDEX('Serial Reference'!$A$8:$W$8,1,MOD($A87-1,23)+1)&amp;TEXT(AF$2+FLOOR((AF$2-1)/9,1),"000"),"")</f>
        <v>DS034</v>
      </c>
      <c r="AG87" s="25" t="str">
        <f>IF(INDEX('Shot Map'!$B$6:$V$26,CEILING($A87/5,1),CEILING(AG$2/5,1))=1,INDEX('Serial Reference'!$A$8:$W$8,1,FLOOR(($A87-1)/23,1)+1)&amp;INDEX('Serial Reference'!$A$8:$W$8,1,MOD($A87-1,23)+1)&amp;TEXT(AG$2+FLOOR((AG$2-1)/9,1),"000"),"")</f>
        <v>DS035</v>
      </c>
      <c r="AH87" s="25" t="str">
        <f>IF(INDEX('Shot Map'!$B$6:$V$26,CEILING($A87/5,1),CEILING(AH$2/5,1))=1,INDEX('Serial Reference'!$A$8:$W$8,1,FLOOR(($A87-1)/23,1)+1)&amp;INDEX('Serial Reference'!$A$8:$W$8,1,MOD($A87-1,23)+1)&amp;TEXT(AH$2+FLOOR((AH$2-1)/9,1),"000"),"")</f>
        <v>DS036</v>
      </c>
      <c r="AI87" s="25" t="str">
        <f>IF(INDEX('Shot Map'!$B$6:$V$26,CEILING($A87/5,1),CEILING(AI$2/5,1))=1,INDEX('Serial Reference'!$A$8:$W$8,1,FLOOR(($A87-1)/23,1)+1)&amp;INDEX('Serial Reference'!$A$8:$W$8,1,MOD($A87-1,23)+1)&amp;TEXT(AI$2+FLOOR((AI$2-1)/9,1),"000"),"")</f>
        <v>DS037</v>
      </c>
      <c r="AJ87" s="26" t="str">
        <f>IF(INDEX('Shot Map'!$B$6:$V$26,CEILING($A87/5,1),CEILING(AJ$2/5,1))=1,INDEX('Serial Reference'!$A$8:$W$8,1,FLOOR(($A87-1)/23,1)+1)&amp;INDEX('Serial Reference'!$A$8:$W$8,1,MOD($A87-1,23)+1)&amp;TEXT(AJ$2+FLOOR((AJ$2-1)/9,1),"000"),"")</f>
        <v>DS038</v>
      </c>
      <c r="AK87" s="24" t="str">
        <f>IF(INDEX('Shot Map'!$B$6:$V$26,CEILING($A87/5,1),CEILING(AK$2/5,1))=1,INDEX('Serial Reference'!$A$8:$W$8,1,FLOOR(($A87-1)/23,1)+1)&amp;INDEX('Serial Reference'!$A$8:$W$8,1,MOD($A87-1,23)+1)&amp;TEXT(AK$2+FLOOR((AK$2-1)/9,1),"000"),"")</f>
        <v>DS039</v>
      </c>
      <c r="AL87" s="25" t="str">
        <f>IF(INDEX('Shot Map'!$B$6:$V$26,CEILING($A87/5,1),CEILING(AL$2/5,1))=1,INDEX('Serial Reference'!$A$8:$W$8,1,FLOOR(($A87-1)/23,1)+1)&amp;INDEX('Serial Reference'!$A$8:$W$8,1,MOD($A87-1,23)+1)&amp;TEXT(AL$2+FLOOR((AL$2-1)/9,1),"000"),"")</f>
        <v>DS041</v>
      </c>
      <c r="AM87" s="25" t="str">
        <f>IF(INDEX('Shot Map'!$B$6:$V$26,CEILING($A87/5,1),CEILING(AM$2/5,1))=1,INDEX('Serial Reference'!$A$8:$W$8,1,FLOOR(($A87-1)/23,1)+1)&amp;INDEX('Serial Reference'!$A$8:$W$8,1,MOD($A87-1,23)+1)&amp;TEXT(AM$2+FLOOR((AM$2-1)/9,1),"000"),"")</f>
        <v>DS042</v>
      </c>
      <c r="AN87" s="25" t="str">
        <f>IF(INDEX('Shot Map'!$B$6:$V$26,CEILING($A87/5,1),CEILING(AN$2/5,1))=1,INDEX('Serial Reference'!$A$8:$W$8,1,FLOOR(($A87-1)/23,1)+1)&amp;INDEX('Serial Reference'!$A$8:$W$8,1,MOD($A87-1,23)+1)&amp;TEXT(AN$2+FLOOR((AN$2-1)/9,1),"000"),"")</f>
        <v>DS043</v>
      </c>
      <c r="AO87" s="26" t="str">
        <f>IF(INDEX('Shot Map'!$B$6:$V$26,CEILING($A87/5,1),CEILING(AO$2/5,1))=1,INDEX('Serial Reference'!$A$8:$W$8,1,FLOOR(($A87-1)/23,1)+1)&amp;INDEX('Serial Reference'!$A$8:$W$8,1,MOD($A87-1,23)+1)&amp;TEXT(AO$2+FLOOR((AO$2-1)/9,1),"000"),"")</f>
        <v>DS044</v>
      </c>
      <c r="AP87" s="24" t="str">
        <f>IF(INDEX('Shot Map'!$B$6:$V$26,CEILING($A87/5,1),CEILING(AP$2/5,1))=1,INDEX('Serial Reference'!$A$8:$W$8,1,FLOOR(($A87-1)/23,1)+1)&amp;INDEX('Serial Reference'!$A$8:$W$8,1,MOD($A87-1,23)+1)&amp;TEXT(AP$2+FLOOR((AP$2-1)/9,1),"000"),"")</f>
        <v>DS045</v>
      </c>
      <c r="AQ87" s="25" t="str">
        <f>IF(INDEX('Shot Map'!$B$6:$V$26,CEILING($A87/5,1),CEILING(AQ$2/5,1))=1,INDEX('Serial Reference'!$A$8:$W$8,1,FLOOR(($A87-1)/23,1)+1)&amp;INDEX('Serial Reference'!$A$8:$W$8,1,MOD($A87-1,23)+1)&amp;TEXT(AQ$2+FLOOR((AQ$2-1)/9,1),"000"),"")</f>
        <v>DS046</v>
      </c>
      <c r="AR87" s="25" t="str">
        <f>IF(INDEX('Shot Map'!$B$6:$V$26,CEILING($A87/5,1),CEILING(AR$2/5,1))=1,INDEX('Serial Reference'!$A$8:$W$8,1,FLOOR(($A87-1)/23,1)+1)&amp;INDEX('Serial Reference'!$A$8:$W$8,1,MOD($A87-1,23)+1)&amp;TEXT(AR$2+FLOOR((AR$2-1)/9,1),"000"),"")</f>
        <v>DS047</v>
      </c>
      <c r="AS87" s="25" t="str">
        <f>IF(INDEX('Shot Map'!$B$6:$V$26,CEILING($A87/5,1),CEILING(AS$2/5,1))=1,INDEX('Serial Reference'!$A$8:$W$8,1,FLOOR(($A87-1)/23,1)+1)&amp;INDEX('Serial Reference'!$A$8:$W$8,1,MOD($A87-1,23)+1)&amp;TEXT(AS$2+FLOOR((AS$2-1)/9,1),"000"),"")</f>
        <v>DS048</v>
      </c>
      <c r="AT87" s="26" t="str">
        <f>IF(INDEX('Shot Map'!$B$6:$V$26,CEILING($A87/5,1),CEILING(AT$2/5,1))=1,INDEX('Serial Reference'!$A$8:$W$8,1,FLOOR(($A87-1)/23,1)+1)&amp;INDEX('Serial Reference'!$A$8:$W$8,1,MOD($A87-1,23)+1)&amp;TEXT(AT$2+FLOOR((AT$2-1)/9,1),"000"),"")</f>
        <v>DS049</v>
      </c>
      <c r="AU87" s="24" t="str">
        <f>IF(INDEX('Shot Map'!$B$6:$V$26,CEILING($A87/5,1),CEILING(AU$2/5,1))=1,INDEX('Serial Reference'!$A$8:$W$8,1,FLOOR(($A87-1)/23,1)+1)&amp;INDEX('Serial Reference'!$A$8:$W$8,1,MOD($A87-1,23)+1)&amp;TEXT(AU$2+FLOOR((AU$2-1)/9,1),"000"),"")</f>
        <v>DS051</v>
      </c>
      <c r="AV87" s="25" t="str">
        <f>IF(INDEX('Shot Map'!$B$6:$V$26,CEILING($A87/5,1),CEILING(AV$2/5,1))=1,INDEX('Serial Reference'!$A$8:$W$8,1,FLOOR(($A87-1)/23,1)+1)&amp;INDEX('Serial Reference'!$A$8:$W$8,1,MOD($A87-1,23)+1)&amp;TEXT(AV$2+FLOOR((AV$2-1)/9,1),"000"),"")</f>
        <v>DS052</v>
      </c>
      <c r="AW87" s="25" t="str">
        <f>IF(INDEX('Shot Map'!$B$6:$V$26,CEILING($A87/5,1),CEILING(AW$2/5,1))=1,INDEX('Serial Reference'!$A$8:$W$8,1,FLOOR(($A87-1)/23,1)+1)&amp;INDEX('Serial Reference'!$A$8:$W$8,1,MOD($A87-1,23)+1)&amp;TEXT(AW$2+FLOOR((AW$2-1)/9,1),"000"),"")</f>
        <v>DS053</v>
      </c>
      <c r="AX87" s="25" t="str">
        <f>IF(INDEX('Shot Map'!$B$6:$V$26,CEILING($A87/5,1),CEILING(AX$2/5,1))=1,INDEX('Serial Reference'!$A$8:$W$8,1,FLOOR(($A87-1)/23,1)+1)&amp;INDEX('Serial Reference'!$A$8:$W$8,1,MOD($A87-1,23)+1)&amp;TEXT(AX$2+FLOOR((AX$2-1)/9,1),"000"),"")</f>
        <v>DS054</v>
      </c>
      <c r="AY87" s="26" t="str">
        <f>IF(INDEX('Shot Map'!$B$6:$V$26,CEILING($A87/5,1),CEILING(AY$2/5,1))=1,INDEX('Serial Reference'!$A$8:$W$8,1,FLOOR(($A87-1)/23,1)+1)&amp;INDEX('Serial Reference'!$A$8:$W$8,1,MOD($A87-1,23)+1)&amp;TEXT(AY$2+FLOOR((AY$2-1)/9,1),"000"),"")</f>
        <v>DS055</v>
      </c>
      <c r="AZ87" s="24" t="str">
        <f>IF(INDEX('Shot Map'!$B$6:$V$26,CEILING($A87/5,1),CEILING(AZ$2/5,1))=1,INDEX('Serial Reference'!$A$8:$W$8,1,FLOOR(($A87-1)/23,1)+1)&amp;INDEX('Serial Reference'!$A$8:$W$8,1,MOD($A87-1,23)+1)&amp;TEXT(AZ$2+FLOOR((AZ$2-1)/9,1),"000"),"")</f>
        <v>DS056</v>
      </c>
      <c r="BA87" s="25" t="str">
        <f>IF(INDEX('Shot Map'!$B$6:$V$26,CEILING($A87/5,1),CEILING(BA$2/5,1))=1,INDEX('Serial Reference'!$A$8:$W$8,1,FLOOR(($A87-1)/23,1)+1)&amp;INDEX('Serial Reference'!$A$8:$W$8,1,MOD($A87-1,23)+1)&amp;TEXT(BA$2+FLOOR((BA$2-1)/9,1),"000"),"")</f>
        <v>DS057</v>
      </c>
      <c r="BB87" s="25" t="str">
        <f>IF(INDEX('Shot Map'!$B$6:$V$26,CEILING($A87/5,1),CEILING(BB$2/5,1))=1,INDEX('Serial Reference'!$A$8:$W$8,1,FLOOR(($A87-1)/23,1)+1)&amp;INDEX('Serial Reference'!$A$8:$W$8,1,MOD($A87-1,23)+1)&amp;TEXT(BB$2+FLOOR((BB$2-1)/9,1),"000"),"")</f>
        <v>DS058</v>
      </c>
      <c r="BC87" s="25" t="str">
        <f>IF(INDEX('Shot Map'!$B$6:$V$26,CEILING($A87/5,1),CEILING(BC$2/5,1))=1,INDEX('Serial Reference'!$A$8:$W$8,1,FLOOR(($A87-1)/23,1)+1)&amp;INDEX('Serial Reference'!$A$8:$W$8,1,MOD($A87-1,23)+1)&amp;TEXT(BC$2+FLOOR((BC$2-1)/9,1),"000"),"")</f>
        <v>DS059</v>
      </c>
      <c r="BD87" s="26" t="str">
        <f>IF(INDEX('Shot Map'!$B$6:$V$26,CEILING($A87/5,1),CEILING(BD$2/5,1))=1,INDEX('Serial Reference'!$A$8:$W$8,1,FLOOR(($A87-1)/23,1)+1)&amp;INDEX('Serial Reference'!$A$8:$W$8,1,MOD($A87-1,23)+1)&amp;TEXT(BD$2+FLOOR((BD$2-1)/9,1),"000"),"")</f>
        <v>DS061</v>
      </c>
      <c r="BE87" s="24" t="str">
        <f>IF(INDEX('Shot Map'!$B$6:$V$26,CEILING($A87/5,1),CEILING(BE$2/5,1))=1,INDEX('Serial Reference'!$A$8:$W$8,1,FLOOR(($A87-1)/23,1)+1)&amp;INDEX('Serial Reference'!$A$8:$W$8,1,MOD($A87-1,23)+1)&amp;TEXT(BE$2+FLOOR((BE$2-1)/9,1),"000"),"")</f>
        <v>DS062</v>
      </c>
      <c r="BF87" s="25" t="str">
        <f>IF(INDEX('Shot Map'!$B$6:$V$26,CEILING($A87/5,1),CEILING(BF$2/5,1))=1,INDEX('Serial Reference'!$A$8:$W$8,1,FLOOR(($A87-1)/23,1)+1)&amp;INDEX('Serial Reference'!$A$8:$W$8,1,MOD($A87-1,23)+1)&amp;TEXT(BF$2+FLOOR((BF$2-1)/9,1),"000"),"")</f>
        <v>DS063</v>
      </c>
      <c r="BG87" s="25" t="str">
        <f>IF(INDEX('Shot Map'!$B$6:$V$26,CEILING($A87/5,1),CEILING(BG$2/5,1))=1,INDEX('Serial Reference'!$A$8:$W$8,1,FLOOR(($A87-1)/23,1)+1)&amp;INDEX('Serial Reference'!$A$8:$W$8,1,MOD($A87-1,23)+1)&amp;TEXT(BG$2+FLOOR((BG$2-1)/9,1),"000"),"")</f>
        <v>DS064</v>
      </c>
      <c r="BH87" s="25" t="str">
        <f>IF(INDEX('Shot Map'!$B$6:$V$26,CEILING($A87/5,1),CEILING(BH$2/5,1))=1,INDEX('Serial Reference'!$A$8:$W$8,1,FLOOR(($A87-1)/23,1)+1)&amp;INDEX('Serial Reference'!$A$8:$W$8,1,MOD($A87-1,23)+1)&amp;TEXT(BH$2+FLOOR((BH$2-1)/9,1),"000"),"")</f>
        <v>DS065</v>
      </c>
      <c r="BI87" s="26" t="str">
        <f>IF(INDEX('Shot Map'!$B$6:$V$26,CEILING($A87/5,1),CEILING(BI$2/5,1))=1,INDEX('Serial Reference'!$A$8:$W$8,1,FLOOR(($A87-1)/23,1)+1)&amp;INDEX('Serial Reference'!$A$8:$W$8,1,MOD($A87-1,23)+1)&amp;TEXT(BI$2+FLOOR((BI$2-1)/9,1),"000"),"")</f>
        <v>DS066</v>
      </c>
      <c r="BJ87" s="24" t="str">
        <f>IF(INDEX('Shot Map'!$B$6:$V$26,CEILING($A87/5,1),CEILING(BJ$2/5,1))=1,INDEX('Serial Reference'!$A$8:$W$8,1,FLOOR(($A87-1)/23,1)+1)&amp;INDEX('Serial Reference'!$A$8:$W$8,1,MOD($A87-1,23)+1)&amp;TEXT(BJ$2+FLOOR((BJ$2-1)/9,1),"000"),"")</f>
        <v>DS067</v>
      </c>
      <c r="BK87" s="25" t="str">
        <f>IF(INDEX('Shot Map'!$B$6:$V$26,CEILING($A87/5,1),CEILING(BK$2/5,1))=1,INDEX('Serial Reference'!$A$8:$W$8,1,FLOOR(($A87-1)/23,1)+1)&amp;INDEX('Serial Reference'!$A$8:$W$8,1,MOD($A87-1,23)+1)&amp;TEXT(BK$2+FLOOR((BK$2-1)/9,1),"000"),"")</f>
        <v>DS068</v>
      </c>
      <c r="BL87" s="25" t="str">
        <f>IF(INDEX('Shot Map'!$B$6:$V$26,CEILING($A87/5,1),CEILING(BL$2/5,1))=1,INDEX('Serial Reference'!$A$8:$W$8,1,FLOOR(($A87-1)/23,1)+1)&amp;INDEX('Serial Reference'!$A$8:$W$8,1,MOD($A87-1,23)+1)&amp;TEXT(BL$2+FLOOR((BL$2-1)/9,1),"000"),"")</f>
        <v>DS069</v>
      </c>
      <c r="BM87" s="25" t="str">
        <f>IF(INDEX('Shot Map'!$B$6:$V$26,CEILING($A87/5,1),CEILING(BM$2/5,1))=1,INDEX('Serial Reference'!$A$8:$W$8,1,FLOOR(($A87-1)/23,1)+1)&amp;INDEX('Serial Reference'!$A$8:$W$8,1,MOD($A87-1,23)+1)&amp;TEXT(BM$2+FLOOR((BM$2-1)/9,1),"000"),"")</f>
        <v>DS071</v>
      </c>
      <c r="BN87" s="26" t="str">
        <f>IF(INDEX('Shot Map'!$B$6:$V$26,CEILING($A87/5,1),CEILING(BN$2/5,1))=1,INDEX('Serial Reference'!$A$8:$W$8,1,FLOOR(($A87-1)/23,1)+1)&amp;INDEX('Serial Reference'!$A$8:$W$8,1,MOD($A87-1,23)+1)&amp;TEXT(BN$2+FLOOR((BN$2-1)/9,1),"000"),"")</f>
        <v>DS072</v>
      </c>
      <c r="BO87" s="24" t="str">
        <f>IF(INDEX('Shot Map'!$B$6:$V$26,CEILING($A87/5,1),CEILING(BO$2/5,1))=1,INDEX('Serial Reference'!$A$8:$W$8,1,FLOOR(($A87-1)/23,1)+1)&amp;INDEX('Serial Reference'!$A$8:$W$8,1,MOD($A87-1,23)+1)&amp;TEXT(BO$2+FLOOR((BO$2-1)/9,1),"000"),"")</f>
        <v>DS073</v>
      </c>
      <c r="BP87" s="25" t="str">
        <f>IF(INDEX('Shot Map'!$B$6:$V$26,CEILING($A87/5,1),CEILING(BP$2/5,1))=1,INDEX('Serial Reference'!$A$8:$W$8,1,FLOOR(($A87-1)/23,1)+1)&amp;INDEX('Serial Reference'!$A$8:$W$8,1,MOD($A87-1,23)+1)&amp;TEXT(BP$2+FLOOR((BP$2-1)/9,1),"000"),"")</f>
        <v>DS074</v>
      </c>
      <c r="BQ87" s="25" t="str">
        <f>IF(INDEX('Shot Map'!$B$6:$V$26,CEILING($A87/5,1),CEILING(BQ$2/5,1))=1,INDEX('Serial Reference'!$A$8:$W$8,1,FLOOR(($A87-1)/23,1)+1)&amp;INDEX('Serial Reference'!$A$8:$W$8,1,MOD($A87-1,23)+1)&amp;TEXT(BQ$2+FLOOR((BQ$2-1)/9,1),"000"),"")</f>
        <v>DS075</v>
      </c>
      <c r="BR87" s="25" t="str">
        <f>IF(INDEX('Shot Map'!$B$6:$V$26,CEILING($A87/5,1),CEILING(BR$2/5,1))=1,INDEX('Serial Reference'!$A$8:$W$8,1,FLOOR(($A87-1)/23,1)+1)&amp;INDEX('Serial Reference'!$A$8:$W$8,1,MOD($A87-1,23)+1)&amp;TEXT(BR$2+FLOOR((BR$2-1)/9,1),"000"),"")</f>
        <v>DS076</v>
      </c>
      <c r="BS87" s="26" t="str">
        <f>IF(INDEX('Shot Map'!$B$6:$V$26,CEILING($A87/5,1),CEILING(BS$2/5,1))=1,INDEX('Serial Reference'!$A$8:$W$8,1,FLOOR(($A87-1)/23,1)+1)&amp;INDEX('Serial Reference'!$A$8:$W$8,1,MOD($A87-1,23)+1)&amp;TEXT(BS$2+FLOOR((BS$2-1)/9,1),"000"),"")</f>
        <v>DS077</v>
      </c>
      <c r="BT87" s="24" t="str">
        <f>IF(INDEX('Shot Map'!$B$6:$V$26,CEILING($A87/5,1),CEILING(BT$2/5,1))=1,INDEX('Serial Reference'!$A$8:$W$8,1,FLOOR(($A87-1)/23,1)+1)&amp;INDEX('Serial Reference'!$A$8:$W$8,1,MOD($A87-1,23)+1)&amp;TEXT(BT$2+FLOOR((BT$2-1)/9,1),"000"),"")</f>
        <v>DS078</v>
      </c>
      <c r="BU87" s="25" t="str">
        <f>IF(INDEX('Shot Map'!$B$6:$V$26,CEILING($A87/5,1),CEILING(BU$2/5,1))=1,INDEX('Serial Reference'!$A$8:$W$8,1,FLOOR(($A87-1)/23,1)+1)&amp;INDEX('Serial Reference'!$A$8:$W$8,1,MOD($A87-1,23)+1)&amp;TEXT(BU$2+FLOOR((BU$2-1)/9,1),"000"),"")</f>
        <v>DS079</v>
      </c>
      <c r="BV87" s="25" t="str">
        <f>IF(INDEX('Shot Map'!$B$6:$V$26,CEILING($A87/5,1),CEILING(BV$2/5,1))=1,INDEX('Serial Reference'!$A$8:$W$8,1,FLOOR(($A87-1)/23,1)+1)&amp;INDEX('Serial Reference'!$A$8:$W$8,1,MOD($A87-1,23)+1)&amp;TEXT(BV$2+FLOOR((BV$2-1)/9,1),"000"),"")</f>
        <v>DS081</v>
      </c>
      <c r="BW87" s="25" t="str">
        <f>IF(INDEX('Shot Map'!$B$6:$V$26,CEILING($A87/5,1),CEILING(BW$2/5,1))=1,INDEX('Serial Reference'!$A$8:$W$8,1,FLOOR(($A87-1)/23,1)+1)&amp;INDEX('Serial Reference'!$A$8:$W$8,1,MOD($A87-1,23)+1)&amp;TEXT(BW$2+FLOOR((BW$2-1)/9,1),"000"),"")</f>
        <v>DS082</v>
      </c>
      <c r="BX87" s="26" t="str">
        <f>IF(INDEX('Shot Map'!$B$6:$V$26,CEILING($A87/5,1),CEILING(BX$2/5,1))=1,INDEX('Serial Reference'!$A$8:$W$8,1,FLOOR(($A87-1)/23,1)+1)&amp;INDEX('Serial Reference'!$A$8:$W$8,1,MOD($A87-1,23)+1)&amp;TEXT(BX$2+FLOOR((BX$2-1)/9,1),"000"),"")</f>
        <v>DS083</v>
      </c>
      <c r="BY87" s="24" t="str">
        <f>IF(INDEX('Shot Map'!$B$6:$V$26,CEILING($A87/5,1),CEILING(BY$2/5,1))=1,INDEX('Serial Reference'!$A$8:$W$8,1,FLOOR(($A87-1)/23,1)+1)&amp;INDEX('Serial Reference'!$A$8:$W$8,1,MOD($A87-1,23)+1)&amp;TEXT(BY$2+FLOOR((BY$2-1)/9,1),"000"),"")</f>
        <v>DS084</v>
      </c>
      <c r="BZ87" s="25" t="str">
        <f>IF(INDEX('Shot Map'!$B$6:$V$26,CEILING($A87/5,1),CEILING(BZ$2/5,1))=1,INDEX('Serial Reference'!$A$8:$W$8,1,FLOOR(($A87-1)/23,1)+1)&amp;INDEX('Serial Reference'!$A$8:$W$8,1,MOD($A87-1,23)+1)&amp;TEXT(BZ$2+FLOOR((BZ$2-1)/9,1),"000"),"")</f>
        <v>DS085</v>
      </c>
      <c r="CA87" s="25" t="str">
        <f>IF(INDEX('Shot Map'!$B$6:$V$26,CEILING($A87/5,1),CEILING(CA$2/5,1))=1,INDEX('Serial Reference'!$A$8:$W$8,1,FLOOR(($A87-1)/23,1)+1)&amp;INDEX('Serial Reference'!$A$8:$W$8,1,MOD($A87-1,23)+1)&amp;TEXT(CA$2+FLOOR((CA$2-1)/9,1),"000"),"")</f>
        <v>DS086</v>
      </c>
      <c r="CB87" s="25" t="str">
        <f>IF(INDEX('Shot Map'!$B$6:$V$26,CEILING($A87/5,1),CEILING(CB$2/5,1))=1,INDEX('Serial Reference'!$A$8:$W$8,1,FLOOR(($A87-1)/23,1)+1)&amp;INDEX('Serial Reference'!$A$8:$W$8,1,MOD($A87-1,23)+1)&amp;TEXT(CB$2+FLOOR((CB$2-1)/9,1),"000"),"")</f>
        <v>DS087</v>
      </c>
      <c r="CC87" s="26" t="str">
        <f>IF(INDEX('Shot Map'!$B$6:$V$26,CEILING($A87/5,1),CEILING(CC$2/5,1))=1,INDEX('Serial Reference'!$A$8:$W$8,1,FLOOR(($A87-1)/23,1)+1)&amp;INDEX('Serial Reference'!$A$8:$W$8,1,MOD($A87-1,23)+1)&amp;TEXT(CC$2+FLOOR((CC$2-1)/9,1),"000"),"")</f>
        <v>DS088</v>
      </c>
      <c r="CD87" s="24" t="str">
        <f>IF(INDEX('Shot Map'!$B$6:$V$26,CEILING($A87/5,1),CEILING(CD$2/5,1))=1,INDEX('Serial Reference'!$A$8:$W$8,1,FLOOR(($A87-1)/23,1)+1)&amp;INDEX('Serial Reference'!$A$8:$W$8,1,MOD($A87-1,23)+1)&amp;TEXT(CD$2+FLOOR((CD$2-1)/9,1),"000"),"")</f>
        <v>DS089</v>
      </c>
      <c r="CE87" s="25" t="str">
        <f>IF(INDEX('Shot Map'!$B$6:$V$26,CEILING($A87/5,1),CEILING(CE$2/5,1))=1,INDEX('Serial Reference'!$A$8:$W$8,1,FLOOR(($A87-1)/23,1)+1)&amp;INDEX('Serial Reference'!$A$8:$W$8,1,MOD($A87-1,23)+1)&amp;TEXT(CE$2+FLOOR((CE$2-1)/9,1),"000"),"")</f>
        <v>DS091</v>
      </c>
      <c r="CF87" s="25" t="str">
        <f>IF(INDEX('Shot Map'!$B$6:$V$26,CEILING($A87/5,1),CEILING(CF$2/5,1))=1,INDEX('Serial Reference'!$A$8:$W$8,1,FLOOR(($A87-1)/23,1)+1)&amp;INDEX('Serial Reference'!$A$8:$W$8,1,MOD($A87-1,23)+1)&amp;TEXT(CF$2+FLOOR((CF$2-1)/9,1),"000"),"")</f>
        <v>DS092</v>
      </c>
      <c r="CG87" s="25" t="str">
        <f>IF(INDEX('Shot Map'!$B$6:$V$26,CEILING($A87/5,1),CEILING(CG$2/5,1))=1,INDEX('Serial Reference'!$A$8:$W$8,1,FLOOR(($A87-1)/23,1)+1)&amp;INDEX('Serial Reference'!$A$8:$W$8,1,MOD($A87-1,23)+1)&amp;TEXT(CG$2+FLOOR((CG$2-1)/9,1),"000"),"")</f>
        <v>DS093</v>
      </c>
      <c r="CH87" s="26" t="str">
        <f>IF(INDEX('Shot Map'!$B$6:$V$26,CEILING($A87/5,1),CEILING(CH$2/5,1))=1,INDEX('Serial Reference'!$A$8:$W$8,1,FLOOR(($A87-1)/23,1)+1)&amp;INDEX('Serial Reference'!$A$8:$W$8,1,MOD($A87-1,23)+1)&amp;TEXT(CH$2+FLOOR((CH$2-1)/9,1),"000"),"")</f>
        <v>DS094</v>
      </c>
      <c r="CI87" s="24" t="str">
        <f>IF(INDEX('Shot Map'!$B$6:$V$26,CEILING($A87/5,1),CEILING(CI$2/5,1))=1,INDEX('Serial Reference'!$A$8:$W$8,1,FLOOR(($A87-1)/23,1)+1)&amp;INDEX('Serial Reference'!$A$8:$W$8,1,MOD($A87-1,23)+1)&amp;TEXT(CI$2+FLOOR((CI$2-1)/9,1),"000"),"")</f>
        <v>DS095</v>
      </c>
      <c r="CJ87" s="25" t="str">
        <f>IF(INDEX('Shot Map'!$B$6:$V$26,CEILING($A87/5,1),CEILING(CJ$2/5,1))=1,INDEX('Serial Reference'!$A$8:$W$8,1,FLOOR(($A87-1)/23,1)+1)&amp;INDEX('Serial Reference'!$A$8:$W$8,1,MOD($A87-1,23)+1)&amp;TEXT(CJ$2+FLOOR((CJ$2-1)/9,1),"000"),"")</f>
        <v>DS096</v>
      </c>
      <c r="CK87" s="25" t="str">
        <f>IF(INDEX('Shot Map'!$B$6:$V$26,CEILING($A87/5,1),CEILING(CK$2/5,1))=1,INDEX('Serial Reference'!$A$8:$W$8,1,FLOOR(($A87-1)/23,1)+1)&amp;INDEX('Serial Reference'!$A$8:$W$8,1,MOD($A87-1,23)+1)&amp;TEXT(CK$2+FLOOR((CK$2-1)/9,1),"000"),"")</f>
        <v>DS097</v>
      </c>
      <c r="CL87" s="25" t="str">
        <f>IF(INDEX('Shot Map'!$B$6:$V$26,CEILING($A87/5,1),CEILING(CL$2/5,1))=1,INDEX('Serial Reference'!$A$8:$W$8,1,FLOOR(($A87-1)/23,1)+1)&amp;INDEX('Serial Reference'!$A$8:$W$8,1,MOD($A87-1,23)+1)&amp;TEXT(CL$2+FLOOR((CL$2-1)/9,1),"000"),"")</f>
        <v>DS098</v>
      </c>
      <c r="CM87" s="26" t="str">
        <f>IF(INDEX('Shot Map'!$B$6:$V$26,CEILING($A87/5,1),CEILING(CM$2/5,1))=1,INDEX('Serial Reference'!$A$8:$W$8,1,FLOOR(($A87-1)/23,1)+1)&amp;INDEX('Serial Reference'!$A$8:$W$8,1,MOD($A87-1,23)+1)&amp;TEXT(CM$2+FLOOR((CM$2-1)/9,1),"000"),"")</f>
        <v>DS099</v>
      </c>
      <c r="CN87" s="24" t="str">
        <f>IF(INDEX('Shot Map'!$B$6:$V$26,CEILING($A87/5,1),CEILING(CN$2/5,1))=1,INDEX('Serial Reference'!$A$8:$W$8,1,FLOOR(($A87-1)/23,1)+1)&amp;INDEX('Serial Reference'!$A$8:$W$8,1,MOD($A87-1,23)+1)&amp;TEXT(CN$2+FLOOR((CN$2-1)/9,1),"000"),"")</f>
        <v>DS101</v>
      </c>
      <c r="CO87" s="25" t="str">
        <f>IF(INDEX('Shot Map'!$B$6:$V$26,CEILING($A87/5,1),CEILING(CO$2/5,1))=1,INDEX('Serial Reference'!$A$8:$W$8,1,FLOOR(($A87-1)/23,1)+1)&amp;INDEX('Serial Reference'!$A$8:$W$8,1,MOD($A87-1,23)+1)&amp;TEXT(CO$2+FLOOR((CO$2-1)/9,1),"000"),"")</f>
        <v>DS102</v>
      </c>
      <c r="CP87" s="25" t="str">
        <f>IF(INDEX('Shot Map'!$B$6:$V$26,CEILING($A87/5,1),CEILING(CP$2/5,1))=1,INDEX('Serial Reference'!$A$8:$W$8,1,FLOOR(($A87-1)/23,1)+1)&amp;INDEX('Serial Reference'!$A$8:$W$8,1,MOD($A87-1,23)+1)&amp;TEXT(CP$2+FLOOR((CP$2-1)/9,1),"000"),"")</f>
        <v>DS103</v>
      </c>
      <c r="CQ87" s="25" t="str">
        <f>IF(INDEX('Shot Map'!$B$6:$V$26,CEILING($A87/5,1),CEILING(CQ$2/5,1))=1,INDEX('Serial Reference'!$A$8:$W$8,1,FLOOR(($A87-1)/23,1)+1)&amp;INDEX('Serial Reference'!$A$8:$W$8,1,MOD($A87-1,23)+1)&amp;TEXT(CQ$2+FLOOR((CQ$2-1)/9,1),"000"),"")</f>
        <v>DS104</v>
      </c>
      <c r="CR87" s="26" t="str">
        <f>IF(INDEX('Shot Map'!$B$6:$V$26,CEILING($A87/5,1),CEILING(CR$2/5,1))=1,INDEX('Serial Reference'!$A$8:$W$8,1,FLOOR(($A87-1)/23,1)+1)&amp;INDEX('Serial Reference'!$A$8:$W$8,1,MOD($A87-1,23)+1)&amp;TEXT(CR$2+FLOOR((CR$2-1)/9,1),"000"),"")</f>
        <v>DS105</v>
      </c>
      <c r="CS87" s="24" t="str">
        <f>IF(INDEX('Shot Map'!$B$6:$V$26,CEILING($A87/5,1),CEILING(CS$2/5,1))=1,INDEX('Serial Reference'!$A$8:$W$8,1,FLOOR(($A87-1)/23,1)+1)&amp;INDEX('Serial Reference'!$A$8:$W$8,1,MOD($A87-1,23)+1)&amp;TEXT(CS$2+FLOOR((CS$2-1)/9,1),"000"),"")</f>
        <v/>
      </c>
      <c r="CT87" s="25" t="str">
        <f>IF(INDEX('Shot Map'!$B$6:$V$26,CEILING($A87/5,1),CEILING(CT$2/5,1))=1,INDEX('Serial Reference'!$A$8:$W$8,1,FLOOR(($A87-1)/23,1)+1)&amp;INDEX('Serial Reference'!$A$8:$W$8,1,MOD($A87-1,23)+1)&amp;TEXT(CT$2+FLOOR((CT$2-1)/9,1),"000"),"")</f>
        <v/>
      </c>
      <c r="CU87" s="25" t="str">
        <f>IF(INDEX('Shot Map'!$B$6:$V$26,CEILING($A87/5,1),CEILING(CU$2/5,1))=1,INDEX('Serial Reference'!$A$8:$W$8,1,FLOOR(($A87-1)/23,1)+1)&amp;INDEX('Serial Reference'!$A$8:$W$8,1,MOD($A87-1,23)+1)&amp;TEXT(CU$2+FLOOR((CU$2-1)/9,1),"000"),"")</f>
        <v/>
      </c>
      <c r="CV87" s="25" t="str">
        <f>IF(INDEX('Shot Map'!$B$6:$V$26,CEILING($A87/5,1),CEILING(CV$2/5,1))=1,INDEX('Serial Reference'!$A$8:$W$8,1,FLOOR(($A87-1)/23,1)+1)&amp;INDEX('Serial Reference'!$A$8:$W$8,1,MOD($A87-1,23)+1)&amp;TEXT(CV$2+FLOOR((CV$2-1)/9,1),"000"),"")</f>
        <v/>
      </c>
      <c r="CW87" s="26" t="str">
        <f>IF(INDEX('Shot Map'!$B$6:$V$26,CEILING($A87/5,1),CEILING(CW$2/5,1))=1,INDEX('Serial Reference'!$A$8:$W$8,1,FLOOR(($A87-1)/23,1)+1)&amp;INDEX('Serial Reference'!$A$8:$W$8,1,MOD($A87-1,23)+1)&amp;TEXT(CW$2+FLOOR((CW$2-1)/9,1),"000"),"")</f>
        <v/>
      </c>
      <c r="CX87" s="24" t="str">
        <f>IF(INDEX('Shot Map'!$B$6:$V$26,CEILING($A87/5,1),CEILING(CX$2/5,1))=1,INDEX('Serial Reference'!$A$8:$W$8,1,FLOOR(($A87-1)/23,1)+1)&amp;INDEX('Serial Reference'!$A$8:$W$8,1,MOD($A87-1,23)+1)&amp;TEXT(CX$2+FLOOR((CX$2-1)/9,1),"000"),"")</f>
        <v/>
      </c>
      <c r="CY87" s="25" t="str">
        <f>IF(INDEX('Shot Map'!$B$6:$V$26,CEILING($A87/5,1),CEILING(CY$2/5,1))=1,INDEX('Serial Reference'!$A$8:$W$8,1,FLOOR(($A87-1)/23,1)+1)&amp;INDEX('Serial Reference'!$A$8:$W$8,1,MOD($A87-1,23)+1)&amp;TEXT(CY$2+FLOOR((CY$2-1)/9,1),"000"),"")</f>
        <v/>
      </c>
      <c r="CZ87" s="25" t="str">
        <f>IF(INDEX('Shot Map'!$B$6:$V$26,CEILING($A87/5,1),CEILING(CZ$2/5,1))=1,INDEX('Serial Reference'!$A$8:$W$8,1,FLOOR(($A87-1)/23,1)+1)&amp;INDEX('Serial Reference'!$A$8:$W$8,1,MOD($A87-1,23)+1)&amp;TEXT(CZ$2+FLOOR((CZ$2-1)/9,1),"000"),"")</f>
        <v/>
      </c>
      <c r="DA87" s="25" t="str">
        <f>IF(INDEX('Shot Map'!$B$6:$V$26,CEILING($A87/5,1),CEILING(DA$2/5,1))=1,INDEX('Serial Reference'!$A$8:$W$8,1,FLOOR(($A87-1)/23,1)+1)&amp;INDEX('Serial Reference'!$A$8:$W$8,1,MOD($A87-1,23)+1)&amp;TEXT(DA$2+FLOOR((DA$2-1)/9,1),"000"),"")</f>
        <v/>
      </c>
      <c r="DB87" s="26" t="str">
        <f>IF(INDEX('Shot Map'!$B$6:$V$26,CEILING($A87/5,1),CEILING(DB$2/5,1))=1,INDEX('Serial Reference'!$A$8:$W$8,1,FLOOR(($A87-1)/23,1)+1)&amp;INDEX('Serial Reference'!$A$8:$W$8,1,MOD($A87-1,23)+1)&amp;TEXT(DB$2+FLOOR((DB$2-1)/9,1),"000"),"")</f>
        <v/>
      </c>
    </row>
    <row r="88" spans="1:106" ht="12.75" customHeight="1" x14ac:dyDescent="0.25">
      <c r="A88" s="17">
        <v>86</v>
      </c>
      <c r="B88" s="18" t="str">
        <f>IF(INDEX('Shot Map'!$B$6:$V$26,CEILING($A88/5,1),CEILING(B$2/5,1))=1,INDEX('Serial Reference'!$A$8:$W$8,1,FLOOR(($A88-1)/23,1)+1)&amp;INDEX('Serial Reference'!$A$8:$W$8,1,MOD($A88-1,23)+1)&amp;TEXT(B$2+FLOOR((B$2-1)/9,1),"000"),"")</f>
        <v/>
      </c>
      <c r="C88" s="19" t="str">
        <f>IF(INDEX('Shot Map'!$B$6:$V$26,CEILING($A88/5,1),CEILING(C$2/5,1))=1,INDEX('Serial Reference'!$A$8:$W$8,1,FLOOR(($A88-1)/23,1)+1)&amp;INDEX('Serial Reference'!$A$8:$W$8,1,MOD($A88-1,23)+1)&amp;TEXT(C$2+FLOOR((C$2-1)/9,1),"000"),"")</f>
        <v/>
      </c>
      <c r="D88" s="19" t="str">
        <f>IF(INDEX('Shot Map'!$B$6:$V$26,CEILING($A88/5,1),CEILING(D$2/5,1))=1,INDEX('Serial Reference'!$A$8:$W$8,1,FLOOR(($A88-1)/23,1)+1)&amp;INDEX('Serial Reference'!$A$8:$W$8,1,MOD($A88-1,23)+1)&amp;TEXT(D$2+FLOOR((D$2-1)/9,1),"000"),"")</f>
        <v/>
      </c>
      <c r="E88" s="19" t="str">
        <f>IF(INDEX('Shot Map'!$B$6:$V$26,CEILING($A88/5,1),CEILING(E$2/5,1))=1,INDEX('Serial Reference'!$A$8:$W$8,1,FLOOR(($A88-1)/23,1)+1)&amp;INDEX('Serial Reference'!$A$8:$W$8,1,MOD($A88-1,23)+1)&amp;TEXT(E$2+FLOOR((E$2-1)/9,1),"000"),"")</f>
        <v/>
      </c>
      <c r="F88" s="20" t="str">
        <f>IF(INDEX('Shot Map'!$B$6:$V$26,CEILING($A88/5,1),CEILING(F$2/5,1))=1,INDEX('Serial Reference'!$A$8:$W$8,1,FLOOR(($A88-1)/23,1)+1)&amp;INDEX('Serial Reference'!$A$8:$W$8,1,MOD($A88-1,23)+1)&amp;TEXT(F$2+FLOOR((F$2-1)/9,1),"000"),"")</f>
        <v/>
      </c>
      <c r="G88" s="18" t="str">
        <f>IF(INDEX('Shot Map'!$B$6:$V$26,CEILING($A88/5,1),CEILING(G$2/5,1))=1,INDEX('Serial Reference'!$A$8:$W$8,1,FLOOR(($A88-1)/23,1)+1)&amp;INDEX('Serial Reference'!$A$8:$W$8,1,MOD($A88-1,23)+1)&amp;TEXT(G$2+FLOOR((G$2-1)/9,1),"000"),"")</f>
        <v/>
      </c>
      <c r="H88" s="19" t="str">
        <f>IF(INDEX('Shot Map'!$B$6:$V$26,CEILING($A88/5,1),CEILING(H$2/5,1))=1,INDEX('Serial Reference'!$A$8:$W$8,1,FLOOR(($A88-1)/23,1)+1)&amp;INDEX('Serial Reference'!$A$8:$W$8,1,MOD($A88-1,23)+1)&amp;TEXT(H$2+FLOOR((H$2-1)/9,1),"000"),"")</f>
        <v/>
      </c>
      <c r="I88" s="19" t="str">
        <f>IF(INDEX('Shot Map'!$B$6:$V$26,CEILING($A88/5,1),CEILING(I$2/5,1))=1,INDEX('Serial Reference'!$A$8:$W$8,1,FLOOR(($A88-1)/23,1)+1)&amp;INDEX('Serial Reference'!$A$8:$W$8,1,MOD($A88-1,23)+1)&amp;TEXT(I$2+FLOOR((I$2-1)/9,1),"000"),"")</f>
        <v/>
      </c>
      <c r="J88" s="19" t="str">
        <f>IF(INDEX('Shot Map'!$B$6:$V$26,CEILING($A88/5,1),CEILING(J$2/5,1))=1,INDEX('Serial Reference'!$A$8:$W$8,1,FLOOR(($A88-1)/23,1)+1)&amp;INDEX('Serial Reference'!$A$8:$W$8,1,MOD($A88-1,23)+1)&amp;TEXT(J$2+FLOOR((J$2-1)/9,1),"000"),"")</f>
        <v/>
      </c>
      <c r="K88" s="20" t="str">
        <f>IF(INDEX('Shot Map'!$B$6:$V$26,CEILING($A88/5,1),CEILING(K$2/5,1))=1,INDEX('Serial Reference'!$A$8:$W$8,1,FLOOR(($A88-1)/23,1)+1)&amp;INDEX('Serial Reference'!$A$8:$W$8,1,MOD($A88-1,23)+1)&amp;TEXT(K$2+FLOOR((K$2-1)/9,1),"000"),"")</f>
        <v/>
      </c>
      <c r="L88" s="18" t="str">
        <f>IF(INDEX('Shot Map'!$B$6:$V$26,CEILING($A88/5,1),CEILING(L$2/5,1))=1,INDEX('Serial Reference'!$A$8:$W$8,1,FLOOR(($A88-1)/23,1)+1)&amp;INDEX('Serial Reference'!$A$8:$W$8,1,MOD($A88-1,23)+1)&amp;TEXT(L$2+FLOOR((L$2-1)/9,1),"000"),"")</f>
        <v/>
      </c>
      <c r="M88" s="19" t="str">
        <f>IF(INDEX('Shot Map'!$B$6:$V$26,CEILING($A88/5,1),CEILING(M$2/5,1))=1,INDEX('Serial Reference'!$A$8:$W$8,1,FLOOR(($A88-1)/23,1)+1)&amp;INDEX('Serial Reference'!$A$8:$W$8,1,MOD($A88-1,23)+1)&amp;TEXT(M$2+FLOOR((M$2-1)/9,1),"000"),"")</f>
        <v/>
      </c>
      <c r="N88" s="19" t="str">
        <f>IF(INDEX('Shot Map'!$B$6:$V$26,CEILING($A88/5,1),CEILING(N$2/5,1))=1,INDEX('Serial Reference'!$A$8:$W$8,1,FLOOR(($A88-1)/23,1)+1)&amp;INDEX('Serial Reference'!$A$8:$W$8,1,MOD($A88-1,23)+1)&amp;TEXT(N$2+FLOOR((N$2-1)/9,1),"000"),"")</f>
        <v/>
      </c>
      <c r="O88" s="19" t="str">
        <f>IF(INDEX('Shot Map'!$B$6:$V$26,CEILING($A88/5,1),CEILING(O$2/5,1))=1,INDEX('Serial Reference'!$A$8:$W$8,1,FLOOR(($A88-1)/23,1)+1)&amp;INDEX('Serial Reference'!$A$8:$W$8,1,MOD($A88-1,23)+1)&amp;TEXT(O$2+FLOOR((O$2-1)/9,1),"000"),"")</f>
        <v/>
      </c>
      <c r="P88" s="20" t="str">
        <f>IF(INDEX('Shot Map'!$B$6:$V$26,CEILING($A88/5,1),CEILING(P$2/5,1))=1,INDEX('Serial Reference'!$A$8:$W$8,1,FLOOR(($A88-1)/23,1)+1)&amp;INDEX('Serial Reference'!$A$8:$W$8,1,MOD($A88-1,23)+1)&amp;TEXT(P$2+FLOOR((P$2-1)/9,1),"000"),"")</f>
        <v/>
      </c>
      <c r="Q88" s="18" t="str">
        <f>IF(INDEX('Shot Map'!$B$6:$V$26,CEILING($A88/5,1),CEILING(Q$2/5,1))=1,INDEX('Serial Reference'!$A$8:$W$8,1,FLOOR(($A88-1)/23,1)+1)&amp;INDEX('Serial Reference'!$A$8:$W$8,1,MOD($A88-1,23)+1)&amp;TEXT(Q$2+FLOOR((Q$2-1)/9,1),"000"),"")</f>
        <v>DT017</v>
      </c>
      <c r="R88" s="19" t="str">
        <f>IF(INDEX('Shot Map'!$B$6:$V$26,CEILING($A88/5,1),CEILING(R$2/5,1))=1,INDEX('Serial Reference'!$A$8:$W$8,1,FLOOR(($A88-1)/23,1)+1)&amp;INDEX('Serial Reference'!$A$8:$W$8,1,MOD($A88-1,23)+1)&amp;TEXT(R$2+FLOOR((R$2-1)/9,1),"000"),"")</f>
        <v>DT018</v>
      </c>
      <c r="S88" s="19" t="str">
        <f>IF(INDEX('Shot Map'!$B$6:$V$26,CEILING($A88/5,1),CEILING(S$2/5,1))=1,INDEX('Serial Reference'!$A$8:$W$8,1,FLOOR(($A88-1)/23,1)+1)&amp;INDEX('Serial Reference'!$A$8:$W$8,1,MOD($A88-1,23)+1)&amp;TEXT(S$2+FLOOR((S$2-1)/9,1),"000"),"")</f>
        <v>DT019</v>
      </c>
      <c r="T88" s="19" t="str">
        <f>IF(INDEX('Shot Map'!$B$6:$V$26,CEILING($A88/5,1),CEILING(T$2/5,1))=1,INDEX('Serial Reference'!$A$8:$W$8,1,FLOOR(($A88-1)/23,1)+1)&amp;INDEX('Serial Reference'!$A$8:$W$8,1,MOD($A88-1,23)+1)&amp;TEXT(T$2+FLOOR((T$2-1)/9,1),"000"),"")</f>
        <v>DT021</v>
      </c>
      <c r="U88" s="20" t="str">
        <f>IF(INDEX('Shot Map'!$B$6:$V$26,CEILING($A88/5,1),CEILING(U$2/5,1))=1,INDEX('Serial Reference'!$A$8:$W$8,1,FLOOR(($A88-1)/23,1)+1)&amp;INDEX('Serial Reference'!$A$8:$W$8,1,MOD($A88-1,23)+1)&amp;TEXT(U$2+FLOOR((U$2-1)/9,1),"000"),"")</f>
        <v>DT022</v>
      </c>
      <c r="V88" s="18" t="str">
        <f>IF(INDEX('Shot Map'!$B$6:$V$26,CEILING($A88/5,1),CEILING(V$2/5,1))=1,INDEX('Serial Reference'!$A$8:$W$8,1,FLOOR(($A88-1)/23,1)+1)&amp;INDEX('Serial Reference'!$A$8:$W$8,1,MOD($A88-1,23)+1)&amp;TEXT(V$2+FLOOR((V$2-1)/9,1),"000"),"")</f>
        <v>DT023</v>
      </c>
      <c r="W88" s="19" t="str">
        <f>IF(INDEX('Shot Map'!$B$6:$V$26,CEILING($A88/5,1),CEILING(W$2/5,1))=1,INDEX('Serial Reference'!$A$8:$W$8,1,FLOOR(($A88-1)/23,1)+1)&amp;INDEX('Serial Reference'!$A$8:$W$8,1,MOD($A88-1,23)+1)&amp;TEXT(W$2+FLOOR((W$2-1)/9,1),"000"),"")</f>
        <v>DT024</v>
      </c>
      <c r="X88" s="19" t="str">
        <f>IF(INDEX('Shot Map'!$B$6:$V$26,CEILING($A88/5,1),CEILING(X$2/5,1))=1,INDEX('Serial Reference'!$A$8:$W$8,1,FLOOR(($A88-1)/23,1)+1)&amp;INDEX('Serial Reference'!$A$8:$W$8,1,MOD($A88-1,23)+1)&amp;TEXT(X$2+FLOOR((X$2-1)/9,1),"000"),"")</f>
        <v>DT025</v>
      </c>
      <c r="Y88" s="19" t="str">
        <f>IF(INDEX('Shot Map'!$B$6:$V$26,CEILING($A88/5,1),CEILING(Y$2/5,1))=1,INDEX('Serial Reference'!$A$8:$W$8,1,FLOOR(($A88-1)/23,1)+1)&amp;INDEX('Serial Reference'!$A$8:$W$8,1,MOD($A88-1,23)+1)&amp;TEXT(Y$2+FLOOR((Y$2-1)/9,1),"000"),"")</f>
        <v>DT026</v>
      </c>
      <c r="Z88" s="20" t="str">
        <f>IF(INDEX('Shot Map'!$B$6:$V$26,CEILING($A88/5,1),CEILING(Z$2/5,1))=1,INDEX('Serial Reference'!$A$8:$W$8,1,FLOOR(($A88-1)/23,1)+1)&amp;INDEX('Serial Reference'!$A$8:$W$8,1,MOD($A88-1,23)+1)&amp;TEXT(Z$2+FLOOR((Z$2-1)/9,1),"000"),"")</f>
        <v>DT027</v>
      </c>
      <c r="AA88" s="18" t="str">
        <f>IF(INDEX('Shot Map'!$B$6:$V$26,CEILING($A88/5,1),CEILING(AA$2/5,1))=1,INDEX('Serial Reference'!$A$8:$W$8,1,FLOOR(($A88-1)/23,1)+1)&amp;INDEX('Serial Reference'!$A$8:$W$8,1,MOD($A88-1,23)+1)&amp;TEXT(AA$2+FLOOR((AA$2-1)/9,1),"000"),"")</f>
        <v>DT028</v>
      </c>
      <c r="AB88" s="19" t="str">
        <f>IF(INDEX('Shot Map'!$B$6:$V$26,CEILING($A88/5,1),CEILING(AB$2/5,1))=1,INDEX('Serial Reference'!$A$8:$W$8,1,FLOOR(($A88-1)/23,1)+1)&amp;INDEX('Serial Reference'!$A$8:$W$8,1,MOD($A88-1,23)+1)&amp;TEXT(AB$2+FLOOR((AB$2-1)/9,1),"000"),"")</f>
        <v>DT029</v>
      </c>
      <c r="AC88" s="19" t="str">
        <f>IF(INDEX('Shot Map'!$B$6:$V$26,CEILING($A88/5,1),CEILING(AC$2/5,1))=1,INDEX('Serial Reference'!$A$8:$W$8,1,FLOOR(($A88-1)/23,1)+1)&amp;INDEX('Serial Reference'!$A$8:$W$8,1,MOD($A88-1,23)+1)&amp;TEXT(AC$2+FLOOR((AC$2-1)/9,1),"000"),"")</f>
        <v>DT031</v>
      </c>
      <c r="AD88" s="19" t="str">
        <f>IF(INDEX('Shot Map'!$B$6:$V$26,CEILING($A88/5,1),CEILING(AD$2/5,1))=1,INDEX('Serial Reference'!$A$8:$W$8,1,FLOOR(($A88-1)/23,1)+1)&amp;INDEX('Serial Reference'!$A$8:$W$8,1,MOD($A88-1,23)+1)&amp;TEXT(AD$2+FLOOR((AD$2-1)/9,1),"000"),"")</f>
        <v>DT032</v>
      </c>
      <c r="AE88" s="20" t="str">
        <f>IF(INDEX('Shot Map'!$B$6:$V$26,CEILING($A88/5,1),CEILING(AE$2/5,1))=1,INDEX('Serial Reference'!$A$8:$W$8,1,FLOOR(($A88-1)/23,1)+1)&amp;INDEX('Serial Reference'!$A$8:$W$8,1,MOD($A88-1,23)+1)&amp;TEXT(AE$2+FLOOR((AE$2-1)/9,1),"000"),"")</f>
        <v>DT033</v>
      </c>
      <c r="AF88" s="18" t="str">
        <f>IF(INDEX('Shot Map'!$B$6:$V$26,CEILING($A88/5,1),CEILING(AF$2/5,1))=1,INDEX('Serial Reference'!$A$8:$W$8,1,FLOOR(($A88-1)/23,1)+1)&amp;INDEX('Serial Reference'!$A$8:$W$8,1,MOD($A88-1,23)+1)&amp;TEXT(AF$2+FLOOR((AF$2-1)/9,1),"000"),"")</f>
        <v>DT034</v>
      </c>
      <c r="AG88" s="19" t="str">
        <f>IF(INDEX('Shot Map'!$B$6:$V$26,CEILING($A88/5,1),CEILING(AG$2/5,1))=1,INDEX('Serial Reference'!$A$8:$W$8,1,FLOOR(($A88-1)/23,1)+1)&amp;INDEX('Serial Reference'!$A$8:$W$8,1,MOD($A88-1,23)+1)&amp;TEXT(AG$2+FLOOR((AG$2-1)/9,1),"000"),"")</f>
        <v>DT035</v>
      </c>
      <c r="AH88" s="19" t="str">
        <f>IF(INDEX('Shot Map'!$B$6:$V$26,CEILING($A88/5,1),CEILING(AH$2/5,1))=1,INDEX('Serial Reference'!$A$8:$W$8,1,FLOOR(($A88-1)/23,1)+1)&amp;INDEX('Serial Reference'!$A$8:$W$8,1,MOD($A88-1,23)+1)&amp;TEXT(AH$2+FLOOR((AH$2-1)/9,1),"000"),"")</f>
        <v>DT036</v>
      </c>
      <c r="AI88" s="19" t="str">
        <f>IF(INDEX('Shot Map'!$B$6:$V$26,CEILING($A88/5,1),CEILING(AI$2/5,1))=1,INDEX('Serial Reference'!$A$8:$W$8,1,FLOOR(($A88-1)/23,1)+1)&amp;INDEX('Serial Reference'!$A$8:$W$8,1,MOD($A88-1,23)+1)&amp;TEXT(AI$2+FLOOR((AI$2-1)/9,1),"000"),"")</f>
        <v>DT037</v>
      </c>
      <c r="AJ88" s="20" t="str">
        <f>IF(INDEX('Shot Map'!$B$6:$V$26,CEILING($A88/5,1),CEILING(AJ$2/5,1))=1,INDEX('Serial Reference'!$A$8:$W$8,1,FLOOR(($A88-1)/23,1)+1)&amp;INDEX('Serial Reference'!$A$8:$W$8,1,MOD($A88-1,23)+1)&amp;TEXT(AJ$2+FLOOR((AJ$2-1)/9,1),"000"),"")</f>
        <v>DT038</v>
      </c>
      <c r="AK88" s="18" t="str">
        <f>IF(INDEX('Shot Map'!$B$6:$V$26,CEILING($A88/5,1),CEILING(AK$2/5,1))=1,INDEX('Serial Reference'!$A$8:$W$8,1,FLOOR(($A88-1)/23,1)+1)&amp;INDEX('Serial Reference'!$A$8:$W$8,1,MOD($A88-1,23)+1)&amp;TEXT(AK$2+FLOOR((AK$2-1)/9,1),"000"),"")</f>
        <v>DT039</v>
      </c>
      <c r="AL88" s="19" t="str">
        <f>IF(INDEX('Shot Map'!$B$6:$V$26,CEILING($A88/5,1),CEILING(AL$2/5,1))=1,INDEX('Serial Reference'!$A$8:$W$8,1,FLOOR(($A88-1)/23,1)+1)&amp;INDEX('Serial Reference'!$A$8:$W$8,1,MOD($A88-1,23)+1)&amp;TEXT(AL$2+FLOOR((AL$2-1)/9,1),"000"),"")</f>
        <v>DT041</v>
      </c>
      <c r="AM88" s="19" t="str">
        <f>IF(INDEX('Shot Map'!$B$6:$V$26,CEILING($A88/5,1),CEILING(AM$2/5,1))=1,INDEX('Serial Reference'!$A$8:$W$8,1,FLOOR(($A88-1)/23,1)+1)&amp;INDEX('Serial Reference'!$A$8:$W$8,1,MOD($A88-1,23)+1)&amp;TEXT(AM$2+FLOOR((AM$2-1)/9,1),"000"),"")</f>
        <v>DT042</v>
      </c>
      <c r="AN88" s="19" t="str">
        <f>IF(INDEX('Shot Map'!$B$6:$V$26,CEILING($A88/5,1),CEILING(AN$2/5,1))=1,INDEX('Serial Reference'!$A$8:$W$8,1,FLOOR(($A88-1)/23,1)+1)&amp;INDEX('Serial Reference'!$A$8:$W$8,1,MOD($A88-1,23)+1)&amp;TEXT(AN$2+FLOOR((AN$2-1)/9,1),"000"),"")</f>
        <v>DT043</v>
      </c>
      <c r="AO88" s="20" t="str">
        <f>IF(INDEX('Shot Map'!$B$6:$V$26,CEILING($A88/5,1),CEILING(AO$2/5,1))=1,INDEX('Serial Reference'!$A$8:$W$8,1,FLOOR(($A88-1)/23,1)+1)&amp;INDEX('Serial Reference'!$A$8:$W$8,1,MOD($A88-1,23)+1)&amp;TEXT(AO$2+FLOOR((AO$2-1)/9,1),"000"),"")</f>
        <v>DT044</v>
      </c>
      <c r="AP88" s="18" t="str">
        <f>IF(INDEX('Shot Map'!$B$6:$V$26,CEILING($A88/5,1),CEILING(AP$2/5,1))=1,INDEX('Serial Reference'!$A$8:$W$8,1,FLOOR(($A88-1)/23,1)+1)&amp;INDEX('Serial Reference'!$A$8:$W$8,1,MOD($A88-1,23)+1)&amp;TEXT(AP$2+FLOOR((AP$2-1)/9,1),"000"),"")</f>
        <v>DT045</v>
      </c>
      <c r="AQ88" s="19" t="str">
        <f>IF(INDEX('Shot Map'!$B$6:$V$26,CEILING($A88/5,1),CEILING(AQ$2/5,1))=1,INDEX('Serial Reference'!$A$8:$W$8,1,FLOOR(($A88-1)/23,1)+1)&amp;INDEX('Serial Reference'!$A$8:$W$8,1,MOD($A88-1,23)+1)&amp;TEXT(AQ$2+FLOOR((AQ$2-1)/9,1),"000"),"")</f>
        <v>DT046</v>
      </c>
      <c r="AR88" s="19" t="str">
        <f>IF(INDEX('Shot Map'!$B$6:$V$26,CEILING($A88/5,1),CEILING(AR$2/5,1))=1,INDEX('Serial Reference'!$A$8:$W$8,1,FLOOR(($A88-1)/23,1)+1)&amp;INDEX('Serial Reference'!$A$8:$W$8,1,MOD($A88-1,23)+1)&amp;TEXT(AR$2+FLOOR((AR$2-1)/9,1),"000"),"")</f>
        <v>DT047</v>
      </c>
      <c r="AS88" s="19" t="str">
        <f>IF(INDEX('Shot Map'!$B$6:$V$26,CEILING($A88/5,1),CEILING(AS$2/5,1))=1,INDEX('Serial Reference'!$A$8:$W$8,1,FLOOR(($A88-1)/23,1)+1)&amp;INDEX('Serial Reference'!$A$8:$W$8,1,MOD($A88-1,23)+1)&amp;TEXT(AS$2+FLOOR((AS$2-1)/9,1),"000"),"")</f>
        <v>DT048</v>
      </c>
      <c r="AT88" s="20" t="str">
        <f>IF(INDEX('Shot Map'!$B$6:$V$26,CEILING($A88/5,1),CEILING(AT$2/5,1))=1,INDEX('Serial Reference'!$A$8:$W$8,1,FLOOR(($A88-1)/23,1)+1)&amp;INDEX('Serial Reference'!$A$8:$W$8,1,MOD($A88-1,23)+1)&amp;TEXT(AT$2+FLOOR((AT$2-1)/9,1),"000"),"")</f>
        <v>DT049</v>
      </c>
      <c r="AU88" s="18" t="str">
        <f>IF(INDEX('Shot Map'!$B$6:$V$26,CEILING($A88/5,1),CEILING(AU$2/5,1))=1,INDEX('Serial Reference'!$A$8:$W$8,1,FLOOR(($A88-1)/23,1)+1)&amp;INDEX('Serial Reference'!$A$8:$W$8,1,MOD($A88-1,23)+1)&amp;TEXT(AU$2+FLOOR((AU$2-1)/9,1),"000"),"")</f>
        <v>DT051</v>
      </c>
      <c r="AV88" s="19" t="str">
        <f>IF(INDEX('Shot Map'!$B$6:$V$26,CEILING($A88/5,1),CEILING(AV$2/5,1))=1,INDEX('Serial Reference'!$A$8:$W$8,1,FLOOR(($A88-1)/23,1)+1)&amp;INDEX('Serial Reference'!$A$8:$W$8,1,MOD($A88-1,23)+1)&amp;TEXT(AV$2+FLOOR((AV$2-1)/9,1),"000"),"")</f>
        <v>DT052</v>
      </c>
      <c r="AW88" s="19" t="str">
        <f>IF(INDEX('Shot Map'!$B$6:$V$26,CEILING($A88/5,1),CEILING(AW$2/5,1))=1,INDEX('Serial Reference'!$A$8:$W$8,1,FLOOR(($A88-1)/23,1)+1)&amp;INDEX('Serial Reference'!$A$8:$W$8,1,MOD($A88-1,23)+1)&amp;TEXT(AW$2+FLOOR((AW$2-1)/9,1),"000"),"")</f>
        <v>DT053</v>
      </c>
      <c r="AX88" s="19" t="str">
        <f>IF(INDEX('Shot Map'!$B$6:$V$26,CEILING($A88/5,1),CEILING(AX$2/5,1))=1,INDEX('Serial Reference'!$A$8:$W$8,1,FLOOR(($A88-1)/23,1)+1)&amp;INDEX('Serial Reference'!$A$8:$W$8,1,MOD($A88-1,23)+1)&amp;TEXT(AX$2+FLOOR((AX$2-1)/9,1),"000"),"")</f>
        <v>DT054</v>
      </c>
      <c r="AY88" s="20" t="str">
        <f>IF(INDEX('Shot Map'!$B$6:$V$26,CEILING($A88/5,1),CEILING(AY$2/5,1))=1,INDEX('Serial Reference'!$A$8:$W$8,1,FLOOR(($A88-1)/23,1)+1)&amp;INDEX('Serial Reference'!$A$8:$W$8,1,MOD($A88-1,23)+1)&amp;TEXT(AY$2+FLOOR((AY$2-1)/9,1),"000"),"")</f>
        <v>DT055</v>
      </c>
      <c r="AZ88" s="18" t="str">
        <f>IF(INDEX('Shot Map'!$B$6:$V$26,CEILING($A88/5,1),CEILING(AZ$2/5,1))=1,INDEX('Serial Reference'!$A$8:$W$8,1,FLOOR(($A88-1)/23,1)+1)&amp;INDEX('Serial Reference'!$A$8:$W$8,1,MOD($A88-1,23)+1)&amp;TEXT(AZ$2+FLOOR((AZ$2-1)/9,1),"000"),"")</f>
        <v>DT056</v>
      </c>
      <c r="BA88" s="19" t="str">
        <f>IF(INDEX('Shot Map'!$B$6:$V$26,CEILING($A88/5,1),CEILING(BA$2/5,1))=1,INDEX('Serial Reference'!$A$8:$W$8,1,FLOOR(($A88-1)/23,1)+1)&amp;INDEX('Serial Reference'!$A$8:$W$8,1,MOD($A88-1,23)+1)&amp;TEXT(BA$2+FLOOR((BA$2-1)/9,1),"000"),"")</f>
        <v>DT057</v>
      </c>
      <c r="BB88" s="19" t="str">
        <f>IF(INDEX('Shot Map'!$B$6:$V$26,CEILING($A88/5,1),CEILING(BB$2/5,1))=1,INDEX('Serial Reference'!$A$8:$W$8,1,FLOOR(($A88-1)/23,1)+1)&amp;INDEX('Serial Reference'!$A$8:$W$8,1,MOD($A88-1,23)+1)&amp;TEXT(BB$2+FLOOR((BB$2-1)/9,1),"000"),"")</f>
        <v>DT058</v>
      </c>
      <c r="BC88" s="19" t="str">
        <f>IF(INDEX('Shot Map'!$B$6:$V$26,CEILING($A88/5,1),CEILING(BC$2/5,1))=1,INDEX('Serial Reference'!$A$8:$W$8,1,FLOOR(($A88-1)/23,1)+1)&amp;INDEX('Serial Reference'!$A$8:$W$8,1,MOD($A88-1,23)+1)&amp;TEXT(BC$2+FLOOR((BC$2-1)/9,1),"000"),"")</f>
        <v>DT059</v>
      </c>
      <c r="BD88" s="20" t="str">
        <f>IF(INDEX('Shot Map'!$B$6:$V$26,CEILING($A88/5,1),CEILING(BD$2/5,1))=1,INDEX('Serial Reference'!$A$8:$W$8,1,FLOOR(($A88-1)/23,1)+1)&amp;INDEX('Serial Reference'!$A$8:$W$8,1,MOD($A88-1,23)+1)&amp;TEXT(BD$2+FLOOR((BD$2-1)/9,1),"000"),"")</f>
        <v>DT061</v>
      </c>
      <c r="BE88" s="18" t="str">
        <f>IF(INDEX('Shot Map'!$B$6:$V$26,CEILING($A88/5,1),CEILING(BE$2/5,1))=1,INDEX('Serial Reference'!$A$8:$W$8,1,FLOOR(($A88-1)/23,1)+1)&amp;INDEX('Serial Reference'!$A$8:$W$8,1,MOD($A88-1,23)+1)&amp;TEXT(BE$2+FLOOR((BE$2-1)/9,1),"000"),"")</f>
        <v>DT062</v>
      </c>
      <c r="BF88" s="19" t="str">
        <f>IF(INDEX('Shot Map'!$B$6:$V$26,CEILING($A88/5,1),CEILING(BF$2/5,1))=1,INDEX('Serial Reference'!$A$8:$W$8,1,FLOOR(($A88-1)/23,1)+1)&amp;INDEX('Serial Reference'!$A$8:$W$8,1,MOD($A88-1,23)+1)&amp;TEXT(BF$2+FLOOR((BF$2-1)/9,1),"000"),"")</f>
        <v>DT063</v>
      </c>
      <c r="BG88" s="19" t="str">
        <f>IF(INDEX('Shot Map'!$B$6:$V$26,CEILING($A88/5,1),CEILING(BG$2/5,1))=1,INDEX('Serial Reference'!$A$8:$W$8,1,FLOOR(($A88-1)/23,1)+1)&amp;INDEX('Serial Reference'!$A$8:$W$8,1,MOD($A88-1,23)+1)&amp;TEXT(BG$2+FLOOR((BG$2-1)/9,1),"000"),"")</f>
        <v>DT064</v>
      </c>
      <c r="BH88" s="19" t="str">
        <f>IF(INDEX('Shot Map'!$B$6:$V$26,CEILING($A88/5,1),CEILING(BH$2/5,1))=1,INDEX('Serial Reference'!$A$8:$W$8,1,FLOOR(($A88-1)/23,1)+1)&amp;INDEX('Serial Reference'!$A$8:$W$8,1,MOD($A88-1,23)+1)&amp;TEXT(BH$2+FLOOR((BH$2-1)/9,1),"000"),"")</f>
        <v>DT065</v>
      </c>
      <c r="BI88" s="20" t="str">
        <f>IF(INDEX('Shot Map'!$B$6:$V$26,CEILING($A88/5,1),CEILING(BI$2/5,1))=1,INDEX('Serial Reference'!$A$8:$W$8,1,FLOOR(($A88-1)/23,1)+1)&amp;INDEX('Serial Reference'!$A$8:$W$8,1,MOD($A88-1,23)+1)&amp;TEXT(BI$2+FLOOR((BI$2-1)/9,1),"000"),"")</f>
        <v>DT066</v>
      </c>
      <c r="BJ88" s="18" t="str">
        <f>IF(INDEX('Shot Map'!$B$6:$V$26,CEILING($A88/5,1),CEILING(BJ$2/5,1))=1,INDEX('Serial Reference'!$A$8:$W$8,1,FLOOR(($A88-1)/23,1)+1)&amp;INDEX('Serial Reference'!$A$8:$W$8,1,MOD($A88-1,23)+1)&amp;TEXT(BJ$2+FLOOR((BJ$2-1)/9,1),"000"),"")</f>
        <v>DT067</v>
      </c>
      <c r="BK88" s="19" t="str">
        <f>IF(INDEX('Shot Map'!$B$6:$V$26,CEILING($A88/5,1),CEILING(BK$2/5,1))=1,INDEX('Serial Reference'!$A$8:$W$8,1,FLOOR(($A88-1)/23,1)+1)&amp;INDEX('Serial Reference'!$A$8:$W$8,1,MOD($A88-1,23)+1)&amp;TEXT(BK$2+FLOOR((BK$2-1)/9,1),"000"),"")</f>
        <v>DT068</v>
      </c>
      <c r="BL88" s="19" t="str">
        <f>IF(INDEX('Shot Map'!$B$6:$V$26,CEILING($A88/5,1),CEILING(BL$2/5,1))=1,INDEX('Serial Reference'!$A$8:$W$8,1,FLOOR(($A88-1)/23,1)+1)&amp;INDEX('Serial Reference'!$A$8:$W$8,1,MOD($A88-1,23)+1)&amp;TEXT(BL$2+FLOOR((BL$2-1)/9,1),"000"),"")</f>
        <v>DT069</v>
      </c>
      <c r="BM88" s="19" t="str">
        <f>IF(INDEX('Shot Map'!$B$6:$V$26,CEILING($A88/5,1),CEILING(BM$2/5,1))=1,INDEX('Serial Reference'!$A$8:$W$8,1,FLOOR(($A88-1)/23,1)+1)&amp;INDEX('Serial Reference'!$A$8:$W$8,1,MOD($A88-1,23)+1)&amp;TEXT(BM$2+FLOOR((BM$2-1)/9,1),"000"),"")</f>
        <v>DT071</v>
      </c>
      <c r="BN88" s="20" t="str">
        <f>IF(INDEX('Shot Map'!$B$6:$V$26,CEILING($A88/5,1),CEILING(BN$2/5,1))=1,INDEX('Serial Reference'!$A$8:$W$8,1,FLOOR(($A88-1)/23,1)+1)&amp;INDEX('Serial Reference'!$A$8:$W$8,1,MOD($A88-1,23)+1)&amp;TEXT(BN$2+FLOOR((BN$2-1)/9,1),"000"),"")</f>
        <v>DT072</v>
      </c>
      <c r="BO88" s="18" t="str">
        <f>IF(INDEX('Shot Map'!$B$6:$V$26,CEILING($A88/5,1),CEILING(BO$2/5,1))=1,INDEX('Serial Reference'!$A$8:$W$8,1,FLOOR(($A88-1)/23,1)+1)&amp;INDEX('Serial Reference'!$A$8:$W$8,1,MOD($A88-1,23)+1)&amp;TEXT(BO$2+FLOOR((BO$2-1)/9,1),"000"),"")</f>
        <v>DT073</v>
      </c>
      <c r="BP88" s="19" t="str">
        <f>IF(INDEX('Shot Map'!$B$6:$V$26,CEILING($A88/5,1),CEILING(BP$2/5,1))=1,INDEX('Serial Reference'!$A$8:$W$8,1,FLOOR(($A88-1)/23,1)+1)&amp;INDEX('Serial Reference'!$A$8:$W$8,1,MOD($A88-1,23)+1)&amp;TEXT(BP$2+FLOOR((BP$2-1)/9,1),"000"),"")</f>
        <v>DT074</v>
      </c>
      <c r="BQ88" s="19" t="str">
        <f>IF(INDEX('Shot Map'!$B$6:$V$26,CEILING($A88/5,1),CEILING(BQ$2/5,1))=1,INDEX('Serial Reference'!$A$8:$W$8,1,FLOOR(($A88-1)/23,1)+1)&amp;INDEX('Serial Reference'!$A$8:$W$8,1,MOD($A88-1,23)+1)&amp;TEXT(BQ$2+FLOOR((BQ$2-1)/9,1),"000"),"")</f>
        <v>DT075</v>
      </c>
      <c r="BR88" s="19" t="str">
        <f>IF(INDEX('Shot Map'!$B$6:$V$26,CEILING($A88/5,1),CEILING(BR$2/5,1))=1,INDEX('Serial Reference'!$A$8:$W$8,1,FLOOR(($A88-1)/23,1)+1)&amp;INDEX('Serial Reference'!$A$8:$W$8,1,MOD($A88-1,23)+1)&amp;TEXT(BR$2+FLOOR((BR$2-1)/9,1),"000"),"")</f>
        <v>DT076</v>
      </c>
      <c r="BS88" s="20" t="str">
        <f>IF(INDEX('Shot Map'!$B$6:$V$26,CEILING($A88/5,1),CEILING(BS$2/5,1))=1,INDEX('Serial Reference'!$A$8:$W$8,1,FLOOR(($A88-1)/23,1)+1)&amp;INDEX('Serial Reference'!$A$8:$W$8,1,MOD($A88-1,23)+1)&amp;TEXT(BS$2+FLOOR((BS$2-1)/9,1),"000"),"")</f>
        <v>DT077</v>
      </c>
      <c r="BT88" s="18" t="str">
        <f>IF(INDEX('Shot Map'!$B$6:$V$26,CEILING($A88/5,1),CEILING(BT$2/5,1))=1,INDEX('Serial Reference'!$A$8:$W$8,1,FLOOR(($A88-1)/23,1)+1)&amp;INDEX('Serial Reference'!$A$8:$W$8,1,MOD($A88-1,23)+1)&amp;TEXT(BT$2+FLOOR((BT$2-1)/9,1),"000"),"")</f>
        <v>DT078</v>
      </c>
      <c r="BU88" s="19" t="str">
        <f>IF(INDEX('Shot Map'!$B$6:$V$26,CEILING($A88/5,1),CEILING(BU$2/5,1))=1,INDEX('Serial Reference'!$A$8:$W$8,1,FLOOR(($A88-1)/23,1)+1)&amp;INDEX('Serial Reference'!$A$8:$W$8,1,MOD($A88-1,23)+1)&amp;TEXT(BU$2+FLOOR((BU$2-1)/9,1),"000"),"")</f>
        <v>DT079</v>
      </c>
      <c r="BV88" s="19" t="str">
        <f>IF(INDEX('Shot Map'!$B$6:$V$26,CEILING($A88/5,1),CEILING(BV$2/5,1))=1,INDEX('Serial Reference'!$A$8:$W$8,1,FLOOR(($A88-1)/23,1)+1)&amp;INDEX('Serial Reference'!$A$8:$W$8,1,MOD($A88-1,23)+1)&amp;TEXT(BV$2+FLOOR((BV$2-1)/9,1),"000"),"")</f>
        <v>DT081</v>
      </c>
      <c r="BW88" s="19" t="str">
        <f>IF(INDEX('Shot Map'!$B$6:$V$26,CEILING($A88/5,1),CEILING(BW$2/5,1))=1,INDEX('Serial Reference'!$A$8:$W$8,1,FLOOR(($A88-1)/23,1)+1)&amp;INDEX('Serial Reference'!$A$8:$W$8,1,MOD($A88-1,23)+1)&amp;TEXT(BW$2+FLOOR((BW$2-1)/9,1),"000"),"")</f>
        <v>DT082</v>
      </c>
      <c r="BX88" s="20" t="str">
        <f>IF(INDEX('Shot Map'!$B$6:$V$26,CEILING($A88/5,1),CEILING(BX$2/5,1))=1,INDEX('Serial Reference'!$A$8:$W$8,1,FLOOR(($A88-1)/23,1)+1)&amp;INDEX('Serial Reference'!$A$8:$W$8,1,MOD($A88-1,23)+1)&amp;TEXT(BX$2+FLOOR((BX$2-1)/9,1),"000"),"")</f>
        <v>DT083</v>
      </c>
      <c r="BY88" s="18" t="str">
        <f>IF(INDEX('Shot Map'!$B$6:$V$26,CEILING($A88/5,1),CEILING(BY$2/5,1))=1,INDEX('Serial Reference'!$A$8:$W$8,1,FLOOR(($A88-1)/23,1)+1)&amp;INDEX('Serial Reference'!$A$8:$W$8,1,MOD($A88-1,23)+1)&amp;TEXT(BY$2+FLOOR((BY$2-1)/9,1),"000"),"")</f>
        <v>DT084</v>
      </c>
      <c r="BZ88" s="19" t="str">
        <f>IF(INDEX('Shot Map'!$B$6:$V$26,CEILING($A88/5,1),CEILING(BZ$2/5,1))=1,INDEX('Serial Reference'!$A$8:$W$8,1,FLOOR(($A88-1)/23,1)+1)&amp;INDEX('Serial Reference'!$A$8:$W$8,1,MOD($A88-1,23)+1)&amp;TEXT(BZ$2+FLOOR((BZ$2-1)/9,1),"000"),"")</f>
        <v>DT085</v>
      </c>
      <c r="CA88" s="19" t="str">
        <f>IF(INDEX('Shot Map'!$B$6:$V$26,CEILING($A88/5,1),CEILING(CA$2/5,1))=1,INDEX('Serial Reference'!$A$8:$W$8,1,FLOOR(($A88-1)/23,1)+1)&amp;INDEX('Serial Reference'!$A$8:$W$8,1,MOD($A88-1,23)+1)&amp;TEXT(CA$2+FLOOR((CA$2-1)/9,1),"000"),"")</f>
        <v>DT086</v>
      </c>
      <c r="CB88" s="19" t="str">
        <f>IF(INDEX('Shot Map'!$B$6:$V$26,CEILING($A88/5,1),CEILING(CB$2/5,1))=1,INDEX('Serial Reference'!$A$8:$W$8,1,FLOOR(($A88-1)/23,1)+1)&amp;INDEX('Serial Reference'!$A$8:$W$8,1,MOD($A88-1,23)+1)&amp;TEXT(CB$2+FLOOR((CB$2-1)/9,1),"000"),"")</f>
        <v>DT087</v>
      </c>
      <c r="CC88" s="20" t="str">
        <f>IF(INDEX('Shot Map'!$B$6:$V$26,CEILING($A88/5,1),CEILING(CC$2/5,1))=1,INDEX('Serial Reference'!$A$8:$W$8,1,FLOOR(($A88-1)/23,1)+1)&amp;INDEX('Serial Reference'!$A$8:$W$8,1,MOD($A88-1,23)+1)&amp;TEXT(CC$2+FLOOR((CC$2-1)/9,1),"000"),"")</f>
        <v>DT088</v>
      </c>
      <c r="CD88" s="18" t="str">
        <f>IF(INDEX('Shot Map'!$B$6:$V$26,CEILING($A88/5,1),CEILING(CD$2/5,1))=1,INDEX('Serial Reference'!$A$8:$W$8,1,FLOOR(($A88-1)/23,1)+1)&amp;INDEX('Serial Reference'!$A$8:$W$8,1,MOD($A88-1,23)+1)&amp;TEXT(CD$2+FLOOR((CD$2-1)/9,1),"000"),"")</f>
        <v>DT089</v>
      </c>
      <c r="CE88" s="19" t="str">
        <f>IF(INDEX('Shot Map'!$B$6:$V$26,CEILING($A88/5,1),CEILING(CE$2/5,1))=1,INDEX('Serial Reference'!$A$8:$W$8,1,FLOOR(($A88-1)/23,1)+1)&amp;INDEX('Serial Reference'!$A$8:$W$8,1,MOD($A88-1,23)+1)&amp;TEXT(CE$2+FLOOR((CE$2-1)/9,1),"000"),"")</f>
        <v>DT091</v>
      </c>
      <c r="CF88" s="19" t="str">
        <f>IF(INDEX('Shot Map'!$B$6:$V$26,CEILING($A88/5,1),CEILING(CF$2/5,1))=1,INDEX('Serial Reference'!$A$8:$W$8,1,FLOOR(($A88-1)/23,1)+1)&amp;INDEX('Serial Reference'!$A$8:$W$8,1,MOD($A88-1,23)+1)&amp;TEXT(CF$2+FLOOR((CF$2-1)/9,1),"000"),"")</f>
        <v>DT092</v>
      </c>
      <c r="CG88" s="19" t="str">
        <f>IF(INDEX('Shot Map'!$B$6:$V$26,CEILING($A88/5,1),CEILING(CG$2/5,1))=1,INDEX('Serial Reference'!$A$8:$W$8,1,FLOOR(($A88-1)/23,1)+1)&amp;INDEX('Serial Reference'!$A$8:$W$8,1,MOD($A88-1,23)+1)&amp;TEXT(CG$2+FLOOR((CG$2-1)/9,1),"000"),"")</f>
        <v>DT093</v>
      </c>
      <c r="CH88" s="20" t="str">
        <f>IF(INDEX('Shot Map'!$B$6:$V$26,CEILING($A88/5,1),CEILING(CH$2/5,1))=1,INDEX('Serial Reference'!$A$8:$W$8,1,FLOOR(($A88-1)/23,1)+1)&amp;INDEX('Serial Reference'!$A$8:$W$8,1,MOD($A88-1,23)+1)&amp;TEXT(CH$2+FLOOR((CH$2-1)/9,1),"000"),"")</f>
        <v>DT094</v>
      </c>
      <c r="CI88" s="18" t="str">
        <f>IF(INDEX('Shot Map'!$B$6:$V$26,CEILING($A88/5,1),CEILING(CI$2/5,1))=1,INDEX('Serial Reference'!$A$8:$W$8,1,FLOOR(($A88-1)/23,1)+1)&amp;INDEX('Serial Reference'!$A$8:$W$8,1,MOD($A88-1,23)+1)&amp;TEXT(CI$2+FLOOR((CI$2-1)/9,1),"000"),"")</f>
        <v>DT095</v>
      </c>
      <c r="CJ88" s="19" t="str">
        <f>IF(INDEX('Shot Map'!$B$6:$V$26,CEILING($A88/5,1),CEILING(CJ$2/5,1))=1,INDEX('Serial Reference'!$A$8:$W$8,1,FLOOR(($A88-1)/23,1)+1)&amp;INDEX('Serial Reference'!$A$8:$W$8,1,MOD($A88-1,23)+1)&amp;TEXT(CJ$2+FLOOR((CJ$2-1)/9,1),"000"),"")</f>
        <v>DT096</v>
      </c>
      <c r="CK88" s="19" t="str">
        <f>IF(INDEX('Shot Map'!$B$6:$V$26,CEILING($A88/5,1),CEILING(CK$2/5,1))=1,INDEX('Serial Reference'!$A$8:$W$8,1,FLOOR(($A88-1)/23,1)+1)&amp;INDEX('Serial Reference'!$A$8:$W$8,1,MOD($A88-1,23)+1)&amp;TEXT(CK$2+FLOOR((CK$2-1)/9,1),"000"),"")</f>
        <v>DT097</v>
      </c>
      <c r="CL88" s="19" t="str">
        <f>IF(INDEX('Shot Map'!$B$6:$V$26,CEILING($A88/5,1),CEILING(CL$2/5,1))=1,INDEX('Serial Reference'!$A$8:$W$8,1,FLOOR(($A88-1)/23,1)+1)&amp;INDEX('Serial Reference'!$A$8:$W$8,1,MOD($A88-1,23)+1)&amp;TEXT(CL$2+FLOOR((CL$2-1)/9,1),"000"),"")</f>
        <v>DT098</v>
      </c>
      <c r="CM88" s="20" t="str">
        <f>IF(INDEX('Shot Map'!$B$6:$V$26,CEILING($A88/5,1),CEILING(CM$2/5,1))=1,INDEX('Serial Reference'!$A$8:$W$8,1,FLOOR(($A88-1)/23,1)+1)&amp;INDEX('Serial Reference'!$A$8:$W$8,1,MOD($A88-1,23)+1)&amp;TEXT(CM$2+FLOOR((CM$2-1)/9,1),"000"),"")</f>
        <v>DT099</v>
      </c>
      <c r="CN88" s="18" t="str">
        <f>IF(INDEX('Shot Map'!$B$6:$V$26,CEILING($A88/5,1),CEILING(CN$2/5,1))=1,INDEX('Serial Reference'!$A$8:$W$8,1,FLOOR(($A88-1)/23,1)+1)&amp;INDEX('Serial Reference'!$A$8:$W$8,1,MOD($A88-1,23)+1)&amp;TEXT(CN$2+FLOOR((CN$2-1)/9,1),"000"),"")</f>
        <v/>
      </c>
      <c r="CO88" s="19" t="str">
        <f>IF(INDEX('Shot Map'!$B$6:$V$26,CEILING($A88/5,1),CEILING(CO$2/5,1))=1,INDEX('Serial Reference'!$A$8:$W$8,1,FLOOR(($A88-1)/23,1)+1)&amp;INDEX('Serial Reference'!$A$8:$W$8,1,MOD($A88-1,23)+1)&amp;TEXT(CO$2+FLOOR((CO$2-1)/9,1),"000"),"")</f>
        <v/>
      </c>
      <c r="CP88" s="19" t="str">
        <f>IF(INDEX('Shot Map'!$B$6:$V$26,CEILING($A88/5,1),CEILING(CP$2/5,1))=1,INDEX('Serial Reference'!$A$8:$W$8,1,FLOOR(($A88-1)/23,1)+1)&amp;INDEX('Serial Reference'!$A$8:$W$8,1,MOD($A88-1,23)+1)&amp;TEXT(CP$2+FLOOR((CP$2-1)/9,1),"000"),"")</f>
        <v/>
      </c>
      <c r="CQ88" s="19" t="str">
        <f>IF(INDEX('Shot Map'!$B$6:$V$26,CEILING($A88/5,1),CEILING(CQ$2/5,1))=1,INDEX('Serial Reference'!$A$8:$W$8,1,FLOOR(($A88-1)/23,1)+1)&amp;INDEX('Serial Reference'!$A$8:$W$8,1,MOD($A88-1,23)+1)&amp;TEXT(CQ$2+FLOOR((CQ$2-1)/9,1),"000"),"")</f>
        <v/>
      </c>
      <c r="CR88" s="20" t="str">
        <f>IF(INDEX('Shot Map'!$B$6:$V$26,CEILING($A88/5,1),CEILING(CR$2/5,1))=1,INDEX('Serial Reference'!$A$8:$W$8,1,FLOOR(($A88-1)/23,1)+1)&amp;INDEX('Serial Reference'!$A$8:$W$8,1,MOD($A88-1,23)+1)&amp;TEXT(CR$2+FLOOR((CR$2-1)/9,1),"000"),"")</f>
        <v/>
      </c>
      <c r="CS88" s="18" t="str">
        <f>IF(INDEX('Shot Map'!$B$6:$V$26,CEILING($A88/5,1),CEILING(CS$2/5,1))=1,INDEX('Serial Reference'!$A$8:$W$8,1,FLOOR(($A88-1)/23,1)+1)&amp;INDEX('Serial Reference'!$A$8:$W$8,1,MOD($A88-1,23)+1)&amp;TEXT(CS$2+FLOOR((CS$2-1)/9,1),"000"),"")</f>
        <v/>
      </c>
      <c r="CT88" s="19" t="str">
        <f>IF(INDEX('Shot Map'!$B$6:$V$26,CEILING($A88/5,1),CEILING(CT$2/5,1))=1,INDEX('Serial Reference'!$A$8:$W$8,1,FLOOR(($A88-1)/23,1)+1)&amp;INDEX('Serial Reference'!$A$8:$W$8,1,MOD($A88-1,23)+1)&amp;TEXT(CT$2+FLOOR((CT$2-1)/9,1),"000"),"")</f>
        <v/>
      </c>
      <c r="CU88" s="19" t="str">
        <f>IF(INDEX('Shot Map'!$B$6:$V$26,CEILING($A88/5,1),CEILING(CU$2/5,1))=1,INDEX('Serial Reference'!$A$8:$W$8,1,FLOOR(($A88-1)/23,1)+1)&amp;INDEX('Serial Reference'!$A$8:$W$8,1,MOD($A88-1,23)+1)&amp;TEXT(CU$2+FLOOR((CU$2-1)/9,1),"000"),"")</f>
        <v/>
      </c>
      <c r="CV88" s="19" t="str">
        <f>IF(INDEX('Shot Map'!$B$6:$V$26,CEILING($A88/5,1),CEILING(CV$2/5,1))=1,INDEX('Serial Reference'!$A$8:$W$8,1,FLOOR(($A88-1)/23,1)+1)&amp;INDEX('Serial Reference'!$A$8:$W$8,1,MOD($A88-1,23)+1)&amp;TEXT(CV$2+FLOOR((CV$2-1)/9,1),"000"),"")</f>
        <v/>
      </c>
      <c r="CW88" s="20" t="str">
        <f>IF(INDEX('Shot Map'!$B$6:$V$26,CEILING($A88/5,1),CEILING(CW$2/5,1))=1,INDEX('Serial Reference'!$A$8:$W$8,1,FLOOR(($A88-1)/23,1)+1)&amp;INDEX('Serial Reference'!$A$8:$W$8,1,MOD($A88-1,23)+1)&amp;TEXT(CW$2+FLOOR((CW$2-1)/9,1),"000"),"")</f>
        <v/>
      </c>
      <c r="CX88" s="18" t="str">
        <f>IF(INDEX('Shot Map'!$B$6:$V$26,CEILING($A88/5,1),CEILING(CX$2/5,1))=1,INDEX('Serial Reference'!$A$8:$W$8,1,FLOOR(($A88-1)/23,1)+1)&amp;INDEX('Serial Reference'!$A$8:$W$8,1,MOD($A88-1,23)+1)&amp;TEXT(CX$2+FLOOR((CX$2-1)/9,1),"000"),"")</f>
        <v/>
      </c>
      <c r="CY88" s="19" t="str">
        <f>IF(INDEX('Shot Map'!$B$6:$V$26,CEILING($A88/5,1),CEILING(CY$2/5,1))=1,INDEX('Serial Reference'!$A$8:$W$8,1,FLOOR(($A88-1)/23,1)+1)&amp;INDEX('Serial Reference'!$A$8:$W$8,1,MOD($A88-1,23)+1)&amp;TEXT(CY$2+FLOOR((CY$2-1)/9,1),"000"),"")</f>
        <v/>
      </c>
      <c r="CZ88" s="19" t="str">
        <f>IF(INDEX('Shot Map'!$B$6:$V$26,CEILING($A88/5,1),CEILING(CZ$2/5,1))=1,INDEX('Serial Reference'!$A$8:$W$8,1,FLOOR(($A88-1)/23,1)+1)&amp;INDEX('Serial Reference'!$A$8:$W$8,1,MOD($A88-1,23)+1)&amp;TEXT(CZ$2+FLOOR((CZ$2-1)/9,1),"000"),"")</f>
        <v/>
      </c>
      <c r="DA88" s="19" t="str">
        <f>IF(INDEX('Shot Map'!$B$6:$V$26,CEILING($A88/5,1),CEILING(DA$2/5,1))=1,INDEX('Serial Reference'!$A$8:$W$8,1,FLOOR(($A88-1)/23,1)+1)&amp;INDEX('Serial Reference'!$A$8:$W$8,1,MOD($A88-1,23)+1)&amp;TEXT(DA$2+FLOOR((DA$2-1)/9,1),"000"),"")</f>
        <v/>
      </c>
      <c r="DB88" s="20" t="str">
        <f>IF(INDEX('Shot Map'!$B$6:$V$26,CEILING($A88/5,1),CEILING(DB$2/5,1))=1,INDEX('Serial Reference'!$A$8:$W$8,1,FLOOR(($A88-1)/23,1)+1)&amp;INDEX('Serial Reference'!$A$8:$W$8,1,MOD($A88-1,23)+1)&amp;TEXT(DB$2+FLOOR((DB$2-1)/9,1),"000"),"")</f>
        <v/>
      </c>
    </row>
    <row r="89" spans="1:106" ht="12.75" customHeight="1" x14ac:dyDescent="0.25">
      <c r="A89" s="17">
        <v>87</v>
      </c>
      <c r="B89" s="21" t="str">
        <f>IF(INDEX('Shot Map'!$B$6:$V$26,CEILING($A89/5,1),CEILING(B$2/5,1))=1,INDEX('Serial Reference'!$A$8:$W$8,1,FLOOR(($A89-1)/23,1)+1)&amp;INDEX('Serial Reference'!$A$8:$W$8,1,MOD($A89-1,23)+1)&amp;TEXT(B$2+FLOOR((B$2-1)/9,1),"000"),"")</f>
        <v/>
      </c>
      <c r="C89" s="22" t="str">
        <f>IF(INDEX('Shot Map'!$B$6:$V$26,CEILING($A89/5,1),CEILING(C$2/5,1))=1,INDEX('Serial Reference'!$A$8:$W$8,1,FLOOR(($A89-1)/23,1)+1)&amp;INDEX('Serial Reference'!$A$8:$W$8,1,MOD($A89-1,23)+1)&amp;TEXT(C$2+FLOOR((C$2-1)/9,1),"000"),"")</f>
        <v/>
      </c>
      <c r="D89" s="22" t="str">
        <f>IF(INDEX('Shot Map'!$B$6:$V$26,CEILING($A89/5,1),CEILING(D$2/5,1))=1,INDEX('Serial Reference'!$A$8:$W$8,1,FLOOR(($A89-1)/23,1)+1)&amp;INDEX('Serial Reference'!$A$8:$W$8,1,MOD($A89-1,23)+1)&amp;TEXT(D$2+FLOOR((D$2-1)/9,1),"000"),"")</f>
        <v/>
      </c>
      <c r="E89" s="22" t="str">
        <f>IF(INDEX('Shot Map'!$B$6:$V$26,CEILING($A89/5,1),CEILING(E$2/5,1))=1,INDEX('Serial Reference'!$A$8:$W$8,1,FLOOR(($A89-1)/23,1)+1)&amp;INDEX('Serial Reference'!$A$8:$W$8,1,MOD($A89-1,23)+1)&amp;TEXT(E$2+FLOOR((E$2-1)/9,1),"000"),"")</f>
        <v/>
      </c>
      <c r="F89" s="23" t="str">
        <f>IF(INDEX('Shot Map'!$B$6:$V$26,CEILING($A89/5,1),CEILING(F$2/5,1))=1,INDEX('Serial Reference'!$A$8:$W$8,1,FLOOR(($A89-1)/23,1)+1)&amp;INDEX('Serial Reference'!$A$8:$W$8,1,MOD($A89-1,23)+1)&amp;TEXT(F$2+FLOOR((F$2-1)/9,1),"000"),"")</f>
        <v/>
      </c>
      <c r="G89" s="21" t="str">
        <f>IF(INDEX('Shot Map'!$B$6:$V$26,CEILING($A89/5,1),CEILING(G$2/5,1))=1,INDEX('Serial Reference'!$A$8:$W$8,1,FLOOR(($A89-1)/23,1)+1)&amp;INDEX('Serial Reference'!$A$8:$W$8,1,MOD($A89-1,23)+1)&amp;TEXT(G$2+FLOOR((G$2-1)/9,1),"000"),"")</f>
        <v/>
      </c>
      <c r="H89" s="22" t="str">
        <f>IF(INDEX('Shot Map'!$B$6:$V$26,CEILING($A89/5,1),CEILING(H$2/5,1))=1,INDEX('Serial Reference'!$A$8:$W$8,1,FLOOR(($A89-1)/23,1)+1)&amp;INDEX('Serial Reference'!$A$8:$W$8,1,MOD($A89-1,23)+1)&amp;TEXT(H$2+FLOOR((H$2-1)/9,1),"000"),"")</f>
        <v/>
      </c>
      <c r="I89" s="22" t="str">
        <f>IF(INDEX('Shot Map'!$B$6:$V$26,CEILING($A89/5,1),CEILING(I$2/5,1))=1,INDEX('Serial Reference'!$A$8:$W$8,1,FLOOR(($A89-1)/23,1)+1)&amp;INDEX('Serial Reference'!$A$8:$W$8,1,MOD($A89-1,23)+1)&amp;TEXT(I$2+FLOOR((I$2-1)/9,1),"000"),"")</f>
        <v/>
      </c>
      <c r="J89" s="22" t="str">
        <f>IF(INDEX('Shot Map'!$B$6:$V$26,CEILING($A89/5,1),CEILING(J$2/5,1))=1,INDEX('Serial Reference'!$A$8:$W$8,1,FLOOR(($A89-1)/23,1)+1)&amp;INDEX('Serial Reference'!$A$8:$W$8,1,MOD($A89-1,23)+1)&amp;TEXT(J$2+FLOOR((J$2-1)/9,1),"000"),"")</f>
        <v/>
      </c>
      <c r="K89" s="23" t="str">
        <f>IF(INDEX('Shot Map'!$B$6:$V$26,CEILING($A89/5,1),CEILING(K$2/5,1))=1,INDEX('Serial Reference'!$A$8:$W$8,1,FLOOR(($A89-1)/23,1)+1)&amp;INDEX('Serial Reference'!$A$8:$W$8,1,MOD($A89-1,23)+1)&amp;TEXT(K$2+FLOOR((K$2-1)/9,1),"000"),"")</f>
        <v/>
      </c>
      <c r="L89" s="21" t="str">
        <f>IF(INDEX('Shot Map'!$B$6:$V$26,CEILING($A89/5,1),CEILING(L$2/5,1))=1,INDEX('Serial Reference'!$A$8:$W$8,1,FLOOR(($A89-1)/23,1)+1)&amp;INDEX('Serial Reference'!$A$8:$W$8,1,MOD($A89-1,23)+1)&amp;TEXT(L$2+FLOOR((L$2-1)/9,1),"000"),"")</f>
        <v/>
      </c>
      <c r="M89" s="22" t="str">
        <f>IF(INDEX('Shot Map'!$B$6:$V$26,CEILING($A89/5,1),CEILING(M$2/5,1))=1,INDEX('Serial Reference'!$A$8:$W$8,1,FLOOR(($A89-1)/23,1)+1)&amp;INDEX('Serial Reference'!$A$8:$W$8,1,MOD($A89-1,23)+1)&amp;TEXT(M$2+FLOOR((M$2-1)/9,1),"000"),"")</f>
        <v/>
      </c>
      <c r="N89" s="22" t="str">
        <f>IF(INDEX('Shot Map'!$B$6:$V$26,CEILING($A89/5,1),CEILING(N$2/5,1))=1,INDEX('Serial Reference'!$A$8:$W$8,1,FLOOR(($A89-1)/23,1)+1)&amp;INDEX('Serial Reference'!$A$8:$W$8,1,MOD($A89-1,23)+1)&amp;TEXT(N$2+FLOOR((N$2-1)/9,1),"000"),"")</f>
        <v/>
      </c>
      <c r="O89" s="22" t="str">
        <f>IF(INDEX('Shot Map'!$B$6:$V$26,CEILING($A89/5,1),CEILING(O$2/5,1))=1,INDEX('Serial Reference'!$A$8:$W$8,1,FLOOR(($A89-1)/23,1)+1)&amp;INDEX('Serial Reference'!$A$8:$W$8,1,MOD($A89-1,23)+1)&amp;TEXT(O$2+FLOOR((O$2-1)/9,1),"000"),"")</f>
        <v/>
      </c>
      <c r="P89" s="23" t="str">
        <f>IF(INDEX('Shot Map'!$B$6:$V$26,CEILING($A89/5,1),CEILING(P$2/5,1))=1,INDEX('Serial Reference'!$A$8:$W$8,1,FLOOR(($A89-1)/23,1)+1)&amp;INDEX('Serial Reference'!$A$8:$W$8,1,MOD($A89-1,23)+1)&amp;TEXT(P$2+FLOOR((P$2-1)/9,1),"000"),"")</f>
        <v/>
      </c>
      <c r="Q89" s="21" t="str">
        <f>IF(INDEX('Shot Map'!$B$6:$V$26,CEILING($A89/5,1),CEILING(Q$2/5,1))=1,INDEX('Serial Reference'!$A$8:$W$8,1,FLOOR(($A89-1)/23,1)+1)&amp;INDEX('Serial Reference'!$A$8:$W$8,1,MOD($A89-1,23)+1)&amp;TEXT(Q$2+FLOOR((Q$2-1)/9,1),"000"),"")</f>
        <v>DU017</v>
      </c>
      <c r="R89" s="22" t="str">
        <f>IF(INDEX('Shot Map'!$B$6:$V$26,CEILING($A89/5,1),CEILING(R$2/5,1))=1,INDEX('Serial Reference'!$A$8:$W$8,1,FLOOR(($A89-1)/23,1)+1)&amp;INDEX('Serial Reference'!$A$8:$W$8,1,MOD($A89-1,23)+1)&amp;TEXT(R$2+FLOOR((R$2-1)/9,1),"000"),"")</f>
        <v>DU018</v>
      </c>
      <c r="S89" s="22" t="str">
        <f>IF(INDEX('Shot Map'!$B$6:$V$26,CEILING($A89/5,1),CEILING(S$2/5,1))=1,INDEX('Serial Reference'!$A$8:$W$8,1,FLOOR(($A89-1)/23,1)+1)&amp;INDEX('Serial Reference'!$A$8:$W$8,1,MOD($A89-1,23)+1)&amp;TEXT(S$2+FLOOR((S$2-1)/9,1),"000"),"")</f>
        <v>DU019</v>
      </c>
      <c r="T89" s="22" t="str">
        <f>IF(INDEX('Shot Map'!$B$6:$V$26,CEILING($A89/5,1),CEILING(T$2/5,1))=1,INDEX('Serial Reference'!$A$8:$W$8,1,FLOOR(($A89-1)/23,1)+1)&amp;INDEX('Serial Reference'!$A$8:$W$8,1,MOD($A89-1,23)+1)&amp;TEXT(T$2+FLOOR((T$2-1)/9,1),"000"),"")</f>
        <v>DU021</v>
      </c>
      <c r="U89" s="23" t="str">
        <f>IF(INDEX('Shot Map'!$B$6:$V$26,CEILING($A89/5,1),CEILING(U$2/5,1))=1,INDEX('Serial Reference'!$A$8:$W$8,1,FLOOR(($A89-1)/23,1)+1)&amp;INDEX('Serial Reference'!$A$8:$W$8,1,MOD($A89-1,23)+1)&amp;TEXT(U$2+FLOOR((U$2-1)/9,1),"000"),"")</f>
        <v>DU022</v>
      </c>
      <c r="V89" s="21" t="str">
        <f>IF(INDEX('Shot Map'!$B$6:$V$26,CEILING($A89/5,1),CEILING(V$2/5,1))=1,INDEX('Serial Reference'!$A$8:$W$8,1,FLOOR(($A89-1)/23,1)+1)&amp;INDEX('Serial Reference'!$A$8:$W$8,1,MOD($A89-1,23)+1)&amp;TEXT(V$2+FLOOR((V$2-1)/9,1),"000"),"")</f>
        <v>DU023</v>
      </c>
      <c r="W89" s="22" t="str">
        <f>IF(INDEX('Shot Map'!$B$6:$V$26,CEILING($A89/5,1),CEILING(W$2/5,1))=1,INDEX('Serial Reference'!$A$8:$W$8,1,FLOOR(($A89-1)/23,1)+1)&amp;INDEX('Serial Reference'!$A$8:$W$8,1,MOD($A89-1,23)+1)&amp;TEXT(W$2+FLOOR((W$2-1)/9,1),"000"),"")</f>
        <v>DU024</v>
      </c>
      <c r="X89" s="22" t="str">
        <f>IF(INDEX('Shot Map'!$B$6:$V$26,CEILING($A89/5,1),CEILING(X$2/5,1))=1,INDEX('Serial Reference'!$A$8:$W$8,1,FLOOR(($A89-1)/23,1)+1)&amp;INDEX('Serial Reference'!$A$8:$W$8,1,MOD($A89-1,23)+1)&amp;TEXT(X$2+FLOOR((X$2-1)/9,1),"000"),"")</f>
        <v>DU025</v>
      </c>
      <c r="Y89" s="22" t="str">
        <f>IF(INDEX('Shot Map'!$B$6:$V$26,CEILING($A89/5,1),CEILING(Y$2/5,1))=1,INDEX('Serial Reference'!$A$8:$W$8,1,FLOOR(($A89-1)/23,1)+1)&amp;INDEX('Serial Reference'!$A$8:$W$8,1,MOD($A89-1,23)+1)&amp;TEXT(Y$2+FLOOR((Y$2-1)/9,1),"000"),"")</f>
        <v>DU026</v>
      </c>
      <c r="Z89" s="23" t="str">
        <f>IF(INDEX('Shot Map'!$B$6:$V$26,CEILING($A89/5,1),CEILING(Z$2/5,1))=1,INDEX('Serial Reference'!$A$8:$W$8,1,FLOOR(($A89-1)/23,1)+1)&amp;INDEX('Serial Reference'!$A$8:$W$8,1,MOD($A89-1,23)+1)&amp;TEXT(Z$2+FLOOR((Z$2-1)/9,1),"000"),"")</f>
        <v>DU027</v>
      </c>
      <c r="AA89" s="21" t="str">
        <f>IF(INDEX('Shot Map'!$B$6:$V$26,CEILING($A89/5,1),CEILING(AA$2/5,1))=1,INDEX('Serial Reference'!$A$8:$W$8,1,FLOOR(($A89-1)/23,1)+1)&amp;INDEX('Serial Reference'!$A$8:$W$8,1,MOD($A89-1,23)+1)&amp;TEXT(AA$2+FLOOR((AA$2-1)/9,1),"000"),"")</f>
        <v>DU028</v>
      </c>
      <c r="AB89" s="22" t="str">
        <f>IF(INDEX('Shot Map'!$B$6:$V$26,CEILING($A89/5,1),CEILING(AB$2/5,1))=1,INDEX('Serial Reference'!$A$8:$W$8,1,FLOOR(($A89-1)/23,1)+1)&amp;INDEX('Serial Reference'!$A$8:$W$8,1,MOD($A89-1,23)+1)&amp;TEXT(AB$2+FLOOR((AB$2-1)/9,1),"000"),"")</f>
        <v>DU029</v>
      </c>
      <c r="AC89" s="22" t="str">
        <f>IF(INDEX('Shot Map'!$B$6:$V$26,CEILING($A89/5,1),CEILING(AC$2/5,1))=1,INDEX('Serial Reference'!$A$8:$W$8,1,FLOOR(($A89-1)/23,1)+1)&amp;INDEX('Serial Reference'!$A$8:$W$8,1,MOD($A89-1,23)+1)&amp;TEXT(AC$2+FLOOR((AC$2-1)/9,1),"000"),"")</f>
        <v>DU031</v>
      </c>
      <c r="AD89" s="22" t="str">
        <f>IF(INDEX('Shot Map'!$B$6:$V$26,CEILING($A89/5,1),CEILING(AD$2/5,1))=1,INDEX('Serial Reference'!$A$8:$W$8,1,FLOOR(($A89-1)/23,1)+1)&amp;INDEX('Serial Reference'!$A$8:$W$8,1,MOD($A89-1,23)+1)&amp;TEXT(AD$2+FLOOR((AD$2-1)/9,1),"000"),"")</f>
        <v>DU032</v>
      </c>
      <c r="AE89" s="23" t="str">
        <f>IF(INDEX('Shot Map'!$B$6:$V$26,CEILING($A89/5,1),CEILING(AE$2/5,1))=1,INDEX('Serial Reference'!$A$8:$W$8,1,FLOOR(($A89-1)/23,1)+1)&amp;INDEX('Serial Reference'!$A$8:$W$8,1,MOD($A89-1,23)+1)&amp;TEXT(AE$2+FLOOR((AE$2-1)/9,1),"000"),"")</f>
        <v>DU033</v>
      </c>
      <c r="AF89" s="21" t="str">
        <f>IF(INDEX('Shot Map'!$B$6:$V$26,CEILING($A89/5,1),CEILING(AF$2/5,1))=1,INDEX('Serial Reference'!$A$8:$W$8,1,FLOOR(($A89-1)/23,1)+1)&amp;INDEX('Serial Reference'!$A$8:$W$8,1,MOD($A89-1,23)+1)&amp;TEXT(AF$2+FLOOR((AF$2-1)/9,1),"000"),"")</f>
        <v>DU034</v>
      </c>
      <c r="AG89" s="22" t="str">
        <f>IF(INDEX('Shot Map'!$B$6:$V$26,CEILING($A89/5,1),CEILING(AG$2/5,1))=1,INDEX('Serial Reference'!$A$8:$W$8,1,FLOOR(($A89-1)/23,1)+1)&amp;INDEX('Serial Reference'!$A$8:$W$8,1,MOD($A89-1,23)+1)&amp;TEXT(AG$2+FLOOR((AG$2-1)/9,1),"000"),"")</f>
        <v>DU035</v>
      </c>
      <c r="AH89" s="22" t="str">
        <f>IF(INDEX('Shot Map'!$B$6:$V$26,CEILING($A89/5,1),CEILING(AH$2/5,1))=1,INDEX('Serial Reference'!$A$8:$W$8,1,FLOOR(($A89-1)/23,1)+1)&amp;INDEX('Serial Reference'!$A$8:$W$8,1,MOD($A89-1,23)+1)&amp;TEXT(AH$2+FLOOR((AH$2-1)/9,1),"000"),"")</f>
        <v>DU036</v>
      </c>
      <c r="AI89" s="22" t="str">
        <f>IF(INDEX('Shot Map'!$B$6:$V$26,CEILING($A89/5,1),CEILING(AI$2/5,1))=1,INDEX('Serial Reference'!$A$8:$W$8,1,FLOOR(($A89-1)/23,1)+1)&amp;INDEX('Serial Reference'!$A$8:$W$8,1,MOD($A89-1,23)+1)&amp;TEXT(AI$2+FLOOR((AI$2-1)/9,1),"000"),"")</f>
        <v>DU037</v>
      </c>
      <c r="AJ89" s="23" t="str">
        <f>IF(INDEX('Shot Map'!$B$6:$V$26,CEILING($A89/5,1),CEILING(AJ$2/5,1))=1,INDEX('Serial Reference'!$A$8:$W$8,1,FLOOR(($A89-1)/23,1)+1)&amp;INDEX('Serial Reference'!$A$8:$W$8,1,MOD($A89-1,23)+1)&amp;TEXT(AJ$2+FLOOR((AJ$2-1)/9,1),"000"),"")</f>
        <v>DU038</v>
      </c>
      <c r="AK89" s="21" t="str">
        <f>IF(INDEX('Shot Map'!$B$6:$V$26,CEILING($A89/5,1),CEILING(AK$2/5,1))=1,INDEX('Serial Reference'!$A$8:$W$8,1,FLOOR(($A89-1)/23,1)+1)&amp;INDEX('Serial Reference'!$A$8:$W$8,1,MOD($A89-1,23)+1)&amp;TEXT(AK$2+FLOOR((AK$2-1)/9,1),"000"),"")</f>
        <v>DU039</v>
      </c>
      <c r="AL89" s="22" t="str">
        <f>IF(INDEX('Shot Map'!$B$6:$V$26,CEILING($A89/5,1),CEILING(AL$2/5,1))=1,INDEX('Serial Reference'!$A$8:$W$8,1,FLOOR(($A89-1)/23,1)+1)&amp;INDEX('Serial Reference'!$A$8:$W$8,1,MOD($A89-1,23)+1)&amp;TEXT(AL$2+FLOOR((AL$2-1)/9,1),"000"),"")</f>
        <v>DU041</v>
      </c>
      <c r="AM89" s="22" t="str">
        <f>IF(INDEX('Shot Map'!$B$6:$V$26,CEILING($A89/5,1),CEILING(AM$2/5,1))=1,INDEX('Serial Reference'!$A$8:$W$8,1,FLOOR(($A89-1)/23,1)+1)&amp;INDEX('Serial Reference'!$A$8:$W$8,1,MOD($A89-1,23)+1)&amp;TEXT(AM$2+FLOOR((AM$2-1)/9,1),"000"),"")</f>
        <v>DU042</v>
      </c>
      <c r="AN89" s="22" t="str">
        <f>IF(INDEX('Shot Map'!$B$6:$V$26,CEILING($A89/5,1),CEILING(AN$2/5,1))=1,INDEX('Serial Reference'!$A$8:$W$8,1,FLOOR(($A89-1)/23,1)+1)&amp;INDEX('Serial Reference'!$A$8:$W$8,1,MOD($A89-1,23)+1)&amp;TEXT(AN$2+FLOOR((AN$2-1)/9,1),"000"),"")</f>
        <v>DU043</v>
      </c>
      <c r="AO89" s="23" t="str">
        <f>IF(INDEX('Shot Map'!$B$6:$V$26,CEILING($A89/5,1),CEILING(AO$2/5,1))=1,INDEX('Serial Reference'!$A$8:$W$8,1,FLOOR(($A89-1)/23,1)+1)&amp;INDEX('Serial Reference'!$A$8:$W$8,1,MOD($A89-1,23)+1)&amp;TEXT(AO$2+FLOOR((AO$2-1)/9,1),"000"),"")</f>
        <v>DU044</v>
      </c>
      <c r="AP89" s="21" t="str">
        <f>IF(INDEX('Shot Map'!$B$6:$V$26,CEILING($A89/5,1),CEILING(AP$2/5,1))=1,INDEX('Serial Reference'!$A$8:$W$8,1,FLOOR(($A89-1)/23,1)+1)&amp;INDEX('Serial Reference'!$A$8:$W$8,1,MOD($A89-1,23)+1)&amp;TEXT(AP$2+FLOOR((AP$2-1)/9,1),"000"),"")</f>
        <v>DU045</v>
      </c>
      <c r="AQ89" s="22" t="str">
        <f>IF(INDEX('Shot Map'!$B$6:$V$26,CEILING($A89/5,1),CEILING(AQ$2/5,1))=1,INDEX('Serial Reference'!$A$8:$W$8,1,FLOOR(($A89-1)/23,1)+1)&amp;INDEX('Serial Reference'!$A$8:$W$8,1,MOD($A89-1,23)+1)&amp;TEXT(AQ$2+FLOOR((AQ$2-1)/9,1),"000"),"")</f>
        <v>DU046</v>
      </c>
      <c r="AR89" s="22" t="str">
        <f>IF(INDEX('Shot Map'!$B$6:$V$26,CEILING($A89/5,1),CEILING(AR$2/5,1))=1,INDEX('Serial Reference'!$A$8:$W$8,1,FLOOR(($A89-1)/23,1)+1)&amp;INDEX('Serial Reference'!$A$8:$W$8,1,MOD($A89-1,23)+1)&amp;TEXT(AR$2+FLOOR((AR$2-1)/9,1),"000"),"")</f>
        <v>DU047</v>
      </c>
      <c r="AS89" s="22" t="str">
        <f>IF(INDEX('Shot Map'!$B$6:$V$26,CEILING($A89/5,1),CEILING(AS$2/5,1))=1,INDEX('Serial Reference'!$A$8:$W$8,1,FLOOR(($A89-1)/23,1)+1)&amp;INDEX('Serial Reference'!$A$8:$W$8,1,MOD($A89-1,23)+1)&amp;TEXT(AS$2+FLOOR((AS$2-1)/9,1),"000"),"")</f>
        <v>DU048</v>
      </c>
      <c r="AT89" s="23" t="str">
        <f>IF(INDEX('Shot Map'!$B$6:$V$26,CEILING($A89/5,1),CEILING(AT$2/5,1))=1,INDEX('Serial Reference'!$A$8:$W$8,1,FLOOR(($A89-1)/23,1)+1)&amp;INDEX('Serial Reference'!$A$8:$W$8,1,MOD($A89-1,23)+1)&amp;TEXT(AT$2+FLOOR((AT$2-1)/9,1),"000"),"")</f>
        <v>DU049</v>
      </c>
      <c r="AU89" s="21" t="str">
        <f>IF(INDEX('Shot Map'!$B$6:$V$26,CEILING($A89/5,1),CEILING(AU$2/5,1))=1,INDEX('Serial Reference'!$A$8:$W$8,1,FLOOR(($A89-1)/23,1)+1)&amp;INDEX('Serial Reference'!$A$8:$W$8,1,MOD($A89-1,23)+1)&amp;TEXT(AU$2+FLOOR((AU$2-1)/9,1),"000"),"")</f>
        <v>DU051</v>
      </c>
      <c r="AV89" s="22" t="str">
        <f>IF(INDEX('Shot Map'!$B$6:$V$26,CEILING($A89/5,1),CEILING(AV$2/5,1))=1,INDEX('Serial Reference'!$A$8:$W$8,1,FLOOR(($A89-1)/23,1)+1)&amp;INDEX('Serial Reference'!$A$8:$W$8,1,MOD($A89-1,23)+1)&amp;TEXT(AV$2+FLOOR((AV$2-1)/9,1),"000"),"")</f>
        <v>DU052</v>
      </c>
      <c r="AW89" s="22" t="str">
        <f>IF(INDEX('Shot Map'!$B$6:$V$26,CEILING($A89/5,1),CEILING(AW$2/5,1))=1,INDEX('Serial Reference'!$A$8:$W$8,1,FLOOR(($A89-1)/23,1)+1)&amp;INDEX('Serial Reference'!$A$8:$W$8,1,MOD($A89-1,23)+1)&amp;TEXT(AW$2+FLOOR((AW$2-1)/9,1),"000"),"")</f>
        <v>DU053</v>
      </c>
      <c r="AX89" s="22" t="str">
        <f>IF(INDEX('Shot Map'!$B$6:$V$26,CEILING($A89/5,1),CEILING(AX$2/5,1))=1,INDEX('Serial Reference'!$A$8:$W$8,1,FLOOR(($A89-1)/23,1)+1)&amp;INDEX('Serial Reference'!$A$8:$W$8,1,MOD($A89-1,23)+1)&amp;TEXT(AX$2+FLOOR((AX$2-1)/9,1),"000"),"")</f>
        <v>DU054</v>
      </c>
      <c r="AY89" s="23" t="str">
        <f>IF(INDEX('Shot Map'!$B$6:$V$26,CEILING($A89/5,1),CEILING(AY$2/5,1))=1,INDEX('Serial Reference'!$A$8:$W$8,1,FLOOR(($A89-1)/23,1)+1)&amp;INDEX('Serial Reference'!$A$8:$W$8,1,MOD($A89-1,23)+1)&amp;TEXT(AY$2+FLOOR((AY$2-1)/9,1),"000"),"")</f>
        <v>DU055</v>
      </c>
      <c r="AZ89" s="21" t="str">
        <f>IF(INDEX('Shot Map'!$B$6:$V$26,CEILING($A89/5,1),CEILING(AZ$2/5,1))=1,INDEX('Serial Reference'!$A$8:$W$8,1,FLOOR(($A89-1)/23,1)+1)&amp;INDEX('Serial Reference'!$A$8:$W$8,1,MOD($A89-1,23)+1)&amp;TEXT(AZ$2+FLOOR((AZ$2-1)/9,1),"000"),"")</f>
        <v>DU056</v>
      </c>
      <c r="BA89" s="22" t="str">
        <f>IF(INDEX('Shot Map'!$B$6:$V$26,CEILING($A89/5,1),CEILING(BA$2/5,1))=1,INDEX('Serial Reference'!$A$8:$W$8,1,FLOOR(($A89-1)/23,1)+1)&amp;INDEX('Serial Reference'!$A$8:$W$8,1,MOD($A89-1,23)+1)&amp;TEXT(BA$2+FLOOR((BA$2-1)/9,1),"000"),"")</f>
        <v>DU057</v>
      </c>
      <c r="BB89" s="22" t="str">
        <f>IF(INDEX('Shot Map'!$B$6:$V$26,CEILING($A89/5,1),CEILING(BB$2/5,1))=1,INDEX('Serial Reference'!$A$8:$W$8,1,FLOOR(($A89-1)/23,1)+1)&amp;INDEX('Serial Reference'!$A$8:$W$8,1,MOD($A89-1,23)+1)&amp;TEXT(BB$2+FLOOR((BB$2-1)/9,1),"000"),"")</f>
        <v>DU058</v>
      </c>
      <c r="BC89" s="22" t="str">
        <f>IF(INDEX('Shot Map'!$B$6:$V$26,CEILING($A89/5,1),CEILING(BC$2/5,1))=1,INDEX('Serial Reference'!$A$8:$W$8,1,FLOOR(($A89-1)/23,1)+1)&amp;INDEX('Serial Reference'!$A$8:$W$8,1,MOD($A89-1,23)+1)&amp;TEXT(BC$2+FLOOR((BC$2-1)/9,1),"000"),"")</f>
        <v>DU059</v>
      </c>
      <c r="BD89" s="23" t="str">
        <f>IF(INDEX('Shot Map'!$B$6:$V$26,CEILING($A89/5,1),CEILING(BD$2/5,1))=1,INDEX('Serial Reference'!$A$8:$W$8,1,FLOOR(($A89-1)/23,1)+1)&amp;INDEX('Serial Reference'!$A$8:$W$8,1,MOD($A89-1,23)+1)&amp;TEXT(BD$2+FLOOR((BD$2-1)/9,1),"000"),"")</f>
        <v>DU061</v>
      </c>
      <c r="BE89" s="21" t="str">
        <f>IF(INDEX('Shot Map'!$B$6:$V$26,CEILING($A89/5,1),CEILING(BE$2/5,1))=1,INDEX('Serial Reference'!$A$8:$W$8,1,FLOOR(($A89-1)/23,1)+1)&amp;INDEX('Serial Reference'!$A$8:$W$8,1,MOD($A89-1,23)+1)&amp;TEXT(BE$2+FLOOR((BE$2-1)/9,1),"000"),"")</f>
        <v>DU062</v>
      </c>
      <c r="BF89" s="22" t="str">
        <f>IF(INDEX('Shot Map'!$B$6:$V$26,CEILING($A89/5,1),CEILING(BF$2/5,1))=1,INDEX('Serial Reference'!$A$8:$W$8,1,FLOOR(($A89-1)/23,1)+1)&amp;INDEX('Serial Reference'!$A$8:$W$8,1,MOD($A89-1,23)+1)&amp;TEXT(BF$2+FLOOR((BF$2-1)/9,1),"000"),"")</f>
        <v>DU063</v>
      </c>
      <c r="BG89" s="22" t="str">
        <f>IF(INDEX('Shot Map'!$B$6:$V$26,CEILING($A89/5,1),CEILING(BG$2/5,1))=1,INDEX('Serial Reference'!$A$8:$W$8,1,FLOOR(($A89-1)/23,1)+1)&amp;INDEX('Serial Reference'!$A$8:$W$8,1,MOD($A89-1,23)+1)&amp;TEXT(BG$2+FLOOR((BG$2-1)/9,1),"000"),"")</f>
        <v>DU064</v>
      </c>
      <c r="BH89" s="22" t="str">
        <f>IF(INDEX('Shot Map'!$B$6:$V$26,CEILING($A89/5,1),CEILING(BH$2/5,1))=1,INDEX('Serial Reference'!$A$8:$W$8,1,FLOOR(($A89-1)/23,1)+1)&amp;INDEX('Serial Reference'!$A$8:$W$8,1,MOD($A89-1,23)+1)&amp;TEXT(BH$2+FLOOR((BH$2-1)/9,1),"000"),"")</f>
        <v>DU065</v>
      </c>
      <c r="BI89" s="23" t="str">
        <f>IF(INDEX('Shot Map'!$B$6:$V$26,CEILING($A89/5,1),CEILING(BI$2/5,1))=1,INDEX('Serial Reference'!$A$8:$W$8,1,FLOOR(($A89-1)/23,1)+1)&amp;INDEX('Serial Reference'!$A$8:$W$8,1,MOD($A89-1,23)+1)&amp;TEXT(BI$2+FLOOR((BI$2-1)/9,1),"000"),"")</f>
        <v>DU066</v>
      </c>
      <c r="BJ89" s="21" t="str">
        <f>IF(INDEX('Shot Map'!$B$6:$V$26,CEILING($A89/5,1),CEILING(BJ$2/5,1))=1,INDEX('Serial Reference'!$A$8:$W$8,1,FLOOR(($A89-1)/23,1)+1)&amp;INDEX('Serial Reference'!$A$8:$W$8,1,MOD($A89-1,23)+1)&amp;TEXT(BJ$2+FLOOR((BJ$2-1)/9,1),"000"),"")</f>
        <v>DU067</v>
      </c>
      <c r="BK89" s="22" t="str">
        <f>IF(INDEX('Shot Map'!$B$6:$V$26,CEILING($A89/5,1),CEILING(BK$2/5,1))=1,INDEX('Serial Reference'!$A$8:$W$8,1,FLOOR(($A89-1)/23,1)+1)&amp;INDEX('Serial Reference'!$A$8:$W$8,1,MOD($A89-1,23)+1)&amp;TEXT(BK$2+FLOOR((BK$2-1)/9,1),"000"),"")</f>
        <v>DU068</v>
      </c>
      <c r="BL89" s="22" t="str">
        <f>IF(INDEX('Shot Map'!$B$6:$V$26,CEILING($A89/5,1),CEILING(BL$2/5,1))=1,INDEX('Serial Reference'!$A$8:$W$8,1,FLOOR(($A89-1)/23,1)+1)&amp;INDEX('Serial Reference'!$A$8:$W$8,1,MOD($A89-1,23)+1)&amp;TEXT(BL$2+FLOOR((BL$2-1)/9,1),"000"),"")</f>
        <v>DU069</v>
      </c>
      <c r="BM89" s="22" t="str">
        <f>IF(INDEX('Shot Map'!$B$6:$V$26,CEILING($A89/5,1),CEILING(BM$2/5,1))=1,INDEX('Serial Reference'!$A$8:$W$8,1,FLOOR(($A89-1)/23,1)+1)&amp;INDEX('Serial Reference'!$A$8:$W$8,1,MOD($A89-1,23)+1)&amp;TEXT(BM$2+FLOOR((BM$2-1)/9,1),"000"),"")</f>
        <v>DU071</v>
      </c>
      <c r="BN89" s="23" t="str">
        <f>IF(INDEX('Shot Map'!$B$6:$V$26,CEILING($A89/5,1),CEILING(BN$2/5,1))=1,INDEX('Serial Reference'!$A$8:$W$8,1,FLOOR(($A89-1)/23,1)+1)&amp;INDEX('Serial Reference'!$A$8:$W$8,1,MOD($A89-1,23)+1)&amp;TEXT(BN$2+FLOOR((BN$2-1)/9,1),"000"),"")</f>
        <v>DU072</v>
      </c>
      <c r="BO89" s="21" t="str">
        <f>IF(INDEX('Shot Map'!$B$6:$V$26,CEILING($A89/5,1),CEILING(BO$2/5,1))=1,INDEX('Serial Reference'!$A$8:$W$8,1,FLOOR(($A89-1)/23,1)+1)&amp;INDEX('Serial Reference'!$A$8:$W$8,1,MOD($A89-1,23)+1)&amp;TEXT(BO$2+FLOOR((BO$2-1)/9,1),"000"),"")</f>
        <v>DU073</v>
      </c>
      <c r="BP89" s="22" t="str">
        <f>IF(INDEX('Shot Map'!$B$6:$V$26,CEILING($A89/5,1),CEILING(BP$2/5,1))=1,INDEX('Serial Reference'!$A$8:$W$8,1,FLOOR(($A89-1)/23,1)+1)&amp;INDEX('Serial Reference'!$A$8:$W$8,1,MOD($A89-1,23)+1)&amp;TEXT(BP$2+FLOOR((BP$2-1)/9,1),"000"),"")</f>
        <v>DU074</v>
      </c>
      <c r="BQ89" s="22" t="str">
        <f>IF(INDEX('Shot Map'!$B$6:$V$26,CEILING($A89/5,1),CEILING(BQ$2/5,1))=1,INDEX('Serial Reference'!$A$8:$W$8,1,FLOOR(($A89-1)/23,1)+1)&amp;INDEX('Serial Reference'!$A$8:$W$8,1,MOD($A89-1,23)+1)&amp;TEXT(BQ$2+FLOOR((BQ$2-1)/9,1),"000"),"")</f>
        <v>DU075</v>
      </c>
      <c r="BR89" s="22" t="str">
        <f>IF(INDEX('Shot Map'!$B$6:$V$26,CEILING($A89/5,1),CEILING(BR$2/5,1))=1,INDEX('Serial Reference'!$A$8:$W$8,1,FLOOR(($A89-1)/23,1)+1)&amp;INDEX('Serial Reference'!$A$8:$W$8,1,MOD($A89-1,23)+1)&amp;TEXT(BR$2+FLOOR((BR$2-1)/9,1),"000"),"")</f>
        <v>DU076</v>
      </c>
      <c r="BS89" s="23" t="str">
        <f>IF(INDEX('Shot Map'!$B$6:$V$26,CEILING($A89/5,1),CEILING(BS$2/5,1))=1,INDEX('Serial Reference'!$A$8:$W$8,1,FLOOR(($A89-1)/23,1)+1)&amp;INDEX('Serial Reference'!$A$8:$W$8,1,MOD($A89-1,23)+1)&amp;TEXT(BS$2+FLOOR((BS$2-1)/9,1),"000"),"")</f>
        <v>DU077</v>
      </c>
      <c r="BT89" s="21" t="str">
        <f>IF(INDEX('Shot Map'!$B$6:$V$26,CEILING($A89/5,1),CEILING(BT$2/5,1))=1,INDEX('Serial Reference'!$A$8:$W$8,1,FLOOR(($A89-1)/23,1)+1)&amp;INDEX('Serial Reference'!$A$8:$W$8,1,MOD($A89-1,23)+1)&amp;TEXT(BT$2+FLOOR((BT$2-1)/9,1),"000"),"")</f>
        <v>DU078</v>
      </c>
      <c r="BU89" s="22" t="str">
        <f>IF(INDEX('Shot Map'!$B$6:$V$26,CEILING($A89/5,1),CEILING(BU$2/5,1))=1,INDEX('Serial Reference'!$A$8:$W$8,1,FLOOR(($A89-1)/23,1)+1)&amp;INDEX('Serial Reference'!$A$8:$W$8,1,MOD($A89-1,23)+1)&amp;TEXT(BU$2+FLOOR((BU$2-1)/9,1),"000"),"")</f>
        <v>DU079</v>
      </c>
      <c r="BV89" s="22" t="str">
        <f>IF(INDEX('Shot Map'!$B$6:$V$26,CEILING($A89/5,1),CEILING(BV$2/5,1))=1,INDEX('Serial Reference'!$A$8:$W$8,1,FLOOR(($A89-1)/23,1)+1)&amp;INDEX('Serial Reference'!$A$8:$W$8,1,MOD($A89-1,23)+1)&amp;TEXT(BV$2+FLOOR((BV$2-1)/9,1),"000"),"")</f>
        <v>DU081</v>
      </c>
      <c r="BW89" s="22" t="str">
        <f>IF(INDEX('Shot Map'!$B$6:$V$26,CEILING($A89/5,1),CEILING(BW$2/5,1))=1,INDEX('Serial Reference'!$A$8:$W$8,1,FLOOR(($A89-1)/23,1)+1)&amp;INDEX('Serial Reference'!$A$8:$W$8,1,MOD($A89-1,23)+1)&amp;TEXT(BW$2+FLOOR((BW$2-1)/9,1),"000"),"")</f>
        <v>DU082</v>
      </c>
      <c r="BX89" s="23" t="str">
        <f>IF(INDEX('Shot Map'!$B$6:$V$26,CEILING($A89/5,1),CEILING(BX$2/5,1))=1,INDEX('Serial Reference'!$A$8:$W$8,1,FLOOR(($A89-1)/23,1)+1)&amp;INDEX('Serial Reference'!$A$8:$W$8,1,MOD($A89-1,23)+1)&amp;TEXT(BX$2+FLOOR((BX$2-1)/9,1),"000"),"")</f>
        <v>DU083</v>
      </c>
      <c r="BY89" s="21" t="str">
        <f>IF(INDEX('Shot Map'!$B$6:$V$26,CEILING($A89/5,1),CEILING(BY$2/5,1))=1,INDEX('Serial Reference'!$A$8:$W$8,1,FLOOR(($A89-1)/23,1)+1)&amp;INDEX('Serial Reference'!$A$8:$W$8,1,MOD($A89-1,23)+1)&amp;TEXT(BY$2+FLOOR((BY$2-1)/9,1),"000"),"")</f>
        <v>DU084</v>
      </c>
      <c r="BZ89" s="22" t="str">
        <f>IF(INDEX('Shot Map'!$B$6:$V$26,CEILING($A89/5,1),CEILING(BZ$2/5,1))=1,INDEX('Serial Reference'!$A$8:$W$8,1,FLOOR(($A89-1)/23,1)+1)&amp;INDEX('Serial Reference'!$A$8:$W$8,1,MOD($A89-1,23)+1)&amp;TEXT(BZ$2+FLOOR((BZ$2-1)/9,1),"000"),"")</f>
        <v>DU085</v>
      </c>
      <c r="CA89" s="22" t="str">
        <f>IF(INDEX('Shot Map'!$B$6:$V$26,CEILING($A89/5,1),CEILING(CA$2/5,1))=1,INDEX('Serial Reference'!$A$8:$W$8,1,FLOOR(($A89-1)/23,1)+1)&amp;INDEX('Serial Reference'!$A$8:$W$8,1,MOD($A89-1,23)+1)&amp;TEXT(CA$2+FLOOR((CA$2-1)/9,1),"000"),"")</f>
        <v>DU086</v>
      </c>
      <c r="CB89" s="22" t="str">
        <f>IF(INDEX('Shot Map'!$B$6:$V$26,CEILING($A89/5,1),CEILING(CB$2/5,1))=1,INDEX('Serial Reference'!$A$8:$W$8,1,FLOOR(($A89-1)/23,1)+1)&amp;INDEX('Serial Reference'!$A$8:$W$8,1,MOD($A89-1,23)+1)&amp;TEXT(CB$2+FLOOR((CB$2-1)/9,1),"000"),"")</f>
        <v>DU087</v>
      </c>
      <c r="CC89" s="23" t="str">
        <f>IF(INDEX('Shot Map'!$B$6:$V$26,CEILING($A89/5,1),CEILING(CC$2/5,1))=1,INDEX('Serial Reference'!$A$8:$W$8,1,FLOOR(($A89-1)/23,1)+1)&amp;INDEX('Serial Reference'!$A$8:$W$8,1,MOD($A89-1,23)+1)&amp;TEXT(CC$2+FLOOR((CC$2-1)/9,1),"000"),"")</f>
        <v>DU088</v>
      </c>
      <c r="CD89" s="21" t="str">
        <f>IF(INDEX('Shot Map'!$B$6:$V$26,CEILING($A89/5,1),CEILING(CD$2/5,1))=1,INDEX('Serial Reference'!$A$8:$W$8,1,FLOOR(($A89-1)/23,1)+1)&amp;INDEX('Serial Reference'!$A$8:$W$8,1,MOD($A89-1,23)+1)&amp;TEXT(CD$2+FLOOR((CD$2-1)/9,1),"000"),"")</f>
        <v>DU089</v>
      </c>
      <c r="CE89" s="22" t="str">
        <f>IF(INDEX('Shot Map'!$B$6:$V$26,CEILING($A89/5,1),CEILING(CE$2/5,1))=1,INDEX('Serial Reference'!$A$8:$W$8,1,FLOOR(($A89-1)/23,1)+1)&amp;INDEX('Serial Reference'!$A$8:$W$8,1,MOD($A89-1,23)+1)&amp;TEXT(CE$2+FLOOR((CE$2-1)/9,1),"000"),"")</f>
        <v>DU091</v>
      </c>
      <c r="CF89" s="22" t="str">
        <f>IF(INDEX('Shot Map'!$B$6:$V$26,CEILING($A89/5,1),CEILING(CF$2/5,1))=1,INDEX('Serial Reference'!$A$8:$W$8,1,FLOOR(($A89-1)/23,1)+1)&amp;INDEX('Serial Reference'!$A$8:$W$8,1,MOD($A89-1,23)+1)&amp;TEXT(CF$2+FLOOR((CF$2-1)/9,1),"000"),"")</f>
        <v>DU092</v>
      </c>
      <c r="CG89" s="22" t="str">
        <f>IF(INDEX('Shot Map'!$B$6:$V$26,CEILING($A89/5,1),CEILING(CG$2/5,1))=1,INDEX('Serial Reference'!$A$8:$W$8,1,FLOOR(($A89-1)/23,1)+1)&amp;INDEX('Serial Reference'!$A$8:$W$8,1,MOD($A89-1,23)+1)&amp;TEXT(CG$2+FLOOR((CG$2-1)/9,1),"000"),"")</f>
        <v>DU093</v>
      </c>
      <c r="CH89" s="23" t="str">
        <f>IF(INDEX('Shot Map'!$B$6:$V$26,CEILING($A89/5,1),CEILING(CH$2/5,1))=1,INDEX('Serial Reference'!$A$8:$W$8,1,FLOOR(($A89-1)/23,1)+1)&amp;INDEX('Serial Reference'!$A$8:$W$8,1,MOD($A89-1,23)+1)&amp;TEXT(CH$2+FLOOR((CH$2-1)/9,1),"000"),"")</f>
        <v>DU094</v>
      </c>
      <c r="CI89" s="21" t="str">
        <f>IF(INDEX('Shot Map'!$B$6:$V$26,CEILING($A89/5,1),CEILING(CI$2/5,1))=1,INDEX('Serial Reference'!$A$8:$W$8,1,FLOOR(($A89-1)/23,1)+1)&amp;INDEX('Serial Reference'!$A$8:$W$8,1,MOD($A89-1,23)+1)&amp;TEXT(CI$2+FLOOR((CI$2-1)/9,1),"000"),"")</f>
        <v>DU095</v>
      </c>
      <c r="CJ89" s="22" t="str">
        <f>IF(INDEX('Shot Map'!$B$6:$V$26,CEILING($A89/5,1),CEILING(CJ$2/5,1))=1,INDEX('Serial Reference'!$A$8:$W$8,1,FLOOR(($A89-1)/23,1)+1)&amp;INDEX('Serial Reference'!$A$8:$W$8,1,MOD($A89-1,23)+1)&amp;TEXT(CJ$2+FLOOR((CJ$2-1)/9,1),"000"),"")</f>
        <v>DU096</v>
      </c>
      <c r="CK89" s="22" t="str">
        <f>IF(INDEX('Shot Map'!$B$6:$V$26,CEILING($A89/5,1),CEILING(CK$2/5,1))=1,INDEX('Serial Reference'!$A$8:$W$8,1,FLOOR(($A89-1)/23,1)+1)&amp;INDEX('Serial Reference'!$A$8:$W$8,1,MOD($A89-1,23)+1)&amp;TEXT(CK$2+FLOOR((CK$2-1)/9,1),"000"),"")</f>
        <v>DU097</v>
      </c>
      <c r="CL89" s="22" t="str">
        <f>IF(INDEX('Shot Map'!$B$6:$V$26,CEILING($A89/5,1),CEILING(CL$2/5,1))=1,INDEX('Serial Reference'!$A$8:$W$8,1,FLOOR(($A89-1)/23,1)+1)&amp;INDEX('Serial Reference'!$A$8:$W$8,1,MOD($A89-1,23)+1)&amp;TEXT(CL$2+FLOOR((CL$2-1)/9,1),"000"),"")</f>
        <v>DU098</v>
      </c>
      <c r="CM89" s="23" t="str">
        <f>IF(INDEX('Shot Map'!$B$6:$V$26,CEILING($A89/5,1),CEILING(CM$2/5,1))=1,INDEX('Serial Reference'!$A$8:$W$8,1,FLOOR(($A89-1)/23,1)+1)&amp;INDEX('Serial Reference'!$A$8:$W$8,1,MOD($A89-1,23)+1)&amp;TEXT(CM$2+FLOOR((CM$2-1)/9,1),"000"),"")</f>
        <v>DU099</v>
      </c>
      <c r="CN89" s="21" t="str">
        <f>IF(INDEX('Shot Map'!$B$6:$V$26,CEILING($A89/5,1),CEILING(CN$2/5,1))=1,INDEX('Serial Reference'!$A$8:$W$8,1,FLOOR(($A89-1)/23,1)+1)&amp;INDEX('Serial Reference'!$A$8:$W$8,1,MOD($A89-1,23)+1)&amp;TEXT(CN$2+FLOOR((CN$2-1)/9,1),"000"),"")</f>
        <v/>
      </c>
      <c r="CO89" s="22" t="str">
        <f>IF(INDEX('Shot Map'!$B$6:$V$26,CEILING($A89/5,1),CEILING(CO$2/5,1))=1,INDEX('Serial Reference'!$A$8:$W$8,1,FLOOR(($A89-1)/23,1)+1)&amp;INDEX('Serial Reference'!$A$8:$W$8,1,MOD($A89-1,23)+1)&amp;TEXT(CO$2+FLOOR((CO$2-1)/9,1),"000"),"")</f>
        <v/>
      </c>
      <c r="CP89" s="22" t="str">
        <f>IF(INDEX('Shot Map'!$B$6:$V$26,CEILING($A89/5,1),CEILING(CP$2/5,1))=1,INDEX('Serial Reference'!$A$8:$W$8,1,FLOOR(($A89-1)/23,1)+1)&amp;INDEX('Serial Reference'!$A$8:$W$8,1,MOD($A89-1,23)+1)&amp;TEXT(CP$2+FLOOR((CP$2-1)/9,1),"000"),"")</f>
        <v/>
      </c>
      <c r="CQ89" s="22" t="str">
        <f>IF(INDEX('Shot Map'!$B$6:$V$26,CEILING($A89/5,1),CEILING(CQ$2/5,1))=1,INDEX('Serial Reference'!$A$8:$W$8,1,FLOOR(($A89-1)/23,1)+1)&amp;INDEX('Serial Reference'!$A$8:$W$8,1,MOD($A89-1,23)+1)&amp;TEXT(CQ$2+FLOOR((CQ$2-1)/9,1),"000"),"")</f>
        <v/>
      </c>
      <c r="CR89" s="23" t="str">
        <f>IF(INDEX('Shot Map'!$B$6:$V$26,CEILING($A89/5,1),CEILING(CR$2/5,1))=1,INDEX('Serial Reference'!$A$8:$W$8,1,FLOOR(($A89-1)/23,1)+1)&amp;INDEX('Serial Reference'!$A$8:$W$8,1,MOD($A89-1,23)+1)&amp;TEXT(CR$2+FLOOR((CR$2-1)/9,1),"000"),"")</f>
        <v/>
      </c>
      <c r="CS89" s="21" t="str">
        <f>IF(INDEX('Shot Map'!$B$6:$V$26,CEILING($A89/5,1),CEILING(CS$2/5,1))=1,INDEX('Serial Reference'!$A$8:$W$8,1,FLOOR(($A89-1)/23,1)+1)&amp;INDEX('Serial Reference'!$A$8:$W$8,1,MOD($A89-1,23)+1)&amp;TEXT(CS$2+FLOOR((CS$2-1)/9,1),"000"),"")</f>
        <v/>
      </c>
      <c r="CT89" s="22" t="str">
        <f>IF(INDEX('Shot Map'!$B$6:$V$26,CEILING($A89/5,1),CEILING(CT$2/5,1))=1,INDEX('Serial Reference'!$A$8:$W$8,1,FLOOR(($A89-1)/23,1)+1)&amp;INDEX('Serial Reference'!$A$8:$W$8,1,MOD($A89-1,23)+1)&amp;TEXT(CT$2+FLOOR((CT$2-1)/9,1),"000"),"")</f>
        <v/>
      </c>
      <c r="CU89" s="22" t="str">
        <f>IF(INDEX('Shot Map'!$B$6:$V$26,CEILING($A89/5,1),CEILING(CU$2/5,1))=1,INDEX('Serial Reference'!$A$8:$W$8,1,FLOOR(($A89-1)/23,1)+1)&amp;INDEX('Serial Reference'!$A$8:$W$8,1,MOD($A89-1,23)+1)&amp;TEXT(CU$2+FLOOR((CU$2-1)/9,1),"000"),"")</f>
        <v/>
      </c>
      <c r="CV89" s="22" t="str">
        <f>IF(INDEX('Shot Map'!$B$6:$V$26,CEILING($A89/5,1),CEILING(CV$2/5,1))=1,INDEX('Serial Reference'!$A$8:$W$8,1,FLOOR(($A89-1)/23,1)+1)&amp;INDEX('Serial Reference'!$A$8:$W$8,1,MOD($A89-1,23)+1)&amp;TEXT(CV$2+FLOOR((CV$2-1)/9,1),"000"),"")</f>
        <v/>
      </c>
      <c r="CW89" s="23" t="str">
        <f>IF(INDEX('Shot Map'!$B$6:$V$26,CEILING($A89/5,1),CEILING(CW$2/5,1))=1,INDEX('Serial Reference'!$A$8:$W$8,1,FLOOR(($A89-1)/23,1)+1)&amp;INDEX('Serial Reference'!$A$8:$W$8,1,MOD($A89-1,23)+1)&amp;TEXT(CW$2+FLOOR((CW$2-1)/9,1),"000"),"")</f>
        <v/>
      </c>
      <c r="CX89" s="21" t="str">
        <f>IF(INDEX('Shot Map'!$B$6:$V$26,CEILING($A89/5,1),CEILING(CX$2/5,1))=1,INDEX('Serial Reference'!$A$8:$W$8,1,FLOOR(($A89-1)/23,1)+1)&amp;INDEX('Serial Reference'!$A$8:$W$8,1,MOD($A89-1,23)+1)&amp;TEXT(CX$2+FLOOR((CX$2-1)/9,1),"000"),"")</f>
        <v/>
      </c>
      <c r="CY89" s="22" t="str">
        <f>IF(INDEX('Shot Map'!$B$6:$V$26,CEILING($A89/5,1),CEILING(CY$2/5,1))=1,INDEX('Serial Reference'!$A$8:$W$8,1,FLOOR(($A89-1)/23,1)+1)&amp;INDEX('Serial Reference'!$A$8:$W$8,1,MOD($A89-1,23)+1)&amp;TEXT(CY$2+FLOOR((CY$2-1)/9,1),"000"),"")</f>
        <v/>
      </c>
      <c r="CZ89" s="22" t="str">
        <f>IF(INDEX('Shot Map'!$B$6:$V$26,CEILING($A89/5,1),CEILING(CZ$2/5,1))=1,INDEX('Serial Reference'!$A$8:$W$8,1,FLOOR(($A89-1)/23,1)+1)&amp;INDEX('Serial Reference'!$A$8:$W$8,1,MOD($A89-1,23)+1)&amp;TEXT(CZ$2+FLOOR((CZ$2-1)/9,1),"000"),"")</f>
        <v/>
      </c>
      <c r="DA89" s="22" t="str">
        <f>IF(INDEX('Shot Map'!$B$6:$V$26,CEILING($A89/5,1),CEILING(DA$2/5,1))=1,INDEX('Serial Reference'!$A$8:$W$8,1,FLOOR(($A89-1)/23,1)+1)&amp;INDEX('Serial Reference'!$A$8:$W$8,1,MOD($A89-1,23)+1)&amp;TEXT(DA$2+FLOOR((DA$2-1)/9,1),"000"),"")</f>
        <v/>
      </c>
      <c r="DB89" s="23" t="str">
        <f>IF(INDEX('Shot Map'!$B$6:$V$26,CEILING($A89/5,1),CEILING(DB$2/5,1))=1,INDEX('Serial Reference'!$A$8:$W$8,1,FLOOR(($A89-1)/23,1)+1)&amp;INDEX('Serial Reference'!$A$8:$W$8,1,MOD($A89-1,23)+1)&amp;TEXT(DB$2+FLOOR((DB$2-1)/9,1),"000"),"")</f>
        <v/>
      </c>
    </row>
    <row r="90" spans="1:106" ht="12.75" customHeight="1" x14ac:dyDescent="0.25">
      <c r="A90" s="17">
        <v>88</v>
      </c>
      <c r="B90" s="21" t="str">
        <f>IF(INDEX('Shot Map'!$B$6:$V$26,CEILING($A90/5,1),CEILING(B$2/5,1))=1,INDEX('Serial Reference'!$A$8:$W$8,1,FLOOR(($A90-1)/23,1)+1)&amp;INDEX('Serial Reference'!$A$8:$W$8,1,MOD($A90-1,23)+1)&amp;TEXT(B$2+FLOOR((B$2-1)/9,1),"000"),"")</f>
        <v/>
      </c>
      <c r="C90" s="22" t="str">
        <f>IF(INDEX('Shot Map'!$B$6:$V$26,CEILING($A90/5,1),CEILING(C$2/5,1))=1,INDEX('Serial Reference'!$A$8:$W$8,1,FLOOR(($A90-1)/23,1)+1)&amp;INDEX('Serial Reference'!$A$8:$W$8,1,MOD($A90-1,23)+1)&amp;TEXT(C$2+FLOOR((C$2-1)/9,1),"000"),"")</f>
        <v/>
      </c>
      <c r="D90" s="22" t="str">
        <f>IF(INDEX('Shot Map'!$B$6:$V$26,CEILING($A90/5,1),CEILING(D$2/5,1))=1,INDEX('Serial Reference'!$A$8:$W$8,1,FLOOR(($A90-1)/23,1)+1)&amp;INDEX('Serial Reference'!$A$8:$W$8,1,MOD($A90-1,23)+1)&amp;TEXT(D$2+FLOOR((D$2-1)/9,1),"000"),"")</f>
        <v/>
      </c>
      <c r="E90" s="22" t="str">
        <f>IF(INDEX('Shot Map'!$B$6:$V$26,CEILING($A90/5,1),CEILING(E$2/5,1))=1,INDEX('Serial Reference'!$A$8:$W$8,1,FLOOR(($A90-1)/23,1)+1)&amp;INDEX('Serial Reference'!$A$8:$W$8,1,MOD($A90-1,23)+1)&amp;TEXT(E$2+FLOOR((E$2-1)/9,1),"000"),"")</f>
        <v/>
      </c>
      <c r="F90" s="23" t="str">
        <f>IF(INDEX('Shot Map'!$B$6:$V$26,CEILING($A90/5,1),CEILING(F$2/5,1))=1,INDEX('Serial Reference'!$A$8:$W$8,1,FLOOR(($A90-1)/23,1)+1)&amp;INDEX('Serial Reference'!$A$8:$W$8,1,MOD($A90-1,23)+1)&amp;TEXT(F$2+FLOOR((F$2-1)/9,1),"000"),"")</f>
        <v/>
      </c>
      <c r="G90" s="21" t="str">
        <f>IF(INDEX('Shot Map'!$B$6:$V$26,CEILING($A90/5,1),CEILING(G$2/5,1))=1,INDEX('Serial Reference'!$A$8:$W$8,1,FLOOR(($A90-1)/23,1)+1)&amp;INDEX('Serial Reference'!$A$8:$W$8,1,MOD($A90-1,23)+1)&amp;TEXT(G$2+FLOOR((G$2-1)/9,1),"000"),"")</f>
        <v/>
      </c>
      <c r="H90" s="22" t="str">
        <f>IF(INDEX('Shot Map'!$B$6:$V$26,CEILING($A90/5,1),CEILING(H$2/5,1))=1,INDEX('Serial Reference'!$A$8:$W$8,1,FLOOR(($A90-1)/23,1)+1)&amp;INDEX('Serial Reference'!$A$8:$W$8,1,MOD($A90-1,23)+1)&amp;TEXT(H$2+FLOOR((H$2-1)/9,1),"000"),"")</f>
        <v/>
      </c>
      <c r="I90" s="22" t="str">
        <f>IF(INDEX('Shot Map'!$B$6:$V$26,CEILING($A90/5,1),CEILING(I$2/5,1))=1,INDEX('Serial Reference'!$A$8:$W$8,1,FLOOR(($A90-1)/23,1)+1)&amp;INDEX('Serial Reference'!$A$8:$W$8,1,MOD($A90-1,23)+1)&amp;TEXT(I$2+FLOOR((I$2-1)/9,1),"000"),"")</f>
        <v/>
      </c>
      <c r="J90" s="22" t="str">
        <f>IF(INDEX('Shot Map'!$B$6:$V$26,CEILING($A90/5,1),CEILING(J$2/5,1))=1,INDEX('Serial Reference'!$A$8:$W$8,1,FLOOR(($A90-1)/23,1)+1)&amp;INDEX('Serial Reference'!$A$8:$W$8,1,MOD($A90-1,23)+1)&amp;TEXT(J$2+FLOOR((J$2-1)/9,1),"000"),"")</f>
        <v/>
      </c>
      <c r="K90" s="23" t="str">
        <f>IF(INDEX('Shot Map'!$B$6:$V$26,CEILING($A90/5,1),CEILING(K$2/5,1))=1,INDEX('Serial Reference'!$A$8:$W$8,1,FLOOR(($A90-1)/23,1)+1)&amp;INDEX('Serial Reference'!$A$8:$W$8,1,MOD($A90-1,23)+1)&amp;TEXT(K$2+FLOOR((K$2-1)/9,1),"000"),"")</f>
        <v/>
      </c>
      <c r="L90" s="21" t="str">
        <f>IF(INDEX('Shot Map'!$B$6:$V$26,CEILING($A90/5,1),CEILING(L$2/5,1))=1,INDEX('Serial Reference'!$A$8:$W$8,1,FLOOR(($A90-1)/23,1)+1)&amp;INDEX('Serial Reference'!$A$8:$W$8,1,MOD($A90-1,23)+1)&amp;TEXT(L$2+FLOOR((L$2-1)/9,1),"000"),"")</f>
        <v/>
      </c>
      <c r="M90" s="22" t="str">
        <f>IF(INDEX('Shot Map'!$B$6:$V$26,CEILING($A90/5,1),CEILING(M$2/5,1))=1,INDEX('Serial Reference'!$A$8:$W$8,1,FLOOR(($A90-1)/23,1)+1)&amp;INDEX('Serial Reference'!$A$8:$W$8,1,MOD($A90-1,23)+1)&amp;TEXT(M$2+FLOOR((M$2-1)/9,1),"000"),"")</f>
        <v/>
      </c>
      <c r="N90" s="22" t="str">
        <f>IF(INDEX('Shot Map'!$B$6:$V$26,CEILING($A90/5,1),CEILING(N$2/5,1))=1,INDEX('Serial Reference'!$A$8:$W$8,1,FLOOR(($A90-1)/23,1)+1)&amp;INDEX('Serial Reference'!$A$8:$W$8,1,MOD($A90-1,23)+1)&amp;TEXT(N$2+FLOOR((N$2-1)/9,1),"000"),"")</f>
        <v/>
      </c>
      <c r="O90" s="22" t="str">
        <f>IF(INDEX('Shot Map'!$B$6:$V$26,CEILING($A90/5,1),CEILING(O$2/5,1))=1,INDEX('Serial Reference'!$A$8:$W$8,1,FLOOR(($A90-1)/23,1)+1)&amp;INDEX('Serial Reference'!$A$8:$W$8,1,MOD($A90-1,23)+1)&amp;TEXT(O$2+FLOOR((O$2-1)/9,1),"000"),"")</f>
        <v/>
      </c>
      <c r="P90" s="23" t="str">
        <f>IF(INDEX('Shot Map'!$B$6:$V$26,CEILING($A90/5,1),CEILING(P$2/5,1))=1,INDEX('Serial Reference'!$A$8:$W$8,1,FLOOR(($A90-1)/23,1)+1)&amp;INDEX('Serial Reference'!$A$8:$W$8,1,MOD($A90-1,23)+1)&amp;TEXT(P$2+FLOOR((P$2-1)/9,1),"000"),"")</f>
        <v/>
      </c>
      <c r="Q90" s="21" t="str">
        <f>IF(INDEX('Shot Map'!$B$6:$V$26,CEILING($A90/5,1),CEILING(Q$2/5,1))=1,INDEX('Serial Reference'!$A$8:$W$8,1,FLOOR(($A90-1)/23,1)+1)&amp;INDEX('Serial Reference'!$A$8:$W$8,1,MOD($A90-1,23)+1)&amp;TEXT(Q$2+FLOOR((Q$2-1)/9,1),"000"),"")</f>
        <v>DV017</v>
      </c>
      <c r="R90" s="22" t="str">
        <f>IF(INDEX('Shot Map'!$B$6:$V$26,CEILING($A90/5,1),CEILING(R$2/5,1))=1,INDEX('Serial Reference'!$A$8:$W$8,1,FLOOR(($A90-1)/23,1)+1)&amp;INDEX('Serial Reference'!$A$8:$W$8,1,MOD($A90-1,23)+1)&amp;TEXT(R$2+FLOOR((R$2-1)/9,1),"000"),"")</f>
        <v>DV018</v>
      </c>
      <c r="S90" s="22" t="str">
        <f>IF(INDEX('Shot Map'!$B$6:$V$26,CEILING($A90/5,1),CEILING(S$2/5,1))=1,INDEX('Serial Reference'!$A$8:$W$8,1,FLOOR(($A90-1)/23,1)+1)&amp;INDEX('Serial Reference'!$A$8:$W$8,1,MOD($A90-1,23)+1)&amp;TEXT(S$2+FLOOR((S$2-1)/9,1),"000"),"")</f>
        <v>DV019</v>
      </c>
      <c r="T90" s="22" t="str">
        <f>IF(INDEX('Shot Map'!$B$6:$V$26,CEILING($A90/5,1),CEILING(T$2/5,1))=1,INDEX('Serial Reference'!$A$8:$W$8,1,FLOOR(($A90-1)/23,1)+1)&amp;INDEX('Serial Reference'!$A$8:$W$8,1,MOD($A90-1,23)+1)&amp;TEXT(T$2+FLOOR((T$2-1)/9,1),"000"),"")</f>
        <v>DV021</v>
      </c>
      <c r="U90" s="23" t="str">
        <f>IF(INDEX('Shot Map'!$B$6:$V$26,CEILING($A90/5,1),CEILING(U$2/5,1))=1,INDEX('Serial Reference'!$A$8:$W$8,1,FLOOR(($A90-1)/23,1)+1)&amp;INDEX('Serial Reference'!$A$8:$W$8,1,MOD($A90-1,23)+1)&amp;TEXT(U$2+FLOOR((U$2-1)/9,1),"000"),"")</f>
        <v>DV022</v>
      </c>
      <c r="V90" s="21" t="str">
        <f>IF(INDEX('Shot Map'!$B$6:$V$26,CEILING($A90/5,1),CEILING(V$2/5,1))=1,INDEX('Serial Reference'!$A$8:$W$8,1,FLOOR(($A90-1)/23,1)+1)&amp;INDEX('Serial Reference'!$A$8:$W$8,1,MOD($A90-1,23)+1)&amp;TEXT(V$2+FLOOR((V$2-1)/9,1),"000"),"")</f>
        <v>DV023</v>
      </c>
      <c r="W90" s="22" t="str">
        <f>IF(INDEX('Shot Map'!$B$6:$V$26,CEILING($A90/5,1),CEILING(W$2/5,1))=1,INDEX('Serial Reference'!$A$8:$W$8,1,FLOOR(($A90-1)/23,1)+1)&amp;INDEX('Serial Reference'!$A$8:$W$8,1,MOD($A90-1,23)+1)&amp;TEXT(W$2+FLOOR((W$2-1)/9,1),"000"),"")</f>
        <v>DV024</v>
      </c>
      <c r="X90" s="22" t="str">
        <f>IF(INDEX('Shot Map'!$B$6:$V$26,CEILING($A90/5,1),CEILING(X$2/5,1))=1,INDEX('Serial Reference'!$A$8:$W$8,1,FLOOR(($A90-1)/23,1)+1)&amp;INDEX('Serial Reference'!$A$8:$W$8,1,MOD($A90-1,23)+1)&amp;TEXT(X$2+FLOOR((X$2-1)/9,1),"000"),"")</f>
        <v>DV025</v>
      </c>
      <c r="Y90" s="22" t="str">
        <f>IF(INDEX('Shot Map'!$B$6:$V$26,CEILING($A90/5,1),CEILING(Y$2/5,1))=1,INDEX('Serial Reference'!$A$8:$W$8,1,FLOOR(($A90-1)/23,1)+1)&amp;INDEX('Serial Reference'!$A$8:$W$8,1,MOD($A90-1,23)+1)&amp;TEXT(Y$2+FLOOR((Y$2-1)/9,1),"000"),"")</f>
        <v>DV026</v>
      </c>
      <c r="Z90" s="23" t="str">
        <f>IF(INDEX('Shot Map'!$B$6:$V$26,CEILING($A90/5,1),CEILING(Z$2/5,1))=1,INDEX('Serial Reference'!$A$8:$W$8,1,FLOOR(($A90-1)/23,1)+1)&amp;INDEX('Serial Reference'!$A$8:$W$8,1,MOD($A90-1,23)+1)&amp;TEXT(Z$2+FLOOR((Z$2-1)/9,1),"000"),"")</f>
        <v>DV027</v>
      </c>
      <c r="AA90" s="21" t="str">
        <f>IF(INDEX('Shot Map'!$B$6:$V$26,CEILING($A90/5,1),CEILING(AA$2/5,1))=1,INDEX('Serial Reference'!$A$8:$W$8,1,FLOOR(($A90-1)/23,1)+1)&amp;INDEX('Serial Reference'!$A$8:$W$8,1,MOD($A90-1,23)+1)&amp;TEXT(AA$2+FLOOR((AA$2-1)/9,1),"000"),"")</f>
        <v>DV028</v>
      </c>
      <c r="AB90" s="22" t="str">
        <f>IF(INDEX('Shot Map'!$B$6:$V$26,CEILING($A90/5,1),CEILING(AB$2/5,1))=1,INDEX('Serial Reference'!$A$8:$W$8,1,FLOOR(($A90-1)/23,1)+1)&amp;INDEX('Serial Reference'!$A$8:$W$8,1,MOD($A90-1,23)+1)&amp;TEXT(AB$2+FLOOR((AB$2-1)/9,1),"000"),"")</f>
        <v>DV029</v>
      </c>
      <c r="AC90" s="22" t="str">
        <f>IF(INDEX('Shot Map'!$B$6:$V$26,CEILING($A90/5,1),CEILING(AC$2/5,1))=1,INDEX('Serial Reference'!$A$8:$W$8,1,FLOOR(($A90-1)/23,1)+1)&amp;INDEX('Serial Reference'!$A$8:$W$8,1,MOD($A90-1,23)+1)&amp;TEXT(AC$2+FLOOR((AC$2-1)/9,1),"000"),"")</f>
        <v>DV031</v>
      </c>
      <c r="AD90" s="22" t="str">
        <f>IF(INDEX('Shot Map'!$B$6:$V$26,CEILING($A90/5,1),CEILING(AD$2/5,1))=1,INDEX('Serial Reference'!$A$8:$W$8,1,FLOOR(($A90-1)/23,1)+1)&amp;INDEX('Serial Reference'!$A$8:$W$8,1,MOD($A90-1,23)+1)&amp;TEXT(AD$2+FLOOR((AD$2-1)/9,1),"000"),"")</f>
        <v>DV032</v>
      </c>
      <c r="AE90" s="23" t="str">
        <f>IF(INDEX('Shot Map'!$B$6:$V$26,CEILING($A90/5,1),CEILING(AE$2/5,1))=1,INDEX('Serial Reference'!$A$8:$W$8,1,FLOOR(($A90-1)/23,1)+1)&amp;INDEX('Serial Reference'!$A$8:$W$8,1,MOD($A90-1,23)+1)&amp;TEXT(AE$2+FLOOR((AE$2-1)/9,1),"000"),"")</f>
        <v>DV033</v>
      </c>
      <c r="AF90" s="21" t="str">
        <f>IF(INDEX('Shot Map'!$B$6:$V$26,CEILING($A90/5,1),CEILING(AF$2/5,1))=1,INDEX('Serial Reference'!$A$8:$W$8,1,FLOOR(($A90-1)/23,1)+1)&amp;INDEX('Serial Reference'!$A$8:$W$8,1,MOD($A90-1,23)+1)&amp;TEXT(AF$2+FLOOR((AF$2-1)/9,1),"000"),"")</f>
        <v>DV034</v>
      </c>
      <c r="AG90" s="22" t="str">
        <f>IF(INDEX('Shot Map'!$B$6:$V$26,CEILING($A90/5,1),CEILING(AG$2/5,1))=1,INDEX('Serial Reference'!$A$8:$W$8,1,FLOOR(($A90-1)/23,1)+1)&amp;INDEX('Serial Reference'!$A$8:$W$8,1,MOD($A90-1,23)+1)&amp;TEXT(AG$2+FLOOR((AG$2-1)/9,1),"000"),"")</f>
        <v>DV035</v>
      </c>
      <c r="AH90" s="22" t="str">
        <f>IF(INDEX('Shot Map'!$B$6:$V$26,CEILING($A90/5,1),CEILING(AH$2/5,1))=1,INDEX('Serial Reference'!$A$8:$W$8,1,FLOOR(($A90-1)/23,1)+1)&amp;INDEX('Serial Reference'!$A$8:$W$8,1,MOD($A90-1,23)+1)&amp;TEXT(AH$2+FLOOR((AH$2-1)/9,1),"000"),"")</f>
        <v>DV036</v>
      </c>
      <c r="AI90" s="22" t="str">
        <f>IF(INDEX('Shot Map'!$B$6:$V$26,CEILING($A90/5,1),CEILING(AI$2/5,1))=1,INDEX('Serial Reference'!$A$8:$W$8,1,FLOOR(($A90-1)/23,1)+1)&amp;INDEX('Serial Reference'!$A$8:$W$8,1,MOD($A90-1,23)+1)&amp;TEXT(AI$2+FLOOR((AI$2-1)/9,1),"000"),"")</f>
        <v>DV037</v>
      </c>
      <c r="AJ90" s="23" t="str">
        <f>IF(INDEX('Shot Map'!$B$6:$V$26,CEILING($A90/5,1),CEILING(AJ$2/5,1))=1,INDEX('Serial Reference'!$A$8:$W$8,1,FLOOR(($A90-1)/23,1)+1)&amp;INDEX('Serial Reference'!$A$8:$W$8,1,MOD($A90-1,23)+1)&amp;TEXT(AJ$2+FLOOR((AJ$2-1)/9,1),"000"),"")</f>
        <v>DV038</v>
      </c>
      <c r="AK90" s="21" t="str">
        <f>IF(INDEX('Shot Map'!$B$6:$V$26,CEILING($A90/5,1),CEILING(AK$2/5,1))=1,INDEX('Serial Reference'!$A$8:$W$8,1,FLOOR(($A90-1)/23,1)+1)&amp;INDEX('Serial Reference'!$A$8:$W$8,1,MOD($A90-1,23)+1)&amp;TEXT(AK$2+FLOOR((AK$2-1)/9,1),"000"),"")</f>
        <v>DV039</v>
      </c>
      <c r="AL90" s="22" t="str">
        <f>IF(INDEX('Shot Map'!$B$6:$V$26,CEILING($A90/5,1),CEILING(AL$2/5,1))=1,INDEX('Serial Reference'!$A$8:$W$8,1,FLOOR(($A90-1)/23,1)+1)&amp;INDEX('Serial Reference'!$A$8:$W$8,1,MOD($A90-1,23)+1)&amp;TEXT(AL$2+FLOOR((AL$2-1)/9,1),"000"),"")</f>
        <v>DV041</v>
      </c>
      <c r="AM90" s="22" t="str">
        <f>IF(INDEX('Shot Map'!$B$6:$V$26,CEILING($A90/5,1),CEILING(AM$2/5,1))=1,INDEX('Serial Reference'!$A$8:$W$8,1,FLOOR(($A90-1)/23,1)+1)&amp;INDEX('Serial Reference'!$A$8:$W$8,1,MOD($A90-1,23)+1)&amp;TEXT(AM$2+FLOOR((AM$2-1)/9,1),"000"),"")</f>
        <v>DV042</v>
      </c>
      <c r="AN90" s="22" t="str">
        <f>IF(INDEX('Shot Map'!$B$6:$V$26,CEILING($A90/5,1),CEILING(AN$2/5,1))=1,INDEX('Serial Reference'!$A$8:$W$8,1,FLOOR(($A90-1)/23,1)+1)&amp;INDEX('Serial Reference'!$A$8:$W$8,1,MOD($A90-1,23)+1)&amp;TEXT(AN$2+FLOOR((AN$2-1)/9,1),"000"),"")</f>
        <v>DV043</v>
      </c>
      <c r="AO90" s="23" t="str">
        <f>IF(INDEX('Shot Map'!$B$6:$V$26,CEILING($A90/5,1),CEILING(AO$2/5,1))=1,INDEX('Serial Reference'!$A$8:$W$8,1,FLOOR(($A90-1)/23,1)+1)&amp;INDEX('Serial Reference'!$A$8:$W$8,1,MOD($A90-1,23)+1)&amp;TEXT(AO$2+FLOOR((AO$2-1)/9,1),"000"),"")</f>
        <v>DV044</v>
      </c>
      <c r="AP90" s="21" t="str">
        <f>IF(INDEX('Shot Map'!$B$6:$V$26,CEILING($A90/5,1),CEILING(AP$2/5,1))=1,INDEX('Serial Reference'!$A$8:$W$8,1,FLOOR(($A90-1)/23,1)+1)&amp;INDEX('Serial Reference'!$A$8:$W$8,1,MOD($A90-1,23)+1)&amp;TEXT(AP$2+FLOOR((AP$2-1)/9,1),"000"),"")</f>
        <v>DV045</v>
      </c>
      <c r="AQ90" s="22" t="str">
        <f>IF(INDEX('Shot Map'!$B$6:$V$26,CEILING($A90/5,1),CEILING(AQ$2/5,1))=1,INDEX('Serial Reference'!$A$8:$W$8,1,FLOOR(($A90-1)/23,1)+1)&amp;INDEX('Serial Reference'!$A$8:$W$8,1,MOD($A90-1,23)+1)&amp;TEXT(AQ$2+FLOOR((AQ$2-1)/9,1),"000"),"")</f>
        <v>DV046</v>
      </c>
      <c r="AR90" s="22" t="str">
        <f>IF(INDEX('Shot Map'!$B$6:$V$26,CEILING($A90/5,1),CEILING(AR$2/5,1))=1,INDEX('Serial Reference'!$A$8:$W$8,1,FLOOR(($A90-1)/23,1)+1)&amp;INDEX('Serial Reference'!$A$8:$W$8,1,MOD($A90-1,23)+1)&amp;TEXT(AR$2+FLOOR((AR$2-1)/9,1),"000"),"")</f>
        <v>DV047</v>
      </c>
      <c r="AS90" s="22" t="str">
        <f>IF(INDEX('Shot Map'!$B$6:$V$26,CEILING($A90/5,1),CEILING(AS$2/5,1))=1,INDEX('Serial Reference'!$A$8:$W$8,1,FLOOR(($A90-1)/23,1)+1)&amp;INDEX('Serial Reference'!$A$8:$W$8,1,MOD($A90-1,23)+1)&amp;TEXT(AS$2+FLOOR((AS$2-1)/9,1),"000"),"")</f>
        <v>DV048</v>
      </c>
      <c r="AT90" s="23" t="str">
        <f>IF(INDEX('Shot Map'!$B$6:$V$26,CEILING($A90/5,1),CEILING(AT$2/5,1))=1,INDEX('Serial Reference'!$A$8:$W$8,1,FLOOR(($A90-1)/23,1)+1)&amp;INDEX('Serial Reference'!$A$8:$W$8,1,MOD($A90-1,23)+1)&amp;TEXT(AT$2+FLOOR((AT$2-1)/9,1),"000"),"")</f>
        <v>DV049</v>
      </c>
      <c r="AU90" s="21" t="str">
        <f>IF(INDEX('Shot Map'!$B$6:$V$26,CEILING($A90/5,1),CEILING(AU$2/5,1))=1,INDEX('Serial Reference'!$A$8:$W$8,1,FLOOR(($A90-1)/23,1)+1)&amp;INDEX('Serial Reference'!$A$8:$W$8,1,MOD($A90-1,23)+1)&amp;TEXT(AU$2+FLOOR((AU$2-1)/9,1),"000"),"")</f>
        <v>DV051</v>
      </c>
      <c r="AV90" s="22" t="str">
        <f>IF(INDEX('Shot Map'!$B$6:$V$26,CEILING($A90/5,1),CEILING(AV$2/5,1))=1,INDEX('Serial Reference'!$A$8:$W$8,1,FLOOR(($A90-1)/23,1)+1)&amp;INDEX('Serial Reference'!$A$8:$W$8,1,MOD($A90-1,23)+1)&amp;TEXT(AV$2+FLOOR((AV$2-1)/9,1),"000"),"")</f>
        <v>DV052</v>
      </c>
      <c r="AW90" s="22" t="str">
        <f>IF(INDEX('Shot Map'!$B$6:$V$26,CEILING($A90/5,1),CEILING(AW$2/5,1))=1,INDEX('Serial Reference'!$A$8:$W$8,1,FLOOR(($A90-1)/23,1)+1)&amp;INDEX('Serial Reference'!$A$8:$W$8,1,MOD($A90-1,23)+1)&amp;TEXT(AW$2+FLOOR((AW$2-1)/9,1),"000"),"")</f>
        <v>DV053</v>
      </c>
      <c r="AX90" s="22" t="str">
        <f>IF(INDEX('Shot Map'!$B$6:$V$26,CEILING($A90/5,1),CEILING(AX$2/5,1))=1,INDEX('Serial Reference'!$A$8:$W$8,1,FLOOR(($A90-1)/23,1)+1)&amp;INDEX('Serial Reference'!$A$8:$W$8,1,MOD($A90-1,23)+1)&amp;TEXT(AX$2+FLOOR((AX$2-1)/9,1),"000"),"")</f>
        <v>DV054</v>
      </c>
      <c r="AY90" s="23" t="str">
        <f>IF(INDEX('Shot Map'!$B$6:$V$26,CEILING($A90/5,1),CEILING(AY$2/5,1))=1,INDEX('Serial Reference'!$A$8:$W$8,1,FLOOR(($A90-1)/23,1)+1)&amp;INDEX('Serial Reference'!$A$8:$W$8,1,MOD($A90-1,23)+1)&amp;TEXT(AY$2+FLOOR((AY$2-1)/9,1),"000"),"")</f>
        <v>DV055</v>
      </c>
      <c r="AZ90" s="21" t="str">
        <f>IF(INDEX('Shot Map'!$B$6:$V$26,CEILING($A90/5,1),CEILING(AZ$2/5,1))=1,INDEX('Serial Reference'!$A$8:$W$8,1,FLOOR(($A90-1)/23,1)+1)&amp;INDEX('Serial Reference'!$A$8:$W$8,1,MOD($A90-1,23)+1)&amp;TEXT(AZ$2+FLOOR((AZ$2-1)/9,1),"000"),"")</f>
        <v>DV056</v>
      </c>
      <c r="BA90" s="22" t="str">
        <f>IF(INDEX('Shot Map'!$B$6:$V$26,CEILING($A90/5,1),CEILING(BA$2/5,1))=1,INDEX('Serial Reference'!$A$8:$W$8,1,FLOOR(($A90-1)/23,1)+1)&amp;INDEX('Serial Reference'!$A$8:$W$8,1,MOD($A90-1,23)+1)&amp;TEXT(BA$2+FLOOR((BA$2-1)/9,1),"000"),"")</f>
        <v>DV057</v>
      </c>
      <c r="BB90" s="22" t="str">
        <f>IF(INDEX('Shot Map'!$B$6:$V$26,CEILING($A90/5,1),CEILING(BB$2/5,1))=1,INDEX('Serial Reference'!$A$8:$W$8,1,FLOOR(($A90-1)/23,1)+1)&amp;INDEX('Serial Reference'!$A$8:$W$8,1,MOD($A90-1,23)+1)&amp;TEXT(BB$2+FLOOR((BB$2-1)/9,1),"000"),"")</f>
        <v>DV058</v>
      </c>
      <c r="BC90" s="22" t="str">
        <f>IF(INDEX('Shot Map'!$B$6:$V$26,CEILING($A90/5,1),CEILING(BC$2/5,1))=1,INDEX('Serial Reference'!$A$8:$W$8,1,FLOOR(($A90-1)/23,1)+1)&amp;INDEX('Serial Reference'!$A$8:$W$8,1,MOD($A90-1,23)+1)&amp;TEXT(BC$2+FLOOR((BC$2-1)/9,1),"000"),"")</f>
        <v>DV059</v>
      </c>
      <c r="BD90" s="23" t="str">
        <f>IF(INDEX('Shot Map'!$B$6:$V$26,CEILING($A90/5,1),CEILING(BD$2/5,1))=1,INDEX('Serial Reference'!$A$8:$W$8,1,FLOOR(($A90-1)/23,1)+1)&amp;INDEX('Serial Reference'!$A$8:$W$8,1,MOD($A90-1,23)+1)&amp;TEXT(BD$2+FLOOR((BD$2-1)/9,1),"000"),"")</f>
        <v>DV061</v>
      </c>
      <c r="BE90" s="21" t="str">
        <f>IF(INDEX('Shot Map'!$B$6:$V$26,CEILING($A90/5,1),CEILING(BE$2/5,1))=1,INDEX('Serial Reference'!$A$8:$W$8,1,FLOOR(($A90-1)/23,1)+1)&amp;INDEX('Serial Reference'!$A$8:$W$8,1,MOD($A90-1,23)+1)&amp;TEXT(BE$2+FLOOR((BE$2-1)/9,1),"000"),"")</f>
        <v>DV062</v>
      </c>
      <c r="BF90" s="22" t="str">
        <f>IF(INDEX('Shot Map'!$B$6:$V$26,CEILING($A90/5,1),CEILING(BF$2/5,1))=1,INDEX('Serial Reference'!$A$8:$W$8,1,FLOOR(($A90-1)/23,1)+1)&amp;INDEX('Serial Reference'!$A$8:$W$8,1,MOD($A90-1,23)+1)&amp;TEXT(BF$2+FLOOR((BF$2-1)/9,1),"000"),"")</f>
        <v>DV063</v>
      </c>
      <c r="BG90" s="22" t="str">
        <f>IF(INDEX('Shot Map'!$B$6:$V$26,CEILING($A90/5,1),CEILING(BG$2/5,1))=1,INDEX('Serial Reference'!$A$8:$W$8,1,FLOOR(($A90-1)/23,1)+1)&amp;INDEX('Serial Reference'!$A$8:$W$8,1,MOD($A90-1,23)+1)&amp;TEXT(BG$2+FLOOR((BG$2-1)/9,1),"000"),"")</f>
        <v>DV064</v>
      </c>
      <c r="BH90" s="22" t="str">
        <f>IF(INDEX('Shot Map'!$B$6:$V$26,CEILING($A90/5,1),CEILING(BH$2/5,1))=1,INDEX('Serial Reference'!$A$8:$W$8,1,FLOOR(($A90-1)/23,1)+1)&amp;INDEX('Serial Reference'!$A$8:$W$8,1,MOD($A90-1,23)+1)&amp;TEXT(BH$2+FLOOR((BH$2-1)/9,1),"000"),"")</f>
        <v>DV065</v>
      </c>
      <c r="BI90" s="23" t="str">
        <f>IF(INDEX('Shot Map'!$B$6:$V$26,CEILING($A90/5,1),CEILING(BI$2/5,1))=1,INDEX('Serial Reference'!$A$8:$W$8,1,FLOOR(($A90-1)/23,1)+1)&amp;INDEX('Serial Reference'!$A$8:$W$8,1,MOD($A90-1,23)+1)&amp;TEXT(BI$2+FLOOR((BI$2-1)/9,1),"000"),"")</f>
        <v>DV066</v>
      </c>
      <c r="BJ90" s="21" t="str">
        <f>IF(INDEX('Shot Map'!$B$6:$V$26,CEILING($A90/5,1),CEILING(BJ$2/5,1))=1,INDEX('Serial Reference'!$A$8:$W$8,1,FLOOR(($A90-1)/23,1)+1)&amp;INDEX('Serial Reference'!$A$8:$W$8,1,MOD($A90-1,23)+1)&amp;TEXT(BJ$2+FLOOR((BJ$2-1)/9,1),"000"),"")</f>
        <v>DV067</v>
      </c>
      <c r="BK90" s="22" t="str">
        <f>IF(INDEX('Shot Map'!$B$6:$V$26,CEILING($A90/5,1),CEILING(BK$2/5,1))=1,INDEX('Serial Reference'!$A$8:$W$8,1,FLOOR(($A90-1)/23,1)+1)&amp;INDEX('Serial Reference'!$A$8:$W$8,1,MOD($A90-1,23)+1)&amp;TEXT(BK$2+FLOOR((BK$2-1)/9,1),"000"),"")</f>
        <v>DV068</v>
      </c>
      <c r="BL90" s="22" t="str">
        <f>IF(INDEX('Shot Map'!$B$6:$V$26,CEILING($A90/5,1),CEILING(BL$2/5,1))=1,INDEX('Serial Reference'!$A$8:$W$8,1,FLOOR(($A90-1)/23,1)+1)&amp;INDEX('Serial Reference'!$A$8:$W$8,1,MOD($A90-1,23)+1)&amp;TEXT(BL$2+FLOOR((BL$2-1)/9,1),"000"),"")</f>
        <v>DV069</v>
      </c>
      <c r="BM90" s="22" t="str">
        <f>IF(INDEX('Shot Map'!$B$6:$V$26,CEILING($A90/5,1),CEILING(BM$2/5,1))=1,INDEX('Serial Reference'!$A$8:$W$8,1,FLOOR(($A90-1)/23,1)+1)&amp;INDEX('Serial Reference'!$A$8:$W$8,1,MOD($A90-1,23)+1)&amp;TEXT(BM$2+FLOOR((BM$2-1)/9,1),"000"),"")</f>
        <v>DV071</v>
      </c>
      <c r="BN90" s="23" t="str">
        <f>IF(INDEX('Shot Map'!$B$6:$V$26,CEILING($A90/5,1),CEILING(BN$2/5,1))=1,INDEX('Serial Reference'!$A$8:$W$8,1,FLOOR(($A90-1)/23,1)+1)&amp;INDEX('Serial Reference'!$A$8:$W$8,1,MOD($A90-1,23)+1)&amp;TEXT(BN$2+FLOOR((BN$2-1)/9,1),"000"),"")</f>
        <v>DV072</v>
      </c>
      <c r="BO90" s="21" t="str">
        <f>IF(INDEX('Shot Map'!$B$6:$V$26,CEILING($A90/5,1),CEILING(BO$2/5,1))=1,INDEX('Serial Reference'!$A$8:$W$8,1,FLOOR(($A90-1)/23,1)+1)&amp;INDEX('Serial Reference'!$A$8:$W$8,1,MOD($A90-1,23)+1)&amp;TEXT(BO$2+FLOOR((BO$2-1)/9,1),"000"),"")</f>
        <v>DV073</v>
      </c>
      <c r="BP90" s="22" t="str">
        <f>IF(INDEX('Shot Map'!$B$6:$V$26,CEILING($A90/5,1),CEILING(BP$2/5,1))=1,INDEX('Serial Reference'!$A$8:$W$8,1,FLOOR(($A90-1)/23,1)+1)&amp;INDEX('Serial Reference'!$A$8:$W$8,1,MOD($A90-1,23)+1)&amp;TEXT(BP$2+FLOOR((BP$2-1)/9,1),"000"),"")</f>
        <v>DV074</v>
      </c>
      <c r="BQ90" s="22" t="str">
        <f>IF(INDEX('Shot Map'!$B$6:$V$26,CEILING($A90/5,1),CEILING(BQ$2/5,1))=1,INDEX('Serial Reference'!$A$8:$W$8,1,FLOOR(($A90-1)/23,1)+1)&amp;INDEX('Serial Reference'!$A$8:$W$8,1,MOD($A90-1,23)+1)&amp;TEXT(BQ$2+FLOOR((BQ$2-1)/9,1),"000"),"")</f>
        <v>DV075</v>
      </c>
      <c r="BR90" s="22" t="str">
        <f>IF(INDEX('Shot Map'!$B$6:$V$26,CEILING($A90/5,1),CEILING(BR$2/5,1))=1,INDEX('Serial Reference'!$A$8:$W$8,1,FLOOR(($A90-1)/23,1)+1)&amp;INDEX('Serial Reference'!$A$8:$W$8,1,MOD($A90-1,23)+1)&amp;TEXT(BR$2+FLOOR((BR$2-1)/9,1),"000"),"")</f>
        <v>DV076</v>
      </c>
      <c r="BS90" s="23" t="str">
        <f>IF(INDEX('Shot Map'!$B$6:$V$26,CEILING($A90/5,1),CEILING(BS$2/5,1))=1,INDEX('Serial Reference'!$A$8:$W$8,1,FLOOR(($A90-1)/23,1)+1)&amp;INDEX('Serial Reference'!$A$8:$W$8,1,MOD($A90-1,23)+1)&amp;TEXT(BS$2+FLOOR((BS$2-1)/9,1),"000"),"")</f>
        <v>DV077</v>
      </c>
      <c r="BT90" s="21" t="str">
        <f>IF(INDEX('Shot Map'!$B$6:$V$26,CEILING($A90/5,1),CEILING(BT$2/5,1))=1,INDEX('Serial Reference'!$A$8:$W$8,1,FLOOR(($A90-1)/23,1)+1)&amp;INDEX('Serial Reference'!$A$8:$W$8,1,MOD($A90-1,23)+1)&amp;TEXT(BT$2+FLOOR((BT$2-1)/9,1),"000"),"")</f>
        <v>DV078</v>
      </c>
      <c r="BU90" s="22" t="str">
        <f>IF(INDEX('Shot Map'!$B$6:$V$26,CEILING($A90/5,1),CEILING(BU$2/5,1))=1,INDEX('Serial Reference'!$A$8:$W$8,1,FLOOR(($A90-1)/23,1)+1)&amp;INDEX('Serial Reference'!$A$8:$W$8,1,MOD($A90-1,23)+1)&amp;TEXT(BU$2+FLOOR((BU$2-1)/9,1),"000"),"")</f>
        <v>DV079</v>
      </c>
      <c r="BV90" s="22" t="str">
        <f>IF(INDEX('Shot Map'!$B$6:$V$26,CEILING($A90/5,1),CEILING(BV$2/5,1))=1,INDEX('Serial Reference'!$A$8:$W$8,1,FLOOR(($A90-1)/23,1)+1)&amp;INDEX('Serial Reference'!$A$8:$W$8,1,MOD($A90-1,23)+1)&amp;TEXT(BV$2+FLOOR((BV$2-1)/9,1),"000"),"")</f>
        <v>DV081</v>
      </c>
      <c r="BW90" s="22" t="str">
        <f>IF(INDEX('Shot Map'!$B$6:$V$26,CEILING($A90/5,1),CEILING(BW$2/5,1))=1,INDEX('Serial Reference'!$A$8:$W$8,1,FLOOR(($A90-1)/23,1)+1)&amp;INDEX('Serial Reference'!$A$8:$W$8,1,MOD($A90-1,23)+1)&amp;TEXT(BW$2+FLOOR((BW$2-1)/9,1),"000"),"")</f>
        <v>DV082</v>
      </c>
      <c r="BX90" s="23" t="str">
        <f>IF(INDEX('Shot Map'!$B$6:$V$26,CEILING($A90/5,1),CEILING(BX$2/5,1))=1,INDEX('Serial Reference'!$A$8:$W$8,1,FLOOR(($A90-1)/23,1)+1)&amp;INDEX('Serial Reference'!$A$8:$W$8,1,MOD($A90-1,23)+1)&amp;TEXT(BX$2+FLOOR((BX$2-1)/9,1),"000"),"")</f>
        <v>DV083</v>
      </c>
      <c r="BY90" s="21" t="str">
        <f>IF(INDEX('Shot Map'!$B$6:$V$26,CEILING($A90/5,1),CEILING(BY$2/5,1))=1,INDEX('Serial Reference'!$A$8:$W$8,1,FLOOR(($A90-1)/23,1)+1)&amp;INDEX('Serial Reference'!$A$8:$W$8,1,MOD($A90-1,23)+1)&amp;TEXT(BY$2+FLOOR((BY$2-1)/9,1),"000"),"")</f>
        <v>DV084</v>
      </c>
      <c r="BZ90" s="22" t="str">
        <f>IF(INDEX('Shot Map'!$B$6:$V$26,CEILING($A90/5,1),CEILING(BZ$2/5,1))=1,INDEX('Serial Reference'!$A$8:$W$8,1,FLOOR(($A90-1)/23,1)+1)&amp;INDEX('Serial Reference'!$A$8:$W$8,1,MOD($A90-1,23)+1)&amp;TEXT(BZ$2+FLOOR((BZ$2-1)/9,1),"000"),"")</f>
        <v>DV085</v>
      </c>
      <c r="CA90" s="22" t="str">
        <f>IF(INDEX('Shot Map'!$B$6:$V$26,CEILING($A90/5,1),CEILING(CA$2/5,1))=1,INDEX('Serial Reference'!$A$8:$W$8,1,FLOOR(($A90-1)/23,1)+1)&amp;INDEX('Serial Reference'!$A$8:$W$8,1,MOD($A90-1,23)+1)&amp;TEXT(CA$2+FLOOR((CA$2-1)/9,1),"000"),"")</f>
        <v>DV086</v>
      </c>
      <c r="CB90" s="22" t="str">
        <f>IF(INDEX('Shot Map'!$B$6:$V$26,CEILING($A90/5,1),CEILING(CB$2/5,1))=1,INDEX('Serial Reference'!$A$8:$W$8,1,FLOOR(($A90-1)/23,1)+1)&amp;INDEX('Serial Reference'!$A$8:$W$8,1,MOD($A90-1,23)+1)&amp;TEXT(CB$2+FLOOR((CB$2-1)/9,1),"000"),"")</f>
        <v>DV087</v>
      </c>
      <c r="CC90" s="23" t="str">
        <f>IF(INDEX('Shot Map'!$B$6:$V$26,CEILING($A90/5,1),CEILING(CC$2/5,1))=1,INDEX('Serial Reference'!$A$8:$W$8,1,FLOOR(($A90-1)/23,1)+1)&amp;INDEX('Serial Reference'!$A$8:$W$8,1,MOD($A90-1,23)+1)&amp;TEXT(CC$2+FLOOR((CC$2-1)/9,1),"000"),"")</f>
        <v>DV088</v>
      </c>
      <c r="CD90" s="21" t="str">
        <f>IF(INDEX('Shot Map'!$B$6:$V$26,CEILING($A90/5,1),CEILING(CD$2/5,1))=1,INDEX('Serial Reference'!$A$8:$W$8,1,FLOOR(($A90-1)/23,1)+1)&amp;INDEX('Serial Reference'!$A$8:$W$8,1,MOD($A90-1,23)+1)&amp;TEXT(CD$2+FLOOR((CD$2-1)/9,1),"000"),"")</f>
        <v>DV089</v>
      </c>
      <c r="CE90" s="22" t="str">
        <f>IF(INDEX('Shot Map'!$B$6:$V$26,CEILING($A90/5,1),CEILING(CE$2/5,1))=1,INDEX('Serial Reference'!$A$8:$W$8,1,FLOOR(($A90-1)/23,1)+1)&amp;INDEX('Serial Reference'!$A$8:$W$8,1,MOD($A90-1,23)+1)&amp;TEXT(CE$2+FLOOR((CE$2-1)/9,1),"000"),"")</f>
        <v>DV091</v>
      </c>
      <c r="CF90" s="22" t="str">
        <f>IF(INDEX('Shot Map'!$B$6:$V$26,CEILING($A90/5,1),CEILING(CF$2/5,1))=1,INDEX('Serial Reference'!$A$8:$W$8,1,FLOOR(($A90-1)/23,1)+1)&amp;INDEX('Serial Reference'!$A$8:$W$8,1,MOD($A90-1,23)+1)&amp;TEXT(CF$2+FLOOR((CF$2-1)/9,1),"000"),"")</f>
        <v>DV092</v>
      </c>
      <c r="CG90" s="22" t="str">
        <f>IF(INDEX('Shot Map'!$B$6:$V$26,CEILING($A90/5,1),CEILING(CG$2/5,1))=1,INDEX('Serial Reference'!$A$8:$W$8,1,FLOOR(($A90-1)/23,1)+1)&amp;INDEX('Serial Reference'!$A$8:$W$8,1,MOD($A90-1,23)+1)&amp;TEXT(CG$2+FLOOR((CG$2-1)/9,1),"000"),"")</f>
        <v>DV093</v>
      </c>
      <c r="CH90" s="23" t="str">
        <f>IF(INDEX('Shot Map'!$B$6:$V$26,CEILING($A90/5,1),CEILING(CH$2/5,1))=1,INDEX('Serial Reference'!$A$8:$W$8,1,FLOOR(($A90-1)/23,1)+1)&amp;INDEX('Serial Reference'!$A$8:$W$8,1,MOD($A90-1,23)+1)&amp;TEXT(CH$2+FLOOR((CH$2-1)/9,1),"000"),"")</f>
        <v>DV094</v>
      </c>
      <c r="CI90" s="21" t="str">
        <f>IF(INDEX('Shot Map'!$B$6:$V$26,CEILING($A90/5,1),CEILING(CI$2/5,1))=1,INDEX('Serial Reference'!$A$8:$W$8,1,FLOOR(($A90-1)/23,1)+1)&amp;INDEX('Serial Reference'!$A$8:$W$8,1,MOD($A90-1,23)+1)&amp;TEXT(CI$2+FLOOR((CI$2-1)/9,1),"000"),"")</f>
        <v>DV095</v>
      </c>
      <c r="CJ90" s="22" t="str">
        <f>IF(INDEX('Shot Map'!$B$6:$V$26,CEILING($A90/5,1),CEILING(CJ$2/5,1))=1,INDEX('Serial Reference'!$A$8:$W$8,1,FLOOR(($A90-1)/23,1)+1)&amp;INDEX('Serial Reference'!$A$8:$W$8,1,MOD($A90-1,23)+1)&amp;TEXT(CJ$2+FLOOR((CJ$2-1)/9,1),"000"),"")</f>
        <v>DV096</v>
      </c>
      <c r="CK90" s="22" t="str">
        <f>IF(INDEX('Shot Map'!$B$6:$V$26,CEILING($A90/5,1),CEILING(CK$2/5,1))=1,INDEX('Serial Reference'!$A$8:$W$8,1,FLOOR(($A90-1)/23,1)+1)&amp;INDEX('Serial Reference'!$A$8:$W$8,1,MOD($A90-1,23)+1)&amp;TEXT(CK$2+FLOOR((CK$2-1)/9,1),"000"),"")</f>
        <v>DV097</v>
      </c>
      <c r="CL90" s="22" t="str">
        <f>IF(INDEX('Shot Map'!$B$6:$V$26,CEILING($A90/5,1),CEILING(CL$2/5,1))=1,INDEX('Serial Reference'!$A$8:$W$8,1,FLOOR(($A90-1)/23,1)+1)&amp;INDEX('Serial Reference'!$A$8:$W$8,1,MOD($A90-1,23)+1)&amp;TEXT(CL$2+FLOOR((CL$2-1)/9,1),"000"),"")</f>
        <v>DV098</v>
      </c>
      <c r="CM90" s="23" t="str">
        <f>IF(INDEX('Shot Map'!$B$6:$V$26,CEILING($A90/5,1),CEILING(CM$2/5,1))=1,INDEX('Serial Reference'!$A$8:$W$8,1,FLOOR(($A90-1)/23,1)+1)&amp;INDEX('Serial Reference'!$A$8:$W$8,1,MOD($A90-1,23)+1)&amp;TEXT(CM$2+FLOOR((CM$2-1)/9,1),"000"),"")</f>
        <v>DV099</v>
      </c>
      <c r="CN90" s="21" t="str">
        <f>IF(INDEX('Shot Map'!$B$6:$V$26,CEILING($A90/5,1),CEILING(CN$2/5,1))=1,INDEX('Serial Reference'!$A$8:$W$8,1,FLOOR(($A90-1)/23,1)+1)&amp;INDEX('Serial Reference'!$A$8:$W$8,1,MOD($A90-1,23)+1)&amp;TEXT(CN$2+FLOOR((CN$2-1)/9,1),"000"),"")</f>
        <v/>
      </c>
      <c r="CO90" s="22" t="str">
        <f>IF(INDEX('Shot Map'!$B$6:$V$26,CEILING($A90/5,1),CEILING(CO$2/5,1))=1,INDEX('Serial Reference'!$A$8:$W$8,1,FLOOR(($A90-1)/23,1)+1)&amp;INDEX('Serial Reference'!$A$8:$W$8,1,MOD($A90-1,23)+1)&amp;TEXT(CO$2+FLOOR((CO$2-1)/9,1),"000"),"")</f>
        <v/>
      </c>
      <c r="CP90" s="22" t="str">
        <f>IF(INDEX('Shot Map'!$B$6:$V$26,CEILING($A90/5,1),CEILING(CP$2/5,1))=1,INDEX('Serial Reference'!$A$8:$W$8,1,FLOOR(($A90-1)/23,1)+1)&amp;INDEX('Serial Reference'!$A$8:$W$8,1,MOD($A90-1,23)+1)&amp;TEXT(CP$2+FLOOR((CP$2-1)/9,1),"000"),"")</f>
        <v/>
      </c>
      <c r="CQ90" s="22" t="str">
        <f>IF(INDEX('Shot Map'!$B$6:$V$26,CEILING($A90/5,1),CEILING(CQ$2/5,1))=1,INDEX('Serial Reference'!$A$8:$W$8,1,FLOOR(($A90-1)/23,1)+1)&amp;INDEX('Serial Reference'!$A$8:$W$8,1,MOD($A90-1,23)+1)&amp;TEXT(CQ$2+FLOOR((CQ$2-1)/9,1),"000"),"")</f>
        <v/>
      </c>
      <c r="CR90" s="23" t="str">
        <f>IF(INDEX('Shot Map'!$B$6:$V$26,CEILING($A90/5,1),CEILING(CR$2/5,1))=1,INDEX('Serial Reference'!$A$8:$W$8,1,FLOOR(($A90-1)/23,1)+1)&amp;INDEX('Serial Reference'!$A$8:$W$8,1,MOD($A90-1,23)+1)&amp;TEXT(CR$2+FLOOR((CR$2-1)/9,1),"000"),"")</f>
        <v/>
      </c>
      <c r="CS90" s="21" t="str">
        <f>IF(INDEX('Shot Map'!$B$6:$V$26,CEILING($A90/5,1),CEILING(CS$2/5,1))=1,INDEX('Serial Reference'!$A$8:$W$8,1,FLOOR(($A90-1)/23,1)+1)&amp;INDEX('Serial Reference'!$A$8:$W$8,1,MOD($A90-1,23)+1)&amp;TEXT(CS$2+FLOOR((CS$2-1)/9,1),"000"),"")</f>
        <v/>
      </c>
      <c r="CT90" s="22" t="str">
        <f>IF(INDEX('Shot Map'!$B$6:$V$26,CEILING($A90/5,1),CEILING(CT$2/5,1))=1,INDEX('Serial Reference'!$A$8:$W$8,1,FLOOR(($A90-1)/23,1)+1)&amp;INDEX('Serial Reference'!$A$8:$W$8,1,MOD($A90-1,23)+1)&amp;TEXT(CT$2+FLOOR((CT$2-1)/9,1),"000"),"")</f>
        <v/>
      </c>
      <c r="CU90" s="22" t="str">
        <f>IF(INDEX('Shot Map'!$B$6:$V$26,CEILING($A90/5,1),CEILING(CU$2/5,1))=1,INDEX('Serial Reference'!$A$8:$W$8,1,FLOOR(($A90-1)/23,1)+1)&amp;INDEX('Serial Reference'!$A$8:$W$8,1,MOD($A90-1,23)+1)&amp;TEXT(CU$2+FLOOR((CU$2-1)/9,1),"000"),"")</f>
        <v/>
      </c>
      <c r="CV90" s="22" t="str">
        <f>IF(INDEX('Shot Map'!$B$6:$V$26,CEILING($A90/5,1),CEILING(CV$2/5,1))=1,INDEX('Serial Reference'!$A$8:$W$8,1,FLOOR(($A90-1)/23,1)+1)&amp;INDEX('Serial Reference'!$A$8:$W$8,1,MOD($A90-1,23)+1)&amp;TEXT(CV$2+FLOOR((CV$2-1)/9,1),"000"),"")</f>
        <v/>
      </c>
      <c r="CW90" s="23" t="str">
        <f>IF(INDEX('Shot Map'!$B$6:$V$26,CEILING($A90/5,1),CEILING(CW$2/5,1))=1,INDEX('Serial Reference'!$A$8:$W$8,1,FLOOR(($A90-1)/23,1)+1)&amp;INDEX('Serial Reference'!$A$8:$W$8,1,MOD($A90-1,23)+1)&amp;TEXT(CW$2+FLOOR((CW$2-1)/9,1),"000"),"")</f>
        <v/>
      </c>
      <c r="CX90" s="21" t="str">
        <f>IF(INDEX('Shot Map'!$B$6:$V$26,CEILING($A90/5,1),CEILING(CX$2/5,1))=1,INDEX('Serial Reference'!$A$8:$W$8,1,FLOOR(($A90-1)/23,1)+1)&amp;INDEX('Serial Reference'!$A$8:$W$8,1,MOD($A90-1,23)+1)&amp;TEXT(CX$2+FLOOR((CX$2-1)/9,1),"000"),"")</f>
        <v/>
      </c>
      <c r="CY90" s="22" t="str">
        <f>IF(INDEX('Shot Map'!$B$6:$V$26,CEILING($A90/5,1),CEILING(CY$2/5,1))=1,INDEX('Serial Reference'!$A$8:$W$8,1,FLOOR(($A90-1)/23,1)+1)&amp;INDEX('Serial Reference'!$A$8:$W$8,1,MOD($A90-1,23)+1)&amp;TEXT(CY$2+FLOOR((CY$2-1)/9,1),"000"),"")</f>
        <v/>
      </c>
      <c r="CZ90" s="22" t="str">
        <f>IF(INDEX('Shot Map'!$B$6:$V$26,CEILING($A90/5,1),CEILING(CZ$2/5,1))=1,INDEX('Serial Reference'!$A$8:$W$8,1,FLOOR(($A90-1)/23,1)+1)&amp;INDEX('Serial Reference'!$A$8:$W$8,1,MOD($A90-1,23)+1)&amp;TEXT(CZ$2+FLOOR((CZ$2-1)/9,1),"000"),"")</f>
        <v/>
      </c>
      <c r="DA90" s="22" t="str">
        <f>IF(INDEX('Shot Map'!$B$6:$V$26,CEILING($A90/5,1),CEILING(DA$2/5,1))=1,INDEX('Serial Reference'!$A$8:$W$8,1,FLOOR(($A90-1)/23,1)+1)&amp;INDEX('Serial Reference'!$A$8:$W$8,1,MOD($A90-1,23)+1)&amp;TEXT(DA$2+FLOOR((DA$2-1)/9,1),"000"),"")</f>
        <v/>
      </c>
      <c r="DB90" s="23" t="str">
        <f>IF(INDEX('Shot Map'!$B$6:$V$26,CEILING($A90/5,1),CEILING(DB$2/5,1))=1,INDEX('Serial Reference'!$A$8:$W$8,1,FLOOR(($A90-1)/23,1)+1)&amp;INDEX('Serial Reference'!$A$8:$W$8,1,MOD($A90-1,23)+1)&amp;TEXT(DB$2+FLOOR((DB$2-1)/9,1),"000"),"")</f>
        <v/>
      </c>
    </row>
    <row r="91" spans="1:106" ht="12.75" customHeight="1" x14ac:dyDescent="0.25">
      <c r="A91" s="17">
        <v>89</v>
      </c>
      <c r="B91" s="21" t="str">
        <f>IF(INDEX('Shot Map'!$B$6:$V$26,CEILING($A91/5,1),CEILING(B$2/5,1))=1,INDEX('Serial Reference'!$A$8:$W$8,1,FLOOR(($A91-1)/23,1)+1)&amp;INDEX('Serial Reference'!$A$8:$W$8,1,MOD($A91-1,23)+1)&amp;TEXT(B$2+FLOOR((B$2-1)/9,1),"000"),"")</f>
        <v/>
      </c>
      <c r="C91" s="22" t="str">
        <f>IF(INDEX('Shot Map'!$B$6:$V$26,CEILING($A91/5,1),CEILING(C$2/5,1))=1,INDEX('Serial Reference'!$A$8:$W$8,1,FLOOR(($A91-1)/23,1)+1)&amp;INDEX('Serial Reference'!$A$8:$W$8,1,MOD($A91-1,23)+1)&amp;TEXT(C$2+FLOOR((C$2-1)/9,1),"000"),"")</f>
        <v/>
      </c>
      <c r="D91" s="22" t="str">
        <f>IF(INDEX('Shot Map'!$B$6:$V$26,CEILING($A91/5,1),CEILING(D$2/5,1))=1,INDEX('Serial Reference'!$A$8:$W$8,1,FLOOR(($A91-1)/23,1)+1)&amp;INDEX('Serial Reference'!$A$8:$W$8,1,MOD($A91-1,23)+1)&amp;TEXT(D$2+FLOOR((D$2-1)/9,1),"000"),"")</f>
        <v/>
      </c>
      <c r="E91" s="22" t="str">
        <f>IF(INDEX('Shot Map'!$B$6:$V$26,CEILING($A91/5,1),CEILING(E$2/5,1))=1,INDEX('Serial Reference'!$A$8:$W$8,1,FLOOR(($A91-1)/23,1)+1)&amp;INDEX('Serial Reference'!$A$8:$W$8,1,MOD($A91-1,23)+1)&amp;TEXT(E$2+FLOOR((E$2-1)/9,1),"000"),"")</f>
        <v/>
      </c>
      <c r="F91" s="23" t="str">
        <f>IF(INDEX('Shot Map'!$B$6:$V$26,CEILING($A91/5,1),CEILING(F$2/5,1))=1,INDEX('Serial Reference'!$A$8:$W$8,1,FLOOR(($A91-1)/23,1)+1)&amp;INDEX('Serial Reference'!$A$8:$W$8,1,MOD($A91-1,23)+1)&amp;TEXT(F$2+FLOOR((F$2-1)/9,1),"000"),"")</f>
        <v/>
      </c>
      <c r="G91" s="21" t="str">
        <f>IF(INDEX('Shot Map'!$B$6:$V$26,CEILING($A91/5,1),CEILING(G$2/5,1))=1,INDEX('Serial Reference'!$A$8:$W$8,1,FLOOR(($A91-1)/23,1)+1)&amp;INDEX('Serial Reference'!$A$8:$W$8,1,MOD($A91-1,23)+1)&amp;TEXT(G$2+FLOOR((G$2-1)/9,1),"000"),"")</f>
        <v/>
      </c>
      <c r="H91" s="22" t="str">
        <f>IF(INDEX('Shot Map'!$B$6:$V$26,CEILING($A91/5,1),CEILING(H$2/5,1))=1,INDEX('Serial Reference'!$A$8:$W$8,1,FLOOR(($A91-1)/23,1)+1)&amp;INDEX('Serial Reference'!$A$8:$W$8,1,MOD($A91-1,23)+1)&amp;TEXT(H$2+FLOOR((H$2-1)/9,1),"000"),"")</f>
        <v/>
      </c>
      <c r="I91" s="22" t="str">
        <f>IF(INDEX('Shot Map'!$B$6:$V$26,CEILING($A91/5,1),CEILING(I$2/5,1))=1,INDEX('Serial Reference'!$A$8:$W$8,1,FLOOR(($A91-1)/23,1)+1)&amp;INDEX('Serial Reference'!$A$8:$W$8,1,MOD($A91-1,23)+1)&amp;TEXT(I$2+FLOOR((I$2-1)/9,1),"000"),"")</f>
        <v/>
      </c>
      <c r="J91" s="22" t="str">
        <f>IF(INDEX('Shot Map'!$B$6:$V$26,CEILING($A91/5,1),CEILING(J$2/5,1))=1,INDEX('Serial Reference'!$A$8:$W$8,1,FLOOR(($A91-1)/23,1)+1)&amp;INDEX('Serial Reference'!$A$8:$W$8,1,MOD($A91-1,23)+1)&amp;TEXT(J$2+FLOOR((J$2-1)/9,1),"000"),"")</f>
        <v/>
      </c>
      <c r="K91" s="23" t="str">
        <f>IF(INDEX('Shot Map'!$B$6:$V$26,CEILING($A91/5,1),CEILING(K$2/5,1))=1,INDEX('Serial Reference'!$A$8:$W$8,1,FLOOR(($A91-1)/23,1)+1)&amp;INDEX('Serial Reference'!$A$8:$W$8,1,MOD($A91-1,23)+1)&amp;TEXT(K$2+FLOOR((K$2-1)/9,1),"000"),"")</f>
        <v/>
      </c>
      <c r="L91" s="21" t="str">
        <f>IF(INDEX('Shot Map'!$B$6:$V$26,CEILING($A91/5,1),CEILING(L$2/5,1))=1,INDEX('Serial Reference'!$A$8:$W$8,1,FLOOR(($A91-1)/23,1)+1)&amp;INDEX('Serial Reference'!$A$8:$W$8,1,MOD($A91-1,23)+1)&amp;TEXT(L$2+FLOOR((L$2-1)/9,1),"000"),"")</f>
        <v/>
      </c>
      <c r="M91" s="22" t="str">
        <f>IF(INDEX('Shot Map'!$B$6:$V$26,CEILING($A91/5,1),CEILING(M$2/5,1))=1,INDEX('Serial Reference'!$A$8:$W$8,1,FLOOR(($A91-1)/23,1)+1)&amp;INDEX('Serial Reference'!$A$8:$W$8,1,MOD($A91-1,23)+1)&amp;TEXT(M$2+FLOOR((M$2-1)/9,1),"000"),"")</f>
        <v/>
      </c>
      <c r="N91" s="22" t="str">
        <f>IF(INDEX('Shot Map'!$B$6:$V$26,CEILING($A91/5,1),CEILING(N$2/5,1))=1,INDEX('Serial Reference'!$A$8:$W$8,1,FLOOR(($A91-1)/23,1)+1)&amp;INDEX('Serial Reference'!$A$8:$W$8,1,MOD($A91-1,23)+1)&amp;TEXT(N$2+FLOOR((N$2-1)/9,1),"000"),"")</f>
        <v/>
      </c>
      <c r="O91" s="22" t="str">
        <f>IF(INDEX('Shot Map'!$B$6:$V$26,CEILING($A91/5,1),CEILING(O$2/5,1))=1,INDEX('Serial Reference'!$A$8:$W$8,1,FLOOR(($A91-1)/23,1)+1)&amp;INDEX('Serial Reference'!$A$8:$W$8,1,MOD($A91-1,23)+1)&amp;TEXT(O$2+FLOOR((O$2-1)/9,1),"000"),"")</f>
        <v/>
      </c>
      <c r="P91" s="23" t="str">
        <f>IF(INDEX('Shot Map'!$B$6:$V$26,CEILING($A91/5,1),CEILING(P$2/5,1))=1,INDEX('Serial Reference'!$A$8:$W$8,1,FLOOR(($A91-1)/23,1)+1)&amp;INDEX('Serial Reference'!$A$8:$W$8,1,MOD($A91-1,23)+1)&amp;TEXT(P$2+FLOOR((P$2-1)/9,1),"000"),"")</f>
        <v/>
      </c>
      <c r="Q91" s="21" t="str">
        <f>IF(INDEX('Shot Map'!$B$6:$V$26,CEILING($A91/5,1),CEILING(Q$2/5,1))=1,INDEX('Serial Reference'!$A$8:$W$8,1,FLOOR(($A91-1)/23,1)+1)&amp;INDEX('Serial Reference'!$A$8:$W$8,1,MOD($A91-1,23)+1)&amp;TEXT(Q$2+FLOOR((Q$2-1)/9,1),"000"),"")</f>
        <v>DW017</v>
      </c>
      <c r="R91" s="22" t="str">
        <f>IF(INDEX('Shot Map'!$B$6:$V$26,CEILING($A91/5,1),CEILING(R$2/5,1))=1,INDEX('Serial Reference'!$A$8:$W$8,1,FLOOR(($A91-1)/23,1)+1)&amp;INDEX('Serial Reference'!$A$8:$W$8,1,MOD($A91-1,23)+1)&amp;TEXT(R$2+FLOOR((R$2-1)/9,1),"000"),"")</f>
        <v>DW018</v>
      </c>
      <c r="S91" s="22" t="str">
        <f>IF(INDEX('Shot Map'!$B$6:$V$26,CEILING($A91/5,1),CEILING(S$2/5,1))=1,INDEX('Serial Reference'!$A$8:$W$8,1,FLOOR(($A91-1)/23,1)+1)&amp;INDEX('Serial Reference'!$A$8:$W$8,1,MOD($A91-1,23)+1)&amp;TEXT(S$2+FLOOR((S$2-1)/9,1),"000"),"")</f>
        <v>DW019</v>
      </c>
      <c r="T91" s="22" t="str">
        <f>IF(INDEX('Shot Map'!$B$6:$V$26,CEILING($A91/5,1),CEILING(T$2/5,1))=1,INDEX('Serial Reference'!$A$8:$W$8,1,FLOOR(($A91-1)/23,1)+1)&amp;INDEX('Serial Reference'!$A$8:$W$8,1,MOD($A91-1,23)+1)&amp;TEXT(T$2+FLOOR((T$2-1)/9,1),"000"),"")</f>
        <v>DW021</v>
      </c>
      <c r="U91" s="23" t="str">
        <f>IF(INDEX('Shot Map'!$B$6:$V$26,CEILING($A91/5,1),CEILING(U$2/5,1))=1,INDEX('Serial Reference'!$A$8:$W$8,1,FLOOR(($A91-1)/23,1)+1)&amp;INDEX('Serial Reference'!$A$8:$W$8,1,MOD($A91-1,23)+1)&amp;TEXT(U$2+FLOOR((U$2-1)/9,1),"000"),"")</f>
        <v>DW022</v>
      </c>
      <c r="V91" s="21" t="str">
        <f>IF(INDEX('Shot Map'!$B$6:$V$26,CEILING($A91/5,1),CEILING(V$2/5,1))=1,INDEX('Serial Reference'!$A$8:$W$8,1,FLOOR(($A91-1)/23,1)+1)&amp;INDEX('Serial Reference'!$A$8:$W$8,1,MOD($A91-1,23)+1)&amp;TEXT(V$2+FLOOR((V$2-1)/9,1),"000"),"")</f>
        <v>DW023</v>
      </c>
      <c r="W91" s="22" t="str">
        <f>IF(INDEX('Shot Map'!$B$6:$V$26,CEILING($A91/5,1),CEILING(W$2/5,1))=1,INDEX('Serial Reference'!$A$8:$W$8,1,FLOOR(($A91-1)/23,1)+1)&amp;INDEX('Serial Reference'!$A$8:$W$8,1,MOD($A91-1,23)+1)&amp;TEXT(W$2+FLOOR((W$2-1)/9,1),"000"),"")</f>
        <v>DW024</v>
      </c>
      <c r="X91" s="22" t="str">
        <f>IF(INDEX('Shot Map'!$B$6:$V$26,CEILING($A91/5,1),CEILING(X$2/5,1))=1,INDEX('Serial Reference'!$A$8:$W$8,1,FLOOR(($A91-1)/23,1)+1)&amp;INDEX('Serial Reference'!$A$8:$W$8,1,MOD($A91-1,23)+1)&amp;TEXT(X$2+FLOOR((X$2-1)/9,1),"000"),"")</f>
        <v>DW025</v>
      </c>
      <c r="Y91" s="22" t="str">
        <f>IF(INDEX('Shot Map'!$B$6:$V$26,CEILING($A91/5,1),CEILING(Y$2/5,1))=1,INDEX('Serial Reference'!$A$8:$W$8,1,FLOOR(($A91-1)/23,1)+1)&amp;INDEX('Serial Reference'!$A$8:$W$8,1,MOD($A91-1,23)+1)&amp;TEXT(Y$2+FLOOR((Y$2-1)/9,1),"000"),"")</f>
        <v>DW026</v>
      </c>
      <c r="Z91" s="23" t="str">
        <f>IF(INDEX('Shot Map'!$B$6:$V$26,CEILING($A91/5,1),CEILING(Z$2/5,1))=1,INDEX('Serial Reference'!$A$8:$W$8,1,FLOOR(($A91-1)/23,1)+1)&amp;INDEX('Serial Reference'!$A$8:$W$8,1,MOD($A91-1,23)+1)&amp;TEXT(Z$2+FLOOR((Z$2-1)/9,1),"000"),"")</f>
        <v>DW027</v>
      </c>
      <c r="AA91" s="21" t="str">
        <f>IF(INDEX('Shot Map'!$B$6:$V$26,CEILING($A91/5,1),CEILING(AA$2/5,1))=1,INDEX('Serial Reference'!$A$8:$W$8,1,FLOOR(($A91-1)/23,1)+1)&amp;INDEX('Serial Reference'!$A$8:$W$8,1,MOD($A91-1,23)+1)&amp;TEXT(AA$2+FLOOR((AA$2-1)/9,1),"000"),"")</f>
        <v>DW028</v>
      </c>
      <c r="AB91" s="22" t="str">
        <f>IF(INDEX('Shot Map'!$B$6:$V$26,CEILING($A91/5,1),CEILING(AB$2/5,1))=1,INDEX('Serial Reference'!$A$8:$W$8,1,FLOOR(($A91-1)/23,1)+1)&amp;INDEX('Serial Reference'!$A$8:$W$8,1,MOD($A91-1,23)+1)&amp;TEXT(AB$2+FLOOR((AB$2-1)/9,1),"000"),"")</f>
        <v>DW029</v>
      </c>
      <c r="AC91" s="22" t="str">
        <f>IF(INDEX('Shot Map'!$B$6:$V$26,CEILING($A91/5,1),CEILING(AC$2/5,1))=1,INDEX('Serial Reference'!$A$8:$W$8,1,FLOOR(($A91-1)/23,1)+1)&amp;INDEX('Serial Reference'!$A$8:$W$8,1,MOD($A91-1,23)+1)&amp;TEXT(AC$2+FLOOR((AC$2-1)/9,1),"000"),"")</f>
        <v>DW031</v>
      </c>
      <c r="AD91" s="22" t="str">
        <f>IF(INDEX('Shot Map'!$B$6:$V$26,CEILING($A91/5,1),CEILING(AD$2/5,1))=1,INDEX('Serial Reference'!$A$8:$W$8,1,FLOOR(($A91-1)/23,1)+1)&amp;INDEX('Serial Reference'!$A$8:$W$8,1,MOD($A91-1,23)+1)&amp;TEXT(AD$2+FLOOR((AD$2-1)/9,1),"000"),"")</f>
        <v>DW032</v>
      </c>
      <c r="AE91" s="23" t="str">
        <f>IF(INDEX('Shot Map'!$B$6:$V$26,CEILING($A91/5,1),CEILING(AE$2/5,1))=1,INDEX('Serial Reference'!$A$8:$W$8,1,FLOOR(($A91-1)/23,1)+1)&amp;INDEX('Serial Reference'!$A$8:$W$8,1,MOD($A91-1,23)+1)&amp;TEXT(AE$2+FLOOR((AE$2-1)/9,1),"000"),"")</f>
        <v>DW033</v>
      </c>
      <c r="AF91" s="21" t="str">
        <f>IF(INDEX('Shot Map'!$B$6:$V$26,CEILING($A91/5,1),CEILING(AF$2/5,1))=1,INDEX('Serial Reference'!$A$8:$W$8,1,FLOOR(($A91-1)/23,1)+1)&amp;INDEX('Serial Reference'!$A$8:$W$8,1,MOD($A91-1,23)+1)&amp;TEXT(AF$2+FLOOR((AF$2-1)/9,1),"000"),"")</f>
        <v>DW034</v>
      </c>
      <c r="AG91" s="22" t="str">
        <f>IF(INDEX('Shot Map'!$B$6:$V$26,CEILING($A91/5,1),CEILING(AG$2/5,1))=1,INDEX('Serial Reference'!$A$8:$W$8,1,FLOOR(($A91-1)/23,1)+1)&amp;INDEX('Serial Reference'!$A$8:$W$8,1,MOD($A91-1,23)+1)&amp;TEXT(AG$2+FLOOR((AG$2-1)/9,1),"000"),"")</f>
        <v>DW035</v>
      </c>
      <c r="AH91" s="22" t="str">
        <f>IF(INDEX('Shot Map'!$B$6:$V$26,CEILING($A91/5,1),CEILING(AH$2/5,1))=1,INDEX('Serial Reference'!$A$8:$W$8,1,FLOOR(($A91-1)/23,1)+1)&amp;INDEX('Serial Reference'!$A$8:$W$8,1,MOD($A91-1,23)+1)&amp;TEXT(AH$2+FLOOR((AH$2-1)/9,1),"000"),"")</f>
        <v>DW036</v>
      </c>
      <c r="AI91" s="22" t="str">
        <f>IF(INDEX('Shot Map'!$B$6:$V$26,CEILING($A91/5,1),CEILING(AI$2/5,1))=1,INDEX('Serial Reference'!$A$8:$W$8,1,FLOOR(($A91-1)/23,1)+1)&amp;INDEX('Serial Reference'!$A$8:$W$8,1,MOD($A91-1,23)+1)&amp;TEXT(AI$2+FLOOR((AI$2-1)/9,1),"000"),"")</f>
        <v>DW037</v>
      </c>
      <c r="AJ91" s="23" t="str">
        <f>IF(INDEX('Shot Map'!$B$6:$V$26,CEILING($A91/5,1),CEILING(AJ$2/5,1))=1,INDEX('Serial Reference'!$A$8:$W$8,1,FLOOR(($A91-1)/23,1)+1)&amp;INDEX('Serial Reference'!$A$8:$W$8,1,MOD($A91-1,23)+1)&amp;TEXT(AJ$2+FLOOR((AJ$2-1)/9,1),"000"),"")</f>
        <v>DW038</v>
      </c>
      <c r="AK91" s="21" t="str">
        <f>IF(INDEX('Shot Map'!$B$6:$V$26,CEILING($A91/5,1),CEILING(AK$2/5,1))=1,INDEX('Serial Reference'!$A$8:$W$8,1,FLOOR(($A91-1)/23,1)+1)&amp;INDEX('Serial Reference'!$A$8:$W$8,1,MOD($A91-1,23)+1)&amp;TEXT(AK$2+FLOOR((AK$2-1)/9,1),"000"),"")</f>
        <v>DW039</v>
      </c>
      <c r="AL91" s="22" t="str">
        <f>IF(INDEX('Shot Map'!$B$6:$V$26,CEILING($A91/5,1),CEILING(AL$2/5,1))=1,INDEX('Serial Reference'!$A$8:$W$8,1,FLOOR(($A91-1)/23,1)+1)&amp;INDEX('Serial Reference'!$A$8:$W$8,1,MOD($A91-1,23)+1)&amp;TEXT(AL$2+FLOOR((AL$2-1)/9,1),"000"),"")</f>
        <v>DW041</v>
      </c>
      <c r="AM91" s="22" t="str">
        <f>IF(INDEX('Shot Map'!$B$6:$V$26,CEILING($A91/5,1),CEILING(AM$2/5,1))=1,INDEX('Serial Reference'!$A$8:$W$8,1,FLOOR(($A91-1)/23,1)+1)&amp;INDEX('Serial Reference'!$A$8:$W$8,1,MOD($A91-1,23)+1)&amp;TEXT(AM$2+FLOOR((AM$2-1)/9,1),"000"),"")</f>
        <v>DW042</v>
      </c>
      <c r="AN91" s="22" t="str">
        <f>IF(INDEX('Shot Map'!$B$6:$V$26,CEILING($A91/5,1),CEILING(AN$2/5,1))=1,INDEX('Serial Reference'!$A$8:$W$8,1,FLOOR(($A91-1)/23,1)+1)&amp;INDEX('Serial Reference'!$A$8:$W$8,1,MOD($A91-1,23)+1)&amp;TEXT(AN$2+FLOOR((AN$2-1)/9,1),"000"),"")</f>
        <v>DW043</v>
      </c>
      <c r="AO91" s="23" t="str">
        <f>IF(INDEX('Shot Map'!$B$6:$V$26,CEILING($A91/5,1),CEILING(AO$2/5,1))=1,INDEX('Serial Reference'!$A$8:$W$8,1,FLOOR(($A91-1)/23,1)+1)&amp;INDEX('Serial Reference'!$A$8:$W$8,1,MOD($A91-1,23)+1)&amp;TEXT(AO$2+FLOOR((AO$2-1)/9,1),"000"),"")</f>
        <v>DW044</v>
      </c>
      <c r="AP91" s="21" t="str">
        <f>IF(INDEX('Shot Map'!$B$6:$V$26,CEILING($A91/5,1),CEILING(AP$2/5,1))=1,INDEX('Serial Reference'!$A$8:$W$8,1,FLOOR(($A91-1)/23,1)+1)&amp;INDEX('Serial Reference'!$A$8:$W$8,1,MOD($A91-1,23)+1)&amp;TEXT(AP$2+FLOOR((AP$2-1)/9,1),"000"),"")</f>
        <v>DW045</v>
      </c>
      <c r="AQ91" s="22" t="str">
        <f>IF(INDEX('Shot Map'!$B$6:$V$26,CEILING($A91/5,1),CEILING(AQ$2/5,1))=1,INDEX('Serial Reference'!$A$8:$W$8,1,FLOOR(($A91-1)/23,1)+1)&amp;INDEX('Serial Reference'!$A$8:$W$8,1,MOD($A91-1,23)+1)&amp;TEXT(AQ$2+FLOOR((AQ$2-1)/9,1),"000"),"")</f>
        <v>DW046</v>
      </c>
      <c r="AR91" s="22" t="str">
        <f>IF(INDEX('Shot Map'!$B$6:$V$26,CEILING($A91/5,1),CEILING(AR$2/5,1))=1,INDEX('Serial Reference'!$A$8:$W$8,1,FLOOR(($A91-1)/23,1)+1)&amp;INDEX('Serial Reference'!$A$8:$W$8,1,MOD($A91-1,23)+1)&amp;TEXT(AR$2+FLOOR((AR$2-1)/9,1),"000"),"")</f>
        <v>DW047</v>
      </c>
      <c r="AS91" s="22" t="str">
        <f>IF(INDEX('Shot Map'!$B$6:$V$26,CEILING($A91/5,1),CEILING(AS$2/5,1))=1,INDEX('Serial Reference'!$A$8:$W$8,1,FLOOR(($A91-1)/23,1)+1)&amp;INDEX('Serial Reference'!$A$8:$W$8,1,MOD($A91-1,23)+1)&amp;TEXT(AS$2+FLOOR((AS$2-1)/9,1),"000"),"")</f>
        <v>DW048</v>
      </c>
      <c r="AT91" s="23" t="str">
        <f>IF(INDEX('Shot Map'!$B$6:$V$26,CEILING($A91/5,1),CEILING(AT$2/5,1))=1,INDEX('Serial Reference'!$A$8:$W$8,1,FLOOR(($A91-1)/23,1)+1)&amp;INDEX('Serial Reference'!$A$8:$W$8,1,MOD($A91-1,23)+1)&amp;TEXT(AT$2+FLOOR((AT$2-1)/9,1),"000"),"")</f>
        <v>DW049</v>
      </c>
      <c r="AU91" s="21" t="str">
        <f>IF(INDEX('Shot Map'!$B$6:$V$26,CEILING($A91/5,1),CEILING(AU$2/5,1))=1,INDEX('Serial Reference'!$A$8:$W$8,1,FLOOR(($A91-1)/23,1)+1)&amp;INDEX('Serial Reference'!$A$8:$W$8,1,MOD($A91-1,23)+1)&amp;TEXT(AU$2+FLOOR((AU$2-1)/9,1),"000"),"")</f>
        <v>DW051</v>
      </c>
      <c r="AV91" s="22" t="str">
        <f>IF(INDEX('Shot Map'!$B$6:$V$26,CEILING($A91/5,1),CEILING(AV$2/5,1))=1,INDEX('Serial Reference'!$A$8:$W$8,1,FLOOR(($A91-1)/23,1)+1)&amp;INDEX('Serial Reference'!$A$8:$W$8,1,MOD($A91-1,23)+1)&amp;TEXT(AV$2+FLOOR((AV$2-1)/9,1),"000"),"")</f>
        <v>DW052</v>
      </c>
      <c r="AW91" s="22" t="str">
        <f>IF(INDEX('Shot Map'!$B$6:$V$26,CEILING($A91/5,1),CEILING(AW$2/5,1))=1,INDEX('Serial Reference'!$A$8:$W$8,1,FLOOR(($A91-1)/23,1)+1)&amp;INDEX('Serial Reference'!$A$8:$W$8,1,MOD($A91-1,23)+1)&amp;TEXT(AW$2+FLOOR((AW$2-1)/9,1),"000"),"")</f>
        <v>DW053</v>
      </c>
      <c r="AX91" s="22" t="str">
        <f>IF(INDEX('Shot Map'!$B$6:$V$26,CEILING($A91/5,1),CEILING(AX$2/5,1))=1,INDEX('Serial Reference'!$A$8:$W$8,1,FLOOR(($A91-1)/23,1)+1)&amp;INDEX('Serial Reference'!$A$8:$W$8,1,MOD($A91-1,23)+1)&amp;TEXT(AX$2+FLOOR((AX$2-1)/9,1),"000"),"")</f>
        <v>DW054</v>
      </c>
      <c r="AY91" s="23" t="str">
        <f>IF(INDEX('Shot Map'!$B$6:$V$26,CEILING($A91/5,1),CEILING(AY$2/5,1))=1,INDEX('Serial Reference'!$A$8:$W$8,1,FLOOR(($A91-1)/23,1)+1)&amp;INDEX('Serial Reference'!$A$8:$W$8,1,MOD($A91-1,23)+1)&amp;TEXT(AY$2+FLOOR((AY$2-1)/9,1),"000"),"")</f>
        <v>DW055</v>
      </c>
      <c r="AZ91" s="21" t="str">
        <f>IF(INDEX('Shot Map'!$B$6:$V$26,CEILING($A91/5,1),CEILING(AZ$2/5,1))=1,INDEX('Serial Reference'!$A$8:$W$8,1,FLOOR(($A91-1)/23,1)+1)&amp;INDEX('Serial Reference'!$A$8:$W$8,1,MOD($A91-1,23)+1)&amp;TEXT(AZ$2+FLOOR((AZ$2-1)/9,1),"000"),"")</f>
        <v>DW056</v>
      </c>
      <c r="BA91" s="22" t="str">
        <f>IF(INDEX('Shot Map'!$B$6:$V$26,CEILING($A91/5,1),CEILING(BA$2/5,1))=1,INDEX('Serial Reference'!$A$8:$W$8,1,FLOOR(($A91-1)/23,1)+1)&amp;INDEX('Serial Reference'!$A$8:$W$8,1,MOD($A91-1,23)+1)&amp;TEXT(BA$2+FLOOR((BA$2-1)/9,1),"000"),"")</f>
        <v>DW057</v>
      </c>
      <c r="BB91" s="22" t="str">
        <f>IF(INDEX('Shot Map'!$B$6:$V$26,CEILING($A91/5,1),CEILING(BB$2/5,1))=1,INDEX('Serial Reference'!$A$8:$W$8,1,FLOOR(($A91-1)/23,1)+1)&amp;INDEX('Serial Reference'!$A$8:$W$8,1,MOD($A91-1,23)+1)&amp;TEXT(BB$2+FLOOR((BB$2-1)/9,1),"000"),"")</f>
        <v>DW058</v>
      </c>
      <c r="BC91" s="22" t="str">
        <f>IF(INDEX('Shot Map'!$B$6:$V$26,CEILING($A91/5,1),CEILING(BC$2/5,1))=1,INDEX('Serial Reference'!$A$8:$W$8,1,FLOOR(($A91-1)/23,1)+1)&amp;INDEX('Serial Reference'!$A$8:$W$8,1,MOD($A91-1,23)+1)&amp;TEXT(BC$2+FLOOR((BC$2-1)/9,1),"000"),"")</f>
        <v>DW059</v>
      </c>
      <c r="BD91" s="23" t="str">
        <f>IF(INDEX('Shot Map'!$B$6:$V$26,CEILING($A91/5,1),CEILING(BD$2/5,1))=1,INDEX('Serial Reference'!$A$8:$W$8,1,FLOOR(($A91-1)/23,1)+1)&amp;INDEX('Serial Reference'!$A$8:$W$8,1,MOD($A91-1,23)+1)&amp;TEXT(BD$2+FLOOR((BD$2-1)/9,1),"000"),"")</f>
        <v>DW061</v>
      </c>
      <c r="BE91" s="21" t="str">
        <f>IF(INDEX('Shot Map'!$B$6:$V$26,CEILING($A91/5,1),CEILING(BE$2/5,1))=1,INDEX('Serial Reference'!$A$8:$W$8,1,FLOOR(($A91-1)/23,1)+1)&amp;INDEX('Serial Reference'!$A$8:$W$8,1,MOD($A91-1,23)+1)&amp;TEXT(BE$2+FLOOR((BE$2-1)/9,1),"000"),"")</f>
        <v>DW062</v>
      </c>
      <c r="BF91" s="22" t="str">
        <f>IF(INDEX('Shot Map'!$B$6:$V$26,CEILING($A91/5,1),CEILING(BF$2/5,1))=1,INDEX('Serial Reference'!$A$8:$W$8,1,FLOOR(($A91-1)/23,1)+1)&amp;INDEX('Serial Reference'!$A$8:$W$8,1,MOD($A91-1,23)+1)&amp;TEXT(BF$2+FLOOR((BF$2-1)/9,1),"000"),"")</f>
        <v>DW063</v>
      </c>
      <c r="BG91" s="22" t="str">
        <f>IF(INDEX('Shot Map'!$B$6:$V$26,CEILING($A91/5,1),CEILING(BG$2/5,1))=1,INDEX('Serial Reference'!$A$8:$W$8,1,FLOOR(($A91-1)/23,1)+1)&amp;INDEX('Serial Reference'!$A$8:$W$8,1,MOD($A91-1,23)+1)&amp;TEXT(BG$2+FLOOR((BG$2-1)/9,1),"000"),"")</f>
        <v>DW064</v>
      </c>
      <c r="BH91" s="22" t="str">
        <f>IF(INDEX('Shot Map'!$B$6:$V$26,CEILING($A91/5,1),CEILING(BH$2/5,1))=1,INDEX('Serial Reference'!$A$8:$W$8,1,FLOOR(($A91-1)/23,1)+1)&amp;INDEX('Serial Reference'!$A$8:$W$8,1,MOD($A91-1,23)+1)&amp;TEXT(BH$2+FLOOR((BH$2-1)/9,1),"000"),"")</f>
        <v>DW065</v>
      </c>
      <c r="BI91" s="23" t="str">
        <f>IF(INDEX('Shot Map'!$B$6:$V$26,CEILING($A91/5,1),CEILING(BI$2/5,1))=1,INDEX('Serial Reference'!$A$8:$W$8,1,FLOOR(($A91-1)/23,1)+1)&amp;INDEX('Serial Reference'!$A$8:$W$8,1,MOD($A91-1,23)+1)&amp;TEXT(BI$2+FLOOR((BI$2-1)/9,1),"000"),"")</f>
        <v>DW066</v>
      </c>
      <c r="BJ91" s="21" t="str">
        <f>IF(INDEX('Shot Map'!$B$6:$V$26,CEILING($A91/5,1),CEILING(BJ$2/5,1))=1,INDEX('Serial Reference'!$A$8:$W$8,1,FLOOR(($A91-1)/23,1)+1)&amp;INDEX('Serial Reference'!$A$8:$W$8,1,MOD($A91-1,23)+1)&amp;TEXT(BJ$2+FLOOR((BJ$2-1)/9,1),"000"),"")</f>
        <v>DW067</v>
      </c>
      <c r="BK91" s="22" t="str">
        <f>IF(INDEX('Shot Map'!$B$6:$V$26,CEILING($A91/5,1),CEILING(BK$2/5,1))=1,INDEX('Serial Reference'!$A$8:$W$8,1,FLOOR(($A91-1)/23,1)+1)&amp;INDEX('Serial Reference'!$A$8:$W$8,1,MOD($A91-1,23)+1)&amp;TEXT(BK$2+FLOOR((BK$2-1)/9,1),"000"),"")</f>
        <v>DW068</v>
      </c>
      <c r="BL91" s="22" t="str">
        <f>IF(INDEX('Shot Map'!$B$6:$V$26,CEILING($A91/5,1),CEILING(BL$2/5,1))=1,INDEX('Serial Reference'!$A$8:$W$8,1,FLOOR(($A91-1)/23,1)+1)&amp;INDEX('Serial Reference'!$A$8:$W$8,1,MOD($A91-1,23)+1)&amp;TEXT(BL$2+FLOOR((BL$2-1)/9,1),"000"),"")</f>
        <v>DW069</v>
      </c>
      <c r="BM91" s="22" t="str">
        <f>IF(INDEX('Shot Map'!$B$6:$V$26,CEILING($A91/5,1),CEILING(BM$2/5,1))=1,INDEX('Serial Reference'!$A$8:$W$8,1,FLOOR(($A91-1)/23,1)+1)&amp;INDEX('Serial Reference'!$A$8:$W$8,1,MOD($A91-1,23)+1)&amp;TEXT(BM$2+FLOOR((BM$2-1)/9,1),"000"),"")</f>
        <v>DW071</v>
      </c>
      <c r="BN91" s="23" t="str">
        <f>IF(INDEX('Shot Map'!$B$6:$V$26,CEILING($A91/5,1),CEILING(BN$2/5,1))=1,INDEX('Serial Reference'!$A$8:$W$8,1,FLOOR(($A91-1)/23,1)+1)&amp;INDEX('Serial Reference'!$A$8:$W$8,1,MOD($A91-1,23)+1)&amp;TEXT(BN$2+FLOOR((BN$2-1)/9,1),"000"),"")</f>
        <v>DW072</v>
      </c>
      <c r="BO91" s="21" t="str">
        <f>IF(INDEX('Shot Map'!$B$6:$V$26,CEILING($A91/5,1),CEILING(BO$2/5,1))=1,INDEX('Serial Reference'!$A$8:$W$8,1,FLOOR(($A91-1)/23,1)+1)&amp;INDEX('Serial Reference'!$A$8:$W$8,1,MOD($A91-1,23)+1)&amp;TEXT(BO$2+FLOOR((BO$2-1)/9,1),"000"),"")</f>
        <v>DW073</v>
      </c>
      <c r="BP91" s="22" t="str">
        <f>IF(INDEX('Shot Map'!$B$6:$V$26,CEILING($A91/5,1),CEILING(BP$2/5,1))=1,INDEX('Serial Reference'!$A$8:$W$8,1,FLOOR(($A91-1)/23,1)+1)&amp;INDEX('Serial Reference'!$A$8:$W$8,1,MOD($A91-1,23)+1)&amp;TEXT(BP$2+FLOOR((BP$2-1)/9,1),"000"),"")</f>
        <v>DW074</v>
      </c>
      <c r="BQ91" s="22" t="str">
        <f>IF(INDEX('Shot Map'!$B$6:$V$26,CEILING($A91/5,1),CEILING(BQ$2/5,1))=1,INDEX('Serial Reference'!$A$8:$W$8,1,FLOOR(($A91-1)/23,1)+1)&amp;INDEX('Serial Reference'!$A$8:$W$8,1,MOD($A91-1,23)+1)&amp;TEXT(BQ$2+FLOOR((BQ$2-1)/9,1),"000"),"")</f>
        <v>DW075</v>
      </c>
      <c r="BR91" s="22" t="str">
        <f>IF(INDEX('Shot Map'!$B$6:$V$26,CEILING($A91/5,1),CEILING(BR$2/5,1))=1,INDEX('Serial Reference'!$A$8:$W$8,1,FLOOR(($A91-1)/23,1)+1)&amp;INDEX('Serial Reference'!$A$8:$W$8,1,MOD($A91-1,23)+1)&amp;TEXT(BR$2+FLOOR((BR$2-1)/9,1),"000"),"")</f>
        <v>DW076</v>
      </c>
      <c r="BS91" s="23" t="str">
        <f>IF(INDEX('Shot Map'!$B$6:$V$26,CEILING($A91/5,1),CEILING(BS$2/5,1))=1,INDEX('Serial Reference'!$A$8:$W$8,1,FLOOR(($A91-1)/23,1)+1)&amp;INDEX('Serial Reference'!$A$8:$W$8,1,MOD($A91-1,23)+1)&amp;TEXT(BS$2+FLOOR((BS$2-1)/9,1),"000"),"")</f>
        <v>DW077</v>
      </c>
      <c r="BT91" s="21" t="str">
        <f>IF(INDEX('Shot Map'!$B$6:$V$26,CEILING($A91/5,1),CEILING(BT$2/5,1))=1,INDEX('Serial Reference'!$A$8:$W$8,1,FLOOR(($A91-1)/23,1)+1)&amp;INDEX('Serial Reference'!$A$8:$W$8,1,MOD($A91-1,23)+1)&amp;TEXT(BT$2+FLOOR((BT$2-1)/9,1),"000"),"")</f>
        <v>DW078</v>
      </c>
      <c r="BU91" s="22" t="str">
        <f>IF(INDEX('Shot Map'!$B$6:$V$26,CEILING($A91/5,1),CEILING(BU$2/5,1))=1,INDEX('Serial Reference'!$A$8:$W$8,1,FLOOR(($A91-1)/23,1)+1)&amp;INDEX('Serial Reference'!$A$8:$W$8,1,MOD($A91-1,23)+1)&amp;TEXT(BU$2+FLOOR((BU$2-1)/9,1),"000"),"")</f>
        <v>DW079</v>
      </c>
      <c r="BV91" s="22" t="str">
        <f>IF(INDEX('Shot Map'!$B$6:$V$26,CEILING($A91/5,1),CEILING(BV$2/5,1))=1,INDEX('Serial Reference'!$A$8:$W$8,1,FLOOR(($A91-1)/23,1)+1)&amp;INDEX('Serial Reference'!$A$8:$W$8,1,MOD($A91-1,23)+1)&amp;TEXT(BV$2+FLOOR((BV$2-1)/9,1),"000"),"")</f>
        <v>DW081</v>
      </c>
      <c r="BW91" s="22" t="str">
        <f>IF(INDEX('Shot Map'!$B$6:$V$26,CEILING($A91/5,1),CEILING(BW$2/5,1))=1,INDEX('Serial Reference'!$A$8:$W$8,1,FLOOR(($A91-1)/23,1)+1)&amp;INDEX('Serial Reference'!$A$8:$W$8,1,MOD($A91-1,23)+1)&amp;TEXT(BW$2+FLOOR((BW$2-1)/9,1),"000"),"")</f>
        <v>DW082</v>
      </c>
      <c r="BX91" s="23" t="str">
        <f>IF(INDEX('Shot Map'!$B$6:$V$26,CEILING($A91/5,1),CEILING(BX$2/5,1))=1,INDEX('Serial Reference'!$A$8:$W$8,1,FLOOR(($A91-1)/23,1)+1)&amp;INDEX('Serial Reference'!$A$8:$W$8,1,MOD($A91-1,23)+1)&amp;TEXT(BX$2+FLOOR((BX$2-1)/9,1),"000"),"")</f>
        <v>DW083</v>
      </c>
      <c r="BY91" s="21" t="str">
        <f>IF(INDEX('Shot Map'!$B$6:$V$26,CEILING($A91/5,1),CEILING(BY$2/5,1))=1,INDEX('Serial Reference'!$A$8:$W$8,1,FLOOR(($A91-1)/23,1)+1)&amp;INDEX('Serial Reference'!$A$8:$W$8,1,MOD($A91-1,23)+1)&amp;TEXT(BY$2+FLOOR((BY$2-1)/9,1),"000"),"")</f>
        <v>DW084</v>
      </c>
      <c r="BZ91" s="22" t="str">
        <f>IF(INDEX('Shot Map'!$B$6:$V$26,CEILING($A91/5,1),CEILING(BZ$2/5,1))=1,INDEX('Serial Reference'!$A$8:$W$8,1,FLOOR(($A91-1)/23,1)+1)&amp;INDEX('Serial Reference'!$A$8:$W$8,1,MOD($A91-1,23)+1)&amp;TEXT(BZ$2+FLOOR((BZ$2-1)/9,1),"000"),"")</f>
        <v>DW085</v>
      </c>
      <c r="CA91" s="22" t="str">
        <f>IF(INDEX('Shot Map'!$B$6:$V$26,CEILING($A91/5,1),CEILING(CA$2/5,1))=1,INDEX('Serial Reference'!$A$8:$W$8,1,FLOOR(($A91-1)/23,1)+1)&amp;INDEX('Serial Reference'!$A$8:$W$8,1,MOD($A91-1,23)+1)&amp;TEXT(CA$2+FLOOR((CA$2-1)/9,1),"000"),"")</f>
        <v>DW086</v>
      </c>
      <c r="CB91" s="22" t="str">
        <f>IF(INDEX('Shot Map'!$B$6:$V$26,CEILING($A91/5,1),CEILING(CB$2/5,1))=1,INDEX('Serial Reference'!$A$8:$W$8,1,FLOOR(($A91-1)/23,1)+1)&amp;INDEX('Serial Reference'!$A$8:$W$8,1,MOD($A91-1,23)+1)&amp;TEXT(CB$2+FLOOR((CB$2-1)/9,1),"000"),"")</f>
        <v>DW087</v>
      </c>
      <c r="CC91" s="23" t="str">
        <f>IF(INDEX('Shot Map'!$B$6:$V$26,CEILING($A91/5,1),CEILING(CC$2/5,1))=1,INDEX('Serial Reference'!$A$8:$W$8,1,FLOOR(($A91-1)/23,1)+1)&amp;INDEX('Serial Reference'!$A$8:$W$8,1,MOD($A91-1,23)+1)&amp;TEXT(CC$2+FLOOR((CC$2-1)/9,1),"000"),"")</f>
        <v>DW088</v>
      </c>
      <c r="CD91" s="21" t="str">
        <f>IF(INDEX('Shot Map'!$B$6:$V$26,CEILING($A91/5,1),CEILING(CD$2/5,1))=1,INDEX('Serial Reference'!$A$8:$W$8,1,FLOOR(($A91-1)/23,1)+1)&amp;INDEX('Serial Reference'!$A$8:$W$8,1,MOD($A91-1,23)+1)&amp;TEXT(CD$2+FLOOR((CD$2-1)/9,1),"000"),"")</f>
        <v>DW089</v>
      </c>
      <c r="CE91" s="22" t="str">
        <f>IF(INDEX('Shot Map'!$B$6:$V$26,CEILING($A91/5,1),CEILING(CE$2/5,1))=1,INDEX('Serial Reference'!$A$8:$W$8,1,FLOOR(($A91-1)/23,1)+1)&amp;INDEX('Serial Reference'!$A$8:$W$8,1,MOD($A91-1,23)+1)&amp;TEXT(CE$2+FLOOR((CE$2-1)/9,1),"000"),"")</f>
        <v>DW091</v>
      </c>
      <c r="CF91" s="22" t="str">
        <f>IF(INDEX('Shot Map'!$B$6:$V$26,CEILING($A91/5,1),CEILING(CF$2/5,1))=1,INDEX('Serial Reference'!$A$8:$W$8,1,FLOOR(($A91-1)/23,1)+1)&amp;INDEX('Serial Reference'!$A$8:$W$8,1,MOD($A91-1,23)+1)&amp;TEXT(CF$2+FLOOR((CF$2-1)/9,1),"000"),"")</f>
        <v>DW092</v>
      </c>
      <c r="CG91" s="22" t="str">
        <f>IF(INDEX('Shot Map'!$B$6:$V$26,CEILING($A91/5,1),CEILING(CG$2/5,1))=1,INDEX('Serial Reference'!$A$8:$W$8,1,FLOOR(($A91-1)/23,1)+1)&amp;INDEX('Serial Reference'!$A$8:$W$8,1,MOD($A91-1,23)+1)&amp;TEXT(CG$2+FLOOR((CG$2-1)/9,1),"000"),"")</f>
        <v>DW093</v>
      </c>
      <c r="CH91" s="23" t="str">
        <f>IF(INDEX('Shot Map'!$B$6:$V$26,CEILING($A91/5,1),CEILING(CH$2/5,1))=1,INDEX('Serial Reference'!$A$8:$W$8,1,FLOOR(($A91-1)/23,1)+1)&amp;INDEX('Serial Reference'!$A$8:$W$8,1,MOD($A91-1,23)+1)&amp;TEXT(CH$2+FLOOR((CH$2-1)/9,1),"000"),"")</f>
        <v>DW094</v>
      </c>
      <c r="CI91" s="21" t="str">
        <f>IF(INDEX('Shot Map'!$B$6:$V$26,CEILING($A91/5,1),CEILING(CI$2/5,1))=1,INDEX('Serial Reference'!$A$8:$W$8,1,FLOOR(($A91-1)/23,1)+1)&amp;INDEX('Serial Reference'!$A$8:$W$8,1,MOD($A91-1,23)+1)&amp;TEXT(CI$2+FLOOR((CI$2-1)/9,1),"000"),"")</f>
        <v>DW095</v>
      </c>
      <c r="CJ91" s="22" t="str">
        <f>IF(INDEX('Shot Map'!$B$6:$V$26,CEILING($A91/5,1),CEILING(CJ$2/5,1))=1,INDEX('Serial Reference'!$A$8:$W$8,1,FLOOR(($A91-1)/23,1)+1)&amp;INDEX('Serial Reference'!$A$8:$W$8,1,MOD($A91-1,23)+1)&amp;TEXT(CJ$2+FLOOR((CJ$2-1)/9,1),"000"),"")</f>
        <v>DW096</v>
      </c>
      <c r="CK91" s="22" t="str">
        <f>IF(INDEX('Shot Map'!$B$6:$V$26,CEILING($A91/5,1),CEILING(CK$2/5,1))=1,INDEX('Serial Reference'!$A$8:$W$8,1,FLOOR(($A91-1)/23,1)+1)&amp;INDEX('Serial Reference'!$A$8:$W$8,1,MOD($A91-1,23)+1)&amp;TEXT(CK$2+FLOOR((CK$2-1)/9,1),"000"),"")</f>
        <v>DW097</v>
      </c>
      <c r="CL91" s="22" t="str">
        <f>IF(INDEX('Shot Map'!$B$6:$V$26,CEILING($A91/5,1),CEILING(CL$2/5,1))=1,INDEX('Serial Reference'!$A$8:$W$8,1,FLOOR(($A91-1)/23,1)+1)&amp;INDEX('Serial Reference'!$A$8:$W$8,1,MOD($A91-1,23)+1)&amp;TEXT(CL$2+FLOOR((CL$2-1)/9,1),"000"),"")</f>
        <v>DW098</v>
      </c>
      <c r="CM91" s="23" t="str">
        <f>IF(INDEX('Shot Map'!$B$6:$V$26,CEILING($A91/5,1),CEILING(CM$2/5,1))=1,INDEX('Serial Reference'!$A$8:$W$8,1,FLOOR(($A91-1)/23,1)+1)&amp;INDEX('Serial Reference'!$A$8:$W$8,1,MOD($A91-1,23)+1)&amp;TEXT(CM$2+FLOOR((CM$2-1)/9,1),"000"),"")</f>
        <v>DW099</v>
      </c>
      <c r="CN91" s="21" t="str">
        <f>IF(INDEX('Shot Map'!$B$6:$V$26,CEILING($A91/5,1),CEILING(CN$2/5,1))=1,INDEX('Serial Reference'!$A$8:$W$8,1,FLOOR(($A91-1)/23,1)+1)&amp;INDEX('Serial Reference'!$A$8:$W$8,1,MOD($A91-1,23)+1)&amp;TEXT(CN$2+FLOOR((CN$2-1)/9,1),"000"),"")</f>
        <v/>
      </c>
      <c r="CO91" s="22" t="str">
        <f>IF(INDEX('Shot Map'!$B$6:$V$26,CEILING($A91/5,1),CEILING(CO$2/5,1))=1,INDEX('Serial Reference'!$A$8:$W$8,1,FLOOR(($A91-1)/23,1)+1)&amp;INDEX('Serial Reference'!$A$8:$W$8,1,MOD($A91-1,23)+1)&amp;TEXT(CO$2+FLOOR((CO$2-1)/9,1),"000"),"")</f>
        <v/>
      </c>
      <c r="CP91" s="22" t="str">
        <f>IF(INDEX('Shot Map'!$B$6:$V$26,CEILING($A91/5,1),CEILING(CP$2/5,1))=1,INDEX('Serial Reference'!$A$8:$W$8,1,FLOOR(($A91-1)/23,1)+1)&amp;INDEX('Serial Reference'!$A$8:$W$8,1,MOD($A91-1,23)+1)&amp;TEXT(CP$2+FLOOR((CP$2-1)/9,1),"000"),"")</f>
        <v/>
      </c>
      <c r="CQ91" s="22" t="str">
        <f>IF(INDEX('Shot Map'!$B$6:$V$26,CEILING($A91/5,1),CEILING(CQ$2/5,1))=1,INDEX('Serial Reference'!$A$8:$W$8,1,FLOOR(($A91-1)/23,1)+1)&amp;INDEX('Serial Reference'!$A$8:$W$8,1,MOD($A91-1,23)+1)&amp;TEXT(CQ$2+FLOOR((CQ$2-1)/9,1),"000"),"")</f>
        <v/>
      </c>
      <c r="CR91" s="23" t="str">
        <f>IF(INDEX('Shot Map'!$B$6:$V$26,CEILING($A91/5,1),CEILING(CR$2/5,1))=1,INDEX('Serial Reference'!$A$8:$W$8,1,FLOOR(($A91-1)/23,1)+1)&amp;INDEX('Serial Reference'!$A$8:$W$8,1,MOD($A91-1,23)+1)&amp;TEXT(CR$2+FLOOR((CR$2-1)/9,1),"000"),"")</f>
        <v/>
      </c>
      <c r="CS91" s="21" t="str">
        <f>IF(INDEX('Shot Map'!$B$6:$V$26,CEILING($A91/5,1),CEILING(CS$2/5,1))=1,INDEX('Serial Reference'!$A$8:$W$8,1,FLOOR(($A91-1)/23,1)+1)&amp;INDEX('Serial Reference'!$A$8:$W$8,1,MOD($A91-1,23)+1)&amp;TEXT(CS$2+FLOOR((CS$2-1)/9,1),"000"),"")</f>
        <v/>
      </c>
      <c r="CT91" s="22" t="str">
        <f>IF(INDEX('Shot Map'!$B$6:$V$26,CEILING($A91/5,1),CEILING(CT$2/5,1))=1,INDEX('Serial Reference'!$A$8:$W$8,1,FLOOR(($A91-1)/23,1)+1)&amp;INDEX('Serial Reference'!$A$8:$W$8,1,MOD($A91-1,23)+1)&amp;TEXT(CT$2+FLOOR((CT$2-1)/9,1),"000"),"")</f>
        <v/>
      </c>
      <c r="CU91" s="22" t="str">
        <f>IF(INDEX('Shot Map'!$B$6:$V$26,CEILING($A91/5,1),CEILING(CU$2/5,1))=1,INDEX('Serial Reference'!$A$8:$W$8,1,FLOOR(($A91-1)/23,1)+1)&amp;INDEX('Serial Reference'!$A$8:$W$8,1,MOD($A91-1,23)+1)&amp;TEXT(CU$2+FLOOR((CU$2-1)/9,1),"000"),"")</f>
        <v/>
      </c>
      <c r="CV91" s="22" t="str">
        <f>IF(INDEX('Shot Map'!$B$6:$V$26,CEILING($A91/5,1),CEILING(CV$2/5,1))=1,INDEX('Serial Reference'!$A$8:$W$8,1,FLOOR(($A91-1)/23,1)+1)&amp;INDEX('Serial Reference'!$A$8:$W$8,1,MOD($A91-1,23)+1)&amp;TEXT(CV$2+FLOOR((CV$2-1)/9,1),"000"),"")</f>
        <v/>
      </c>
      <c r="CW91" s="23" t="str">
        <f>IF(INDEX('Shot Map'!$B$6:$V$26,CEILING($A91/5,1),CEILING(CW$2/5,1))=1,INDEX('Serial Reference'!$A$8:$W$8,1,FLOOR(($A91-1)/23,1)+1)&amp;INDEX('Serial Reference'!$A$8:$W$8,1,MOD($A91-1,23)+1)&amp;TEXT(CW$2+FLOOR((CW$2-1)/9,1),"000"),"")</f>
        <v/>
      </c>
      <c r="CX91" s="21" t="str">
        <f>IF(INDEX('Shot Map'!$B$6:$V$26,CEILING($A91/5,1),CEILING(CX$2/5,1))=1,INDEX('Serial Reference'!$A$8:$W$8,1,FLOOR(($A91-1)/23,1)+1)&amp;INDEX('Serial Reference'!$A$8:$W$8,1,MOD($A91-1,23)+1)&amp;TEXT(CX$2+FLOOR((CX$2-1)/9,1),"000"),"")</f>
        <v/>
      </c>
      <c r="CY91" s="22" t="str">
        <f>IF(INDEX('Shot Map'!$B$6:$V$26,CEILING($A91/5,1),CEILING(CY$2/5,1))=1,INDEX('Serial Reference'!$A$8:$W$8,1,FLOOR(($A91-1)/23,1)+1)&amp;INDEX('Serial Reference'!$A$8:$W$8,1,MOD($A91-1,23)+1)&amp;TEXT(CY$2+FLOOR((CY$2-1)/9,1),"000"),"")</f>
        <v/>
      </c>
      <c r="CZ91" s="22" t="str">
        <f>IF(INDEX('Shot Map'!$B$6:$V$26,CEILING($A91/5,1),CEILING(CZ$2/5,1))=1,INDEX('Serial Reference'!$A$8:$W$8,1,FLOOR(($A91-1)/23,1)+1)&amp;INDEX('Serial Reference'!$A$8:$W$8,1,MOD($A91-1,23)+1)&amp;TEXT(CZ$2+FLOOR((CZ$2-1)/9,1),"000"),"")</f>
        <v/>
      </c>
      <c r="DA91" s="22" t="str">
        <f>IF(INDEX('Shot Map'!$B$6:$V$26,CEILING($A91/5,1),CEILING(DA$2/5,1))=1,INDEX('Serial Reference'!$A$8:$W$8,1,FLOOR(($A91-1)/23,1)+1)&amp;INDEX('Serial Reference'!$A$8:$W$8,1,MOD($A91-1,23)+1)&amp;TEXT(DA$2+FLOOR((DA$2-1)/9,1),"000"),"")</f>
        <v/>
      </c>
      <c r="DB91" s="23" t="str">
        <f>IF(INDEX('Shot Map'!$B$6:$V$26,CEILING($A91/5,1),CEILING(DB$2/5,1))=1,INDEX('Serial Reference'!$A$8:$W$8,1,FLOOR(($A91-1)/23,1)+1)&amp;INDEX('Serial Reference'!$A$8:$W$8,1,MOD($A91-1,23)+1)&amp;TEXT(DB$2+FLOOR((DB$2-1)/9,1),"000"),"")</f>
        <v/>
      </c>
    </row>
    <row r="92" spans="1:106" ht="12.75" customHeight="1" x14ac:dyDescent="0.25">
      <c r="A92" s="17">
        <v>90</v>
      </c>
      <c r="B92" s="24" t="str">
        <f>IF(INDEX('Shot Map'!$B$6:$V$26,CEILING($A92/5,1),CEILING(B$2/5,1))=1,INDEX('Serial Reference'!$A$8:$W$8,1,FLOOR(($A92-1)/23,1)+1)&amp;INDEX('Serial Reference'!$A$8:$W$8,1,MOD($A92-1,23)+1)&amp;TEXT(B$2+FLOOR((B$2-1)/9,1),"000"),"")</f>
        <v/>
      </c>
      <c r="C92" s="25" t="str">
        <f>IF(INDEX('Shot Map'!$B$6:$V$26,CEILING($A92/5,1),CEILING(C$2/5,1))=1,INDEX('Serial Reference'!$A$8:$W$8,1,FLOOR(($A92-1)/23,1)+1)&amp;INDEX('Serial Reference'!$A$8:$W$8,1,MOD($A92-1,23)+1)&amp;TEXT(C$2+FLOOR((C$2-1)/9,1),"000"),"")</f>
        <v/>
      </c>
      <c r="D92" s="25" t="str">
        <f>IF(INDEX('Shot Map'!$B$6:$V$26,CEILING($A92/5,1),CEILING(D$2/5,1))=1,INDEX('Serial Reference'!$A$8:$W$8,1,FLOOR(($A92-1)/23,1)+1)&amp;INDEX('Serial Reference'!$A$8:$W$8,1,MOD($A92-1,23)+1)&amp;TEXT(D$2+FLOOR((D$2-1)/9,1),"000"),"")</f>
        <v/>
      </c>
      <c r="E92" s="25" t="str">
        <f>IF(INDEX('Shot Map'!$B$6:$V$26,CEILING($A92/5,1),CEILING(E$2/5,1))=1,INDEX('Serial Reference'!$A$8:$W$8,1,FLOOR(($A92-1)/23,1)+1)&amp;INDEX('Serial Reference'!$A$8:$W$8,1,MOD($A92-1,23)+1)&amp;TEXT(E$2+FLOOR((E$2-1)/9,1),"000"),"")</f>
        <v/>
      </c>
      <c r="F92" s="26" t="str">
        <f>IF(INDEX('Shot Map'!$B$6:$V$26,CEILING($A92/5,1),CEILING(F$2/5,1))=1,INDEX('Serial Reference'!$A$8:$W$8,1,FLOOR(($A92-1)/23,1)+1)&amp;INDEX('Serial Reference'!$A$8:$W$8,1,MOD($A92-1,23)+1)&amp;TEXT(F$2+FLOOR((F$2-1)/9,1),"000"),"")</f>
        <v/>
      </c>
      <c r="G92" s="24" t="str">
        <f>IF(INDEX('Shot Map'!$B$6:$V$26,CEILING($A92/5,1),CEILING(G$2/5,1))=1,INDEX('Serial Reference'!$A$8:$W$8,1,FLOOR(($A92-1)/23,1)+1)&amp;INDEX('Serial Reference'!$A$8:$W$8,1,MOD($A92-1,23)+1)&amp;TEXT(G$2+FLOOR((G$2-1)/9,1),"000"),"")</f>
        <v/>
      </c>
      <c r="H92" s="25" t="str">
        <f>IF(INDEX('Shot Map'!$B$6:$V$26,CEILING($A92/5,1),CEILING(H$2/5,1))=1,INDEX('Serial Reference'!$A$8:$W$8,1,FLOOR(($A92-1)/23,1)+1)&amp;INDEX('Serial Reference'!$A$8:$W$8,1,MOD($A92-1,23)+1)&amp;TEXT(H$2+FLOOR((H$2-1)/9,1),"000"),"")</f>
        <v/>
      </c>
      <c r="I92" s="25" t="str">
        <f>IF(INDEX('Shot Map'!$B$6:$V$26,CEILING($A92/5,1),CEILING(I$2/5,1))=1,INDEX('Serial Reference'!$A$8:$W$8,1,FLOOR(($A92-1)/23,1)+1)&amp;INDEX('Serial Reference'!$A$8:$W$8,1,MOD($A92-1,23)+1)&amp;TEXT(I$2+FLOOR((I$2-1)/9,1),"000"),"")</f>
        <v/>
      </c>
      <c r="J92" s="25" t="str">
        <f>IF(INDEX('Shot Map'!$B$6:$V$26,CEILING($A92/5,1),CEILING(J$2/5,1))=1,INDEX('Serial Reference'!$A$8:$W$8,1,FLOOR(($A92-1)/23,1)+1)&amp;INDEX('Serial Reference'!$A$8:$W$8,1,MOD($A92-1,23)+1)&amp;TEXT(J$2+FLOOR((J$2-1)/9,1),"000"),"")</f>
        <v/>
      </c>
      <c r="K92" s="26" t="str">
        <f>IF(INDEX('Shot Map'!$B$6:$V$26,CEILING($A92/5,1),CEILING(K$2/5,1))=1,INDEX('Serial Reference'!$A$8:$W$8,1,FLOOR(($A92-1)/23,1)+1)&amp;INDEX('Serial Reference'!$A$8:$W$8,1,MOD($A92-1,23)+1)&amp;TEXT(K$2+FLOOR((K$2-1)/9,1),"000"),"")</f>
        <v/>
      </c>
      <c r="L92" s="24" t="str">
        <f>IF(INDEX('Shot Map'!$B$6:$V$26,CEILING($A92/5,1),CEILING(L$2/5,1))=1,INDEX('Serial Reference'!$A$8:$W$8,1,FLOOR(($A92-1)/23,1)+1)&amp;INDEX('Serial Reference'!$A$8:$W$8,1,MOD($A92-1,23)+1)&amp;TEXT(L$2+FLOOR((L$2-1)/9,1),"000"),"")</f>
        <v/>
      </c>
      <c r="M92" s="25" t="str">
        <f>IF(INDEX('Shot Map'!$B$6:$V$26,CEILING($A92/5,1),CEILING(M$2/5,1))=1,INDEX('Serial Reference'!$A$8:$W$8,1,FLOOR(($A92-1)/23,1)+1)&amp;INDEX('Serial Reference'!$A$8:$W$8,1,MOD($A92-1,23)+1)&amp;TEXT(M$2+FLOOR((M$2-1)/9,1),"000"),"")</f>
        <v/>
      </c>
      <c r="N92" s="25" t="str">
        <f>IF(INDEX('Shot Map'!$B$6:$V$26,CEILING($A92/5,1),CEILING(N$2/5,1))=1,INDEX('Serial Reference'!$A$8:$W$8,1,FLOOR(($A92-1)/23,1)+1)&amp;INDEX('Serial Reference'!$A$8:$W$8,1,MOD($A92-1,23)+1)&amp;TEXT(N$2+FLOOR((N$2-1)/9,1),"000"),"")</f>
        <v/>
      </c>
      <c r="O92" s="25" t="str">
        <f>IF(INDEX('Shot Map'!$B$6:$V$26,CEILING($A92/5,1),CEILING(O$2/5,1))=1,INDEX('Serial Reference'!$A$8:$W$8,1,FLOOR(($A92-1)/23,1)+1)&amp;INDEX('Serial Reference'!$A$8:$W$8,1,MOD($A92-1,23)+1)&amp;TEXT(O$2+FLOOR((O$2-1)/9,1),"000"),"")</f>
        <v/>
      </c>
      <c r="P92" s="26" t="str">
        <f>IF(INDEX('Shot Map'!$B$6:$V$26,CEILING($A92/5,1),CEILING(P$2/5,1))=1,INDEX('Serial Reference'!$A$8:$W$8,1,FLOOR(($A92-1)/23,1)+1)&amp;INDEX('Serial Reference'!$A$8:$W$8,1,MOD($A92-1,23)+1)&amp;TEXT(P$2+FLOOR((P$2-1)/9,1),"000"),"")</f>
        <v/>
      </c>
      <c r="Q92" s="24" t="str">
        <f>IF(INDEX('Shot Map'!$B$6:$V$26,CEILING($A92/5,1),CEILING(Q$2/5,1))=1,INDEX('Serial Reference'!$A$8:$W$8,1,FLOOR(($A92-1)/23,1)+1)&amp;INDEX('Serial Reference'!$A$8:$W$8,1,MOD($A92-1,23)+1)&amp;TEXT(Q$2+FLOOR((Q$2-1)/9,1),"000"),"")</f>
        <v>DX017</v>
      </c>
      <c r="R92" s="25" t="str">
        <f>IF(INDEX('Shot Map'!$B$6:$V$26,CEILING($A92/5,1),CEILING(R$2/5,1))=1,INDEX('Serial Reference'!$A$8:$W$8,1,FLOOR(($A92-1)/23,1)+1)&amp;INDEX('Serial Reference'!$A$8:$W$8,1,MOD($A92-1,23)+1)&amp;TEXT(R$2+FLOOR((R$2-1)/9,1),"000"),"")</f>
        <v>DX018</v>
      </c>
      <c r="S92" s="25" t="str">
        <f>IF(INDEX('Shot Map'!$B$6:$V$26,CEILING($A92/5,1),CEILING(S$2/5,1))=1,INDEX('Serial Reference'!$A$8:$W$8,1,FLOOR(($A92-1)/23,1)+1)&amp;INDEX('Serial Reference'!$A$8:$W$8,1,MOD($A92-1,23)+1)&amp;TEXT(S$2+FLOOR((S$2-1)/9,1),"000"),"")</f>
        <v>DX019</v>
      </c>
      <c r="T92" s="25" t="str">
        <f>IF(INDEX('Shot Map'!$B$6:$V$26,CEILING($A92/5,1),CEILING(T$2/5,1))=1,INDEX('Serial Reference'!$A$8:$W$8,1,FLOOR(($A92-1)/23,1)+1)&amp;INDEX('Serial Reference'!$A$8:$W$8,1,MOD($A92-1,23)+1)&amp;TEXT(T$2+FLOOR((T$2-1)/9,1),"000"),"")</f>
        <v>DX021</v>
      </c>
      <c r="U92" s="26" t="str">
        <f>IF(INDEX('Shot Map'!$B$6:$V$26,CEILING($A92/5,1),CEILING(U$2/5,1))=1,INDEX('Serial Reference'!$A$8:$W$8,1,FLOOR(($A92-1)/23,1)+1)&amp;INDEX('Serial Reference'!$A$8:$W$8,1,MOD($A92-1,23)+1)&amp;TEXT(U$2+FLOOR((U$2-1)/9,1),"000"),"")</f>
        <v>DX022</v>
      </c>
      <c r="V92" s="24" t="str">
        <f>IF(INDEX('Shot Map'!$B$6:$V$26,CEILING($A92/5,1),CEILING(V$2/5,1))=1,INDEX('Serial Reference'!$A$8:$W$8,1,FLOOR(($A92-1)/23,1)+1)&amp;INDEX('Serial Reference'!$A$8:$W$8,1,MOD($A92-1,23)+1)&amp;TEXT(V$2+FLOOR((V$2-1)/9,1),"000"),"")</f>
        <v>DX023</v>
      </c>
      <c r="W92" s="25" t="str">
        <f>IF(INDEX('Shot Map'!$B$6:$V$26,CEILING($A92/5,1),CEILING(W$2/5,1))=1,INDEX('Serial Reference'!$A$8:$W$8,1,FLOOR(($A92-1)/23,1)+1)&amp;INDEX('Serial Reference'!$A$8:$W$8,1,MOD($A92-1,23)+1)&amp;TEXT(W$2+FLOOR((W$2-1)/9,1),"000"),"")</f>
        <v>DX024</v>
      </c>
      <c r="X92" s="25" t="str">
        <f>IF(INDEX('Shot Map'!$B$6:$V$26,CEILING($A92/5,1),CEILING(X$2/5,1))=1,INDEX('Serial Reference'!$A$8:$W$8,1,FLOOR(($A92-1)/23,1)+1)&amp;INDEX('Serial Reference'!$A$8:$W$8,1,MOD($A92-1,23)+1)&amp;TEXT(X$2+FLOOR((X$2-1)/9,1),"000"),"")</f>
        <v>DX025</v>
      </c>
      <c r="Y92" s="25" t="str">
        <f>IF(INDEX('Shot Map'!$B$6:$V$26,CEILING($A92/5,1),CEILING(Y$2/5,1))=1,INDEX('Serial Reference'!$A$8:$W$8,1,FLOOR(($A92-1)/23,1)+1)&amp;INDEX('Serial Reference'!$A$8:$W$8,1,MOD($A92-1,23)+1)&amp;TEXT(Y$2+FLOOR((Y$2-1)/9,1),"000"),"")</f>
        <v>DX026</v>
      </c>
      <c r="Z92" s="26" t="str">
        <f>IF(INDEX('Shot Map'!$B$6:$V$26,CEILING($A92/5,1),CEILING(Z$2/5,1))=1,INDEX('Serial Reference'!$A$8:$W$8,1,FLOOR(($A92-1)/23,1)+1)&amp;INDEX('Serial Reference'!$A$8:$W$8,1,MOD($A92-1,23)+1)&amp;TEXT(Z$2+FLOOR((Z$2-1)/9,1),"000"),"")</f>
        <v>DX027</v>
      </c>
      <c r="AA92" s="24" t="str">
        <f>IF(INDEX('Shot Map'!$B$6:$V$26,CEILING($A92/5,1),CEILING(AA$2/5,1))=1,INDEX('Serial Reference'!$A$8:$W$8,1,FLOOR(($A92-1)/23,1)+1)&amp;INDEX('Serial Reference'!$A$8:$W$8,1,MOD($A92-1,23)+1)&amp;TEXT(AA$2+FLOOR((AA$2-1)/9,1),"000"),"")</f>
        <v>DX028</v>
      </c>
      <c r="AB92" s="25" t="str">
        <f>IF(INDEX('Shot Map'!$B$6:$V$26,CEILING($A92/5,1),CEILING(AB$2/5,1))=1,INDEX('Serial Reference'!$A$8:$W$8,1,FLOOR(($A92-1)/23,1)+1)&amp;INDEX('Serial Reference'!$A$8:$W$8,1,MOD($A92-1,23)+1)&amp;TEXT(AB$2+FLOOR((AB$2-1)/9,1),"000"),"")</f>
        <v>DX029</v>
      </c>
      <c r="AC92" s="25" t="str">
        <f>IF(INDEX('Shot Map'!$B$6:$V$26,CEILING($A92/5,1),CEILING(AC$2/5,1))=1,INDEX('Serial Reference'!$A$8:$W$8,1,FLOOR(($A92-1)/23,1)+1)&amp;INDEX('Serial Reference'!$A$8:$W$8,1,MOD($A92-1,23)+1)&amp;TEXT(AC$2+FLOOR((AC$2-1)/9,1),"000"),"")</f>
        <v>DX031</v>
      </c>
      <c r="AD92" s="25" t="str">
        <f>IF(INDEX('Shot Map'!$B$6:$V$26,CEILING($A92/5,1),CEILING(AD$2/5,1))=1,INDEX('Serial Reference'!$A$8:$W$8,1,FLOOR(($A92-1)/23,1)+1)&amp;INDEX('Serial Reference'!$A$8:$W$8,1,MOD($A92-1,23)+1)&amp;TEXT(AD$2+FLOOR((AD$2-1)/9,1),"000"),"")</f>
        <v>DX032</v>
      </c>
      <c r="AE92" s="26" t="str">
        <f>IF(INDEX('Shot Map'!$B$6:$V$26,CEILING($A92/5,1),CEILING(AE$2/5,1))=1,INDEX('Serial Reference'!$A$8:$W$8,1,FLOOR(($A92-1)/23,1)+1)&amp;INDEX('Serial Reference'!$A$8:$W$8,1,MOD($A92-1,23)+1)&amp;TEXT(AE$2+FLOOR((AE$2-1)/9,1),"000"),"")</f>
        <v>DX033</v>
      </c>
      <c r="AF92" s="24" t="str">
        <f>IF(INDEX('Shot Map'!$B$6:$V$26,CEILING($A92/5,1),CEILING(AF$2/5,1))=1,INDEX('Serial Reference'!$A$8:$W$8,1,FLOOR(($A92-1)/23,1)+1)&amp;INDEX('Serial Reference'!$A$8:$W$8,1,MOD($A92-1,23)+1)&amp;TEXT(AF$2+FLOOR((AF$2-1)/9,1),"000"),"")</f>
        <v>DX034</v>
      </c>
      <c r="AG92" s="25" t="str">
        <f>IF(INDEX('Shot Map'!$B$6:$V$26,CEILING($A92/5,1),CEILING(AG$2/5,1))=1,INDEX('Serial Reference'!$A$8:$W$8,1,FLOOR(($A92-1)/23,1)+1)&amp;INDEX('Serial Reference'!$A$8:$W$8,1,MOD($A92-1,23)+1)&amp;TEXT(AG$2+FLOOR((AG$2-1)/9,1),"000"),"")</f>
        <v>DX035</v>
      </c>
      <c r="AH92" s="25" t="str">
        <f>IF(INDEX('Shot Map'!$B$6:$V$26,CEILING($A92/5,1),CEILING(AH$2/5,1))=1,INDEX('Serial Reference'!$A$8:$W$8,1,FLOOR(($A92-1)/23,1)+1)&amp;INDEX('Serial Reference'!$A$8:$W$8,1,MOD($A92-1,23)+1)&amp;TEXT(AH$2+FLOOR((AH$2-1)/9,1),"000"),"")</f>
        <v>DX036</v>
      </c>
      <c r="AI92" s="25" t="str">
        <f>IF(INDEX('Shot Map'!$B$6:$V$26,CEILING($A92/5,1),CEILING(AI$2/5,1))=1,INDEX('Serial Reference'!$A$8:$W$8,1,FLOOR(($A92-1)/23,1)+1)&amp;INDEX('Serial Reference'!$A$8:$W$8,1,MOD($A92-1,23)+1)&amp;TEXT(AI$2+FLOOR((AI$2-1)/9,1),"000"),"")</f>
        <v>DX037</v>
      </c>
      <c r="AJ92" s="26" t="str">
        <f>IF(INDEX('Shot Map'!$B$6:$V$26,CEILING($A92/5,1),CEILING(AJ$2/5,1))=1,INDEX('Serial Reference'!$A$8:$W$8,1,FLOOR(($A92-1)/23,1)+1)&amp;INDEX('Serial Reference'!$A$8:$W$8,1,MOD($A92-1,23)+1)&amp;TEXT(AJ$2+FLOOR((AJ$2-1)/9,1),"000"),"")</f>
        <v>DX038</v>
      </c>
      <c r="AK92" s="24" t="str">
        <f>IF(INDEX('Shot Map'!$B$6:$V$26,CEILING($A92/5,1),CEILING(AK$2/5,1))=1,INDEX('Serial Reference'!$A$8:$W$8,1,FLOOR(($A92-1)/23,1)+1)&amp;INDEX('Serial Reference'!$A$8:$W$8,1,MOD($A92-1,23)+1)&amp;TEXT(AK$2+FLOOR((AK$2-1)/9,1),"000"),"")</f>
        <v>DX039</v>
      </c>
      <c r="AL92" s="25" t="str">
        <f>IF(INDEX('Shot Map'!$B$6:$V$26,CEILING($A92/5,1),CEILING(AL$2/5,1))=1,INDEX('Serial Reference'!$A$8:$W$8,1,FLOOR(($A92-1)/23,1)+1)&amp;INDEX('Serial Reference'!$A$8:$W$8,1,MOD($A92-1,23)+1)&amp;TEXT(AL$2+FLOOR((AL$2-1)/9,1),"000"),"")</f>
        <v>DX041</v>
      </c>
      <c r="AM92" s="25" t="str">
        <f>IF(INDEX('Shot Map'!$B$6:$V$26,CEILING($A92/5,1),CEILING(AM$2/5,1))=1,INDEX('Serial Reference'!$A$8:$W$8,1,FLOOR(($A92-1)/23,1)+1)&amp;INDEX('Serial Reference'!$A$8:$W$8,1,MOD($A92-1,23)+1)&amp;TEXT(AM$2+FLOOR((AM$2-1)/9,1),"000"),"")</f>
        <v>DX042</v>
      </c>
      <c r="AN92" s="25" t="str">
        <f>IF(INDEX('Shot Map'!$B$6:$V$26,CEILING($A92/5,1),CEILING(AN$2/5,1))=1,INDEX('Serial Reference'!$A$8:$W$8,1,FLOOR(($A92-1)/23,1)+1)&amp;INDEX('Serial Reference'!$A$8:$W$8,1,MOD($A92-1,23)+1)&amp;TEXT(AN$2+FLOOR((AN$2-1)/9,1),"000"),"")</f>
        <v>DX043</v>
      </c>
      <c r="AO92" s="26" t="str">
        <f>IF(INDEX('Shot Map'!$B$6:$V$26,CEILING($A92/5,1),CEILING(AO$2/5,1))=1,INDEX('Serial Reference'!$A$8:$W$8,1,FLOOR(($A92-1)/23,1)+1)&amp;INDEX('Serial Reference'!$A$8:$W$8,1,MOD($A92-1,23)+1)&amp;TEXT(AO$2+FLOOR((AO$2-1)/9,1),"000"),"")</f>
        <v>DX044</v>
      </c>
      <c r="AP92" s="24" t="str">
        <f>IF(INDEX('Shot Map'!$B$6:$V$26,CEILING($A92/5,1),CEILING(AP$2/5,1))=1,INDEX('Serial Reference'!$A$8:$W$8,1,FLOOR(($A92-1)/23,1)+1)&amp;INDEX('Serial Reference'!$A$8:$W$8,1,MOD($A92-1,23)+1)&amp;TEXT(AP$2+FLOOR((AP$2-1)/9,1),"000"),"")</f>
        <v>DX045</v>
      </c>
      <c r="AQ92" s="25" t="str">
        <f>IF(INDEX('Shot Map'!$B$6:$V$26,CEILING($A92/5,1),CEILING(AQ$2/5,1))=1,INDEX('Serial Reference'!$A$8:$W$8,1,FLOOR(($A92-1)/23,1)+1)&amp;INDEX('Serial Reference'!$A$8:$W$8,1,MOD($A92-1,23)+1)&amp;TEXT(AQ$2+FLOOR((AQ$2-1)/9,1),"000"),"")</f>
        <v>DX046</v>
      </c>
      <c r="AR92" s="25" t="str">
        <f>IF(INDEX('Shot Map'!$B$6:$V$26,CEILING($A92/5,1),CEILING(AR$2/5,1))=1,INDEX('Serial Reference'!$A$8:$W$8,1,FLOOR(($A92-1)/23,1)+1)&amp;INDEX('Serial Reference'!$A$8:$W$8,1,MOD($A92-1,23)+1)&amp;TEXT(AR$2+FLOOR((AR$2-1)/9,1),"000"),"")</f>
        <v>DX047</v>
      </c>
      <c r="AS92" s="25" t="str">
        <f>IF(INDEX('Shot Map'!$B$6:$V$26,CEILING($A92/5,1),CEILING(AS$2/5,1))=1,INDEX('Serial Reference'!$A$8:$W$8,1,FLOOR(($A92-1)/23,1)+1)&amp;INDEX('Serial Reference'!$A$8:$W$8,1,MOD($A92-1,23)+1)&amp;TEXT(AS$2+FLOOR((AS$2-1)/9,1),"000"),"")</f>
        <v>DX048</v>
      </c>
      <c r="AT92" s="26" t="str">
        <f>IF(INDEX('Shot Map'!$B$6:$V$26,CEILING($A92/5,1),CEILING(AT$2/5,1))=1,INDEX('Serial Reference'!$A$8:$W$8,1,FLOOR(($A92-1)/23,1)+1)&amp;INDEX('Serial Reference'!$A$8:$W$8,1,MOD($A92-1,23)+1)&amp;TEXT(AT$2+FLOOR((AT$2-1)/9,1),"000"),"")</f>
        <v>DX049</v>
      </c>
      <c r="AU92" s="24" t="str">
        <f>IF(INDEX('Shot Map'!$B$6:$V$26,CEILING($A92/5,1),CEILING(AU$2/5,1))=1,INDEX('Serial Reference'!$A$8:$W$8,1,FLOOR(($A92-1)/23,1)+1)&amp;INDEX('Serial Reference'!$A$8:$W$8,1,MOD($A92-1,23)+1)&amp;TEXT(AU$2+FLOOR((AU$2-1)/9,1),"000"),"")</f>
        <v>DX051</v>
      </c>
      <c r="AV92" s="25" t="str">
        <f>IF(INDEX('Shot Map'!$B$6:$V$26,CEILING($A92/5,1),CEILING(AV$2/5,1))=1,INDEX('Serial Reference'!$A$8:$W$8,1,FLOOR(($A92-1)/23,1)+1)&amp;INDEX('Serial Reference'!$A$8:$W$8,1,MOD($A92-1,23)+1)&amp;TEXT(AV$2+FLOOR((AV$2-1)/9,1),"000"),"")</f>
        <v>DX052</v>
      </c>
      <c r="AW92" s="25" t="str">
        <f>IF(INDEX('Shot Map'!$B$6:$V$26,CEILING($A92/5,1),CEILING(AW$2/5,1))=1,INDEX('Serial Reference'!$A$8:$W$8,1,FLOOR(($A92-1)/23,1)+1)&amp;INDEX('Serial Reference'!$A$8:$W$8,1,MOD($A92-1,23)+1)&amp;TEXT(AW$2+FLOOR((AW$2-1)/9,1),"000"),"")</f>
        <v>DX053</v>
      </c>
      <c r="AX92" s="25" t="str">
        <f>IF(INDEX('Shot Map'!$B$6:$V$26,CEILING($A92/5,1),CEILING(AX$2/5,1))=1,INDEX('Serial Reference'!$A$8:$W$8,1,FLOOR(($A92-1)/23,1)+1)&amp;INDEX('Serial Reference'!$A$8:$W$8,1,MOD($A92-1,23)+1)&amp;TEXT(AX$2+FLOOR((AX$2-1)/9,1),"000"),"")</f>
        <v>DX054</v>
      </c>
      <c r="AY92" s="26" t="str">
        <f>IF(INDEX('Shot Map'!$B$6:$V$26,CEILING($A92/5,1),CEILING(AY$2/5,1))=1,INDEX('Serial Reference'!$A$8:$W$8,1,FLOOR(($A92-1)/23,1)+1)&amp;INDEX('Serial Reference'!$A$8:$W$8,1,MOD($A92-1,23)+1)&amp;TEXT(AY$2+FLOOR((AY$2-1)/9,1),"000"),"")</f>
        <v>DX055</v>
      </c>
      <c r="AZ92" s="24" t="str">
        <f>IF(INDEX('Shot Map'!$B$6:$V$26,CEILING($A92/5,1),CEILING(AZ$2/5,1))=1,INDEX('Serial Reference'!$A$8:$W$8,1,FLOOR(($A92-1)/23,1)+1)&amp;INDEX('Serial Reference'!$A$8:$W$8,1,MOD($A92-1,23)+1)&amp;TEXT(AZ$2+FLOOR((AZ$2-1)/9,1),"000"),"")</f>
        <v>DX056</v>
      </c>
      <c r="BA92" s="25" t="str">
        <f>IF(INDEX('Shot Map'!$B$6:$V$26,CEILING($A92/5,1),CEILING(BA$2/5,1))=1,INDEX('Serial Reference'!$A$8:$W$8,1,FLOOR(($A92-1)/23,1)+1)&amp;INDEX('Serial Reference'!$A$8:$W$8,1,MOD($A92-1,23)+1)&amp;TEXT(BA$2+FLOOR((BA$2-1)/9,1),"000"),"")</f>
        <v>DX057</v>
      </c>
      <c r="BB92" s="25" t="str">
        <f>IF(INDEX('Shot Map'!$B$6:$V$26,CEILING($A92/5,1),CEILING(BB$2/5,1))=1,INDEX('Serial Reference'!$A$8:$W$8,1,FLOOR(($A92-1)/23,1)+1)&amp;INDEX('Serial Reference'!$A$8:$W$8,1,MOD($A92-1,23)+1)&amp;TEXT(BB$2+FLOOR((BB$2-1)/9,1),"000"),"")</f>
        <v>DX058</v>
      </c>
      <c r="BC92" s="25" t="str">
        <f>IF(INDEX('Shot Map'!$B$6:$V$26,CEILING($A92/5,1),CEILING(BC$2/5,1))=1,INDEX('Serial Reference'!$A$8:$W$8,1,FLOOR(($A92-1)/23,1)+1)&amp;INDEX('Serial Reference'!$A$8:$W$8,1,MOD($A92-1,23)+1)&amp;TEXT(BC$2+FLOOR((BC$2-1)/9,1),"000"),"")</f>
        <v>DX059</v>
      </c>
      <c r="BD92" s="26" t="str">
        <f>IF(INDEX('Shot Map'!$B$6:$V$26,CEILING($A92/5,1),CEILING(BD$2/5,1))=1,INDEX('Serial Reference'!$A$8:$W$8,1,FLOOR(($A92-1)/23,1)+1)&amp;INDEX('Serial Reference'!$A$8:$W$8,1,MOD($A92-1,23)+1)&amp;TEXT(BD$2+FLOOR((BD$2-1)/9,1),"000"),"")</f>
        <v>DX061</v>
      </c>
      <c r="BE92" s="24" t="str">
        <f>IF(INDEX('Shot Map'!$B$6:$V$26,CEILING($A92/5,1),CEILING(BE$2/5,1))=1,INDEX('Serial Reference'!$A$8:$W$8,1,FLOOR(($A92-1)/23,1)+1)&amp;INDEX('Serial Reference'!$A$8:$W$8,1,MOD($A92-1,23)+1)&amp;TEXT(BE$2+FLOOR((BE$2-1)/9,1),"000"),"")</f>
        <v>DX062</v>
      </c>
      <c r="BF92" s="25" t="str">
        <f>IF(INDEX('Shot Map'!$B$6:$V$26,CEILING($A92/5,1),CEILING(BF$2/5,1))=1,INDEX('Serial Reference'!$A$8:$W$8,1,FLOOR(($A92-1)/23,1)+1)&amp;INDEX('Serial Reference'!$A$8:$W$8,1,MOD($A92-1,23)+1)&amp;TEXT(BF$2+FLOOR((BF$2-1)/9,1),"000"),"")</f>
        <v>DX063</v>
      </c>
      <c r="BG92" s="25" t="str">
        <f>IF(INDEX('Shot Map'!$B$6:$V$26,CEILING($A92/5,1),CEILING(BG$2/5,1))=1,INDEX('Serial Reference'!$A$8:$W$8,1,FLOOR(($A92-1)/23,1)+1)&amp;INDEX('Serial Reference'!$A$8:$W$8,1,MOD($A92-1,23)+1)&amp;TEXT(BG$2+FLOOR((BG$2-1)/9,1),"000"),"")</f>
        <v>DX064</v>
      </c>
      <c r="BH92" s="25" t="str">
        <f>IF(INDEX('Shot Map'!$B$6:$V$26,CEILING($A92/5,1),CEILING(BH$2/5,1))=1,INDEX('Serial Reference'!$A$8:$W$8,1,FLOOR(($A92-1)/23,1)+1)&amp;INDEX('Serial Reference'!$A$8:$W$8,1,MOD($A92-1,23)+1)&amp;TEXT(BH$2+FLOOR((BH$2-1)/9,1),"000"),"")</f>
        <v>DX065</v>
      </c>
      <c r="BI92" s="26" t="str">
        <f>IF(INDEX('Shot Map'!$B$6:$V$26,CEILING($A92/5,1),CEILING(BI$2/5,1))=1,INDEX('Serial Reference'!$A$8:$W$8,1,FLOOR(($A92-1)/23,1)+1)&amp;INDEX('Serial Reference'!$A$8:$W$8,1,MOD($A92-1,23)+1)&amp;TEXT(BI$2+FLOOR((BI$2-1)/9,1),"000"),"")</f>
        <v>DX066</v>
      </c>
      <c r="BJ92" s="24" t="str">
        <f>IF(INDEX('Shot Map'!$B$6:$V$26,CEILING($A92/5,1),CEILING(BJ$2/5,1))=1,INDEX('Serial Reference'!$A$8:$W$8,1,FLOOR(($A92-1)/23,1)+1)&amp;INDEX('Serial Reference'!$A$8:$W$8,1,MOD($A92-1,23)+1)&amp;TEXT(BJ$2+FLOOR((BJ$2-1)/9,1),"000"),"")</f>
        <v>DX067</v>
      </c>
      <c r="BK92" s="25" t="str">
        <f>IF(INDEX('Shot Map'!$B$6:$V$26,CEILING($A92/5,1),CEILING(BK$2/5,1))=1,INDEX('Serial Reference'!$A$8:$W$8,1,FLOOR(($A92-1)/23,1)+1)&amp;INDEX('Serial Reference'!$A$8:$W$8,1,MOD($A92-1,23)+1)&amp;TEXT(BK$2+FLOOR((BK$2-1)/9,1),"000"),"")</f>
        <v>DX068</v>
      </c>
      <c r="BL92" s="25" t="str">
        <f>IF(INDEX('Shot Map'!$B$6:$V$26,CEILING($A92/5,1),CEILING(BL$2/5,1))=1,INDEX('Serial Reference'!$A$8:$W$8,1,FLOOR(($A92-1)/23,1)+1)&amp;INDEX('Serial Reference'!$A$8:$W$8,1,MOD($A92-1,23)+1)&amp;TEXT(BL$2+FLOOR((BL$2-1)/9,1),"000"),"")</f>
        <v>DX069</v>
      </c>
      <c r="BM92" s="25" t="str">
        <f>IF(INDEX('Shot Map'!$B$6:$V$26,CEILING($A92/5,1),CEILING(BM$2/5,1))=1,INDEX('Serial Reference'!$A$8:$W$8,1,FLOOR(($A92-1)/23,1)+1)&amp;INDEX('Serial Reference'!$A$8:$W$8,1,MOD($A92-1,23)+1)&amp;TEXT(BM$2+FLOOR((BM$2-1)/9,1),"000"),"")</f>
        <v>DX071</v>
      </c>
      <c r="BN92" s="26" t="str">
        <f>IF(INDEX('Shot Map'!$B$6:$V$26,CEILING($A92/5,1),CEILING(BN$2/5,1))=1,INDEX('Serial Reference'!$A$8:$W$8,1,FLOOR(($A92-1)/23,1)+1)&amp;INDEX('Serial Reference'!$A$8:$W$8,1,MOD($A92-1,23)+1)&amp;TEXT(BN$2+FLOOR((BN$2-1)/9,1),"000"),"")</f>
        <v>DX072</v>
      </c>
      <c r="BO92" s="24" t="str">
        <f>IF(INDEX('Shot Map'!$B$6:$V$26,CEILING($A92/5,1),CEILING(BO$2/5,1))=1,INDEX('Serial Reference'!$A$8:$W$8,1,FLOOR(($A92-1)/23,1)+1)&amp;INDEX('Serial Reference'!$A$8:$W$8,1,MOD($A92-1,23)+1)&amp;TEXT(BO$2+FLOOR((BO$2-1)/9,1),"000"),"")</f>
        <v>DX073</v>
      </c>
      <c r="BP92" s="25" t="str">
        <f>IF(INDEX('Shot Map'!$B$6:$V$26,CEILING($A92/5,1),CEILING(BP$2/5,1))=1,INDEX('Serial Reference'!$A$8:$W$8,1,FLOOR(($A92-1)/23,1)+1)&amp;INDEX('Serial Reference'!$A$8:$W$8,1,MOD($A92-1,23)+1)&amp;TEXT(BP$2+FLOOR((BP$2-1)/9,1),"000"),"")</f>
        <v>DX074</v>
      </c>
      <c r="BQ92" s="25" t="str">
        <f>IF(INDEX('Shot Map'!$B$6:$V$26,CEILING($A92/5,1),CEILING(BQ$2/5,1))=1,INDEX('Serial Reference'!$A$8:$W$8,1,FLOOR(($A92-1)/23,1)+1)&amp;INDEX('Serial Reference'!$A$8:$W$8,1,MOD($A92-1,23)+1)&amp;TEXT(BQ$2+FLOOR((BQ$2-1)/9,1),"000"),"")</f>
        <v>DX075</v>
      </c>
      <c r="BR92" s="25" t="str">
        <f>IF(INDEX('Shot Map'!$B$6:$V$26,CEILING($A92/5,1),CEILING(BR$2/5,1))=1,INDEX('Serial Reference'!$A$8:$W$8,1,FLOOR(($A92-1)/23,1)+1)&amp;INDEX('Serial Reference'!$A$8:$W$8,1,MOD($A92-1,23)+1)&amp;TEXT(BR$2+FLOOR((BR$2-1)/9,1),"000"),"")</f>
        <v>DX076</v>
      </c>
      <c r="BS92" s="26" t="str">
        <f>IF(INDEX('Shot Map'!$B$6:$V$26,CEILING($A92/5,1),CEILING(BS$2/5,1))=1,INDEX('Serial Reference'!$A$8:$W$8,1,FLOOR(($A92-1)/23,1)+1)&amp;INDEX('Serial Reference'!$A$8:$W$8,1,MOD($A92-1,23)+1)&amp;TEXT(BS$2+FLOOR((BS$2-1)/9,1),"000"),"")</f>
        <v>DX077</v>
      </c>
      <c r="BT92" s="24" t="str">
        <f>IF(INDEX('Shot Map'!$B$6:$V$26,CEILING($A92/5,1),CEILING(BT$2/5,1))=1,INDEX('Serial Reference'!$A$8:$W$8,1,FLOOR(($A92-1)/23,1)+1)&amp;INDEX('Serial Reference'!$A$8:$W$8,1,MOD($A92-1,23)+1)&amp;TEXT(BT$2+FLOOR((BT$2-1)/9,1),"000"),"")</f>
        <v>DX078</v>
      </c>
      <c r="BU92" s="25" t="str">
        <f>IF(INDEX('Shot Map'!$B$6:$V$26,CEILING($A92/5,1),CEILING(BU$2/5,1))=1,INDEX('Serial Reference'!$A$8:$W$8,1,FLOOR(($A92-1)/23,1)+1)&amp;INDEX('Serial Reference'!$A$8:$W$8,1,MOD($A92-1,23)+1)&amp;TEXT(BU$2+FLOOR((BU$2-1)/9,1),"000"),"")</f>
        <v>DX079</v>
      </c>
      <c r="BV92" s="25" t="str">
        <f>IF(INDEX('Shot Map'!$B$6:$V$26,CEILING($A92/5,1),CEILING(BV$2/5,1))=1,INDEX('Serial Reference'!$A$8:$W$8,1,FLOOR(($A92-1)/23,1)+1)&amp;INDEX('Serial Reference'!$A$8:$W$8,1,MOD($A92-1,23)+1)&amp;TEXT(BV$2+FLOOR((BV$2-1)/9,1),"000"),"")</f>
        <v>DX081</v>
      </c>
      <c r="BW92" s="25" t="str">
        <f>IF(INDEX('Shot Map'!$B$6:$V$26,CEILING($A92/5,1),CEILING(BW$2/5,1))=1,INDEX('Serial Reference'!$A$8:$W$8,1,FLOOR(($A92-1)/23,1)+1)&amp;INDEX('Serial Reference'!$A$8:$W$8,1,MOD($A92-1,23)+1)&amp;TEXT(BW$2+FLOOR((BW$2-1)/9,1),"000"),"")</f>
        <v>DX082</v>
      </c>
      <c r="BX92" s="26" t="str">
        <f>IF(INDEX('Shot Map'!$B$6:$V$26,CEILING($A92/5,1),CEILING(BX$2/5,1))=1,INDEX('Serial Reference'!$A$8:$W$8,1,FLOOR(($A92-1)/23,1)+1)&amp;INDEX('Serial Reference'!$A$8:$W$8,1,MOD($A92-1,23)+1)&amp;TEXT(BX$2+FLOOR((BX$2-1)/9,1),"000"),"")</f>
        <v>DX083</v>
      </c>
      <c r="BY92" s="24" t="str">
        <f>IF(INDEX('Shot Map'!$B$6:$V$26,CEILING($A92/5,1),CEILING(BY$2/5,1))=1,INDEX('Serial Reference'!$A$8:$W$8,1,FLOOR(($A92-1)/23,1)+1)&amp;INDEX('Serial Reference'!$A$8:$W$8,1,MOD($A92-1,23)+1)&amp;TEXT(BY$2+FLOOR((BY$2-1)/9,1),"000"),"")</f>
        <v>DX084</v>
      </c>
      <c r="BZ92" s="25" t="str">
        <f>IF(INDEX('Shot Map'!$B$6:$V$26,CEILING($A92/5,1),CEILING(BZ$2/5,1))=1,INDEX('Serial Reference'!$A$8:$W$8,1,FLOOR(($A92-1)/23,1)+1)&amp;INDEX('Serial Reference'!$A$8:$W$8,1,MOD($A92-1,23)+1)&amp;TEXT(BZ$2+FLOOR((BZ$2-1)/9,1),"000"),"")</f>
        <v>DX085</v>
      </c>
      <c r="CA92" s="25" t="str">
        <f>IF(INDEX('Shot Map'!$B$6:$V$26,CEILING($A92/5,1),CEILING(CA$2/5,1))=1,INDEX('Serial Reference'!$A$8:$W$8,1,FLOOR(($A92-1)/23,1)+1)&amp;INDEX('Serial Reference'!$A$8:$W$8,1,MOD($A92-1,23)+1)&amp;TEXT(CA$2+FLOOR((CA$2-1)/9,1),"000"),"")</f>
        <v>DX086</v>
      </c>
      <c r="CB92" s="25" t="str">
        <f>IF(INDEX('Shot Map'!$B$6:$V$26,CEILING($A92/5,1),CEILING(CB$2/5,1))=1,INDEX('Serial Reference'!$A$8:$W$8,1,FLOOR(($A92-1)/23,1)+1)&amp;INDEX('Serial Reference'!$A$8:$W$8,1,MOD($A92-1,23)+1)&amp;TEXT(CB$2+FLOOR((CB$2-1)/9,1),"000"),"")</f>
        <v>DX087</v>
      </c>
      <c r="CC92" s="26" t="str">
        <f>IF(INDEX('Shot Map'!$B$6:$V$26,CEILING($A92/5,1),CEILING(CC$2/5,1))=1,INDEX('Serial Reference'!$A$8:$W$8,1,FLOOR(($A92-1)/23,1)+1)&amp;INDEX('Serial Reference'!$A$8:$W$8,1,MOD($A92-1,23)+1)&amp;TEXT(CC$2+FLOOR((CC$2-1)/9,1),"000"),"")</f>
        <v>DX088</v>
      </c>
      <c r="CD92" s="24" t="str">
        <f>IF(INDEX('Shot Map'!$B$6:$V$26,CEILING($A92/5,1),CEILING(CD$2/5,1))=1,INDEX('Serial Reference'!$A$8:$W$8,1,FLOOR(($A92-1)/23,1)+1)&amp;INDEX('Serial Reference'!$A$8:$W$8,1,MOD($A92-1,23)+1)&amp;TEXT(CD$2+FLOOR((CD$2-1)/9,1),"000"),"")</f>
        <v>DX089</v>
      </c>
      <c r="CE92" s="25" t="str">
        <f>IF(INDEX('Shot Map'!$B$6:$V$26,CEILING($A92/5,1),CEILING(CE$2/5,1))=1,INDEX('Serial Reference'!$A$8:$W$8,1,FLOOR(($A92-1)/23,1)+1)&amp;INDEX('Serial Reference'!$A$8:$W$8,1,MOD($A92-1,23)+1)&amp;TEXT(CE$2+FLOOR((CE$2-1)/9,1),"000"),"")</f>
        <v>DX091</v>
      </c>
      <c r="CF92" s="25" t="str">
        <f>IF(INDEX('Shot Map'!$B$6:$V$26,CEILING($A92/5,1),CEILING(CF$2/5,1))=1,INDEX('Serial Reference'!$A$8:$W$8,1,FLOOR(($A92-1)/23,1)+1)&amp;INDEX('Serial Reference'!$A$8:$W$8,1,MOD($A92-1,23)+1)&amp;TEXT(CF$2+FLOOR((CF$2-1)/9,1),"000"),"")</f>
        <v>DX092</v>
      </c>
      <c r="CG92" s="25" t="str">
        <f>IF(INDEX('Shot Map'!$B$6:$V$26,CEILING($A92/5,1),CEILING(CG$2/5,1))=1,INDEX('Serial Reference'!$A$8:$W$8,1,FLOOR(($A92-1)/23,1)+1)&amp;INDEX('Serial Reference'!$A$8:$W$8,1,MOD($A92-1,23)+1)&amp;TEXT(CG$2+FLOOR((CG$2-1)/9,1),"000"),"")</f>
        <v>DX093</v>
      </c>
      <c r="CH92" s="26" t="str">
        <f>IF(INDEX('Shot Map'!$B$6:$V$26,CEILING($A92/5,1),CEILING(CH$2/5,1))=1,INDEX('Serial Reference'!$A$8:$W$8,1,FLOOR(($A92-1)/23,1)+1)&amp;INDEX('Serial Reference'!$A$8:$W$8,1,MOD($A92-1,23)+1)&amp;TEXT(CH$2+FLOOR((CH$2-1)/9,1),"000"),"")</f>
        <v>DX094</v>
      </c>
      <c r="CI92" s="24" t="str">
        <f>IF(INDEX('Shot Map'!$B$6:$V$26,CEILING($A92/5,1),CEILING(CI$2/5,1))=1,INDEX('Serial Reference'!$A$8:$W$8,1,FLOOR(($A92-1)/23,1)+1)&amp;INDEX('Serial Reference'!$A$8:$W$8,1,MOD($A92-1,23)+1)&amp;TEXT(CI$2+FLOOR((CI$2-1)/9,1),"000"),"")</f>
        <v>DX095</v>
      </c>
      <c r="CJ92" s="25" t="str">
        <f>IF(INDEX('Shot Map'!$B$6:$V$26,CEILING($A92/5,1),CEILING(CJ$2/5,1))=1,INDEX('Serial Reference'!$A$8:$W$8,1,FLOOR(($A92-1)/23,1)+1)&amp;INDEX('Serial Reference'!$A$8:$W$8,1,MOD($A92-1,23)+1)&amp;TEXT(CJ$2+FLOOR((CJ$2-1)/9,1),"000"),"")</f>
        <v>DX096</v>
      </c>
      <c r="CK92" s="25" t="str">
        <f>IF(INDEX('Shot Map'!$B$6:$V$26,CEILING($A92/5,1),CEILING(CK$2/5,1))=1,INDEX('Serial Reference'!$A$8:$W$8,1,FLOOR(($A92-1)/23,1)+1)&amp;INDEX('Serial Reference'!$A$8:$W$8,1,MOD($A92-1,23)+1)&amp;TEXT(CK$2+FLOOR((CK$2-1)/9,1),"000"),"")</f>
        <v>DX097</v>
      </c>
      <c r="CL92" s="25" t="str">
        <f>IF(INDEX('Shot Map'!$B$6:$V$26,CEILING($A92/5,1),CEILING(CL$2/5,1))=1,INDEX('Serial Reference'!$A$8:$W$8,1,FLOOR(($A92-1)/23,1)+1)&amp;INDEX('Serial Reference'!$A$8:$W$8,1,MOD($A92-1,23)+1)&amp;TEXT(CL$2+FLOOR((CL$2-1)/9,1),"000"),"")</f>
        <v>DX098</v>
      </c>
      <c r="CM92" s="26" t="str">
        <f>IF(INDEX('Shot Map'!$B$6:$V$26,CEILING($A92/5,1),CEILING(CM$2/5,1))=1,INDEX('Serial Reference'!$A$8:$W$8,1,FLOOR(($A92-1)/23,1)+1)&amp;INDEX('Serial Reference'!$A$8:$W$8,1,MOD($A92-1,23)+1)&amp;TEXT(CM$2+FLOOR((CM$2-1)/9,1),"000"),"")</f>
        <v>DX099</v>
      </c>
      <c r="CN92" s="24" t="str">
        <f>IF(INDEX('Shot Map'!$B$6:$V$26,CEILING($A92/5,1),CEILING(CN$2/5,1))=1,INDEX('Serial Reference'!$A$8:$W$8,1,FLOOR(($A92-1)/23,1)+1)&amp;INDEX('Serial Reference'!$A$8:$W$8,1,MOD($A92-1,23)+1)&amp;TEXT(CN$2+FLOOR((CN$2-1)/9,1),"000"),"")</f>
        <v/>
      </c>
      <c r="CO92" s="25" t="str">
        <f>IF(INDEX('Shot Map'!$B$6:$V$26,CEILING($A92/5,1),CEILING(CO$2/5,1))=1,INDEX('Serial Reference'!$A$8:$W$8,1,FLOOR(($A92-1)/23,1)+1)&amp;INDEX('Serial Reference'!$A$8:$W$8,1,MOD($A92-1,23)+1)&amp;TEXT(CO$2+FLOOR((CO$2-1)/9,1),"000"),"")</f>
        <v/>
      </c>
      <c r="CP92" s="25" t="str">
        <f>IF(INDEX('Shot Map'!$B$6:$V$26,CEILING($A92/5,1),CEILING(CP$2/5,1))=1,INDEX('Serial Reference'!$A$8:$W$8,1,FLOOR(($A92-1)/23,1)+1)&amp;INDEX('Serial Reference'!$A$8:$W$8,1,MOD($A92-1,23)+1)&amp;TEXT(CP$2+FLOOR((CP$2-1)/9,1),"000"),"")</f>
        <v/>
      </c>
      <c r="CQ92" s="25" t="str">
        <f>IF(INDEX('Shot Map'!$B$6:$V$26,CEILING($A92/5,1),CEILING(CQ$2/5,1))=1,INDEX('Serial Reference'!$A$8:$W$8,1,FLOOR(($A92-1)/23,1)+1)&amp;INDEX('Serial Reference'!$A$8:$W$8,1,MOD($A92-1,23)+1)&amp;TEXT(CQ$2+FLOOR((CQ$2-1)/9,1),"000"),"")</f>
        <v/>
      </c>
      <c r="CR92" s="26" t="str">
        <f>IF(INDEX('Shot Map'!$B$6:$V$26,CEILING($A92/5,1),CEILING(CR$2/5,1))=1,INDEX('Serial Reference'!$A$8:$W$8,1,FLOOR(($A92-1)/23,1)+1)&amp;INDEX('Serial Reference'!$A$8:$W$8,1,MOD($A92-1,23)+1)&amp;TEXT(CR$2+FLOOR((CR$2-1)/9,1),"000"),"")</f>
        <v/>
      </c>
      <c r="CS92" s="24" t="str">
        <f>IF(INDEX('Shot Map'!$B$6:$V$26,CEILING($A92/5,1),CEILING(CS$2/5,1))=1,INDEX('Serial Reference'!$A$8:$W$8,1,FLOOR(($A92-1)/23,1)+1)&amp;INDEX('Serial Reference'!$A$8:$W$8,1,MOD($A92-1,23)+1)&amp;TEXT(CS$2+FLOOR((CS$2-1)/9,1),"000"),"")</f>
        <v/>
      </c>
      <c r="CT92" s="25" t="str">
        <f>IF(INDEX('Shot Map'!$B$6:$V$26,CEILING($A92/5,1),CEILING(CT$2/5,1))=1,INDEX('Serial Reference'!$A$8:$W$8,1,FLOOR(($A92-1)/23,1)+1)&amp;INDEX('Serial Reference'!$A$8:$W$8,1,MOD($A92-1,23)+1)&amp;TEXT(CT$2+FLOOR((CT$2-1)/9,1),"000"),"")</f>
        <v/>
      </c>
      <c r="CU92" s="25" t="str">
        <f>IF(INDEX('Shot Map'!$B$6:$V$26,CEILING($A92/5,1),CEILING(CU$2/5,1))=1,INDEX('Serial Reference'!$A$8:$W$8,1,FLOOR(($A92-1)/23,1)+1)&amp;INDEX('Serial Reference'!$A$8:$W$8,1,MOD($A92-1,23)+1)&amp;TEXT(CU$2+FLOOR((CU$2-1)/9,1),"000"),"")</f>
        <v/>
      </c>
      <c r="CV92" s="25" t="str">
        <f>IF(INDEX('Shot Map'!$B$6:$V$26,CEILING($A92/5,1),CEILING(CV$2/5,1))=1,INDEX('Serial Reference'!$A$8:$W$8,1,FLOOR(($A92-1)/23,1)+1)&amp;INDEX('Serial Reference'!$A$8:$W$8,1,MOD($A92-1,23)+1)&amp;TEXT(CV$2+FLOOR((CV$2-1)/9,1),"000"),"")</f>
        <v/>
      </c>
      <c r="CW92" s="26" t="str">
        <f>IF(INDEX('Shot Map'!$B$6:$V$26,CEILING($A92/5,1),CEILING(CW$2/5,1))=1,INDEX('Serial Reference'!$A$8:$W$8,1,FLOOR(($A92-1)/23,1)+1)&amp;INDEX('Serial Reference'!$A$8:$W$8,1,MOD($A92-1,23)+1)&amp;TEXT(CW$2+FLOOR((CW$2-1)/9,1),"000"),"")</f>
        <v/>
      </c>
      <c r="CX92" s="24" t="str">
        <f>IF(INDEX('Shot Map'!$B$6:$V$26,CEILING($A92/5,1),CEILING(CX$2/5,1))=1,INDEX('Serial Reference'!$A$8:$W$8,1,FLOOR(($A92-1)/23,1)+1)&amp;INDEX('Serial Reference'!$A$8:$W$8,1,MOD($A92-1,23)+1)&amp;TEXT(CX$2+FLOOR((CX$2-1)/9,1),"000"),"")</f>
        <v/>
      </c>
      <c r="CY92" s="25" t="str">
        <f>IF(INDEX('Shot Map'!$B$6:$V$26,CEILING($A92/5,1),CEILING(CY$2/5,1))=1,INDEX('Serial Reference'!$A$8:$W$8,1,FLOOR(($A92-1)/23,1)+1)&amp;INDEX('Serial Reference'!$A$8:$W$8,1,MOD($A92-1,23)+1)&amp;TEXT(CY$2+FLOOR((CY$2-1)/9,1),"000"),"")</f>
        <v/>
      </c>
      <c r="CZ92" s="25" t="str">
        <f>IF(INDEX('Shot Map'!$B$6:$V$26,CEILING($A92/5,1),CEILING(CZ$2/5,1))=1,INDEX('Serial Reference'!$A$8:$W$8,1,FLOOR(($A92-1)/23,1)+1)&amp;INDEX('Serial Reference'!$A$8:$W$8,1,MOD($A92-1,23)+1)&amp;TEXT(CZ$2+FLOOR((CZ$2-1)/9,1),"000"),"")</f>
        <v/>
      </c>
      <c r="DA92" s="25" t="str">
        <f>IF(INDEX('Shot Map'!$B$6:$V$26,CEILING($A92/5,1),CEILING(DA$2/5,1))=1,INDEX('Serial Reference'!$A$8:$W$8,1,FLOOR(($A92-1)/23,1)+1)&amp;INDEX('Serial Reference'!$A$8:$W$8,1,MOD($A92-1,23)+1)&amp;TEXT(DA$2+FLOOR((DA$2-1)/9,1),"000"),"")</f>
        <v/>
      </c>
      <c r="DB92" s="26" t="str">
        <f>IF(INDEX('Shot Map'!$B$6:$V$26,CEILING($A92/5,1),CEILING(DB$2/5,1))=1,INDEX('Serial Reference'!$A$8:$W$8,1,FLOOR(($A92-1)/23,1)+1)&amp;INDEX('Serial Reference'!$A$8:$W$8,1,MOD($A92-1,23)+1)&amp;TEXT(DB$2+FLOOR((DB$2-1)/9,1),"000"),"")</f>
        <v/>
      </c>
    </row>
    <row r="93" spans="1:106" ht="12.75" customHeight="1" x14ac:dyDescent="0.25">
      <c r="A93" s="17">
        <v>91</v>
      </c>
      <c r="B93" s="18" t="str">
        <f>IF(INDEX('Shot Map'!$B$6:$V$26,CEILING($A93/5,1),CEILING(B$2/5,1))=1,INDEX('Serial Reference'!$A$8:$W$8,1,FLOOR(($A93-1)/23,1)+1)&amp;INDEX('Serial Reference'!$A$8:$W$8,1,MOD($A93-1,23)+1)&amp;TEXT(B$2+FLOOR((B$2-1)/9,1),"000"),"")</f>
        <v/>
      </c>
      <c r="C93" s="19" t="str">
        <f>IF(INDEX('Shot Map'!$B$6:$V$26,CEILING($A93/5,1),CEILING(C$2/5,1))=1,INDEX('Serial Reference'!$A$8:$W$8,1,FLOOR(($A93-1)/23,1)+1)&amp;INDEX('Serial Reference'!$A$8:$W$8,1,MOD($A93-1,23)+1)&amp;TEXT(C$2+FLOOR((C$2-1)/9,1),"000"),"")</f>
        <v/>
      </c>
      <c r="D93" s="19" t="str">
        <f>IF(INDEX('Shot Map'!$B$6:$V$26,CEILING($A93/5,1),CEILING(D$2/5,1))=1,INDEX('Serial Reference'!$A$8:$W$8,1,FLOOR(($A93-1)/23,1)+1)&amp;INDEX('Serial Reference'!$A$8:$W$8,1,MOD($A93-1,23)+1)&amp;TEXT(D$2+FLOOR((D$2-1)/9,1),"000"),"")</f>
        <v/>
      </c>
      <c r="E93" s="19" t="str">
        <f>IF(INDEX('Shot Map'!$B$6:$V$26,CEILING($A93/5,1),CEILING(E$2/5,1))=1,INDEX('Serial Reference'!$A$8:$W$8,1,FLOOR(($A93-1)/23,1)+1)&amp;INDEX('Serial Reference'!$A$8:$W$8,1,MOD($A93-1,23)+1)&amp;TEXT(E$2+FLOOR((E$2-1)/9,1),"000"),"")</f>
        <v/>
      </c>
      <c r="F93" s="20" t="str">
        <f>IF(INDEX('Shot Map'!$B$6:$V$26,CEILING($A93/5,1),CEILING(F$2/5,1))=1,INDEX('Serial Reference'!$A$8:$W$8,1,FLOOR(($A93-1)/23,1)+1)&amp;INDEX('Serial Reference'!$A$8:$W$8,1,MOD($A93-1,23)+1)&amp;TEXT(F$2+FLOOR((F$2-1)/9,1),"000"),"")</f>
        <v/>
      </c>
      <c r="G93" s="18" t="str">
        <f>IF(INDEX('Shot Map'!$B$6:$V$26,CEILING($A93/5,1),CEILING(G$2/5,1))=1,INDEX('Serial Reference'!$A$8:$W$8,1,FLOOR(($A93-1)/23,1)+1)&amp;INDEX('Serial Reference'!$A$8:$W$8,1,MOD($A93-1,23)+1)&amp;TEXT(G$2+FLOOR((G$2-1)/9,1),"000"),"")</f>
        <v/>
      </c>
      <c r="H93" s="19" t="str">
        <f>IF(INDEX('Shot Map'!$B$6:$V$26,CEILING($A93/5,1),CEILING(H$2/5,1))=1,INDEX('Serial Reference'!$A$8:$W$8,1,FLOOR(($A93-1)/23,1)+1)&amp;INDEX('Serial Reference'!$A$8:$W$8,1,MOD($A93-1,23)+1)&amp;TEXT(H$2+FLOOR((H$2-1)/9,1),"000"),"")</f>
        <v/>
      </c>
      <c r="I93" s="19" t="str">
        <f>IF(INDEX('Shot Map'!$B$6:$V$26,CEILING($A93/5,1),CEILING(I$2/5,1))=1,INDEX('Serial Reference'!$A$8:$W$8,1,FLOOR(($A93-1)/23,1)+1)&amp;INDEX('Serial Reference'!$A$8:$W$8,1,MOD($A93-1,23)+1)&amp;TEXT(I$2+FLOOR((I$2-1)/9,1),"000"),"")</f>
        <v/>
      </c>
      <c r="J93" s="19" t="str">
        <f>IF(INDEX('Shot Map'!$B$6:$V$26,CEILING($A93/5,1),CEILING(J$2/5,1))=1,INDEX('Serial Reference'!$A$8:$W$8,1,FLOOR(($A93-1)/23,1)+1)&amp;INDEX('Serial Reference'!$A$8:$W$8,1,MOD($A93-1,23)+1)&amp;TEXT(J$2+FLOOR((J$2-1)/9,1),"000"),"")</f>
        <v/>
      </c>
      <c r="K93" s="20" t="str">
        <f>IF(INDEX('Shot Map'!$B$6:$V$26,CEILING($A93/5,1),CEILING(K$2/5,1))=1,INDEX('Serial Reference'!$A$8:$W$8,1,FLOOR(($A93-1)/23,1)+1)&amp;INDEX('Serial Reference'!$A$8:$W$8,1,MOD($A93-1,23)+1)&amp;TEXT(K$2+FLOOR((K$2-1)/9,1),"000"),"")</f>
        <v/>
      </c>
      <c r="L93" s="18" t="str">
        <f>IF(INDEX('Shot Map'!$B$6:$V$26,CEILING($A93/5,1),CEILING(L$2/5,1))=1,INDEX('Serial Reference'!$A$8:$W$8,1,FLOOR(($A93-1)/23,1)+1)&amp;INDEX('Serial Reference'!$A$8:$W$8,1,MOD($A93-1,23)+1)&amp;TEXT(L$2+FLOOR((L$2-1)/9,1),"000"),"")</f>
        <v/>
      </c>
      <c r="M93" s="19" t="str">
        <f>IF(INDEX('Shot Map'!$B$6:$V$26,CEILING($A93/5,1),CEILING(M$2/5,1))=1,INDEX('Serial Reference'!$A$8:$W$8,1,FLOOR(($A93-1)/23,1)+1)&amp;INDEX('Serial Reference'!$A$8:$W$8,1,MOD($A93-1,23)+1)&amp;TEXT(M$2+FLOOR((M$2-1)/9,1),"000"),"")</f>
        <v/>
      </c>
      <c r="N93" s="19" t="str">
        <f>IF(INDEX('Shot Map'!$B$6:$V$26,CEILING($A93/5,1),CEILING(N$2/5,1))=1,INDEX('Serial Reference'!$A$8:$W$8,1,FLOOR(($A93-1)/23,1)+1)&amp;INDEX('Serial Reference'!$A$8:$W$8,1,MOD($A93-1,23)+1)&amp;TEXT(N$2+FLOOR((N$2-1)/9,1),"000"),"")</f>
        <v/>
      </c>
      <c r="O93" s="19" t="str">
        <f>IF(INDEX('Shot Map'!$B$6:$V$26,CEILING($A93/5,1),CEILING(O$2/5,1))=1,INDEX('Serial Reference'!$A$8:$W$8,1,FLOOR(($A93-1)/23,1)+1)&amp;INDEX('Serial Reference'!$A$8:$W$8,1,MOD($A93-1,23)+1)&amp;TEXT(O$2+FLOOR((O$2-1)/9,1),"000"),"")</f>
        <v/>
      </c>
      <c r="P93" s="20" t="str">
        <f>IF(INDEX('Shot Map'!$B$6:$V$26,CEILING($A93/5,1),CEILING(P$2/5,1))=1,INDEX('Serial Reference'!$A$8:$W$8,1,FLOOR(($A93-1)/23,1)+1)&amp;INDEX('Serial Reference'!$A$8:$W$8,1,MOD($A93-1,23)+1)&amp;TEXT(P$2+FLOOR((P$2-1)/9,1),"000"),"")</f>
        <v/>
      </c>
      <c r="Q93" s="18" t="str">
        <f>IF(INDEX('Shot Map'!$B$6:$V$26,CEILING($A93/5,1),CEILING(Q$2/5,1))=1,INDEX('Serial Reference'!$A$8:$W$8,1,FLOOR(($A93-1)/23,1)+1)&amp;INDEX('Serial Reference'!$A$8:$W$8,1,MOD($A93-1,23)+1)&amp;TEXT(Q$2+FLOOR((Q$2-1)/9,1),"000"),"")</f>
        <v/>
      </c>
      <c r="R93" s="19" t="str">
        <f>IF(INDEX('Shot Map'!$B$6:$V$26,CEILING($A93/5,1),CEILING(R$2/5,1))=1,INDEX('Serial Reference'!$A$8:$W$8,1,FLOOR(($A93-1)/23,1)+1)&amp;INDEX('Serial Reference'!$A$8:$W$8,1,MOD($A93-1,23)+1)&amp;TEXT(R$2+FLOOR((R$2-1)/9,1),"000"),"")</f>
        <v/>
      </c>
      <c r="S93" s="19" t="str">
        <f>IF(INDEX('Shot Map'!$B$6:$V$26,CEILING($A93/5,1),CEILING(S$2/5,1))=1,INDEX('Serial Reference'!$A$8:$W$8,1,FLOOR(($A93-1)/23,1)+1)&amp;INDEX('Serial Reference'!$A$8:$W$8,1,MOD($A93-1,23)+1)&amp;TEXT(S$2+FLOOR((S$2-1)/9,1),"000"),"")</f>
        <v/>
      </c>
      <c r="T93" s="19" t="str">
        <f>IF(INDEX('Shot Map'!$B$6:$V$26,CEILING($A93/5,1),CEILING(T$2/5,1))=1,INDEX('Serial Reference'!$A$8:$W$8,1,FLOOR(($A93-1)/23,1)+1)&amp;INDEX('Serial Reference'!$A$8:$W$8,1,MOD($A93-1,23)+1)&amp;TEXT(T$2+FLOOR((T$2-1)/9,1),"000"),"")</f>
        <v/>
      </c>
      <c r="U93" s="20" t="str">
        <f>IF(INDEX('Shot Map'!$B$6:$V$26,CEILING($A93/5,1),CEILING(U$2/5,1))=1,INDEX('Serial Reference'!$A$8:$W$8,1,FLOOR(($A93-1)/23,1)+1)&amp;INDEX('Serial Reference'!$A$8:$W$8,1,MOD($A93-1,23)+1)&amp;TEXT(U$2+FLOOR((U$2-1)/9,1),"000"),"")</f>
        <v/>
      </c>
      <c r="V93" s="18" t="str">
        <f>IF(INDEX('Shot Map'!$B$6:$V$26,CEILING($A93/5,1),CEILING(V$2/5,1))=1,INDEX('Serial Reference'!$A$8:$W$8,1,FLOOR(($A93-1)/23,1)+1)&amp;INDEX('Serial Reference'!$A$8:$W$8,1,MOD($A93-1,23)+1)&amp;TEXT(V$2+FLOOR((V$2-1)/9,1),"000"),"")</f>
        <v>DY023</v>
      </c>
      <c r="W93" s="19" t="str">
        <f>IF(INDEX('Shot Map'!$B$6:$V$26,CEILING($A93/5,1),CEILING(W$2/5,1))=1,INDEX('Serial Reference'!$A$8:$W$8,1,FLOOR(($A93-1)/23,1)+1)&amp;INDEX('Serial Reference'!$A$8:$W$8,1,MOD($A93-1,23)+1)&amp;TEXT(W$2+FLOOR((W$2-1)/9,1),"000"),"")</f>
        <v>DY024</v>
      </c>
      <c r="X93" s="19" t="str">
        <f>IF(INDEX('Shot Map'!$B$6:$V$26,CEILING($A93/5,1),CEILING(X$2/5,1))=1,INDEX('Serial Reference'!$A$8:$W$8,1,FLOOR(($A93-1)/23,1)+1)&amp;INDEX('Serial Reference'!$A$8:$W$8,1,MOD($A93-1,23)+1)&amp;TEXT(X$2+FLOOR((X$2-1)/9,1),"000"),"")</f>
        <v>DY025</v>
      </c>
      <c r="Y93" s="19" t="str">
        <f>IF(INDEX('Shot Map'!$B$6:$V$26,CEILING($A93/5,1),CEILING(Y$2/5,1))=1,INDEX('Serial Reference'!$A$8:$W$8,1,FLOOR(($A93-1)/23,1)+1)&amp;INDEX('Serial Reference'!$A$8:$W$8,1,MOD($A93-1,23)+1)&amp;TEXT(Y$2+FLOOR((Y$2-1)/9,1),"000"),"")</f>
        <v>DY026</v>
      </c>
      <c r="Z93" s="20" t="str">
        <f>IF(INDEX('Shot Map'!$B$6:$V$26,CEILING($A93/5,1),CEILING(Z$2/5,1))=1,INDEX('Serial Reference'!$A$8:$W$8,1,FLOOR(($A93-1)/23,1)+1)&amp;INDEX('Serial Reference'!$A$8:$W$8,1,MOD($A93-1,23)+1)&amp;TEXT(Z$2+FLOOR((Z$2-1)/9,1),"000"),"")</f>
        <v>DY027</v>
      </c>
      <c r="AA93" s="18" t="str">
        <f>IF(INDEX('Shot Map'!$B$6:$V$26,CEILING($A93/5,1),CEILING(AA$2/5,1))=1,INDEX('Serial Reference'!$A$8:$W$8,1,FLOOR(($A93-1)/23,1)+1)&amp;INDEX('Serial Reference'!$A$8:$W$8,1,MOD($A93-1,23)+1)&amp;TEXT(AA$2+FLOOR((AA$2-1)/9,1),"000"),"")</f>
        <v>DY028</v>
      </c>
      <c r="AB93" s="19" t="str">
        <f>IF(INDEX('Shot Map'!$B$6:$V$26,CEILING($A93/5,1),CEILING(AB$2/5,1))=1,INDEX('Serial Reference'!$A$8:$W$8,1,FLOOR(($A93-1)/23,1)+1)&amp;INDEX('Serial Reference'!$A$8:$W$8,1,MOD($A93-1,23)+1)&amp;TEXT(AB$2+FLOOR((AB$2-1)/9,1),"000"),"")</f>
        <v>DY029</v>
      </c>
      <c r="AC93" s="19" t="str">
        <f>IF(INDEX('Shot Map'!$B$6:$V$26,CEILING($A93/5,1),CEILING(AC$2/5,1))=1,INDEX('Serial Reference'!$A$8:$W$8,1,FLOOR(($A93-1)/23,1)+1)&amp;INDEX('Serial Reference'!$A$8:$W$8,1,MOD($A93-1,23)+1)&amp;TEXT(AC$2+FLOOR((AC$2-1)/9,1),"000"),"")</f>
        <v>DY031</v>
      </c>
      <c r="AD93" s="19" t="str">
        <f>IF(INDEX('Shot Map'!$B$6:$V$26,CEILING($A93/5,1),CEILING(AD$2/5,1))=1,INDEX('Serial Reference'!$A$8:$W$8,1,FLOOR(($A93-1)/23,1)+1)&amp;INDEX('Serial Reference'!$A$8:$W$8,1,MOD($A93-1,23)+1)&amp;TEXT(AD$2+FLOOR((AD$2-1)/9,1),"000"),"")</f>
        <v>DY032</v>
      </c>
      <c r="AE93" s="20" t="str">
        <f>IF(INDEX('Shot Map'!$B$6:$V$26,CEILING($A93/5,1),CEILING(AE$2/5,1))=1,INDEX('Serial Reference'!$A$8:$W$8,1,FLOOR(($A93-1)/23,1)+1)&amp;INDEX('Serial Reference'!$A$8:$W$8,1,MOD($A93-1,23)+1)&amp;TEXT(AE$2+FLOOR((AE$2-1)/9,1),"000"),"")</f>
        <v>DY033</v>
      </c>
      <c r="AF93" s="18" t="str">
        <f>IF(INDEX('Shot Map'!$B$6:$V$26,CEILING($A93/5,1),CEILING(AF$2/5,1))=1,INDEX('Serial Reference'!$A$8:$W$8,1,FLOOR(($A93-1)/23,1)+1)&amp;INDEX('Serial Reference'!$A$8:$W$8,1,MOD($A93-1,23)+1)&amp;TEXT(AF$2+FLOOR((AF$2-1)/9,1),"000"),"")</f>
        <v>DY034</v>
      </c>
      <c r="AG93" s="19" t="str">
        <f>IF(INDEX('Shot Map'!$B$6:$V$26,CEILING($A93/5,1),CEILING(AG$2/5,1))=1,INDEX('Serial Reference'!$A$8:$W$8,1,FLOOR(($A93-1)/23,1)+1)&amp;INDEX('Serial Reference'!$A$8:$W$8,1,MOD($A93-1,23)+1)&amp;TEXT(AG$2+FLOOR((AG$2-1)/9,1),"000"),"")</f>
        <v>DY035</v>
      </c>
      <c r="AH93" s="19" t="str">
        <f>IF(INDEX('Shot Map'!$B$6:$V$26,CEILING($A93/5,1),CEILING(AH$2/5,1))=1,INDEX('Serial Reference'!$A$8:$W$8,1,FLOOR(($A93-1)/23,1)+1)&amp;INDEX('Serial Reference'!$A$8:$W$8,1,MOD($A93-1,23)+1)&amp;TEXT(AH$2+FLOOR((AH$2-1)/9,1),"000"),"")</f>
        <v>DY036</v>
      </c>
      <c r="AI93" s="19" t="str">
        <f>IF(INDEX('Shot Map'!$B$6:$V$26,CEILING($A93/5,1),CEILING(AI$2/5,1))=1,INDEX('Serial Reference'!$A$8:$W$8,1,FLOOR(($A93-1)/23,1)+1)&amp;INDEX('Serial Reference'!$A$8:$W$8,1,MOD($A93-1,23)+1)&amp;TEXT(AI$2+FLOOR((AI$2-1)/9,1),"000"),"")</f>
        <v>DY037</v>
      </c>
      <c r="AJ93" s="20" t="str">
        <f>IF(INDEX('Shot Map'!$B$6:$V$26,CEILING($A93/5,1),CEILING(AJ$2/5,1))=1,INDEX('Serial Reference'!$A$8:$W$8,1,FLOOR(($A93-1)/23,1)+1)&amp;INDEX('Serial Reference'!$A$8:$W$8,1,MOD($A93-1,23)+1)&amp;TEXT(AJ$2+FLOOR((AJ$2-1)/9,1),"000"),"")</f>
        <v>DY038</v>
      </c>
      <c r="AK93" s="18" t="str">
        <f>IF(INDEX('Shot Map'!$B$6:$V$26,CEILING($A93/5,1),CEILING(AK$2/5,1))=1,INDEX('Serial Reference'!$A$8:$W$8,1,FLOOR(($A93-1)/23,1)+1)&amp;INDEX('Serial Reference'!$A$8:$W$8,1,MOD($A93-1,23)+1)&amp;TEXT(AK$2+FLOOR((AK$2-1)/9,1),"000"),"")</f>
        <v>DY039</v>
      </c>
      <c r="AL93" s="19" t="str">
        <f>IF(INDEX('Shot Map'!$B$6:$V$26,CEILING($A93/5,1),CEILING(AL$2/5,1))=1,INDEX('Serial Reference'!$A$8:$W$8,1,FLOOR(($A93-1)/23,1)+1)&amp;INDEX('Serial Reference'!$A$8:$W$8,1,MOD($A93-1,23)+1)&amp;TEXT(AL$2+FLOOR((AL$2-1)/9,1),"000"),"")</f>
        <v>DY041</v>
      </c>
      <c r="AM93" s="19" t="str">
        <f>IF(INDEX('Shot Map'!$B$6:$V$26,CEILING($A93/5,1),CEILING(AM$2/5,1))=1,INDEX('Serial Reference'!$A$8:$W$8,1,FLOOR(($A93-1)/23,1)+1)&amp;INDEX('Serial Reference'!$A$8:$W$8,1,MOD($A93-1,23)+1)&amp;TEXT(AM$2+FLOOR((AM$2-1)/9,1),"000"),"")</f>
        <v>DY042</v>
      </c>
      <c r="AN93" s="19" t="str">
        <f>IF(INDEX('Shot Map'!$B$6:$V$26,CEILING($A93/5,1),CEILING(AN$2/5,1))=1,INDEX('Serial Reference'!$A$8:$W$8,1,FLOOR(($A93-1)/23,1)+1)&amp;INDEX('Serial Reference'!$A$8:$W$8,1,MOD($A93-1,23)+1)&amp;TEXT(AN$2+FLOOR((AN$2-1)/9,1),"000"),"")</f>
        <v>DY043</v>
      </c>
      <c r="AO93" s="20" t="str">
        <f>IF(INDEX('Shot Map'!$B$6:$V$26,CEILING($A93/5,1),CEILING(AO$2/5,1))=1,INDEX('Serial Reference'!$A$8:$W$8,1,FLOOR(($A93-1)/23,1)+1)&amp;INDEX('Serial Reference'!$A$8:$W$8,1,MOD($A93-1,23)+1)&amp;TEXT(AO$2+FLOOR((AO$2-1)/9,1),"000"),"")</f>
        <v>DY044</v>
      </c>
      <c r="AP93" s="18" t="str">
        <f>IF(INDEX('Shot Map'!$B$6:$V$26,CEILING($A93/5,1),CEILING(AP$2/5,1))=1,INDEX('Serial Reference'!$A$8:$W$8,1,FLOOR(($A93-1)/23,1)+1)&amp;INDEX('Serial Reference'!$A$8:$W$8,1,MOD($A93-1,23)+1)&amp;TEXT(AP$2+FLOOR((AP$2-1)/9,1),"000"),"")</f>
        <v>DY045</v>
      </c>
      <c r="AQ93" s="19" t="str">
        <f>IF(INDEX('Shot Map'!$B$6:$V$26,CEILING($A93/5,1),CEILING(AQ$2/5,1))=1,INDEX('Serial Reference'!$A$8:$W$8,1,FLOOR(($A93-1)/23,1)+1)&amp;INDEX('Serial Reference'!$A$8:$W$8,1,MOD($A93-1,23)+1)&amp;TEXT(AQ$2+FLOOR((AQ$2-1)/9,1),"000"),"")</f>
        <v>DY046</v>
      </c>
      <c r="AR93" s="19" t="str">
        <f>IF(INDEX('Shot Map'!$B$6:$V$26,CEILING($A93/5,1),CEILING(AR$2/5,1))=1,INDEX('Serial Reference'!$A$8:$W$8,1,FLOOR(($A93-1)/23,1)+1)&amp;INDEX('Serial Reference'!$A$8:$W$8,1,MOD($A93-1,23)+1)&amp;TEXT(AR$2+FLOOR((AR$2-1)/9,1),"000"),"")</f>
        <v>DY047</v>
      </c>
      <c r="AS93" s="19" t="str">
        <f>IF(INDEX('Shot Map'!$B$6:$V$26,CEILING($A93/5,1),CEILING(AS$2/5,1))=1,INDEX('Serial Reference'!$A$8:$W$8,1,FLOOR(($A93-1)/23,1)+1)&amp;INDEX('Serial Reference'!$A$8:$W$8,1,MOD($A93-1,23)+1)&amp;TEXT(AS$2+FLOOR((AS$2-1)/9,1),"000"),"")</f>
        <v>DY048</v>
      </c>
      <c r="AT93" s="20" t="str">
        <f>IF(INDEX('Shot Map'!$B$6:$V$26,CEILING($A93/5,1),CEILING(AT$2/5,1))=1,INDEX('Serial Reference'!$A$8:$W$8,1,FLOOR(($A93-1)/23,1)+1)&amp;INDEX('Serial Reference'!$A$8:$W$8,1,MOD($A93-1,23)+1)&amp;TEXT(AT$2+FLOOR((AT$2-1)/9,1),"000"),"")</f>
        <v>DY049</v>
      </c>
      <c r="AU93" s="18" t="str">
        <f>IF(INDEX('Shot Map'!$B$6:$V$26,CEILING($A93/5,1),CEILING(AU$2/5,1))=1,INDEX('Serial Reference'!$A$8:$W$8,1,FLOOR(($A93-1)/23,1)+1)&amp;INDEX('Serial Reference'!$A$8:$W$8,1,MOD($A93-1,23)+1)&amp;TEXT(AU$2+FLOOR((AU$2-1)/9,1),"000"),"")</f>
        <v>DY051</v>
      </c>
      <c r="AV93" s="19" t="str">
        <f>IF(INDEX('Shot Map'!$B$6:$V$26,CEILING($A93/5,1),CEILING(AV$2/5,1))=1,INDEX('Serial Reference'!$A$8:$W$8,1,FLOOR(($A93-1)/23,1)+1)&amp;INDEX('Serial Reference'!$A$8:$W$8,1,MOD($A93-1,23)+1)&amp;TEXT(AV$2+FLOOR((AV$2-1)/9,1),"000"),"")</f>
        <v>DY052</v>
      </c>
      <c r="AW93" s="19" t="str">
        <f>IF(INDEX('Shot Map'!$B$6:$V$26,CEILING($A93/5,1),CEILING(AW$2/5,1))=1,INDEX('Serial Reference'!$A$8:$W$8,1,FLOOR(($A93-1)/23,1)+1)&amp;INDEX('Serial Reference'!$A$8:$W$8,1,MOD($A93-1,23)+1)&amp;TEXT(AW$2+FLOOR((AW$2-1)/9,1),"000"),"")</f>
        <v>DY053</v>
      </c>
      <c r="AX93" s="19" t="str">
        <f>IF(INDEX('Shot Map'!$B$6:$V$26,CEILING($A93/5,1),CEILING(AX$2/5,1))=1,INDEX('Serial Reference'!$A$8:$W$8,1,FLOOR(($A93-1)/23,1)+1)&amp;INDEX('Serial Reference'!$A$8:$W$8,1,MOD($A93-1,23)+1)&amp;TEXT(AX$2+FLOOR((AX$2-1)/9,1),"000"),"")</f>
        <v>DY054</v>
      </c>
      <c r="AY93" s="20" t="str">
        <f>IF(INDEX('Shot Map'!$B$6:$V$26,CEILING($A93/5,1),CEILING(AY$2/5,1))=1,INDEX('Serial Reference'!$A$8:$W$8,1,FLOOR(($A93-1)/23,1)+1)&amp;INDEX('Serial Reference'!$A$8:$W$8,1,MOD($A93-1,23)+1)&amp;TEXT(AY$2+FLOOR((AY$2-1)/9,1),"000"),"")</f>
        <v>DY055</v>
      </c>
      <c r="AZ93" s="18" t="str">
        <f>IF(INDEX('Shot Map'!$B$6:$V$26,CEILING($A93/5,1),CEILING(AZ$2/5,1))=1,INDEX('Serial Reference'!$A$8:$W$8,1,FLOOR(($A93-1)/23,1)+1)&amp;INDEX('Serial Reference'!$A$8:$W$8,1,MOD($A93-1,23)+1)&amp;TEXT(AZ$2+FLOOR((AZ$2-1)/9,1),"000"),"")</f>
        <v>DY056</v>
      </c>
      <c r="BA93" s="19" t="str">
        <f>IF(INDEX('Shot Map'!$B$6:$V$26,CEILING($A93/5,1),CEILING(BA$2/5,1))=1,INDEX('Serial Reference'!$A$8:$W$8,1,FLOOR(($A93-1)/23,1)+1)&amp;INDEX('Serial Reference'!$A$8:$W$8,1,MOD($A93-1,23)+1)&amp;TEXT(BA$2+FLOOR((BA$2-1)/9,1),"000"),"")</f>
        <v>DY057</v>
      </c>
      <c r="BB93" s="19" t="str">
        <f>IF(INDEX('Shot Map'!$B$6:$V$26,CEILING($A93/5,1),CEILING(BB$2/5,1))=1,INDEX('Serial Reference'!$A$8:$W$8,1,FLOOR(($A93-1)/23,1)+1)&amp;INDEX('Serial Reference'!$A$8:$W$8,1,MOD($A93-1,23)+1)&amp;TEXT(BB$2+FLOOR((BB$2-1)/9,1),"000"),"")</f>
        <v>DY058</v>
      </c>
      <c r="BC93" s="19" t="str">
        <f>IF(INDEX('Shot Map'!$B$6:$V$26,CEILING($A93/5,1),CEILING(BC$2/5,1))=1,INDEX('Serial Reference'!$A$8:$W$8,1,FLOOR(($A93-1)/23,1)+1)&amp;INDEX('Serial Reference'!$A$8:$W$8,1,MOD($A93-1,23)+1)&amp;TEXT(BC$2+FLOOR((BC$2-1)/9,1),"000"),"")</f>
        <v>DY059</v>
      </c>
      <c r="BD93" s="20" t="str">
        <f>IF(INDEX('Shot Map'!$B$6:$V$26,CEILING($A93/5,1),CEILING(BD$2/5,1))=1,INDEX('Serial Reference'!$A$8:$W$8,1,FLOOR(($A93-1)/23,1)+1)&amp;INDEX('Serial Reference'!$A$8:$W$8,1,MOD($A93-1,23)+1)&amp;TEXT(BD$2+FLOOR((BD$2-1)/9,1),"000"),"")</f>
        <v>DY061</v>
      </c>
      <c r="BE93" s="18" t="str">
        <f>IF(INDEX('Shot Map'!$B$6:$V$26,CEILING($A93/5,1),CEILING(BE$2/5,1))=1,INDEX('Serial Reference'!$A$8:$W$8,1,FLOOR(($A93-1)/23,1)+1)&amp;INDEX('Serial Reference'!$A$8:$W$8,1,MOD($A93-1,23)+1)&amp;TEXT(BE$2+FLOOR((BE$2-1)/9,1),"000"),"")</f>
        <v>DY062</v>
      </c>
      <c r="BF93" s="19" t="str">
        <f>IF(INDEX('Shot Map'!$B$6:$V$26,CEILING($A93/5,1),CEILING(BF$2/5,1))=1,INDEX('Serial Reference'!$A$8:$W$8,1,FLOOR(($A93-1)/23,1)+1)&amp;INDEX('Serial Reference'!$A$8:$W$8,1,MOD($A93-1,23)+1)&amp;TEXT(BF$2+FLOOR((BF$2-1)/9,1),"000"),"")</f>
        <v>DY063</v>
      </c>
      <c r="BG93" s="19" t="str">
        <f>IF(INDEX('Shot Map'!$B$6:$V$26,CEILING($A93/5,1),CEILING(BG$2/5,1))=1,INDEX('Serial Reference'!$A$8:$W$8,1,FLOOR(($A93-1)/23,1)+1)&amp;INDEX('Serial Reference'!$A$8:$W$8,1,MOD($A93-1,23)+1)&amp;TEXT(BG$2+FLOOR((BG$2-1)/9,1),"000"),"")</f>
        <v>DY064</v>
      </c>
      <c r="BH93" s="19" t="str">
        <f>IF(INDEX('Shot Map'!$B$6:$V$26,CEILING($A93/5,1),CEILING(BH$2/5,1))=1,INDEX('Serial Reference'!$A$8:$W$8,1,FLOOR(($A93-1)/23,1)+1)&amp;INDEX('Serial Reference'!$A$8:$W$8,1,MOD($A93-1,23)+1)&amp;TEXT(BH$2+FLOOR((BH$2-1)/9,1),"000"),"")</f>
        <v>DY065</v>
      </c>
      <c r="BI93" s="20" t="str">
        <f>IF(INDEX('Shot Map'!$B$6:$V$26,CEILING($A93/5,1),CEILING(BI$2/5,1))=1,INDEX('Serial Reference'!$A$8:$W$8,1,FLOOR(($A93-1)/23,1)+1)&amp;INDEX('Serial Reference'!$A$8:$W$8,1,MOD($A93-1,23)+1)&amp;TEXT(BI$2+FLOOR((BI$2-1)/9,1),"000"),"")</f>
        <v>DY066</v>
      </c>
      <c r="BJ93" s="18" t="str">
        <f>IF(INDEX('Shot Map'!$B$6:$V$26,CEILING($A93/5,1),CEILING(BJ$2/5,1))=1,INDEX('Serial Reference'!$A$8:$W$8,1,FLOOR(($A93-1)/23,1)+1)&amp;INDEX('Serial Reference'!$A$8:$W$8,1,MOD($A93-1,23)+1)&amp;TEXT(BJ$2+FLOOR((BJ$2-1)/9,1),"000"),"")</f>
        <v>DY067</v>
      </c>
      <c r="BK93" s="19" t="str">
        <f>IF(INDEX('Shot Map'!$B$6:$V$26,CEILING($A93/5,1),CEILING(BK$2/5,1))=1,INDEX('Serial Reference'!$A$8:$W$8,1,FLOOR(($A93-1)/23,1)+1)&amp;INDEX('Serial Reference'!$A$8:$W$8,1,MOD($A93-1,23)+1)&amp;TEXT(BK$2+FLOOR((BK$2-1)/9,1),"000"),"")</f>
        <v>DY068</v>
      </c>
      <c r="BL93" s="19" t="str">
        <f>IF(INDEX('Shot Map'!$B$6:$V$26,CEILING($A93/5,1),CEILING(BL$2/5,1))=1,INDEX('Serial Reference'!$A$8:$W$8,1,FLOOR(($A93-1)/23,1)+1)&amp;INDEX('Serial Reference'!$A$8:$W$8,1,MOD($A93-1,23)+1)&amp;TEXT(BL$2+FLOOR((BL$2-1)/9,1),"000"),"")</f>
        <v>DY069</v>
      </c>
      <c r="BM93" s="19" t="str">
        <f>IF(INDEX('Shot Map'!$B$6:$V$26,CEILING($A93/5,1),CEILING(BM$2/5,1))=1,INDEX('Serial Reference'!$A$8:$W$8,1,FLOOR(($A93-1)/23,1)+1)&amp;INDEX('Serial Reference'!$A$8:$W$8,1,MOD($A93-1,23)+1)&amp;TEXT(BM$2+FLOOR((BM$2-1)/9,1),"000"),"")</f>
        <v>DY071</v>
      </c>
      <c r="BN93" s="20" t="str">
        <f>IF(INDEX('Shot Map'!$B$6:$V$26,CEILING($A93/5,1),CEILING(BN$2/5,1))=1,INDEX('Serial Reference'!$A$8:$W$8,1,FLOOR(($A93-1)/23,1)+1)&amp;INDEX('Serial Reference'!$A$8:$W$8,1,MOD($A93-1,23)+1)&amp;TEXT(BN$2+FLOOR((BN$2-1)/9,1),"000"),"")</f>
        <v>DY072</v>
      </c>
      <c r="BO93" s="18" t="str">
        <f>IF(INDEX('Shot Map'!$B$6:$V$26,CEILING($A93/5,1),CEILING(BO$2/5,1))=1,INDEX('Serial Reference'!$A$8:$W$8,1,FLOOR(($A93-1)/23,1)+1)&amp;INDEX('Serial Reference'!$A$8:$W$8,1,MOD($A93-1,23)+1)&amp;TEXT(BO$2+FLOOR((BO$2-1)/9,1),"000"),"")</f>
        <v>DY073</v>
      </c>
      <c r="BP93" s="19" t="str">
        <f>IF(INDEX('Shot Map'!$B$6:$V$26,CEILING($A93/5,1),CEILING(BP$2/5,1))=1,INDEX('Serial Reference'!$A$8:$W$8,1,FLOOR(($A93-1)/23,1)+1)&amp;INDEX('Serial Reference'!$A$8:$W$8,1,MOD($A93-1,23)+1)&amp;TEXT(BP$2+FLOOR((BP$2-1)/9,1),"000"),"")</f>
        <v>DY074</v>
      </c>
      <c r="BQ93" s="19" t="str">
        <f>IF(INDEX('Shot Map'!$B$6:$V$26,CEILING($A93/5,1),CEILING(BQ$2/5,1))=1,INDEX('Serial Reference'!$A$8:$W$8,1,FLOOR(($A93-1)/23,1)+1)&amp;INDEX('Serial Reference'!$A$8:$W$8,1,MOD($A93-1,23)+1)&amp;TEXT(BQ$2+FLOOR((BQ$2-1)/9,1),"000"),"")</f>
        <v>DY075</v>
      </c>
      <c r="BR93" s="19" t="str">
        <f>IF(INDEX('Shot Map'!$B$6:$V$26,CEILING($A93/5,1),CEILING(BR$2/5,1))=1,INDEX('Serial Reference'!$A$8:$W$8,1,FLOOR(($A93-1)/23,1)+1)&amp;INDEX('Serial Reference'!$A$8:$W$8,1,MOD($A93-1,23)+1)&amp;TEXT(BR$2+FLOOR((BR$2-1)/9,1),"000"),"")</f>
        <v>DY076</v>
      </c>
      <c r="BS93" s="20" t="str">
        <f>IF(INDEX('Shot Map'!$B$6:$V$26,CEILING($A93/5,1),CEILING(BS$2/5,1))=1,INDEX('Serial Reference'!$A$8:$W$8,1,FLOOR(($A93-1)/23,1)+1)&amp;INDEX('Serial Reference'!$A$8:$W$8,1,MOD($A93-1,23)+1)&amp;TEXT(BS$2+FLOOR((BS$2-1)/9,1),"000"),"")</f>
        <v>DY077</v>
      </c>
      <c r="BT93" s="18" t="str">
        <f>IF(INDEX('Shot Map'!$B$6:$V$26,CEILING($A93/5,1),CEILING(BT$2/5,1))=1,INDEX('Serial Reference'!$A$8:$W$8,1,FLOOR(($A93-1)/23,1)+1)&amp;INDEX('Serial Reference'!$A$8:$W$8,1,MOD($A93-1,23)+1)&amp;TEXT(BT$2+FLOOR((BT$2-1)/9,1),"000"),"")</f>
        <v>DY078</v>
      </c>
      <c r="BU93" s="19" t="str">
        <f>IF(INDEX('Shot Map'!$B$6:$V$26,CEILING($A93/5,1),CEILING(BU$2/5,1))=1,INDEX('Serial Reference'!$A$8:$W$8,1,FLOOR(($A93-1)/23,1)+1)&amp;INDEX('Serial Reference'!$A$8:$W$8,1,MOD($A93-1,23)+1)&amp;TEXT(BU$2+FLOOR((BU$2-1)/9,1),"000"),"")</f>
        <v>DY079</v>
      </c>
      <c r="BV93" s="19" t="str">
        <f>IF(INDEX('Shot Map'!$B$6:$V$26,CEILING($A93/5,1),CEILING(BV$2/5,1))=1,INDEX('Serial Reference'!$A$8:$W$8,1,FLOOR(($A93-1)/23,1)+1)&amp;INDEX('Serial Reference'!$A$8:$W$8,1,MOD($A93-1,23)+1)&amp;TEXT(BV$2+FLOOR((BV$2-1)/9,1),"000"),"")</f>
        <v>DY081</v>
      </c>
      <c r="BW93" s="19" t="str">
        <f>IF(INDEX('Shot Map'!$B$6:$V$26,CEILING($A93/5,1),CEILING(BW$2/5,1))=1,INDEX('Serial Reference'!$A$8:$W$8,1,FLOOR(($A93-1)/23,1)+1)&amp;INDEX('Serial Reference'!$A$8:$W$8,1,MOD($A93-1,23)+1)&amp;TEXT(BW$2+FLOOR((BW$2-1)/9,1),"000"),"")</f>
        <v>DY082</v>
      </c>
      <c r="BX93" s="20" t="str">
        <f>IF(INDEX('Shot Map'!$B$6:$V$26,CEILING($A93/5,1),CEILING(BX$2/5,1))=1,INDEX('Serial Reference'!$A$8:$W$8,1,FLOOR(($A93-1)/23,1)+1)&amp;INDEX('Serial Reference'!$A$8:$W$8,1,MOD($A93-1,23)+1)&amp;TEXT(BX$2+FLOOR((BX$2-1)/9,1),"000"),"")</f>
        <v>DY083</v>
      </c>
      <c r="BY93" s="18" t="str">
        <f>IF(INDEX('Shot Map'!$B$6:$V$26,CEILING($A93/5,1),CEILING(BY$2/5,1))=1,INDEX('Serial Reference'!$A$8:$W$8,1,FLOOR(($A93-1)/23,1)+1)&amp;INDEX('Serial Reference'!$A$8:$W$8,1,MOD($A93-1,23)+1)&amp;TEXT(BY$2+FLOOR((BY$2-1)/9,1),"000"),"")</f>
        <v>DY084</v>
      </c>
      <c r="BZ93" s="19" t="str">
        <f>IF(INDEX('Shot Map'!$B$6:$V$26,CEILING($A93/5,1),CEILING(BZ$2/5,1))=1,INDEX('Serial Reference'!$A$8:$W$8,1,FLOOR(($A93-1)/23,1)+1)&amp;INDEX('Serial Reference'!$A$8:$W$8,1,MOD($A93-1,23)+1)&amp;TEXT(BZ$2+FLOOR((BZ$2-1)/9,1),"000"),"")</f>
        <v>DY085</v>
      </c>
      <c r="CA93" s="19" t="str">
        <f>IF(INDEX('Shot Map'!$B$6:$V$26,CEILING($A93/5,1),CEILING(CA$2/5,1))=1,INDEX('Serial Reference'!$A$8:$W$8,1,FLOOR(($A93-1)/23,1)+1)&amp;INDEX('Serial Reference'!$A$8:$W$8,1,MOD($A93-1,23)+1)&amp;TEXT(CA$2+FLOOR((CA$2-1)/9,1),"000"),"")</f>
        <v>DY086</v>
      </c>
      <c r="CB93" s="19" t="str">
        <f>IF(INDEX('Shot Map'!$B$6:$V$26,CEILING($A93/5,1),CEILING(CB$2/5,1))=1,INDEX('Serial Reference'!$A$8:$W$8,1,FLOOR(($A93-1)/23,1)+1)&amp;INDEX('Serial Reference'!$A$8:$W$8,1,MOD($A93-1,23)+1)&amp;TEXT(CB$2+FLOOR((CB$2-1)/9,1),"000"),"")</f>
        <v>DY087</v>
      </c>
      <c r="CC93" s="20" t="str">
        <f>IF(INDEX('Shot Map'!$B$6:$V$26,CEILING($A93/5,1),CEILING(CC$2/5,1))=1,INDEX('Serial Reference'!$A$8:$W$8,1,FLOOR(($A93-1)/23,1)+1)&amp;INDEX('Serial Reference'!$A$8:$W$8,1,MOD($A93-1,23)+1)&amp;TEXT(CC$2+FLOOR((CC$2-1)/9,1),"000"),"")</f>
        <v>DY088</v>
      </c>
      <c r="CD93" s="18" t="str">
        <f>IF(INDEX('Shot Map'!$B$6:$V$26,CEILING($A93/5,1),CEILING(CD$2/5,1))=1,INDEX('Serial Reference'!$A$8:$W$8,1,FLOOR(($A93-1)/23,1)+1)&amp;INDEX('Serial Reference'!$A$8:$W$8,1,MOD($A93-1,23)+1)&amp;TEXT(CD$2+FLOOR((CD$2-1)/9,1),"000"),"")</f>
        <v>DY089</v>
      </c>
      <c r="CE93" s="19" t="str">
        <f>IF(INDEX('Shot Map'!$B$6:$V$26,CEILING($A93/5,1),CEILING(CE$2/5,1))=1,INDEX('Serial Reference'!$A$8:$W$8,1,FLOOR(($A93-1)/23,1)+1)&amp;INDEX('Serial Reference'!$A$8:$W$8,1,MOD($A93-1,23)+1)&amp;TEXT(CE$2+FLOOR((CE$2-1)/9,1),"000"),"")</f>
        <v>DY091</v>
      </c>
      <c r="CF93" s="19" t="str">
        <f>IF(INDEX('Shot Map'!$B$6:$V$26,CEILING($A93/5,1),CEILING(CF$2/5,1))=1,INDEX('Serial Reference'!$A$8:$W$8,1,FLOOR(($A93-1)/23,1)+1)&amp;INDEX('Serial Reference'!$A$8:$W$8,1,MOD($A93-1,23)+1)&amp;TEXT(CF$2+FLOOR((CF$2-1)/9,1),"000"),"")</f>
        <v>DY092</v>
      </c>
      <c r="CG93" s="19" t="str">
        <f>IF(INDEX('Shot Map'!$B$6:$V$26,CEILING($A93/5,1),CEILING(CG$2/5,1))=1,INDEX('Serial Reference'!$A$8:$W$8,1,FLOOR(($A93-1)/23,1)+1)&amp;INDEX('Serial Reference'!$A$8:$W$8,1,MOD($A93-1,23)+1)&amp;TEXT(CG$2+FLOOR((CG$2-1)/9,1),"000"),"")</f>
        <v>DY093</v>
      </c>
      <c r="CH93" s="20" t="str">
        <f>IF(INDEX('Shot Map'!$B$6:$V$26,CEILING($A93/5,1),CEILING(CH$2/5,1))=1,INDEX('Serial Reference'!$A$8:$W$8,1,FLOOR(($A93-1)/23,1)+1)&amp;INDEX('Serial Reference'!$A$8:$W$8,1,MOD($A93-1,23)+1)&amp;TEXT(CH$2+FLOOR((CH$2-1)/9,1),"000"),"")</f>
        <v>DY094</v>
      </c>
      <c r="CI93" s="18" t="str">
        <f>IF(INDEX('Shot Map'!$B$6:$V$26,CEILING($A93/5,1),CEILING(CI$2/5,1))=1,INDEX('Serial Reference'!$A$8:$W$8,1,FLOOR(($A93-1)/23,1)+1)&amp;INDEX('Serial Reference'!$A$8:$W$8,1,MOD($A93-1,23)+1)&amp;TEXT(CI$2+FLOOR((CI$2-1)/9,1),"000"),"")</f>
        <v/>
      </c>
      <c r="CJ93" s="19" t="str">
        <f>IF(INDEX('Shot Map'!$B$6:$V$26,CEILING($A93/5,1),CEILING(CJ$2/5,1))=1,INDEX('Serial Reference'!$A$8:$W$8,1,FLOOR(($A93-1)/23,1)+1)&amp;INDEX('Serial Reference'!$A$8:$W$8,1,MOD($A93-1,23)+1)&amp;TEXT(CJ$2+FLOOR((CJ$2-1)/9,1),"000"),"")</f>
        <v/>
      </c>
      <c r="CK93" s="19" t="str">
        <f>IF(INDEX('Shot Map'!$B$6:$V$26,CEILING($A93/5,1),CEILING(CK$2/5,1))=1,INDEX('Serial Reference'!$A$8:$W$8,1,FLOOR(($A93-1)/23,1)+1)&amp;INDEX('Serial Reference'!$A$8:$W$8,1,MOD($A93-1,23)+1)&amp;TEXT(CK$2+FLOOR((CK$2-1)/9,1),"000"),"")</f>
        <v/>
      </c>
      <c r="CL93" s="19" t="str">
        <f>IF(INDEX('Shot Map'!$B$6:$V$26,CEILING($A93/5,1),CEILING(CL$2/5,1))=1,INDEX('Serial Reference'!$A$8:$W$8,1,FLOOR(($A93-1)/23,1)+1)&amp;INDEX('Serial Reference'!$A$8:$W$8,1,MOD($A93-1,23)+1)&amp;TEXT(CL$2+FLOOR((CL$2-1)/9,1),"000"),"")</f>
        <v/>
      </c>
      <c r="CM93" s="20" t="str">
        <f>IF(INDEX('Shot Map'!$B$6:$V$26,CEILING($A93/5,1),CEILING(CM$2/5,1))=1,INDEX('Serial Reference'!$A$8:$W$8,1,FLOOR(($A93-1)/23,1)+1)&amp;INDEX('Serial Reference'!$A$8:$W$8,1,MOD($A93-1,23)+1)&amp;TEXT(CM$2+FLOOR((CM$2-1)/9,1),"000"),"")</f>
        <v/>
      </c>
      <c r="CN93" s="18" t="str">
        <f>IF(INDEX('Shot Map'!$B$6:$V$26,CEILING($A93/5,1),CEILING(CN$2/5,1))=1,INDEX('Serial Reference'!$A$8:$W$8,1,FLOOR(($A93-1)/23,1)+1)&amp;INDEX('Serial Reference'!$A$8:$W$8,1,MOD($A93-1,23)+1)&amp;TEXT(CN$2+FLOOR((CN$2-1)/9,1),"000"),"")</f>
        <v/>
      </c>
      <c r="CO93" s="19" t="str">
        <f>IF(INDEX('Shot Map'!$B$6:$V$26,CEILING($A93/5,1),CEILING(CO$2/5,1))=1,INDEX('Serial Reference'!$A$8:$W$8,1,FLOOR(($A93-1)/23,1)+1)&amp;INDEX('Serial Reference'!$A$8:$W$8,1,MOD($A93-1,23)+1)&amp;TEXT(CO$2+FLOOR((CO$2-1)/9,1),"000"),"")</f>
        <v/>
      </c>
      <c r="CP93" s="19" t="str">
        <f>IF(INDEX('Shot Map'!$B$6:$V$26,CEILING($A93/5,1),CEILING(CP$2/5,1))=1,INDEX('Serial Reference'!$A$8:$W$8,1,FLOOR(($A93-1)/23,1)+1)&amp;INDEX('Serial Reference'!$A$8:$W$8,1,MOD($A93-1,23)+1)&amp;TEXT(CP$2+FLOOR((CP$2-1)/9,1),"000"),"")</f>
        <v/>
      </c>
      <c r="CQ93" s="19" t="str">
        <f>IF(INDEX('Shot Map'!$B$6:$V$26,CEILING($A93/5,1),CEILING(CQ$2/5,1))=1,INDEX('Serial Reference'!$A$8:$W$8,1,FLOOR(($A93-1)/23,1)+1)&amp;INDEX('Serial Reference'!$A$8:$W$8,1,MOD($A93-1,23)+1)&amp;TEXT(CQ$2+FLOOR((CQ$2-1)/9,1),"000"),"")</f>
        <v/>
      </c>
      <c r="CR93" s="20" t="str">
        <f>IF(INDEX('Shot Map'!$B$6:$V$26,CEILING($A93/5,1),CEILING(CR$2/5,1))=1,INDEX('Serial Reference'!$A$8:$W$8,1,FLOOR(($A93-1)/23,1)+1)&amp;INDEX('Serial Reference'!$A$8:$W$8,1,MOD($A93-1,23)+1)&amp;TEXT(CR$2+FLOOR((CR$2-1)/9,1),"000"),"")</f>
        <v/>
      </c>
      <c r="CS93" s="18" t="str">
        <f>IF(INDEX('Shot Map'!$B$6:$V$26,CEILING($A93/5,1),CEILING(CS$2/5,1))=1,INDEX('Serial Reference'!$A$8:$W$8,1,FLOOR(($A93-1)/23,1)+1)&amp;INDEX('Serial Reference'!$A$8:$W$8,1,MOD($A93-1,23)+1)&amp;TEXT(CS$2+FLOOR((CS$2-1)/9,1),"000"),"")</f>
        <v/>
      </c>
      <c r="CT93" s="19" t="str">
        <f>IF(INDEX('Shot Map'!$B$6:$V$26,CEILING($A93/5,1),CEILING(CT$2/5,1))=1,INDEX('Serial Reference'!$A$8:$W$8,1,FLOOR(($A93-1)/23,1)+1)&amp;INDEX('Serial Reference'!$A$8:$W$8,1,MOD($A93-1,23)+1)&amp;TEXT(CT$2+FLOOR((CT$2-1)/9,1),"000"),"")</f>
        <v/>
      </c>
      <c r="CU93" s="19" t="str">
        <f>IF(INDEX('Shot Map'!$B$6:$V$26,CEILING($A93/5,1),CEILING(CU$2/5,1))=1,INDEX('Serial Reference'!$A$8:$W$8,1,FLOOR(($A93-1)/23,1)+1)&amp;INDEX('Serial Reference'!$A$8:$W$8,1,MOD($A93-1,23)+1)&amp;TEXT(CU$2+FLOOR((CU$2-1)/9,1),"000"),"")</f>
        <v/>
      </c>
      <c r="CV93" s="19" t="str">
        <f>IF(INDEX('Shot Map'!$B$6:$V$26,CEILING($A93/5,1),CEILING(CV$2/5,1))=1,INDEX('Serial Reference'!$A$8:$W$8,1,FLOOR(($A93-1)/23,1)+1)&amp;INDEX('Serial Reference'!$A$8:$W$8,1,MOD($A93-1,23)+1)&amp;TEXT(CV$2+FLOOR((CV$2-1)/9,1),"000"),"")</f>
        <v/>
      </c>
      <c r="CW93" s="20" t="str">
        <f>IF(INDEX('Shot Map'!$B$6:$V$26,CEILING($A93/5,1),CEILING(CW$2/5,1))=1,INDEX('Serial Reference'!$A$8:$W$8,1,FLOOR(($A93-1)/23,1)+1)&amp;INDEX('Serial Reference'!$A$8:$W$8,1,MOD($A93-1,23)+1)&amp;TEXT(CW$2+FLOOR((CW$2-1)/9,1),"000"),"")</f>
        <v/>
      </c>
      <c r="CX93" s="18" t="str">
        <f>IF(INDEX('Shot Map'!$B$6:$V$26,CEILING($A93/5,1),CEILING(CX$2/5,1))=1,INDEX('Serial Reference'!$A$8:$W$8,1,FLOOR(($A93-1)/23,1)+1)&amp;INDEX('Serial Reference'!$A$8:$W$8,1,MOD($A93-1,23)+1)&amp;TEXT(CX$2+FLOOR((CX$2-1)/9,1),"000"),"")</f>
        <v/>
      </c>
      <c r="CY93" s="19" t="str">
        <f>IF(INDEX('Shot Map'!$B$6:$V$26,CEILING($A93/5,1),CEILING(CY$2/5,1))=1,INDEX('Serial Reference'!$A$8:$W$8,1,FLOOR(($A93-1)/23,1)+1)&amp;INDEX('Serial Reference'!$A$8:$W$8,1,MOD($A93-1,23)+1)&amp;TEXT(CY$2+FLOOR((CY$2-1)/9,1),"000"),"")</f>
        <v/>
      </c>
      <c r="CZ93" s="19" t="str">
        <f>IF(INDEX('Shot Map'!$B$6:$V$26,CEILING($A93/5,1),CEILING(CZ$2/5,1))=1,INDEX('Serial Reference'!$A$8:$W$8,1,FLOOR(($A93-1)/23,1)+1)&amp;INDEX('Serial Reference'!$A$8:$W$8,1,MOD($A93-1,23)+1)&amp;TEXT(CZ$2+FLOOR((CZ$2-1)/9,1),"000"),"")</f>
        <v/>
      </c>
      <c r="DA93" s="19" t="str">
        <f>IF(INDEX('Shot Map'!$B$6:$V$26,CEILING($A93/5,1),CEILING(DA$2/5,1))=1,INDEX('Serial Reference'!$A$8:$W$8,1,FLOOR(($A93-1)/23,1)+1)&amp;INDEX('Serial Reference'!$A$8:$W$8,1,MOD($A93-1,23)+1)&amp;TEXT(DA$2+FLOOR((DA$2-1)/9,1),"000"),"")</f>
        <v/>
      </c>
      <c r="DB93" s="20" t="str">
        <f>IF(INDEX('Shot Map'!$B$6:$V$26,CEILING($A93/5,1),CEILING(DB$2/5,1))=1,INDEX('Serial Reference'!$A$8:$W$8,1,FLOOR(($A93-1)/23,1)+1)&amp;INDEX('Serial Reference'!$A$8:$W$8,1,MOD($A93-1,23)+1)&amp;TEXT(DB$2+FLOOR((DB$2-1)/9,1),"000"),"")</f>
        <v/>
      </c>
    </row>
    <row r="94" spans="1:106" ht="12.75" customHeight="1" x14ac:dyDescent="0.25">
      <c r="A94" s="17">
        <v>92</v>
      </c>
      <c r="B94" s="21" t="str">
        <f>IF(INDEX('Shot Map'!$B$6:$V$26,CEILING($A94/5,1),CEILING(B$2/5,1))=1,INDEX('Serial Reference'!$A$8:$W$8,1,FLOOR(($A94-1)/23,1)+1)&amp;INDEX('Serial Reference'!$A$8:$W$8,1,MOD($A94-1,23)+1)&amp;TEXT(B$2+FLOOR((B$2-1)/9,1),"000"),"")</f>
        <v/>
      </c>
      <c r="C94" s="22" t="str">
        <f>IF(INDEX('Shot Map'!$B$6:$V$26,CEILING($A94/5,1),CEILING(C$2/5,1))=1,INDEX('Serial Reference'!$A$8:$W$8,1,FLOOR(($A94-1)/23,1)+1)&amp;INDEX('Serial Reference'!$A$8:$W$8,1,MOD($A94-1,23)+1)&amp;TEXT(C$2+FLOOR((C$2-1)/9,1),"000"),"")</f>
        <v/>
      </c>
      <c r="D94" s="22" t="str">
        <f>IF(INDEX('Shot Map'!$B$6:$V$26,CEILING($A94/5,1),CEILING(D$2/5,1))=1,INDEX('Serial Reference'!$A$8:$W$8,1,FLOOR(($A94-1)/23,1)+1)&amp;INDEX('Serial Reference'!$A$8:$W$8,1,MOD($A94-1,23)+1)&amp;TEXT(D$2+FLOOR((D$2-1)/9,1),"000"),"")</f>
        <v/>
      </c>
      <c r="E94" s="22" t="str">
        <f>IF(INDEX('Shot Map'!$B$6:$V$26,CEILING($A94/5,1),CEILING(E$2/5,1))=1,INDEX('Serial Reference'!$A$8:$W$8,1,FLOOR(($A94-1)/23,1)+1)&amp;INDEX('Serial Reference'!$A$8:$W$8,1,MOD($A94-1,23)+1)&amp;TEXT(E$2+FLOOR((E$2-1)/9,1),"000"),"")</f>
        <v/>
      </c>
      <c r="F94" s="23" t="str">
        <f>IF(INDEX('Shot Map'!$B$6:$V$26,CEILING($A94/5,1),CEILING(F$2/5,1))=1,INDEX('Serial Reference'!$A$8:$W$8,1,FLOOR(($A94-1)/23,1)+1)&amp;INDEX('Serial Reference'!$A$8:$W$8,1,MOD($A94-1,23)+1)&amp;TEXT(F$2+FLOOR((F$2-1)/9,1),"000"),"")</f>
        <v/>
      </c>
      <c r="G94" s="21" t="str">
        <f>IF(INDEX('Shot Map'!$B$6:$V$26,CEILING($A94/5,1),CEILING(G$2/5,1))=1,INDEX('Serial Reference'!$A$8:$W$8,1,FLOOR(($A94-1)/23,1)+1)&amp;INDEX('Serial Reference'!$A$8:$W$8,1,MOD($A94-1,23)+1)&amp;TEXT(G$2+FLOOR((G$2-1)/9,1),"000"),"")</f>
        <v/>
      </c>
      <c r="H94" s="22" t="str">
        <f>IF(INDEX('Shot Map'!$B$6:$V$26,CEILING($A94/5,1),CEILING(H$2/5,1))=1,INDEX('Serial Reference'!$A$8:$W$8,1,FLOOR(($A94-1)/23,1)+1)&amp;INDEX('Serial Reference'!$A$8:$W$8,1,MOD($A94-1,23)+1)&amp;TEXT(H$2+FLOOR((H$2-1)/9,1),"000"),"")</f>
        <v/>
      </c>
      <c r="I94" s="22" t="str">
        <f>IF(INDEX('Shot Map'!$B$6:$V$26,CEILING($A94/5,1),CEILING(I$2/5,1))=1,INDEX('Serial Reference'!$A$8:$W$8,1,FLOOR(($A94-1)/23,1)+1)&amp;INDEX('Serial Reference'!$A$8:$W$8,1,MOD($A94-1,23)+1)&amp;TEXT(I$2+FLOOR((I$2-1)/9,1),"000"),"")</f>
        <v/>
      </c>
      <c r="J94" s="22" t="str">
        <f>IF(INDEX('Shot Map'!$B$6:$V$26,CEILING($A94/5,1),CEILING(J$2/5,1))=1,INDEX('Serial Reference'!$A$8:$W$8,1,FLOOR(($A94-1)/23,1)+1)&amp;INDEX('Serial Reference'!$A$8:$W$8,1,MOD($A94-1,23)+1)&amp;TEXT(J$2+FLOOR((J$2-1)/9,1),"000"),"")</f>
        <v/>
      </c>
      <c r="K94" s="23" t="str">
        <f>IF(INDEX('Shot Map'!$B$6:$V$26,CEILING($A94/5,1),CEILING(K$2/5,1))=1,INDEX('Serial Reference'!$A$8:$W$8,1,FLOOR(($A94-1)/23,1)+1)&amp;INDEX('Serial Reference'!$A$8:$W$8,1,MOD($A94-1,23)+1)&amp;TEXT(K$2+FLOOR((K$2-1)/9,1),"000"),"")</f>
        <v/>
      </c>
      <c r="L94" s="21" t="str">
        <f>IF(INDEX('Shot Map'!$B$6:$V$26,CEILING($A94/5,1),CEILING(L$2/5,1))=1,INDEX('Serial Reference'!$A$8:$W$8,1,FLOOR(($A94-1)/23,1)+1)&amp;INDEX('Serial Reference'!$A$8:$W$8,1,MOD($A94-1,23)+1)&amp;TEXT(L$2+FLOOR((L$2-1)/9,1),"000"),"")</f>
        <v/>
      </c>
      <c r="M94" s="22" t="str">
        <f>IF(INDEX('Shot Map'!$B$6:$V$26,CEILING($A94/5,1),CEILING(M$2/5,1))=1,INDEX('Serial Reference'!$A$8:$W$8,1,FLOOR(($A94-1)/23,1)+1)&amp;INDEX('Serial Reference'!$A$8:$W$8,1,MOD($A94-1,23)+1)&amp;TEXT(M$2+FLOOR((M$2-1)/9,1),"000"),"")</f>
        <v/>
      </c>
      <c r="N94" s="22" t="str">
        <f>IF(INDEX('Shot Map'!$B$6:$V$26,CEILING($A94/5,1),CEILING(N$2/5,1))=1,INDEX('Serial Reference'!$A$8:$W$8,1,FLOOR(($A94-1)/23,1)+1)&amp;INDEX('Serial Reference'!$A$8:$W$8,1,MOD($A94-1,23)+1)&amp;TEXT(N$2+FLOOR((N$2-1)/9,1),"000"),"")</f>
        <v/>
      </c>
      <c r="O94" s="22" t="str">
        <f>IF(INDEX('Shot Map'!$B$6:$V$26,CEILING($A94/5,1),CEILING(O$2/5,1))=1,INDEX('Serial Reference'!$A$8:$W$8,1,FLOOR(($A94-1)/23,1)+1)&amp;INDEX('Serial Reference'!$A$8:$W$8,1,MOD($A94-1,23)+1)&amp;TEXT(O$2+FLOOR((O$2-1)/9,1),"000"),"")</f>
        <v/>
      </c>
      <c r="P94" s="23" t="str">
        <f>IF(INDEX('Shot Map'!$B$6:$V$26,CEILING($A94/5,1),CEILING(P$2/5,1))=1,INDEX('Serial Reference'!$A$8:$W$8,1,FLOOR(($A94-1)/23,1)+1)&amp;INDEX('Serial Reference'!$A$8:$W$8,1,MOD($A94-1,23)+1)&amp;TEXT(P$2+FLOOR((P$2-1)/9,1),"000"),"")</f>
        <v/>
      </c>
      <c r="Q94" s="21" t="str">
        <f>IF(INDEX('Shot Map'!$B$6:$V$26,CEILING($A94/5,1),CEILING(Q$2/5,1))=1,INDEX('Serial Reference'!$A$8:$W$8,1,FLOOR(($A94-1)/23,1)+1)&amp;INDEX('Serial Reference'!$A$8:$W$8,1,MOD($A94-1,23)+1)&amp;TEXT(Q$2+FLOOR((Q$2-1)/9,1),"000"),"")</f>
        <v/>
      </c>
      <c r="R94" s="22" t="str">
        <f>IF(INDEX('Shot Map'!$B$6:$V$26,CEILING($A94/5,1),CEILING(R$2/5,1))=1,INDEX('Serial Reference'!$A$8:$W$8,1,FLOOR(($A94-1)/23,1)+1)&amp;INDEX('Serial Reference'!$A$8:$W$8,1,MOD($A94-1,23)+1)&amp;TEXT(R$2+FLOOR((R$2-1)/9,1),"000"),"")</f>
        <v/>
      </c>
      <c r="S94" s="22" t="str">
        <f>IF(INDEX('Shot Map'!$B$6:$V$26,CEILING($A94/5,1),CEILING(S$2/5,1))=1,INDEX('Serial Reference'!$A$8:$W$8,1,FLOOR(($A94-1)/23,1)+1)&amp;INDEX('Serial Reference'!$A$8:$W$8,1,MOD($A94-1,23)+1)&amp;TEXT(S$2+FLOOR((S$2-1)/9,1),"000"),"")</f>
        <v/>
      </c>
      <c r="T94" s="22" t="str">
        <f>IF(INDEX('Shot Map'!$B$6:$V$26,CEILING($A94/5,1),CEILING(T$2/5,1))=1,INDEX('Serial Reference'!$A$8:$W$8,1,FLOOR(($A94-1)/23,1)+1)&amp;INDEX('Serial Reference'!$A$8:$W$8,1,MOD($A94-1,23)+1)&amp;TEXT(T$2+FLOOR((T$2-1)/9,1),"000"),"")</f>
        <v/>
      </c>
      <c r="U94" s="23" t="str">
        <f>IF(INDEX('Shot Map'!$B$6:$V$26,CEILING($A94/5,1),CEILING(U$2/5,1))=1,INDEX('Serial Reference'!$A$8:$W$8,1,FLOOR(($A94-1)/23,1)+1)&amp;INDEX('Serial Reference'!$A$8:$W$8,1,MOD($A94-1,23)+1)&amp;TEXT(U$2+FLOOR((U$2-1)/9,1),"000"),"")</f>
        <v/>
      </c>
      <c r="V94" s="21" t="str">
        <f>IF(INDEX('Shot Map'!$B$6:$V$26,CEILING($A94/5,1),CEILING(V$2/5,1))=1,INDEX('Serial Reference'!$A$8:$W$8,1,FLOOR(($A94-1)/23,1)+1)&amp;INDEX('Serial Reference'!$A$8:$W$8,1,MOD($A94-1,23)+1)&amp;TEXT(V$2+FLOOR((V$2-1)/9,1),"000"),"")</f>
        <v>DZ023</v>
      </c>
      <c r="W94" s="22" t="str">
        <f>IF(INDEX('Shot Map'!$B$6:$V$26,CEILING($A94/5,1),CEILING(W$2/5,1))=1,INDEX('Serial Reference'!$A$8:$W$8,1,FLOOR(($A94-1)/23,1)+1)&amp;INDEX('Serial Reference'!$A$8:$W$8,1,MOD($A94-1,23)+1)&amp;TEXT(W$2+FLOOR((W$2-1)/9,1),"000"),"")</f>
        <v>DZ024</v>
      </c>
      <c r="X94" s="22" t="str">
        <f>IF(INDEX('Shot Map'!$B$6:$V$26,CEILING($A94/5,1),CEILING(X$2/5,1))=1,INDEX('Serial Reference'!$A$8:$W$8,1,FLOOR(($A94-1)/23,1)+1)&amp;INDEX('Serial Reference'!$A$8:$W$8,1,MOD($A94-1,23)+1)&amp;TEXT(X$2+FLOOR((X$2-1)/9,1),"000"),"")</f>
        <v>DZ025</v>
      </c>
      <c r="Y94" s="22" t="str">
        <f>IF(INDEX('Shot Map'!$B$6:$V$26,CEILING($A94/5,1),CEILING(Y$2/5,1))=1,INDEX('Serial Reference'!$A$8:$W$8,1,FLOOR(($A94-1)/23,1)+1)&amp;INDEX('Serial Reference'!$A$8:$W$8,1,MOD($A94-1,23)+1)&amp;TEXT(Y$2+FLOOR((Y$2-1)/9,1),"000"),"")</f>
        <v>DZ026</v>
      </c>
      <c r="Z94" s="23" t="str">
        <f>IF(INDEX('Shot Map'!$B$6:$V$26,CEILING($A94/5,1),CEILING(Z$2/5,1))=1,INDEX('Serial Reference'!$A$8:$W$8,1,FLOOR(($A94-1)/23,1)+1)&amp;INDEX('Serial Reference'!$A$8:$W$8,1,MOD($A94-1,23)+1)&amp;TEXT(Z$2+FLOOR((Z$2-1)/9,1),"000"),"")</f>
        <v>DZ027</v>
      </c>
      <c r="AA94" s="21" t="str">
        <f>IF(INDEX('Shot Map'!$B$6:$V$26,CEILING($A94/5,1),CEILING(AA$2/5,1))=1,INDEX('Serial Reference'!$A$8:$W$8,1,FLOOR(($A94-1)/23,1)+1)&amp;INDEX('Serial Reference'!$A$8:$W$8,1,MOD($A94-1,23)+1)&amp;TEXT(AA$2+FLOOR((AA$2-1)/9,1),"000"),"")</f>
        <v>DZ028</v>
      </c>
      <c r="AB94" s="22" t="str">
        <f>IF(INDEX('Shot Map'!$B$6:$V$26,CEILING($A94/5,1),CEILING(AB$2/5,1))=1,INDEX('Serial Reference'!$A$8:$W$8,1,FLOOR(($A94-1)/23,1)+1)&amp;INDEX('Serial Reference'!$A$8:$W$8,1,MOD($A94-1,23)+1)&amp;TEXT(AB$2+FLOOR((AB$2-1)/9,1),"000"),"")</f>
        <v>DZ029</v>
      </c>
      <c r="AC94" s="22" t="str">
        <f>IF(INDEX('Shot Map'!$B$6:$V$26,CEILING($A94/5,1),CEILING(AC$2/5,1))=1,INDEX('Serial Reference'!$A$8:$W$8,1,FLOOR(($A94-1)/23,1)+1)&amp;INDEX('Serial Reference'!$A$8:$W$8,1,MOD($A94-1,23)+1)&amp;TEXT(AC$2+FLOOR((AC$2-1)/9,1),"000"),"")</f>
        <v>DZ031</v>
      </c>
      <c r="AD94" s="22" t="str">
        <f>IF(INDEX('Shot Map'!$B$6:$V$26,CEILING($A94/5,1),CEILING(AD$2/5,1))=1,INDEX('Serial Reference'!$A$8:$W$8,1,FLOOR(($A94-1)/23,1)+1)&amp;INDEX('Serial Reference'!$A$8:$W$8,1,MOD($A94-1,23)+1)&amp;TEXT(AD$2+FLOOR((AD$2-1)/9,1),"000"),"")</f>
        <v>DZ032</v>
      </c>
      <c r="AE94" s="23" t="str">
        <f>IF(INDEX('Shot Map'!$B$6:$V$26,CEILING($A94/5,1),CEILING(AE$2/5,1))=1,INDEX('Serial Reference'!$A$8:$W$8,1,FLOOR(($A94-1)/23,1)+1)&amp;INDEX('Serial Reference'!$A$8:$W$8,1,MOD($A94-1,23)+1)&amp;TEXT(AE$2+FLOOR((AE$2-1)/9,1),"000"),"")</f>
        <v>DZ033</v>
      </c>
      <c r="AF94" s="21" t="str">
        <f>IF(INDEX('Shot Map'!$B$6:$V$26,CEILING($A94/5,1),CEILING(AF$2/5,1))=1,INDEX('Serial Reference'!$A$8:$W$8,1,FLOOR(($A94-1)/23,1)+1)&amp;INDEX('Serial Reference'!$A$8:$W$8,1,MOD($A94-1,23)+1)&amp;TEXT(AF$2+FLOOR((AF$2-1)/9,1),"000"),"")</f>
        <v>DZ034</v>
      </c>
      <c r="AG94" s="22" t="str">
        <f>IF(INDEX('Shot Map'!$B$6:$V$26,CEILING($A94/5,1),CEILING(AG$2/5,1))=1,INDEX('Serial Reference'!$A$8:$W$8,1,FLOOR(($A94-1)/23,1)+1)&amp;INDEX('Serial Reference'!$A$8:$W$8,1,MOD($A94-1,23)+1)&amp;TEXT(AG$2+FLOOR((AG$2-1)/9,1),"000"),"")</f>
        <v>DZ035</v>
      </c>
      <c r="AH94" s="22" t="str">
        <f>IF(INDEX('Shot Map'!$B$6:$V$26,CEILING($A94/5,1),CEILING(AH$2/5,1))=1,INDEX('Serial Reference'!$A$8:$W$8,1,FLOOR(($A94-1)/23,1)+1)&amp;INDEX('Serial Reference'!$A$8:$W$8,1,MOD($A94-1,23)+1)&amp;TEXT(AH$2+FLOOR((AH$2-1)/9,1),"000"),"")</f>
        <v>DZ036</v>
      </c>
      <c r="AI94" s="22" t="str">
        <f>IF(INDEX('Shot Map'!$B$6:$V$26,CEILING($A94/5,1),CEILING(AI$2/5,1))=1,INDEX('Serial Reference'!$A$8:$W$8,1,FLOOR(($A94-1)/23,1)+1)&amp;INDEX('Serial Reference'!$A$8:$W$8,1,MOD($A94-1,23)+1)&amp;TEXT(AI$2+FLOOR((AI$2-1)/9,1),"000"),"")</f>
        <v>DZ037</v>
      </c>
      <c r="AJ94" s="23" t="str">
        <f>IF(INDEX('Shot Map'!$B$6:$V$26,CEILING($A94/5,1),CEILING(AJ$2/5,1))=1,INDEX('Serial Reference'!$A$8:$W$8,1,FLOOR(($A94-1)/23,1)+1)&amp;INDEX('Serial Reference'!$A$8:$W$8,1,MOD($A94-1,23)+1)&amp;TEXT(AJ$2+FLOOR((AJ$2-1)/9,1),"000"),"")</f>
        <v>DZ038</v>
      </c>
      <c r="AK94" s="21" t="str">
        <f>IF(INDEX('Shot Map'!$B$6:$V$26,CEILING($A94/5,1),CEILING(AK$2/5,1))=1,INDEX('Serial Reference'!$A$8:$W$8,1,FLOOR(($A94-1)/23,1)+1)&amp;INDEX('Serial Reference'!$A$8:$W$8,1,MOD($A94-1,23)+1)&amp;TEXT(AK$2+FLOOR((AK$2-1)/9,1),"000"),"")</f>
        <v>DZ039</v>
      </c>
      <c r="AL94" s="22" t="str">
        <f>IF(INDEX('Shot Map'!$B$6:$V$26,CEILING($A94/5,1),CEILING(AL$2/5,1))=1,INDEX('Serial Reference'!$A$8:$W$8,1,FLOOR(($A94-1)/23,1)+1)&amp;INDEX('Serial Reference'!$A$8:$W$8,1,MOD($A94-1,23)+1)&amp;TEXT(AL$2+FLOOR((AL$2-1)/9,1),"000"),"")</f>
        <v>DZ041</v>
      </c>
      <c r="AM94" s="22" t="str">
        <f>IF(INDEX('Shot Map'!$B$6:$V$26,CEILING($A94/5,1),CEILING(AM$2/5,1))=1,INDEX('Serial Reference'!$A$8:$W$8,1,FLOOR(($A94-1)/23,1)+1)&amp;INDEX('Serial Reference'!$A$8:$W$8,1,MOD($A94-1,23)+1)&amp;TEXT(AM$2+FLOOR((AM$2-1)/9,1),"000"),"")</f>
        <v>DZ042</v>
      </c>
      <c r="AN94" s="22" t="str">
        <f>IF(INDEX('Shot Map'!$B$6:$V$26,CEILING($A94/5,1),CEILING(AN$2/5,1))=1,INDEX('Serial Reference'!$A$8:$W$8,1,FLOOR(($A94-1)/23,1)+1)&amp;INDEX('Serial Reference'!$A$8:$W$8,1,MOD($A94-1,23)+1)&amp;TEXT(AN$2+FLOOR((AN$2-1)/9,1),"000"),"")</f>
        <v>DZ043</v>
      </c>
      <c r="AO94" s="23" t="str">
        <f>IF(INDEX('Shot Map'!$B$6:$V$26,CEILING($A94/5,1),CEILING(AO$2/5,1))=1,INDEX('Serial Reference'!$A$8:$W$8,1,FLOOR(($A94-1)/23,1)+1)&amp;INDEX('Serial Reference'!$A$8:$W$8,1,MOD($A94-1,23)+1)&amp;TEXT(AO$2+FLOOR((AO$2-1)/9,1),"000"),"")</f>
        <v>DZ044</v>
      </c>
      <c r="AP94" s="21" t="str">
        <f>IF(INDEX('Shot Map'!$B$6:$V$26,CEILING($A94/5,1),CEILING(AP$2/5,1))=1,INDEX('Serial Reference'!$A$8:$W$8,1,FLOOR(($A94-1)/23,1)+1)&amp;INDEX('Serial Reference'!$A$8:$W$8,1,MOD($A94-1,23)+1)&amp;TEXT(AP$2+FLOOR((AP$2-1)/9,1),"000"),"")</f>
        <v>DZ045</v>
      </c>
      <c r="AQ94" s="22" t="str">
        <f>IF(INDEX('Shot Map'!$B$6:$V$26,CEILING($A94/5,1),CEILING(AQ$2/5,1))=1,INDEX('Serial Reference'!$A$8:$W$8,1,FLOOR(($A94-1)/23,1)+1)&amp;INDEX('Serial Reference'!$A$8:$W$8,1,MOD($A94-1,23)+1)&amp;TEXT(AQ$2+FLOOR((AQ$2-1)/9,1),"000"),"")</f>
        <v>DZ046</v>
      </c>
      <c r="AR94" s="22" t="str">
        <f>IF(INDEX('Shot Map'!$B$6:$V$26,CEILING($A94/5,1),CEILING(AR$2/5,1))=1,INDEX('Serial Reference'!$A$8:$W$8,1,FLOOR(($A94-1)/23,1)+1)&amp;INDEX('Serial Reference'!$A$8:$W$8,1,MOD($A94-1,23)+1)&amp;TEXT(AR$2+FLOOR((AR$2-1)/9,1),"000"),"")</f>
        <v>DZ047</v>
      </c>
      <c r="AS94" s="22" t="str">
        <f>IF(INDEX('Shot Map'!$B$6:$V$26,CEILING($A94/5,1),CEILING(AS$2/5,1))=1,INDEX('Serial Reference'!$A$8:$W$8,1,FLOOR(($A94-1)/23,1)+1)&amp;INDEX('Serial Reference'!$A$8:$W$8,1,MOD($A94-1,23)+1)&amp;TEXT(AS$2+FLOOR((AS$2-1)/9,1),"000"),"")</f>
        <v>DZ048</v>
      </c>
      <c r="AT94" s="23" t="str">
        <f>IF(INDEX('Shot Map'!$B$6:$V$26,CEILING($A94/5,1),CEILING(AT$2/5,1))=1,INDEX('Serial Reference'!$A$8:$W$8,1,FLOOR(($A94-1)/23,1)+1)&amp;INDEX('Serial Reference'!$A$8:$W$8,1,MOD($A94-1,23)+1)&amp;TEXT(AT$2+FLOOR((AT$2-1)/9,1),"000"),"")</f>
        <v>DZ049</v>
      </c>
      <c r="AU94" s="21" t="str">
        <f>IF(INDEX('Shot Map'!$B$6:$V$26,CEILING($A94/5,1),CEILING(AU$2/5,1))=1,INDEX('Serial Reference'!$A$8:$W$8,1,FLOOR(($A94-1)/23,1)+1)&amp;INDEX('Serial Reference'!$A$8:$W$8,1,MOD($A94-1,23)+1)&amp;TEXT(AU$2+FLOOR((AU$2-1)/9,1),"000"),"")</f>
        <v>DZ051</v>
      </c>
      <c r="AV94" s="22" t="str">
        <f>IF(INDEX('Shot Map'!$B$6:$V$26,CEILING($A94/5,1),CEILING(AV$2/5,1))=1,INDEX('Serial Reference'!$A$8:$W$8,1,FLOOR(($A94-1)/23,1)+1)&amp;INDEX('Serial Reference'!$A$8:$W$8,1,MOD($A94-1,23)+1)&amp;TEXT(AV$2+FLOOR((AV$2-1)/9,1),"000"),"")</f>
        <v>DZ052</v>
      </c>
      <c r="AW94" s="22" t="str">
        <f>IF(INDEX('Shot Map'!$B$6:$V$26,CEILING($A94/5,1),CEILING(AW$2/5,1))=1,INDEX('Serial Reference'!$A$8:$W$8,1,FLOOR(($A94-1)/23,1)+1)&amp;INDEX('Serial Reference'!$A$8:$W$8,1,MOD($A94-1,23)+1)&amp;TEXT(AW$2+FLOOR((AW$2-1)/9,1),"000"),"")</f>
        <v>DZ053</v>
      </c>
      <c r="AX94" s="22" t="str">
        <f>IF(INDEX('Shot Map'!$B$6:$V$26,CEILING($A94/5,1),CEILING(AX$2/5,1))=1,INDEX('Serial Reference'!$A$8:$W$8,1,FLOOR(($A94-1)/23,1)+1)&amp;INDEX('Serial Reference'!$A$8:$W$8,1,MOD($A94-1,23)+1)&amp;TEXT(AX$2+FLOOR((AX$2-1)/9,1),"000"),"")</f>
        <v>DZ054</v>
      </c>
      <c r="AY94" s="23" t="str">
        <f>IF(INDEX('Shot Map'!$B$6:$V$26,CEILING($A94/5,1),CEILING(AY$2/5,1))=1,INDEX('Serial Reference'!$A$8:$W$8,1,FLOOR(($A94-1)/23,1)+1)&amp;INDEX('Serial Reference'!$A$8:$W$8,1,MOD($A94-1,23)+1)&amp;TEXT(AY$2+FLOOR((AY$2-1)/9,1),"000"),"")</f>
        <v>DZ055</v>
      </c>
      <c r="AZ94" s="21" t="str">
        <f>IF(INDEX('Shot Map'!$B$6:$V$26,CEILING($A94/5,1),CEILING(AZ$2/5,1))=1,INDEX('Serial Reference'!$A$8:$W$8,1,FLOOR(($A94-1)/23,1)+1)&amp;INDEX('Serial Reference'!$A$8:$W$8,1,MOD($A94-1,23)+1)&amp;TEXT(AZ$2+FLOOR((AZ$2-1)/9,1),"000"),"")</f>
        <v>DZ056</v>
      </c>
      <c r="BA94" s="22" t="str">
        <f>IF(INDEX('Shot Map'!$B$6:$V$26,CEILING($A94/5,1),CEILING(BA$2/5,1))=1,INDEX('Serial Reference'!$A$8:$W$8,1,FLOOR(($A94-1)/23,1)+1)&amp;INDEX('Serial Reference'!$A$8:$W$8,1,MOD($A94-1,23)+1)&amp;TEXT(BA$2+FLOOR((BA$2-1)/9,1),"000"),"")</f>
        <v>DZ057</v>
      </c>
      <c r="BB94" s="22" t="str">
        <f>IF(INDEX('Shot Map'!$B$6:$V$26,CEILING($A94/5,1),CEILING(BB$2/5,1))=1,INDEX('Serial Reference'!$A$8:$W$8,1,FLOOR(($A94-1)/23,1)+1)&amp;INDEX('Serial Reference'!$A$8:$W$8,1,MOD($A94-1,23)+1)&amp;TEXT(BB$2+FLOOR((BB$2-1)/9,1),"000"),"")</f>
        <v>DZ058</v>
      </c>
      <c r="BC94" s="22" t="str">
        <f>IF(INDEX('Shot Map'!$B$6:$V$26,CEILING($A94/5,1),CEILING(BC$2/5,1))=1,INDEX('Serial Reference'!$A$8:$W$8,1,FLOOR(($A94-1)/23,1)+1)&amp;INDEX('Serial Reference'!$A$8:$W$8,1,MOD($A94-1,23)+1)&amp;TEXT(BC$2+FLOOR((BC$2-1)/9,1),"000"),"")</f>
        <v>DZ059</v>
      </c>
      <c r="BD94" s="23" t="str">
        <f>IF(INDEX('Shot Map'!$B$6:$V$26,CEILING($A94/5,1),CEILING(BD$2/5,1))=1,INDEX('Serial Reference'!$A$8:$W$8,1,FLOOR(($A94-1)/23,1)+1)&amp;INDEX('Serial Reference'!$A$8:$W$8,1,MOD($A94-1,23)+1)&amp;TEXT(BD$2+FLOOR((BD$2-1)/9,1),"000"),"")</f>
        <v>DZ061</v>
      </c>
      <c r="BE94" s="21" t="str">
        <f>IF(INDEX('Shot Map'!$B$6:$V$26,CEILING($A94/5,1),CEILING(BE$2/5,1))=1,INDEX('Serial Reference'!$A$8:$W$8,1,FLOOR(($A94-1)/23,1)+1)&amp;INDEX('Serial Reference'!$A$8:$W$8,1,MOD($A94-1,23)+1)&amp;TEXT(BE$2+FLOOR((BE$2-1)/9,1),"000"),"")</f>
        <v>DZ062</v>
      </c>
      <c r="BF94" s="22" t="str">
        <f>IF(INDEX('Shot Map'!$B$6:$V$26,CEILING($A94/5,1),CEILING(BF$2/5,1))=1,INDEX('Serial Reference'!$A$8:$W$8,1,FLOOR(($A94-1)/23,1)+1)&amp;INDEX('Serial Reference'!$A$8:$W$8,1,MOD($A94-1,23)+1)&amp;TEXT(BF$2+FLOOR((BF$2-1)/9,1),"000"),"")</f>
        <v>DZ063</v>
      </c>
      <c r="BG94" s="22" t="str">
        <f>IF(INDEX('Shot Map'!$B$6:$V$26,CEILING($A94/5,1),CEILING(BG$2/5,1))=1,INDEX('Serial Reference'!$A$8:$W$8,1,FLOOR(($A94-1)/23,1)+1)&amp;INDEX('Serial Reference'!$A$8:$W$8,1,MOD($A94-1,23)+1)&amp;TEXT(BG$2+FLOOR((BG$2-1)/9,1),"000"),"")</f>
        <v>DZ064</v>
      </c>
      <c r="BH94" s="22" t="str">
        <f>IF(INDEX('Shot Map'!$B$6:$V$26,CEILING($A94/5,1),CEILING(BH$2/5,1))=1,INDEX('Serial Reference'!$A$8:$W$8,1,FLOOR(($A94-1)/23,1)+1)&amp;INDEX('Serial Reference'!$A$8:$W$8,1,MOD($A94-1,23)+1)&amp;TEXT(BH$2+FLOOR((BH$2-1)/9,1),"000"),"")</f>
        <v>DZ065</v>
      </c>
      <c r="BI94" s="23" t="str">
        <f>IF(INDEX('Shot Map'!$B$6:$V$26,CEILING($A94/5,1),CEILING(BI$2/5,1))=1,INDEX('Serial Reference'!$A$8:$W$8,1,FLOOR(($A94-1)/23,1)+1)&amp;INDEX('Serial Reference'!$A$8:$W$8,1,MOD($A94-1,23)+1)&amp;TEXT(BI$2+FLOOR((BI$2-1)/9,1),"000"),"")</f>
        <v>DZ066</v>
      </c>
      <c r="BJ94" s="21" t="str">
        <f>IF(INDEX('Shot Map'!$B$6:$V$26,CEILING($A94/5,1),CEILING(BJ$2/5,1))=1,INDEX('Serial Reference'!$A$8:$W$8,1,FLOOR(($A94-1)/23,1)+1)&amp;INDEX('Serial Reference'!$A$8:$W$8,1,MOD($A94-1,23)+1)&amp;TEXT(BJ$2+FLOOR((BJ$2-1)/9,1),"000"),"")</f>
        <v>DZ067</v>
      </c>
      <c r="BK94" s="22" t="str">
        <f>IF(INDEX('Shot Map'!$B$6:$V$26,CEILING($A94/5,1),CEILING(BK$2/5,1))=1,INDEX('Serial Reference'!$A$8:$W$8,1,FLOOR(($A94-1)/23,1)+1)&amp;INDEX('Serial Reference'!$A$8:$W$8,1,MOD($A94-1,23)+1)&amp;TEXT(BK$2+FLOOR((BK$2-1)/9,1),"000"),"")</f>
        <v>DZ068</v>
      </c>
      <c r="BL94" s="22" t="str">
        <f>IF(INDEX('Shot Map'!$B$6:$V$26,CEILING($A94/5,1),CEILING(BL$2/5,1))=1,INDEX('Serial Reference'!$A$8:$W$8,1,FLOOR(($A94-1)/23,1)+1)&amp;INDEX('Serial Reference'!$A$8:$W$8,1,MOD($A94-1,23)+1)&amp;TEXT(BL$2+FLOOR((BL$2-1)/9,1),"000"),"")</f>
        <v>DZ069</v>
      </c>
      <c r="BM94" s="22" t="str">
        <f>IF(INDEX('Shot Map'!$B$6:$V$26,CEILING($A94/5,1),CEILING(BM$2/5,1))=1,INDEX('Serial Reference'!$A$8:$W$8,1,FLOOR(($A94-1)/23,1)+1)&amp;INDEX('Serial Reference'!$A$8:$W$8,1,MOD($A94-1,23)+1)&amp;TEXT(BM$2+FLOOR((BM$2-1)/9,1),"000"),"")</f>
        <v>DZ071</v>
      </c>
      <c r="BN94" s="23" t="str">
        <f>IF(INDEX('Shot Map'!$B$6:$V$26,CEILING($A94/5,1),CEILING(BN$2/5,1))=1,INDEX('Serial Reference'!$A$8:$W$8,1,FLOOR(($A94-1)/23,1)+1)&amp;INDEX('Serial Reference'!$A$8:$W$8,1,MOD($A94-1,23)+1)&amp;TEXT(BN$2+FLOOR((BN$2-1)/9,1),"000"),"")</f>
        <v>DZ072</v>
      </c>
      <c r="BO94" s="21" t="str">
        <f>IF(INDEX('Shot Map'!$B$6:$V$26,CEILING($A94/5,1),CEILING(BO$2/5,1))=1,INDEX('Serial Reference'!$A$8:$W$8,1,FLOOR(($A94-1)/23,1)+1)&amp;INDEX('Serial Reference'!$A$8:$W$8,1,MOD($A94-1,23)+1)&amp;TEXT(BO$2+FLOOR((BO$2-1)/9,1),"000"),"")</f>
        <v>DZ073</v>
      </c>
      <c r="BP94" s="22" t="str">
        <f>IF(INDEX('Shot Map'!$B$6:$V$26,CEILING($A94/5,1),CEILING(BP$2/5,1))=1,INDEX('Serial Reference'!$A$8:$W$8,1,FLOOR(($A94-1)/23,1)+1)&amp;INDEX('Serial Reference'!$A$8:$W$8,1,MOD($A94-1,23)+1)&amp;TEXT(BP$2+FLOOR((BP$2-1)/9,1),"000"),"")</f>
        <v>DZ074</v>
      </c>
      <c r="BQ94" s="22" t="str">
        <f>IF(INDEX('Shot Map'!$B$6:$V$26,CEILING($A94/5,1),CEILING(BQ$2/5,1))=1,INDEX('Serial Reference'!$A$8:$W$8,1,FLOOR(($A94-1)/23,1)+1)&amp;INDEX('Serial Reference'!$A$8:$W$8,1,MOD($A94-1,23)+1)&amp;TEXT(BQ$2+FLOOR((BQ$2-1)/9,1),"000"),"")</f>
        <v>DZ075</v>
      </c>
      <c r="BR94" s="22" t="str">
        <f>IF(INDEX('Shot Map'!$B$6:$V$26,CEILING($A94/5,1),CEILING(BR$2/5,1))=1,INDEX('Serial Reference'!$A$8:$W$8,1,FLOOR(($A94-1)/23,1)+1)&amp;INDEX('Serial Reference'!$A$8:$W$8,1,MOD($A94-1,23)+1)&amp;TEXT(BR$2+FLOOR((BR$2-1)/9,1),"000"),"")</f>
        <v>DZ076</v>
      </c>
      <c r="BS94" s="23" t="str">
        <f>IF(INDEX('Shot Map'!$B$6:$V$26,CEILING($A94/5,1),CEILING(BS$2/5,1))=1,INDEX('Serial Reference'!$A$8:$W$8,1,FLOOR(($A94-1)/23,1)+1)&amp;INDEX('Serial Reference'!$A$8:$W$8,1,MOD($A94-1,23)+1)&amp;TEXT(BS$2+FLOOR((BS$2-1)/9,1),"000"),"")</f>
        <v>DZ077</v>
      </c>
      <c r="BT94" s="21" t="str">
        <f>IF(INDEX('Shot Map'!$B$6:$V$26,CEILING($A94/5,1),CEILING(BT$2/5,1))=1,INDEX('Serial Reference'!$A$8:$W$8,1,FLOOR(($A94-1)/23,1)+1)&amp;INDEX('Serial Reference'!$A$8:$W$8,1,MOD($A94-1,23)+1)&amp;TEXT(BT$2+FLOOR((BT$2-1)/9,1),"000"),"")</f>
        <v>DZ078</v>
      </c>
      <c r="BU94" s="22" t="str">
        <f>IF(INDEX('Shot Map'!$B$6:$V$26,CEILING($A94/5,1),CEILING(BU$2/5,1))=1,INDEX('Serial Reference'!$A$8:$W$8,1,FLOOR(($A94-1)/23,1)+1)&amp;INDEX('Serial Reference'!$A$8:$W$8,1,MOD($A94-1,23)+1)&amp;TEXT(BU$2+FLOOR((BU$2-1)/9,1),"000"),"")</f>
        <v>DZ079</v>
      </c>
      <c r="BV94" s="22" t="str">
        <f>IF(INDEX('Shot Map'!$B$6:$V$26,CEILING($A94/5,1),CEILING(BV$2/5,1))=1,INDEX('Serial Reference'!$A$8:$W$8,1,FLOOR(($A94-1)/23,1)+1)&amp;INDEX('Serial Reference'!$A$8:$W$8,1,MOD($A94-1,23)+1)&amp;TEXT(BV$2+FLOOR((BV$2-1)/9,1),"000"),"")</f>
        <v>DZ081</v>
      </c>
      <c r="BW94" s="22" t="str">
        <f>IF(INDEX('Shot Map'!$B$6:$V$26,CEILING($A94/5,1),CEILING(BW$2/5,1))=1,INDEX('Serial Reference'!$A$8:$W$8,1,FLOOR(($A94-1)/23,1)+1)&amp;INDEX('Serial Reference'!$A$8:$W$8,1,MOD($A94-1,23)+1)&amp;TEXT(BW$2+FLOOR((BW$2-1)/9,1),"000"),"")</f>
        <v>DZ082</v>
      </c>
      <c r="BX94" s="23" t="str">
        <f>IF(INDEX('Shot Map'!$B$6:$V$26,CEILING($A94/5,1),CEILING(BX$2/5,1))=1,INDEX('Serial Reference'!$A$8:$W$8,1,FLOOR(($A94-1)/23,1)+1)&amp;INDEX('Serial Reference'!$A$8:$W$8,1,MOD($A94-1,23)+1)&amp;TEXT(BX$2+FLOOR((BX$2-1)/9,1),"000"),"")</f>
        <v>DZ083</v>
      </c>
      <c r="BY94" s="21" t="str">
        <f>IF(INDEX('Shot Map'!$B$6:$V$26,CEILING($A94/5,1),CEILING(BY$2/5,1))=1,INDEX('Serial Reference'!$A$8:$W$8,1,FLOOR(($A94-1)/23,1)+1)&amp;INDEX('Serial Reference'!$A$8:$W$8,1,MOD($A94-1,23)+1)&amp;TEXT(BY$2+FLOOR((BY$2-1)/9,1),"000"),"")</f>
        <v>DZ084</v>
      </c>
      <c r="BZ94" s="22" t="str">
        <f>IF(INDEX('Shot Map'!$B$6:$V$26,CEILING($A94/5,1),CEILING(BZ$2/5,1))=1,INDEX('Serial Reference'!$A$8:$W$8,1,FLOOR(($A94-1)/23,1)+1)&amp;INDEX('Serial Reference'!$A$8:$W$8,1,MOD($A94-1,23)+1)&amp;TEXT(BZ$2+FLOOR((BZ$2-1)/9,1),"000"),"")</f>
        <v>DZ085</v>
      </c>
      <c r="CA94" s="22" t="str">
        <f>IF(INDEX('Shot Map'!$B$6:$V$26,CEILING($A94/5,1),CEILING(CA$2/5,1))=1,INDEX('Serial Reference'!$A$8:$W$8,1,FLOOR(($A94-1)/23,1)+1)&amp;INDEX('Serial Reference'!$A$8:$W$8,1,MOD($A94-1,23)+1)&amp;TEXT(CA$2+FLOOR((CA$2-1)/9,1),"000"),"")</f>
        <v>DZ086</v>
      </c>
      <c r="CB94" s="22" t="str">
        <f>IF(INDEX('Shot Map'!$B$6:$V$26,CEILING($A94/5,1),CEILING(CB$2/5,1))=1,INDEX('Serial Reference'!$A$8:$W$8,1,FLOOR(($A94-1)/23,1)+1)&amp;INDEX('Serial Reference'!$A$8:$W$8,1,MOD($A94-1,23)+1)&amp;TEXT(CB$2+FLOOR((CB$2-1)/9,1),"000"),"")</f>
        <v>DZ087</v>
      </c>
      <c r="CC94" s="23" t="str">
        <f>IF(INDEX('Shot Map'!$B$6:$V$26,CEILING($A94/5,1),CEILING(CC$2/5,1))=1,INDEX('Serial Reference'!$A$8:$W$8,1,FLOOR(($A94-1)/23,1)+1)&amp;INDEX('Serial Reference'!$A$8:$W$8,1,MOD($A94-1,23)+1)&amp;TEXT(CC$2+FLOOR((CC$2-1)/9,1),"000"),"")</f>
        <v>DZ088</v>
      </c>
      <c r="CD94" s="21" t="str">
        <f>IF(INDEX('Shot Map'!$B$6:$V$26,CEILING($A94/5,1),CEILING(CD$2/5,1))=1,INDEX('Serial Reference'!$A$8:$W$8,1,FLOOR(($A94-1)/23,1)+1)&amp;INDEX('Serial Reference'!$A$8:$W$8,1,MOD($A94-1,23)+1)&amp;TEXT(CD$2+FLOOR((CD$2-1)/9,1),"000"),"")</f>
        <v>DZ089</v>
      </c>
      <c r="CE94" s="22" t="str">
        <f>IF(INDEX('Shot Map'!$B$6:$V$26,CEILING($A94/5,1),CEILING(CE$2/5,1))=1,INDEX('Serial Reference'!$A$8:$W$8,1,FLOOR(($A94-1)/23,1)+1)&amp;INDEX('Serial Reference'!$A$8:$W$8,1,MOD($A94-1,23)+1)&amp;TEXT(CE$2+FLOOR((CE$2-1)/9,1),"000"),"")</f>
        <v>DZ091</v>
      </c>
      <c r="CF94" s="22" t="str">
        <f>IF(INDEX('Shot Map'!$B$6:$V$26,CEILING($A94/5,1),CEILING(CF$2/5,1))=1,INDEX('Serial Reference'!$A$8:$W$8,1,FLOOR(($A94-1)/23,1)+1)&amp;INDEX('Serial Reference'!$A$8:$W$8,1,MOD($A94-1,23)+1)&amp;TEXT(CF$2+FLOOR((CF$2-1)/9,1),"000"),"")</f>
        <v>DZ092</v>
      </c>
      <c r="CG94" s="22" t="str">
        <f>IF(INDEX('Shot Map'!$B$6:$V$26,CEILING($A94/5,1),CEILING(CG$2/5,1))=1,INDEX('Serial Reference'!$A$8:$W$8,1,FLOOR(($A94-1)/23,1)+1)&amp;INDEX('Serial Reference'!$A$8:$W$8,1,MOD($A94-1,23)+1)&amp;TEXT(CG$2+FLOOR((CG$2-1)/9,1),"000"),"")</f>
        <v>DZ093</v>
      </c>
      <c r="CH94" s="23" t="str">
        <f>IF(INDEX('Shot Map'!$B$6:$V$26,CEILING($A94/5,1),CEILING(CH$2/5,1))=1,INDEX('Serial Reference'!$A$8:$W$8,1,FLOOR(($A94-1)/23,1)+1)&amp;INDEX('Serial Reference'!$A$8:$W$8,1,MOD($A94-1,23)+1)&amp;TEXT(CH$2+FLOOR((CH$2-1)/9,1),"000"),"")</f>
        <v>DZ094</v>
      </c>
      <c r="CI94" s="21" t="str">
        <f>IF(INDEX('Shot Map'!$B$6:$V$26,CEILING($A94/5,1),CEILING(CI$2/5,1))=1,INDEX('Serial Reference'!$A$8:$W$8,1,FLOOR(($A94-1)/23,1)+1)&amp;INDEX('Serial Reference'!$A$8:$W$8,1,MOD($A94-1,23)+1)&amp;TEXT(CI$2+FLOOR((CI$2-1)/9,1),"000"),"")</f>
        <v/>
      </c>
      <c r="CJ94" s="22" t="str">
        <f>IF(INDEX('Shot Map'!$B$6:$V$26,CEILING($A94/5,1),CEILING(CJ$2/5,1))=1,INDEX('Serial Reference'!$A$8:$W$8,1,FLOOR(($A94-1)/23,1)+1)&amp;INDEX('Serial Reference'!$A$8:$W$8,1,MOD($A94-1,23)+1)&amp;TEXT(CJ$2+FLOOR((CJ$2-1)/9,1),"000"),"")</f>
        <v/>
      </c>
      <c r="CK94" s="22" t="str">
        <f>IF(INDEX('Shot Map'!$B$6:$V$26,CEILING($A94/5,1),CEILING(CK$2/5,1))=1,INDEX('Serial Reference'!$A$8:$W$8,1,FLOOR(($A94-1)/23,1)+1)&amp;INDEX('Serial Reference'!$A$8:$W$8,1,MOD($A94-1,23)+1)&amp;TEXT(CK$2+FLOOR((CK$2-1)/9,1),"000"),"")</f>
        <v/>
      </c>
      <c r="CL94" s="22" t="str">
        <f>IF(INDEX('Shot Map'!$B$6:$V$26,CEILING($A94/5,1),CEILING(CL$2/5,1))=1,INDEX('Serial Reference'!$A$8:$W$8,1,FLOOR(($A94-1)/23,1)+1)&amp;INDEX('Serial Reference'!$A$8:$W$8,1,MOD($A94-1,23)+1)&amp;TEXT(CL$2+FLOOR((CL$2-1)/9,1),"000"),"")</f>
        <v/>
      </c>
      <c r="CM94" s="23" t="str">
        <f>IF(INDEX('Shot Map'!$B$6:$V$26,CEILING($A94/5,1),CEILING(CM$2/5,1))=1,INDEX('Serial Reference'!$A$8:$W$8,1,FLOOR(($A94-1)/23,1)+1)&amp;INDEX('Serial Reference'!$A$8:$W$8,1,MOD($A94-1,23)+1)&amp;TEXT(CM$2+FLOOR((CM$2-1)/9,1),"000"),"")</f>
        <v/>
      </c>
      <c r="CN94" s="21" t="str">
        <f>IF(INDEX('Shot Map'!$B$6:$V$26,CEILING($A94/5,1),CEILING(CN$2/5,1))=1,INDEX('Serial Reference'!$A$8:$W$8,1,FLOOR(($A94-1)/23,1)+1)&amp;INDEX('Serial Reference'!$A$8:$W$8,1,MOD($A94-1,23)+1)&amp;TEXT(CN$2+FLOOR((CN$2-1)/9,1),"000"),"")</f>
        <v/>
      </c>
      <c r="CO94" s="22" t="str">
        <f>IF(INDEX('Shot Map'!$B$6:$V$26,CEILING($A94/5,1),CEILING(CO$2/5,1))=1,INDEX('Serial Reference'!$A$8:$W$8,1,FLOOR(($A94-1)/23,1)+1)&amp;INDEX('Serial Reference'!$A$8:$W$8,1,MOD($A94-1,23)+1)&amp;TEXT(CO$2+FLOOR((CO$2-1)/9,1),"000"),"")</f>
        <v/>
      </c>
      <c r="CP94" s="22" t="str">
        <f>IF(INDEX('Shot Map'!$B$6:$V$26,CEILING($A94/5,1),CEILING(CP$2/5,1))=1,INDEX('Serial Reference'!$A$8:$W$8,1,FLOOR(($A94-1)/23,1)+1)&amp;INDEX('Serial Reference'!$A$8:$W$8,1,MOD($A94-1,23)+1)&amp;TEXT(CP$2+FLOOR((CP$2-1)/9,1),"000"),"")</f>
        <v/>
      </c>
      <c r="CQ94" s="22" t="str">
        <f>IF(INDEX('Shot Map'!$B$6:$V$26,CEILING($A94/5,1),CEILING(CQ$2/5,1))=1,INDEX('Serial Reference'!$A$8:$W$8,1,FLOOR(($A94-1)/23,1)+1)&amp;INDEX('Serial Reference'!$A$8:$W$8,1,MOD($A94-1,23)+1)&amp;TEXT(CQ$2+FLOOR((CQ$2-1)/9,1),"000"),"")</f>
        <v/>
      </c>
      <c r="CR94" s="23" t="str">
        <f>IF(INDEX('Shot Map'!$B$6:$V$26,CEILING($A94/5,1),CEILING(CR$2/5,1))=1,INDEX('Serial Reference'!$A$8:$W$8,1,FLOOR(($A94-1)/23,1)+1)&amp;INDEX('Serial Reference'!$A$8:$W$8,1,MOD($A94-1,23)+1)&amp;TEXT(CR$2+FLOOR((CR$2-1)/9,1),"000"),"")</f>
        <v/>
      </c>
      <c r="CS94" s="21" t="str">
        <f>IF(INDEX('Shot Map'!$B$6:$V$26,CEILING($A94/5,1),CEILING(CS$2/5,1))=1,INDEX('Serial Reference'!$A$8:$W$8,1,FLOOR(($A94-1)/23,1)+1)&amp;INDEX('Serial Reference'!$A$8:$W$8,1,MOD($A94-1,23)+1)&amp;TEXT(CS$2+FLOOR((CS$2-1)/9,1),"000"),"")</f>
        <v/>
      </c>
      <c r="CT94" s="22" t="str">
        <f>IF(INDEX('Shot Map'!$B$6:$V$26,CEILING($A94/5,1),CEILING(CT$2/5,1))=1,INDEX('Serial Reference'!$A$8:$W$8,1,FLOOR(($A94-1)/23,1)+1)&amp;INDEX('Serial Reference'!$A$8:$W$8,1,MOD($A94-1,23)+1)&amp;TEXT(CT$2+FLOOR((CT$2-1)/9,1),"000"),"")</f>
        <v/>
      </c>
      <c r="CU94" s="22" t="str">
        <f>IF(INDEX('Shot Map'!$B$6:$V$26,CEILING($A94/5,1),CEILING(CU$2/5,1))=1,INDEX('Serial Reference'!$A$8:$W$8,1,FLOOR(($A94-1)/23,1)+1)&amp;INDEX('Serial Reference'!$A$8:$W$8,1,MOD($A94-1,23)+1)&amp;TEXT(CU$2+FLOOR((CU$2-1)/9,1),"000"),"")</f>
        <v/>
      </c>
      <c r="CV94" s="22" t="str">
        <f>IF(INDEX('Shot Map'!$B$6:$V$26,CEILING($A94/5,1),CEILING(CV$2/5,1))=1,INDEX('Serial Reference'!$A$8:$W$8,1,FLOOR(($A94-1)/23,1)+1)&amp;INDEX('Serial Reference'!$A$8:$W$8,1,MOD($A94-1,23)+1)&amp;TEXT(CV$2+FLOOR((CV$2-1)/9,1),"000"),"")</f>
        <v/>
      </c>
      <c r="CW94" s="23" t="str">
        <f>IF(INDEX('Shot Map'!$B$6:$V$26,CEILING($A94/5,1),CEILING(CW$2/5,1))=1,INDEX('Serial Reference'!$A$8:$W$8,1,FLOOR(($A94-1)/23,1)+1)&amp;INDEX('Serial Reference'!$A$8:$W$8,1,MOD($A94-1,23)+1)&amp;TEXT(CW$2+FLOOR((CW$2-1)/9,1),"000"),"")</f>
        <v/>
      </c>
      <c r="CX94" s="21" t="str">
        <f>IF(INDEX('Shot Map'!$B$6:$V$26,CEILING($A94/5,1),CEILING(CX$2/5,1))=1,INDEX('Serial Reference'!$A$8:$W$8,1,FLOOR(($A94-1)/23,1)+1)&amp;INDEX('Serial Reference'!$A$8:$W$8,1,MOD($A94-1,23)+1)&amp;TEXT(CX$2+FLOOR((CX$2-1)/9,1),"000"),"")</f>
        <v/>
      </c>
      <c r="CY94" s="22" t="str">
        <f>IF(INDEX('Shot Map'!$B$6:$V$26,CEILING($A94/5,1),CEILING(CY$2/5,1))=1,INDEX('Serial Reference'!$A$8:$W$8,1,FLOOR(($A94-1)/23,1)+1)&amp;INDEX('Serial Reference'!$A$8:$W$8,1,MOD($A94-1,23)+1)&amp;TEXT(CY$2+FLOOR((CY$2-1)/9,1),"000"),"")</f>
        <v/>
      </c>
      <c r="CZ94" s="22" t="str">
        <f>IF(INDEX('Shot Map'!$B$6:$V$26,CEILING($A94/5,1),CEILING(CZ$2/5,1))=1,INDEX('Serial Reference'!$A$8:$W$8,1,FLOOR(($A94-1)/23,1)+1)&amp;INDEX('Serial Reference'!$A$8:$W$8,1,MOD($A94-1,23)+1)&amp;TEXT(CZ$2+FLOOR((CZ$2-1)/9,1),"000"),"")</f>
        <v/>
      </c>
      <c r="DA94" s="22" t="str">
        <f>IF(INDEX('Shot Map'!$B$6:$V$26,CEILING($A94/5,1),CEILING(DA$2/5,1))=1,INDEX('Serial Reference'!$A$8:$W$8,1,FLOOR(($A94-1)/23,1)+1)&amp;INDEX('Serial Reference'!$A$8:$W$8,1,MOD($A94-1,23)+1)&amp;TEXT(DA$2+FLOOR((DA$2-1)/9,1),"000"),"")</f>
        <v/>
      </c>
      <c r="DB94" s="23" t="str">
        <f>IF(INDEX('Shot Map'!$B$6:$V$26,CEILING($A94/5,1),CEILING(DB$2/5,1))=1,INDEX('Serial Reference'!$A$8:$W$8,1,FLOOR(($A94-1)/23,1)+1)&amp;INDEX('Serial Reference'!$A$8:$W$8,1,MOD($A94-1,23)+1)&amp;TEXT(DB$2+FLOOR((DB$2-1)/9,1),"000"),"")</f>
        <v/>
      </c>
    </row>
    <row r="95" spans="1:106" ht="12.75" customHeight="1" x14ac:dyDescent="0.25">
      <c r="A95" s="17">
        <v>93</v>
      </c>
      <c r="B95" s="21" t="str">
        <f>IF(INDEX('Shot Map'!$B$6:$V$26,CEILING($A95/5,1),CEILING(B$2/5,1))=1,INDEX('Serial Reference'!$A$8:$W$8,1,FLOOR(($A95-1)/23,1)+1)&amp;INDEX('Serial Reference'!$A$8:$W$8,1,MOD($A95-1,23)+1)&amp;TEXT(B$2+FLOOR((B$2-1)/9,1),"000"),"")</f>
        <v/>
      </c>
      <c r="C95" s="22" t="str">
        <f>IF(INDEX('Shot Map'!$B$6:$V$26,CEILING($A95/5,1),CEILING(C$2/5,1))=1,INDEX('Serial Reference'!$A$8:$W$8,1,FLOOR(($A95-1)/23,1)+1)&amp;INDEX('Serial Reference'!$A$8:$W$8,1,MOD($A95-1,23)+1)&amp;TEXT(C$2+FLOOR((C$2-1)/9,1),"000"),"")</f>
        <v/>
      </c>
      <c r="D95" s="22" t="str">
        <f>IF(INDEX('Shot Map'!$B$6:$V$26,CEILING($A95/5,1),CEILING(D$2/5,1))=1,INDEX('Serial Reference'!$A$8:$W$8,1,FLOOR(($A95-1)/23,1)+1)&amp;INDEX('Serial Reference'!$A$8:$W$8,1,MOD($A95-1,23)+1)&amp;TEXT(D$2+FLOOR((D$2-1)/9,1),"000"),"")</f>
        <v/>
      </c>
      <c r="E95" s="22" t="str">
        <f>IF(INDEX('Shot Map'!$B$6:$V$26,CEILING($A95/5,1),CEILING(E$2/5,1))=1,INDEX('Serial Reference'!$A$8:$W$8,1,FLOOR(($A95-1)/23,1)+1)&amp;INDEX('Serial Reference'!$A$8:$W$8,1,MOD($A95-1,23)+1)&amp;TEXT(E$2+FLOOR((E$2-1)/9,1),"000"),"")</f>
        <v/>
      </c>
      <c r="F95" s="23" t="str">
        <f>IF(INDEX('Shot Map'!$B$6:$V$26,CEILING($A95/5,1),CEILING(F$2/5,1))=1,INDEX('Serial Reference'!$A$8:$W$8,1,FLOOR(($A95-1)/23,1)+1)&amp;INDEX('Serial Reference'!$A$8:$W$8,1,MOD($A95-1,23)+1)&amp;TEXT(F$2+FLOOR((F$2-1)/9,1),"000"),"")</f>
        <v/>
      </c>
      <c r="G95" s="21" t="str">
        <f>IF(INDEX('Shot Map'!$B$6:$V$26,CEILING($A95/5,1),CEILING(G$2/5,1))=1,INDEX('Serial Reference'!$A$8:$W$8,1,FLOOR(($A95-1)/23,1)+1)&amp;INDEX('Serial Reference'!$A$8:$W$8,1,MOD($A95-1,23)+1)&amp;TEXT(G$2+FLOOR((G$2-1)/9,1),"000"),"")</f>
        <v/>
      </c>
      <c r="H95" s="22" t="str">
        <f>IF(INDEX('Shot Map'!$B$6:$V$26,CEILING($A95/5,1),CEILING(H$2/5,1))=1,INDEX('Serial Reference'!$A$8:$W$8,1,FLOOR(($A95-1)/23,1)+1)&amp;INDEX('Serial Reference'!$A$8:$W$8,1,MOD($A95-1,23)+1)&amp;TEXT(H$2+FLOOR((H$2-1)/9,1),"000"),"")</f>
        <v/>
      </c>
      <c r="I95" s="22" t="str">
        <f>IF(INDEX('Shot Map'!$B$6:$V$26,CEILING($A95/5,1),CEILING(I$2/5,1))=1,INDEX('Serial Reference'!$A$8:$W$8,1,FLOOR(($A95-1)/23,1)+1)&amp;INDEX('Serial Reference'!$A$8:$W$8,1,MOD($A95-1,23)+1)&amp;TEXT(I$2+FLOOR((I$2-1)/9,1),"000"),"")</f>
        <v/>
      </c>
      <c r="J95" s="22" t="str">
        <f>IF(INDEX('Shot Map'!$B$6:$V$26,CEILING($A95/5,1),CEILING(J$2/5,1))=1,INDEX('Serial Reference'!$A$8:$W$8,1,FLOOR(($A95-1)/23,1)+1)&amp;INDEX('Serial Reference'!$A$8:$W$8,1,MOD($A95-1,23)+1)&amp;TEXT(J$2+FLOOR((J$2-1)/9,1),"000"),"")</f>
        <v/>
      </c>
      <c r="K95" s="23" t="str">
        <f>IF(INDEX('Shot Map'!$B$6:$V$26,CEILING($A95/5,1),CEILING(K$2/5,1))=1,INDEX('Serial Reference'!$A$8:$W$8,1,FLOOR(($A95-1)/23,1)+1)&amp;INDEX('Serial Reference'!$A$8:$W$8,1,MOD($A95-1,23)+1)&amp;TEXT(K$2+FLOOR((K$2-1)/9,1),"000"),"")</f>
        <v/>
      </c>
      <c r="L95" s="21" t="str">
        <f>IF(INDEX('Shot Map'!$B$6:$V$26,CEILING($A95/5,1),CEILING(L$2/5,1))=1,INDEX('Serial Reference'!$A$8:$W$8,1,FLOOR(($A95-1)/23,1)+1)&amp;INDEX('Serial Reference'!$A$8:$W$8,1,MOD($A95-1,23)+1)&amp;TEXT(L$2+FLOOR((L$2-1)/9,1),"000"),"")</f>
        <v/>
      </c>
      <c r="M95" s="22" t="str">
        <f>IF(INDEX('Shot Map'!$B$6:$V$26,CEILING($A95/5,1),CEILING(M$2/5,1))=1,INDEX('Serial Reference'!$A$8:$W$8,1,FLOOR(($A95-1)/23,1)+1)&amp;INDEX('Serial Reference'!$A$8:$W$8,1,MOD($A95-1,23)+1)&amp;TEXT(M$2+FLOOR((M$2-1)/9,1),"000"),"")</f>
        <v/>
      </c>
      <c r="N95" s="22" t="str">
        <f>IF(INDEX('Shot Map'!$B$6:$V$26,CEILING($A95/5,1),CEILING(N$2/5,1))=1,INDEX('Serial Reference'!$A$8:$W$8,1,FLOOR(($A95-1)/23,1)+1)&amp;INDEX('Serial Reference'!$A$8:$W$8,1,MOD($A95-1,23)+1)&amp;TEXT(N$2+FLOOR((N$2-1)/9,1),"000"),"")</f>
        <v/>
      </c>
      <c r="O95" s="22" t="str">
        <f>IF(INDEX('Shot Map'!$B$6:$V$26,CEILING($A95/5,1),CEILING(O$2/5,1))=1,INDEX('Serial Reference'!$A$8:$W$8,1,FLOOR(($A95-1)/23,1)+1)&amp;INDEX('Serial Reference'!$A$8:$W$8,1,MOD($A95-1,23)+1)&amp;TEXT(O$2+FLOOR((O$2-1)/9,1),"000"),"")</f>
        <v/>
      </c>
      <c r="P95" s="23" t="str">
        <f>IF(INDEX('Shot Map'!$B$6:$V$26,CEILING($A95/5,1),CEILING(P$2/5,1))=1,INDEX('Serial Reference'!$A$8:$W$8,1,FLOOR(($A95-1)/23,1)+1)&amp;INDEX('Serial Reference'!$A$8:$W$8,1,MOD($A95-1,23)+1)&amp;TEXT(P$2+FLOOR((P$2-1)/9,1),"000"),"")</f>
        <v/>
      </c>
      <c r="Q95" s="21" t="str">
        <f>IF(INDEX('Shot Map'!$B$6:$V$26,CEILING($A95/5,1),CEILING(Q$2/5,1))=1,INDEX('Serial Reference'!$A$8:$W$8,1,FLOOR(($A95-1)/23,1)+1)&amp;INDEX('Serial Reference'!$A$8:$W$8,1,MOD($A95-1,23)+1)&amp;TEXT(Q$2+FLOOR((Q$2-1)/9,1),"000"),"")</f>
        <v/>
      </c>
      <c r="R95" s="22" t="str">
        <f>IF(INDEX('Shot Map'!$B$6:$V$26,CEILING($A95/5,1),CEILING(R$2/5,1))=1,INDEX('Serial Reference'!$A$8:$W$8,1,FLOOR(($A95-1)/23,1)+1)&amp;INDEX('Serial Reference'!$A$8:$W$8,1,MOD($A95-1,23)+1)&amp;TEXT(R$2+FLOOR((R$2-1)/9,1),"000"),"")</f>
        <v/>
      </c>
      <c r="S95" s="22" t="str">
        <f>IF(INDEX('Shot Map'!$B$6:$V$26,CEILING($A95/5,1),CEILING(S$2/5,1))=1,INDEX('Serial Reference'!$A$8:$W$8,1,FLOOR(($A95-1)/23,1)+1)&amp;INDEX('Serial Reference'!$A$8:$W$8,1,MOD($A95-1,23)+1)&amp;TEXT(S$2+FLOOR((S$2-1)/9,1),"000"),"")</f>
        <v/>
      </c>
      <c r="T95" s="22" t="str">
        <f>IF(INDEX('Shot Map'!$B$6:$V$26,CEILING($A95/5,1),CEILING(T$2/5,1))=1,INDEX('Serial Reference'!$A$8:$W$8,1,FLOOR(($A95-1)/23,1)+1)&amp;INDEX('Serial Reference'!$A$8:$W$8,1,MOD($A95-1,23)+1)&amp;TEXT(T$2+FLOOR((T$2-1)/9,1),"000"),"")</f>
        <v/>
      </c>
      <c r="U95" s="23" t="str">
        <f>IF(INDEX('Shot Map'!$B$6:$V$26,CEILING($A95/5,1),CEILING(U$2/5,1))=1,INDEX('Serial Reference'!$A$8:$W$8,1,FLOOR(($A95-1)/23,1)+1)&amp;INDEX('Serial Reference'!$A$8:$W$8,1,MOD($A95-1,23)+1)&amp;TEXT(U$2+FLOOR((U$2-1)/9,1),"000"),"")</f>
        <v/>
      </c>
      <c r="V95" s="21" t="str">
        <f>IF(INDEX('Shot Map'!$B$6:$V$26,CEILING($A95/5,1),CEILING(V$2/5,1))=1,INDEX('Serial Reference'!$A$8:$W$8,1,FLOOR(($A95-1)/23,1)+1)&amp;INDEX('Serial Reference'!$A$8:$W$8,1,MOD($A95-1,23)+1)&amp;TEXT(V$2+FLOOR((V$2-1)/9,1),"000"),"")</f>
        <v>EA023</v>
      </c>
      <c r="W95" s="22" t="str">
        <f>IF(INDEX('Shot Map'!$B$6:$V$26,CEILING($A95/5,1),CEILING(W$2/5,1))=1,INDEX('Serial Reference'!$A$8:$W$8,1,FLOOR(($A95-1)/23,1)+1)&amp;INDEX('Serial Reference'!$A$8:$W$8,1,MOD($A95-1,23)+1)&amp;TEXT(W$2+FLOOR((W$2-1)/9,1),"000"),"")</f>
        <v>EA024</v>
      </c>
      <c r="X95" s="22" t="str">
        <f>IF(INDEX('Shot Map'!$B$6:$V$26,CEILING($A95/5,1),CEILING(X$2/5,1))=1,INDEX('Serial Reference'!$A$8:$W$8,1,FLOOR(($A95-1)/23,1)+1)&amp;INDEX('Serial Reference'!$A$8:$W$8,1,MOD($A95-1,23)+1)&amp;TEXT(X$2+FLOOR((X$2-1)/9,1),"000"),"")</f>
        <v>EA025</v>
      </c>
      <c r="Y95" s="22" t="str">
        <f>IF(INDEX('Shot Map'!$B$6:$V$26,CEILING($A95/5,1),CEILING(Y$2/5,1))=1,INDEX('Serial Reference'!$A$8:$W$8,1,FLOOR(($A95-1)/23,1)+1)&amp;INDEX('Serial Reference'!$A$8:$W$8,1,MOD($A95-1,23)+1)&amp;TEXT(Y$2+FLOOR((Y$2-1)/9,1),"000"),"")</f>
        <v>EA026</v>
      </c>
      <c r="Z95" s="23" t="str">
        <f>IF(INDEX('Shot Map'!$B$6:$V$26,CEILING($A95/5,1),CEILING(Z$2/5,1))=1,INDEX('Serial Reference'!$A$8:$W$8,1,FLOOR(($A95-1)/23,1)+1)&amp;INDEX('Serial Reference'!$A$8:$W$8,1,MOD($A95-1,23)+1)&amp;TEXT(Z$2+FLOOR((Z$2-1)/9,1),"000"),"")</f>
        <v>EA027</v>
      </c>
      <c r="AA95" s="21" t="str">
        <f>IF(INDEX('Shot Map'!$B$6:$V$26,CEILING($A95/5,1),CEILING(AA$2/5,1))=1,INDEX('Serial Reference'!$A$8:$W$8,1,FLOOR(($A95-1)/23,1)+1)&amp;INDEX('Serial Reference'!$A$8:$W$8,1,MOD($A95-1,23)+1)&amp;TEXT(AA$2+FLOOR((AA$2-1)/9,1),"000"),"")</f>
        <v>EA028</v>
      </c>
      <c r="AB95" s="22" t="str">
        <f>IF(INDEX('Shot Map'!$B$6:$V$26,CEILING($A95/5,1),CEILING(AB$2/5,1))=1,INDEX('Serial Reference'!$A$8:$W$8,1,FLOOR(($A95-1)/23,1)+1)&amp;INDEX('Serial Reference'!$A$8:$W$8,1,MOD($A95-1,23)+1)&amp;TEXT(AB$2+FLOOR((AB$2-1)/9,1),"000"),"")</f>
        <v>EA029</v>
      </c>
      <c r="AC95" s="22" t="str">
        <f>IF(INDEX('Shot Map'!$B$6:$V$26,CEILING($A95/5,1),CEILING(AC$2/5,1))=1,INDEX('Serial Reference'!$A$8:$W$8,1,FLOOR(($A95-1)/23,1)+1)&amp;INDEX('Serial Reference'!$A$8:$W$8,1,MOD($A95-1,23)+1)&amp;TEXT(AC$2+FLOOR((AC$2-1)/9,1),"000"),"")</f>
        <v>EA031</v>
      </c>
      <c r="AD95" s="22" t="str">
        <f>IF(INDEX('Shot Map'!$B$6:$V$26,CEILING($A95/5,1),CEILING(AD$2/5,1))=1,INDEX('Serial Reference'!$A$8:$W$8,1,FLOOR(($A95-1)/23,1)+1)&amp;INDEX('Serial Reference'!$A$8:$W$8,1,MOD($A95-1,23)+1)&amp;TEXT(AD$2+FLOOR((AD$2-1)/9,1),"000"),"")</f>
        <v>EA032</v>
      </c>
      <c r="AE95" s="23" t="str">
        <f>IF(INDEX('Shot Map'!$B$6:$V$26,CEILING($A95/5,1),CEILING(AE$2/5,1))=1,INDEX('Serial Reference'!$A$8:$W$8,1,FLOOR(($A95-1)/23,1)+1)&amp;INDEX('Serial Reference'!$A$8:$W$8,1,MOD($A95-1,23)+1)&amp;TEXT(AE$2+FLOOR((AE$2-1)/9,1),"000"),"")</f>
        <v>EA033</v>
      </c>
      <c r="AF95" s="21" t="str">
        <f>IF(INDEX('Shot Map'!$B$6:$V$26,CEILING($A95/5,1),CEILING(AF$2/5,1))=1,INDEX('Serial Reference'!$A$8:$W$8,1,FLOOR(($A95-1)/23,1)+1)&amp;INDEX('Serial Reference'!$A$8:$W$8,1,MOD($A95-1,23)+1)&amp;TEXT(AF$2+FLOOR((AF$2-1)/9,1),"000"),"")</f>
        <v>EA034</v>
      </c>
      <c r="AG95" s="22" t="str">
        <f>IF(INDEX('Shot Map'!$B$6:$V$26,CEILING($A95/5,1),CEILING(AG$2/5,1))=1,INDEX('Serial Reference'!$A$8:$W$8,1,FLOOR(($A95-1)/23,1)+1)&amp;INDEX('Serial Reference'!$A$8:$W$8,1,MOD($A95-1,23)+1)&amp;TEXT(AG$2+FLOOR((AG$2-1)/9,1),"000"),"")</f>
        <v>EA035</v>
      </c>
      <c r="AH95" s="22" t="str">
        <f>IF(INDEX('Shot Map'!$B$6:$V$26,CEILING($A95/5,1),CEILING(AH$2/5,1))=1,INDEX('Serial Reference'!$A$8:$W$8,1,FLOOR(($A95-1)/23,1)+1)&amp;INDEX('Serial Reference'!$A$8:$W$8,1,MOD($A95-1,23)+1)&amp;TEXT(AH$2+FLOOR((AH$2-1)/9,1),"000"),"")</f>
        <v>EA036</v>
      </c>
      <c r="AI95" s="22" t="str">
        <f>IF(INDEX('Shot Map'!$B$6:$V$26,CEILING($A95/5,1),CEILING(AI$2/5,1))=1,INDEX('Serial Reference'!$A$8:$W$8,1,FLOOR(($A95-1)/23,1)+1)&amp;INDEX('Serial Reference'!$A$8:$W$8,1,MOD($A95-1,23)+1)&amp;TEXT(AI$2+FLOOR((AI$2-1)/9,1),"000"),"")</f>
        <v>EA037</v>
      </c>
      <c r="AJ95" s="23" t="str">
        <f>IF(INDEX('Shot Map'!$B$6:$V$26,CEILING($A95/5,1),CEILING(AJ$2/5,1))=1,INDEX('Serial Reference'!$A$8:$W$8,1,FLOOR(($A95-1)/23,1)+1)&amp;INDEX('Serial Reference'!$A$8:$W$8,1,MOD($A95-1,23)+1)&amp;TEXT(AJ$2+FLOOR((AJ$2-1)/9,1),"000"),"")</f>
        <v>EA038</v>
      </c>
      <c r="AK95" s="21" t="str">
        <f>IF(INDEX('Shot Map'!$B$6:$V$26,CEILING($A95/5,1),CEILING(AK$2/5,1))=1,INDEX('Serial Reference'!$A$8:$W$8,1,FLOOR(($A95-1)/23,1)+1)&amp;INDEX('Serial Reference'!$A$8:$W$8,1,MOD($A95-1,23)+1)&amp;TEXT(AK$2+FLOOR((AK$2-1)/9,1),"000"),"")</f>
        <v>EA039</v>
      </c>
      <c r="AL95" s="22" t="str">
        <f>IF(INDEX('Shot Map'!$B$6:$V$26,CEILING($A95/5,1),CEILING(AL$2/5,1))=1,INDEX('Serial Reference'!$A$8:$W$8,1,FLOOR(($A95-1)/23,1)+1)&amp;INDEX('Serial Reference'!$A$8:$W$8,1,MOD($A95-1,23)+1)&amp;TEXT(AL$2+FLOOR((AL$2-1)/9,1),"000"),"")</f>
        <v>EA041</v>
      </c>
      <c r="AM95" s="22" t="str">
        <f>IF(INDEX('Shot Map'!$B$6:$V$26,CEILING($A95/5,1),CEILING(AM$2/5,1))=1,INDEX('Serial Reference'!$A$8:$W$8,1,FLOOR(($A95-1)/23,1)+1)&amp;INDEX('Serial Reference'!$A$8:$W$8,1,MOD($A95-1,23)+1)&amp;TEXT(AM$2+FLOOR((AM$2-1)/9,1),"000"),"")</f>
        <v>EA042</v>
      </c>
      <c r="AN95" s="22" t="str">
        <f>IF(INDEX('Shot Map'!$B$6:$V$26,CEILING($A95/5,1),CEILING(AN$2/5,1))=1,INDEX('Serial Reference'!$A$8:$W$8,1,FLOOR(($A95-1)/23,1)+1)&amp;INDEX('Serial Reference'!$A$8:$W$8,1,MOD($A95-1,23)+1)&amp;TEXT(AN$2+FLOOR((AN$2-1)/9,1),"000"),"")</f>
        <v>EA043</v>
      </c>
      <c r="AO95" s="23" t="str">
        <f>IF(INDEX('Shot Map'!$B$6:$V$26,CEILING($A95/5,1),CEILING(AO$2/5,1))=1,INDEX('Serial Reference'!$A$8:$W$8,1,FLOOR(($A95-1)/23,1)+1)&amp;INDEX('Serial Reference'!$A$8:$W$8,1,MOD($A95-1,23)+1)&amp;TEXT(AO$2+FLOOR((AO$2-1)/9,1),"000"),"")</f>
        <v>EA044</v>
      </c>
      <c r="AP95" s="21" t="str">
        <f>IF(INDEX('Shot Map'!$B$6:$V$26,CEILING($A95/5,1),CEILING(AP$2/5,1))=1,INDEX('Serial Reference'!$A$8:$W$8,1,FLOOR(($A95-1)/23,1)+1)&amp;INDEX('Serial Reference'!$A$8:$W$8,1,MOD($A95-1,23)+1)&amp;TEXT(AP$2+FLOOR((AP$2-1)/9,1),"000"),"")</f>
        <v>EA045</v>
      </c>
      <c r="AQ95" s="22" t="str">
        <f>IF(INDEX('Shot Map'!$B$6:$V$26,CEILING($A95/5,1),CEILING(AQ$2/5,1))=1,INDEX('Serial Reference'!$A$8:$W$8,1,FLOOR(($A95-1)/23,1)+1)&amp;INDEX('Serial Reference'!$A$8:$W$8,1,MOD($A95-1,23)+1)&amp;TEXT(AQ$2+FLOOR((AQ$2-1)/9,1),"000"),"")</f>
        <v>EA046</v>
      </c>
      <c r="AR95" s="22" t="str">
        <f>IF(INDEX('Shot Map'!$B$6:$V$26,CEILING($A95/5,1),CEILING(AR$2/5,1))=1,INDEX('Serial Reference'!$A$8:$W$8,1,FLOOR(($A95-1)/23,1)+1)&amp;INDEX('Serial Reference'!$A$8:$W$8,1,MOD($A95-1,23)+1)&amp;TEXT(AR$2+FLOOR((AR$2-1)/9,1),"000"),"")</f>
        <v>EA047</v>
      </c>
      <c r="AS95" s="22" t="str">
        <f>IF(INDEX('Shot Map'!$B$6:$V$26,CEILING($A95/5,1),CEILING(AS$2/5,1))=1,INDEX('Serial Reference'!$A$8:$W$8,1,FLOOR(($A95-1)/23,1)+1)&amp;INDEX('Serial Reference'!$A$8:$W$8,1,MOD($A95-1,23)+1)&amp;TEXT(AS$2+FLOOR((AS$2-1)/9,1),"000"),"")</f>
        <v>EA048</v>
      </c>
      <c r="AT95" s="23" t="str">
        <f>IF(INDEX('Shot Map'!$B$6:$V$26,CEILING($A95/5,1),CEILING(AT$2/5,1))=1,INDEX('Serial Reference'!$A$8:$W$8,1,FLOOR(($A95-1)/23,1)+1)&amp;INDEX('Serial Reference'!$A$8:$W$8,1,MOD($A95-1,23)+1)&amp;TEXT(AT$2+FLOOR((AT$2-1)/9,1),"000"),"")</f>
        <v>EA049</v>
      </c>
      <c r="AU95" s="21" t="str">
        <f>IF(INDEX('Shot Map'!$B$6:$V$26,CEILING($A95/5,1),CEILING(AU$2/5,1))=1,INDEX('Serial Reference'!$A$8:$W$8,1,FLOOR(($A95-1)/23,1)+1)&amp;INDEX('Serial Reference'!$A$8:$W$8,1,MOD($A95-1,23)+1)&amp;TEXT(AU$2+FLOOR((AU$2-1)/9,1),"000"),"")</f>
        <v>EA051</v>
      </c>
      <c r="AV95" s="22" t="str">
        <f>IF(INDEX('Shot Map'!$B$6:$V$26,CEILING($A95/5,1),CEILING(AV$2/5,1))=1,INDEX('Serial Reference'!$A$8:$W$8,1,FLOOR(($A95-1)/23,1)+1)&amp;INDEX('Serial Reference'!$A$8:$W$8,1,MOD($A95-1,23)+1)&amp;TEXT(AV$2+FLOOR((AV$2-1)/9,1),"000"),"")</f>
        <v>EA052</v>
      </c>
      <c r="AW95" s="22" t="str">
        <f>IF(INDEX('Shot Map'!$B$6:$V$26,CEILING($A95/5,1),CEILING(AW$2/5,1))=1,INDEX('Serial Reference'!$A$8:$W$8,1,FLOOR(($A95-1)/23,1)+1)&amp;INDEX('Serial Reference'!$A$8:$W$8,1,MOD($A95-1,23)+1)&amp;TEXT(AW$2+FLOOR((AW$2-1)/9,1),"000"),"")</f>
        <v>EA053</v>
      </c>
      <c r="AX95" s="22" t="str">
        <f>IF(INDEX('Shot Map'!$B$6:$V$26,CEILING($A95/5,1),CEILING(AX$2/5,1))=1,INDEX('Serial Reference'!$A$8:$W$8,1,FLOOR(($A95-1)/23,1)+1)&amp;INDEX('Serial Reference'!$A$8:$W$8,1,MOD($A95-1,23)+1)&amp;TEXT(AX$2+FLOOR((AX$2-1)/9,1),"000"),"")</f>
        <v>EA054</v>
      </c>
      <c r="AY95" s="23" t="str">
        <f>IF(INDEX('Shot Map'!$B$6:$V$26,CEILING($A95/5,1),CEILING(AY$2/5,1))=1,INDEX('Serial Reference'!$A$8:$W$8,1,FLOOR(($A95-1)/23,1)+1)&amp;INDEX('Serial Reference'!$A$8:$W$8,1,MOD($A95-1,23)+1)&amp;TEXT(AY$2+FLOOR((AY$2-1)/9,1),"000"),"")</f>
        <v>EA055</v>
      </c>
      <c r="AZ95" s="21" t="str">
        <f>IF(INDEX('Shot Map'!$B$6:$V$26,CEILING($A95/5,1),CEILING(AZ$2/5,1))=1,INDEX('Serial Reference'!$A$8:$W$8,1,FLOOR(($A95-1)/23,1)+1)&amp;INDEX('Serial Reference'!$A$8:$W$8,1,MOD($A95-1,23)+1)&amp;TEXT(AZ$2+FLOOR((AZ$2-1)/9,1),"000"),"")</f>
        <v>EA056</v>
      </c>
      <c r="BA95" s="22" t="str">
        <f>IF(INDEX('Shot Map'!$B$6:$V$26,CEILING($A95/5,1),CEILING(BA$2/5,1))=1,INDEX('Serial Reference'!$A$8:$W$8,1,FLOOR(($A95-1)/23,1)+1)&amp;INDEX('Serial Reference'!$A$8:$W$8,1,MOD($A95-1,23)+1)&amp;TEXT(BA$2+FLOOR((BA$2-1)/9,1),"000"),"")</f>
        <v>EA057</v>
      </c>
      <c r="BB95" s="22" t="str">
        <f>IF(INDEX('Shot Map'!$B$6:$V$26,CEILING($A95/5,1),CEILING(BB$2/5,1))=1,INDEX('Serial Reference'!$A$8:$W$8,1,FLOOR(($A95-1)/23,1)+1)&amp;INDEX('Serial Reference'!$A$8:$W$8,1,MOD($A95-1,23)+1)&amp;TEXT(BB$2+FLOOR((BB$2-1)/9,1),"000"),"")</f>
        <v>EA058</v>
      </c>
      <c r="BC95" s="22" t="str">
        <f>IF(INDEX('Shot Map'!$B$6:$V$26,CEILING($A95/5,1),CEILING(BC$2/5,1))=1,INDEX('Serial Reference'!$A$8:$W$8,1,FLOOR(($A95-1)/23,1)+1)&amp;INDEX('Serial Reference'!$A$8:$W$8,1,MOD($A95-1,23)+1)&amp;TEXT(BC$2+FLOOR((BC$2-1)/9,1),"000"),"")</f>
        <v>EA059</v>
      </c>
      <c r="BD95" s="23" t="str">
        <f>IF(INDEX('Shot Map'!$B$6:$V$26,CEILING($A95/5,1),CEILING(BD$2/5,1))=1,INDEX('Serial Reference'!$A$8:$W$8,1,FLOOR(($A95-1)/23,1)+1)&amp;INDEX('Serial Reference'!$A$8:$W$8,1,MOD($A95-1,23)+1)&amp;TEXT(BD$2+FLOOR((BD$2-1)/9,1),"000"),"")</f>
        <v>EA061</v>
      </c>
      <c r="BE95" s="21" t="str">
        <f>IF(INDEX('Shot Map'!$B$6:$V$26,CEILING($A95/5,1),CEILING(BE$2/5,1))=1,INDEX('Serial Reference'!$A$8:$W$8,1,FLOOR(($A95-1)/23,1)+1)&amp;INDEX('Serial Reference'!$A$8:$W$8,1,MOD($A95-1,23)+1)&amp;TEXT(BE$2+FLOOR((BE$2-1)/9,1),"000"),"")</f>
        <v>EA062</v>
      </c>
      <c r="BF95" s="22" t="str">
        <f>IF(INDEX('Shot Map'!$B$6:$V$26,CEILING($A95/5,1),CEILING(BF$2/5,1))=1,INDEX('Serial Reference'!$A$8:$W$8,1,FLOOR(($A95-1)/23,1)+1)&amp;INDEX('Serial Reference'!$A$8:$W$8,1,MOD($A95-1,23)+1)&amp;TEXT(BF$2+FLOOR((BF$2-1)/9,1),"000"),"")</f>
        <v>EA063</v>
      </c>
      <c r="BG95" s="22" t="str">
        <f>IF(INDEX('Shot Map'!$B$6:$V$26,CEILING($A95/5,1),CEILING(BG$2/5,1))=1,INDEX('Serial Reference'!$A$8:$W$8,1,FLOOR(($A95-1)/23,1)+1)&amp;INDEX('Serial Reference'!$A$8:$W$8,1,MOD($A95-1,23)+1)&amp;TEXT(BG$2+FLOOR((BG$2-1)/9,1),"000"),"")</f>
        <v>EA064</v>
      </c>
      <c r="BH95" s="22" t="str">
        <f>IF(INDEX('Shot Map'!$B$6:$V$26,CEILING($A95/5,1),CEILING(BH$2/5,1))=1,INDEX('Serial Reference'!$A$8:$W$8,1,FLOOR(($A95-1)/23,1)+1)&amp;INDEX('Serial Reference'!$A$8:$W$8,1,MOD($A95-1,23)+1)&amp;TEXT(BH$2+FLOOR((BH$2-1)/9,1),"000"),"")</f>
        <v>EA065</v>
      </c>
      <c r="BI95" s="23" t="str">
        <f>IF(INDEX('Shot Map'!$B$6:$V$26,CEILING($A95/5,1),CEILING(BI$2/5,1))=1,INDEX('Serial Reference'!$A$8:$W$8,1,FLOOR(($A95-1)/23,1)+1)&amp;INDEX('Serial Reference'!$A$8:$W$8,1,MOD($A95-1,23)+1)&amp;TEXT(BI$2+FLOOR((BI$2-1)/9,1),"000"),"")</f>
        <v>EA066</v>
      </c>
      <c r="BJ95" s="21" t="str">
        <f>IF(INDEX('Shot Map'!$B$6:$V$26,CEILING($A95/5,1),CEILING(BJ$2/5,1))=1,INDEX('Serial Reference'!$A$8:$W$8,1,FLOOR(($A95-1)/23,1)+1)&amp;INDEX('Serial Reference'!$A$8:$W$8,1,MOD($A95-1,23)+1)&amp;TEXT(BJ$2+FLOOR((BJ$2-1)/9,1),"000"),"")</f>
        <v>EA067</v>
      </c>
      <c r="BK95" s="22" t="str">
        <f>IF(INDEX('Shot Map'!$B$6:$V$26,CEILING($A95/5,1),CEILING(BK$2/5,1))=1,INDEX('Serial Reference'!$A$8:$W$8,1,FLOOR(($A95-1)/23,1)+1)&amp;INDEX('Serial Reference'!$A$8:$W$8,1,MOD($A95-1,23)+1)&amp;TEXT(BK$2+FLOOR((BK$2-1)/9,1),"000"),"")</f>
        <v>EA068</v>
      </c>
      <c r="BL95" s="22" t="str">
        <f>IF(INDEX('Shot Map'!$B$6:$V$26,CEILING($A95/5,1),CEILING(BL$2/5,1))=1,INDEX('Serial Reference'!$A$8:$W$8,1,FLOOR(($A95-1)/23,1)+1)&amp;INDEX('Serial Reference'!$A$8:$W$8,1,MOD($A95-1,23)+1)&amp;TEXT(BL$2+FLOOR((BL$2-1)/9,1),"000"),"")</f>
        <v>EA069</v>
      </c>
      <c r="BM95" s="22" t="str">
        <f>IF(INDEX('Shot Map'!$B$6:$V$26,CEILING($A95/5,1),CEILING(BM$2/5,1))=1,INDEX('Serial Reference'!$A$8:$W$8,1,FLOOR(($A95-1)/23,1)+1)&amp;INDEX('Serial Reference'!$A$8:$W$8,1,MOD($A95-1,23)+1)&amp;TEXT(BM$2+FLOOR((BM$2-1)/9,1),"000"),"")</f>
        <v>EA071</v>
      </c>
      <c r="BN95" s="23" t="str">
        <f>IF(INDEX('Shot Map'!$B$6:$V$26,CEILING($A95/5,1),CEILING(BN$2/5,1))=1,INDEX('Serial Reference'!$A$8:$W$8,1,FLOOR(($A95-1)/23,1)+1)&amp;INDEX('Serial Reference'!$A$8:$W$8,1,MOD($A95-1,23)+1)&amp;TEXT(BN$2+FLOOR((BN$2-1)/9,1),"000"),"")</f>
        <v>EA072</v>
      </c>
      <c r="BO95" s="21" t="str">
        <f>IF(INDEX('Shot Map'!$B$6:$V$26,CEILING($A95/5,1),CEILING(BO$2/5,1))=1,INDEX('Serial Reference'!$A$8:$W$8,1,FLOOR(($A95-1)/23,1)+1)&amp;INDEX('Serial Reference'!$A$8:$W$8,1,MOD($A95-1,23)+1)&amp;TEXT(BO$2+FLOOR((BO$2-1)/9,1),"000"),"")</f>
        <v>EA073</v>
      </c>
      <c r="BP95" s="22" t="str">
        <f>IF(INDEX('Shot Map'!$B$6:$V$26,CEILING($A95/5,1),CEILING(BP$2/5,1))=1,INDEX('Serial Reference'!$A$8:$W$8,1,FLOOR(($A95-1)/23,1)+1)&amp;INDEX('Serial Reference'!$A$8:$W$8,1,MOD($A95-1,23)+1)&amp;TEXT(BP$2+FLOOR((BP$2-1)/9,1),"000"),"")</f>
        <v>EA074</v>
      </c>
      <c r="BQ95" s="22" t="str">
        <f>IF(INDEX('Shot Map'!$B$6:$V$26,CEILING($A95/5,1),CEILING(BQ$2/5,1))=1,INDEX('Serial Reference'!$A$8:$W$8,1,FLOOR(($A95-1)/23,1)+1)&amp;INDEX('Serial Reference'!$A$8:$W$8,1,MOD($A95-1,23)+1)&amp;TEXT(BQ$2+FLOOR((BQ$2-1)/9,1),"000"),"")</f>
        <v>EA075</v>
      </c>
      <c r="BR95" s="22" t="str">
        <f>IF(INDEX('Shot Map'!$B$6:$V$26,CEILING($A95/5,1),CEILING(BR$2/5,1))=1,INDEX('Serial Reference'!$A$8:$W$8,1,FLOOR(($A95-1)/23,1)+1)&amp;INDEX('Serial Reference'!$A$8:$W$8,1,MOD($A95-1,23)+1)&amp;TEXT(BR$2+FLOOR((BR$2-1)/9,1),"000"),"")</f>
        <v>EA076</v>
      </c>
      <c r="BS95" s="23" t="str">
        <f>IF(INDEX('Shot Map'!$B$6:$V$26,CEILING($A95/5,1),CEILING(BS$2/5,1))=1,INDEX('Serial Reference'!$A$8:$W$8,1,FLOOR(($A95-1)/23,1)+1)&amp;INDEX('Serial Reference'!$A$8:$W$8,1,MOD($A95-1,23)+1)&amp;TEXT(BS$2+FLOOR((BS$2-1)/9,1),"000"),"")</f>
        <v>EA077</v>
      </c>
      <c r="BT95" s="21" t="str">
        <f>IF(INDEX('Shot Map'!$B$6:$V$26,CEILING($A95/5,1),CEILING(BT$2/5,1))=1,INDEX('Serial Reference'!$A$8:$W$8,1,FLOOR(($A95-1)/23,1)+1)&amp;INDEX('Serial Reference'!$A$8:$W$8,1,MOD($A95-1,23)+1)&amp;TEXT(BT$2+FLOOR((BT$2-1)/9,1),"000"),"")</f>
        <v>EA078</v>
      </c>
      <c r="BU95" s="22" t="str">
        <f>IF(INDEX('Shot Map'!$B$6:$V$26,CEILING($A95/5,1),CEILING(BU$2/5,1))=1,INDEX('Serial Reference'!$A$8:$W$8,1,FLOOR(($A95-1)/23,1)+1)&amp;INDEX('Serial Reference'!$A$8:$W$8,1,MOD($A95-1,23)+1)&amp;TEXT(BU$2+FLOOR((BU$2-1)/9,1),"000"),"")</f>
        <v>EA079</v>
      </c>
      <c r="BV95" s="22" t="str">
        <f>IF(INDEX('Shot Map'!$B$6:$V$26,CEILING($A95/5,1),CEILING(BV$2/5,1))=1,INDEX('Serial Reference'!$A$8:$W$8,1,FLOOR(($A95-1)/23,1)+1)&amp;INDEX('Serial Reference'!$A$8:$W$8,1,MOD($A95-1,23)+1)&amp;TEXT(BV$2+FLOOR((BV$2-1)/9,1),"000"),"")</f>
        <v>EA081</v>
      </c>
      <c r="BW95" s="22" t="str">
        <f>IF(INDEX('Shot Map'!$B$6:$V$26,CEILING($A95/5,1),CEILING(BW$2/5,1))=1,INDEX('Serial Reference'!$A$8:$W$8,1,FLOOR(($A95-1)/23,1)+1)&amp;INDEX('Serial Reference'!$A$8:$W$8,1,MOD($A95-1,23)+1)&amp;TEXT(BW$2+FLOOR((BW$2-1)/9,1),"000"),"")</f>
        <v>EA082</v>
      </c>
      <c r="BX95" s="23" t="str">
        <f>IF(INDEX('Shot Map'!$B$6:$V$26,CEILING($A95/5,1),CEILING(BX$2/5,1))=1,INDEX('Serial Reference'!$A$8:$W$8,1,FLOOR(($A95-1)/23,1)+1)&amp;INDEX('Serial Reference'!$A$8:$W$8,1,MOD($A95-1,23)+1)&amp;TEXT(BX$2+FLOOR((BX$2-1)/9,1),"000"),"")</f>
        <v>EA083</v>
      </c>
      <c r="BY95" s="21" t="str">
        <f>IF(INDEX('Shot Map'!$B$6:$V$26,CEILING($A95/5,1),CEILING(BY$2/5,1))=1,INDEX('Serial Reference'!$A$8:$W$8,1,FLOOR(($A95-1)/23,1)+1)&amp;INDEX('Serial Reference'!$A$8:$W$8,1,MOD($A95-1,23)+1)&amp;TEXT(BY$2+FLOOR((BY$2-1)/9,1),"000"),"")</f>
        <v>EA084</v>
      </c>
      <c r="BZ95" s="22" t="str">
        <f>IF(INDEX('Shot Map'!$B$6:$V$26,CEILING($A95/5,1),CEILING(BZ$2/5,1))=1,INDEX('Serial Reference'!$A$8:$W$8,1,FLOOR(($A95-1)/23,1)+1)&amp;INDEX('Serial Reference'!$A$8:$W$8,1,MOD($A95-1,23)+1)&amp;TEXT(BZ$2+FLOOR((BZ$2-1)/9,1),"000"),"")</f>
        <v>EA085</v>
      </c>
      <c r="CA95" s="22" t="str">
        <f>IF(INDEX('Shot Map'!$B$6:$V$26,CEILING($A95/5,1),CEILING(CA$2/5,1))=1,INDEX('Serial Reference'!$A$8:$W$8,1,FLOOR(($A95-1)/23,1)+1)&amp;INDEX('Serial Reference'!$A$8:$W$8,1,MOD($A95-1,23)+1)&amp;TEXT(CA$2+FLOOR((CA$2-1)/9,1),"000"),"")</f>
        <v>EA086</v>
      </c>
      <c r="CB95" s="22" t="str">
        <f>IF(INDEX('Shot Map'!$B$6:$V$26,CEILING($A95/5,1),CEILING(CB$2/5,1))=1,INDEX('Serial Reference'!$A$8:$W$8,1,FLOOR(($A95-1)/23,1)+1)&amp;INDEX('Serial Reference'!$A$8:$W$8,1,MOD($A95-1,23)+1)&amp;TEXT(CB$2+FLOOR((CB$2-1)/9,1),"000"),"")</f>
        <v>EA087</v>
      </c>
      <c r="CC95" s="23" t="str">
        <f>IF(INDEX('Shot Map'!$B$6:$V$26,CEILING($A95/5,1),CEILING(CC$2/5,1))=1,INDEX('Serial Reference'!$A$8:$W$8,1,FLOOR(($A95-1)/23,1)+1)&amp;INDEX('Serial Reference'!$A$8:$W$8,1,MOD($A95-1,23)+1)&amp;TEXT(CC$2+FLOOR((CC$2-1)/9,1),"000"),"")</f>
        <v>EA088</v>
      </c>
      <c r="CD95" s="21" t="str">
        <f>IF(INDEX('Shot Map'!$B$6:$V$26,CEILING($A95/5,1),CEILING(CD$2/5,1))=1,INDEX('Serial Reference'!$A$8:$W$8,1,FLOOR(($A95-1)/23,1)+1)&amp;INDEX('Serial Reference'!$A$8:$W$8,1,MOD($A95-1,23)+1)&amp;TEXT(CD$2+FLOOR((CD$2-1)/9,1),"000"),"")</f>
        <v>EA089</v>
      </c>
      <c r="CE95" s="22" t="str">
        <f>IF(INDEX('Shot Map'!$B$6:$V$26,CEILING($A95/5,1),CEILING(CE$2/5,1))=1,INDEX('Serial Reference'!$A$8:$W$8,1,FLOOR(($A95-1)/23,1)+1)&amp;INDEX('Serial Reference'!$A$8:$W$8,1,MOD($A95-1,23)+1)&amp;TEXT(CE$2+FLOOR((CE$2-1)/9,1),"000"),"")</f>
        <v>EA091</v>
      </c>
      <c r="CF95" s="22" t="str">
        <f>IF(INDEX('Shot Map'!$B$6:$V$26,CEILING($A95/5,1),CEILING(CF$2/5,1))=1,INDEX('Serial Reference'!$A$8:$W$8,1,FLOOR(($A95-1)/23,1)+1)&amp;INDEX('Serial Reference'!$A$8:$W$8,1,MOD($A95-1,23)+1)&amp;TEXT(CF$2+FLOOR((CF$2-1)/9,1),"000"),"")</f>
        <v>EA092</v>
      </c>
      <c r="CG95" s="22" t="str">
        <f>IF(INDEX('Shot Map'!$B$6:$V$26,CEILING($A95/5,1),CEILING(CG$2/5,1))=1,INDEX('Serial Reference'!$A$8:$W$8,1,FLOOR(($A95-1)/23,1)+1)&amp;INDEX('Serial Reference'!$A$8:$W$8,1,MOD($A95-1,23)+1)&amp;TEXT(CG$2+FLOOR((CG$2-1)/9,1),"000"),"")</f>
        <v>EA093</v>
      </c>
      <c r="CH95" s="23" t="str">
        <f>IF(INDEX('Shot Map'!$B$6:$V$26,CEILING($A95/5,1),CEILING(CH$2/5,1))=1,INDEX('Serial Reference'!$A$8:$W$8,1,FLOOR(($A95-1)/23,1)+1)&amp;INDEX('Serial Reference'!$A$8:$W$8,1,MOD($A95-1,23)+1)&amp;TEXT(CH$2+FLOOR((CH$2-1)/9,1),"000"),"")</f>
        <v>EA094</v>
      </c>
      <c r="CI95" s="21" t="str">
        <f>IF(INDEX('Shot Map'!$B$6:$V$26,CEILING($A95/5,1),CEILING(CI$2/5,1))=1,INDEX('Serial Reference'!$A$8:$W$8,1,FLOOR(($A95-1)/23,1)+1)&amp;INDEX('Serial Reference'!$A$8:$W$8,1,MOD($A95-1,23)+1)&amp;TEXT(CI$2+FLOOR((CI$2-1)/9,1),"000"),"")</f>
        <v/>
      </c>
      <c r="CJ95" s="22" t="str">
        <f>IF(INDEX('Shot Map'!$B$6:$V$26,CEILING($A95/5,1),CEILING(CJ$2/5,1))=1,INDEX('Serial Reference'!$A$8:$W$8,1,FLOOR(($A95-1)/23,1)+1)&amp;INDEX('Serial Reference'!$A$8:$W$8,1,MOD($A95-1,23)+1)&amp;TEXT(CJ$2+FLOOR((CJ$2-1)/9,1),"000"),"")</f>
        <v/>
      </c>
      <c r="CK95" s="22" t="str">
        <f>IF(INDEX('Shot Map'!$B$6:$V$26,CEILING($A95/5,1),CEILING(CK$2/5,1))=1,INDEX('Serial Reference'!$A$8:$W$8,1,FLOOR(($A95-1)/23,1)+1)&amp;INDEX('Serial Reference'!$A$8:$W$8,1,MOD($A95-1,23)+1)&amp;TEXT(CK$2+FLOOR((CK$2-1)/9,1),"000"),"")</f>
        <v/>
      </c>
      <c r="CL95" s="22" t="str">
        <f>IF(INDEX('Shot Map'!$B$6:$V$26,CEILING($A95/5,1),CEILING(CL$2/5,1))=1,INDEX('Serial Reference'!$A$8:$W$8,1,FLOOR(($A95-1)/23,1)+1)&amp;INDEX('Serial Reference'!$A$8:$W$8,1,MOD($A95-1,23)+1)&amp;TEXT(CL$2+FLOOR((CL$2-1)/9,1),"000"),"")</f>
        <v/>
      </c>
      <c r="CM95" s="23" t="str">
        <f>IF(INDEX('Shot Map'!$B$6:$V$26,CEILING($A95/5,1),CEILING(CM$2/5,1))=1,INDEX('Serial Reference'!$A$8:$W$8,1,FLOOR(($A95-1)/23,1)+1)&amp;INDEX('Serial Reference'!$A$8:$W$8,1,MOD($A95-1,23)+1)&amp;TEXT(CM$2+FLOOR((CM$2-1)/9,1),"000"),"")</f>
        <v/>
      </c>
      <c r="CN95" s="21" t="str">
        <f>IF(INDEX('Shot Map'!$B$6:$V$26,CEILING($A95/5,1),CEILING(CN$2/5,1))=1,INDEX('Serial Reference'!$A$8:$W$8,1,FLOOR(($A95-1)/23,1)+1)&amp;INDEX('Serial Reference'!$A$8:$W$8,1,MOD($A95-1,23)+1)&amp;TEXT(CN$2+FLOOR((CN$2-1)/9,1),"000"),"")</f>
        <v/>
      </c>
      <c r="CO95" s="22" t="str">
        <f>IF(INDEX('Shot Map'!$B$6:$V$26,CEILING($A95/5,1),CEILING(CO$2/5,1))=1,INDEX('Serial Reference'!$A$8:$W$8,1,FLOOR(($A95-1)/23,1)+1)&amp;INDEX('Serial Reference'!$A$8:$W$8,1,MOD($A95-1,23)+1)&amp;TEXT(CO$2+FLOOR((CO$2-1)/9,1),"000"),"")</f>
        <v/>
      </c>
      <c r="CP95" s="22" t="str">
        <f>IF(INDEX('Shot Map'!$B$6:$V$26,CEILING($A95/5,1),CEILING(CP$2/5,1))=1,INDEX('Serial Reference'!$A$8:$W$8,1,FLOOR(($A95-1)/23,1)+1)&amp;INDEX('Serial Reference'!$A$8:$W$8,1,MOD($A95-1,23)+1)&amp;TEXT(CP$2+FLOOR((CP$2-1)/9,1),"000"),"")</f>
        <v/>
      </c>
      <c r="CQ95" s="22" t="str">
        <f>IF(INDEX('Shot Map'!$B$6:$V$26,CEILING($A95/5,1),CEILING(CQ$2/5,1))=1,INDEX('Serial Reference'!$A$8:$W$8,1,FLOOR(($A95-1)/23,1)+1)&amp;INDEX('Serial Reference'!$A$8:$W$8,1,MOD($A95-1,23)+1)&amp;TEXT(CQ$2+FLOOR((CQ$2-1)/9,1),"000"),"")</f>
        <v/>
      </c>
      <c r="CR95" s="23" t="str">
        <f>IF(INDEX('Shot Map'!$B$6:$V$26,CEILING($A95/5,1),CEILING(CR$2/5,1))=1,INDEX('Serial Reference'!$A$8:$W$8,1,FLOOR(($A95-1)/23,1)+1)&amp;INDEX('Serial Reference'!$A$8:$W$8,1,MOD($A95-1,23)+1)&amp;TEXT(CR$2+FLOOR((CR$2-1)/9,1),"000"),"")</f>
        <v/>
      </c>
      <c r="CS95" s="21" t="str">
        <f>IF(INDEX('Shot Map'!$B$6:$V$26,CEILING($A95/5,1),CEILING(CS$2/5,1))=1,INDEX('Serial Reference'!$A$8:$W$8,1,FLOOR(($A95-1)/23,1)+1)&amp;INDEX('Serial Reference'!$A$8:$W$8,1,MOD($A95-1,23)+1)&amp;TEXT(CS$2+FLOOR((CS$2-1)/9,1),"000"),"")</f>
        <v/>
      </c>
      <c r="CT95" s="22" t="str">
        <f>IF(INDEX('Shot Map'!$B$6:$V$26,CEILING($A95/5,1),CEILING(CT$2/5,1))=1,INDEX('Serial Reference'!$A$8:$W$8,1,FLOOR(($A95-1)/23,1)+1)&amp;INDEX('Serial Reference'!$A$8:$W$8,1,MOD($A95-1,23)+1)&amp;TEXT(CT$2+FLOOR((CT$2-1)/9,1),"000"),"")</f>
        <v/>
      </c>
      <c r="CU95" s="22" t="str">
        <f>IF(INDEX('Shot Map'!$B$6:$V$26,CEILING($A95/5,1),CEILING(CU$2/5,1))=1,INDEX('Serial Reference'!$A$8:$W$8,1,FLOOR(($A95-1)/23,1)+1)&amp;INDEX('Serial Reference'!$A$8:$W$8,1,MOD($A95-1,23)+1)&amp;TEXT(CU$2+FLOOR((CU$2-1)/9,1),"000"),"")</f>
        <v/>
      </c>
      <c r="CV95" s="22" t="str">
        <f>IF(INDEX('Shot Map'!$B$6:$V$26,CEILING($A95/5,1),CEILING(CV$2/5,1))=1,INDEX('Serial Reference'!$A$8:$W$8,1,FLOOR(($A95-1)/23,1)+1)&amp;INDEX('Serial Reference'!$A$8:$W$8,1,MOD($A95-1,23)+1)&amp;TEXT(CV$2+FLOOR((CV$2-1)/9,1),"000"),"")</f>
        <v/>
      </c>
      <c r="CW95" s="23" t="str">
        <f>IF(INDEX('Shot Map'!$B$6:$V$26,CEILING($A95/5,1),CEILING(CW$2/5,1))=1,INDEX('Serial Reference'!$A$8:$W$8,1,FLOOR(($A95-1)/23,1)+1)&amp;INDEX('Serial Reference'!$A$8:$W$8,1,MOD($A95-1,23)+1)&amp;TEXT(CW$2+FLOOR((CW$2-1)/9,1),"000"),"")</f>
        <v/>
      </c>
      <c r="CX95" s="21" t="str">
        <f>IF(INDEX('Shot Map'!$B$6:$V$26,CEILING($A95/5,1),CEILING(CX$2/5,1))=1,INDEX('Serial Reference'!$A$8:$W$8,1,FLOOR(($A95-1)/23,1)+1)&amp;INDEX('Serial Reference'!$A$8:$W$8,1,MOD($A95-1,23)+1)&amp;TEXT(CX$2+FLOOR((CX$2-1)/9,1),"000"),"")</f>
        <v/>
      </c>
      <c r="CY95" s="22" t="str">
        <f>IF(INDEX('Shot Map'!$B$6:$V$26,CEILING($A95/5,1),CEILING(CY$2/5,1))=1,INDEX('Serial Reference'!$A$8:$W$8,1,FLOOR(($A95-1)/23,1)+1)&amp;INDEX('Serial Reference'!$A$8:$W$8,1,MOD($A95-1,23)+1)&amp;TEXT(CY$2+FLOOR((CY$2-1)/9,1),"000"),"")</f>
        <v/>
      </c>
      <c r="CZ95" s="22" t="str">
        <f>IF(INDEX('Shot Map'!$B$6:$V$26,CEILING($A95/5,1),CEILING(CZ$2/5,1))=1,INDEX('Serial Reference'!$A$8:$W$8,1,FLOOR(($A95-1)/23,1)+1)&amp;INDEX('Serial Reference'!$A$8:$W$8,1,MOD($A95-1,23)+1)&amp;TEXT(CZ$2+FLOOR((CZ$2-1)/9,1),"000"),"")</f>
        <v/>
      </c>
      <c r="DA95" s="22" t="str">
        <f>IF(INDEX('Shot Map'!$B$6:$V$26,CEILING($A95/5,1),CEILING(DA$2/5,1))=1,INDEX('Serial Reference'!$A$8:$W$8,1,FLOOR(($A95-1)/23,1)+1)&amp;INDEX('Serial Reference'!$A$8:$W$8,1,MOD($A95-1,23)+1)&amp;TEXT(DA$2+FLOOR((DA$2-1)/9,1),"000"),"")</f>
        <v/>
      </c>
      <c r="DB95" s="23" t="str">
        <f>IF(INDEX('Shot Map'!$B$6:$V$26,CEILING($A95/5,1),CEILING(DB$2/5,1))=1,INDEX('Serial Reference'!$A$8:$W$8,1,FLOOR(($A95-1)/23,1)+1)&amp;INDEX('Serial Reference'!$A$8:$W$8,1,MOD($A95-1,23)+1)&amp;TEXT(DB$2+FLOOR((DB$2-1)/9,1),"000"),"")</f>
        <v/>
      </c>
    </row>
    <row r="96" spans="1:106" ht="12.75" customHeight="1" x14ac:dyDescent="0.25">
      <c r="A96" s="17">
        <v>94</v>
      </c>
      <c r="B96" s="21" t="str">
        <f>IF(INDEX('Shot Map'!$B$6:$V$26,CEILING($A96/5,1),CEILING(B$2/5,1))=1,INDEX('Serial Reference'!$A$8:$W$8,1,FLOOR(($A96-1)/23,1)+1)&amp;INDEX('Serial Reference'!$A$8:$W$8,1,MOD($A96-1,23)+1)&amp;TEXT(B$2+FLOOR((B$2-1)/9,1),"000"),"")</f>
        <v/>
      </c>
      <c r="C96" s="22" t="str">
        <f>IF(INDEX('Shot Map'!$B$6:$V$26,CEILING($A96/5,1),CEILING(C$2/5,1))=1,INDEX('Serial Reference'!$A$8:$W$8,1,FLOOR(($A96-1)/23,1)+1)&amp;INDEX('Serial Reference'!$A$8:$W$8,1,MOD($A96-1,23)+1)&amp;TEXT(C$2+FLOOR((C$2-1)/9,1),"000"),"")</f>
        <v/>
      </c>
      <c r="D96" s="22" t="str">
        <f>IF(INDEX('Shot Map'!$B$6:$V$26,CEILING($A96/5,1),CEILING(D$2/5,1))=1,INDEX('Serial Reference'!$A$8:$W$8,1,FLOOR(($A96-1)/23,1)+1)&amp;INDEX('Serial Reference'!$A$8:$W$8,1,MOD($A96-1,23)+1)&amp;TEXT(D$2+FLOOR((D$2-1)/9,1),"000"),"")</f>
        <v/>
      </c>
      <c r="E96" s="22" t="str">
        <f>IF(INDEX('Shot Map'!$B$6:$V$26,CEILING($A96/5,1),CEILING(E$2/5,1))=1,INDEX('Serial Reference'!$A$8:$W$8,1,FLOOR(($A96-1)/23,1)+1)&amp;INDEX('Serial Reference'!$A$8:$W$8,1,MOD($A96-1,23)+1)&amp;TEXT(E$2+FLOOR((E$2-1)/9,1),"000"),"")</f>
        <v/>
      </c>
      <c r="F96" s="23" t="str">
        <f>IF(INDEX('Shot Map'!$B$6:$V$26,CEILING($A96/5,1),CEILING(F$2/5,1))=1,INDEX('Serial Reference'!$A$8:$W$8,1,FLOOR(($A96-1)/23,1)+1)&amp;INDEX('Serial Reference'!$A$8:$W$8,1,MOD($A96-1,23)+1)&amp;TEXT(F$2+FLOOR((F$2-1)/9,1),"000"),"")</f>
        <v/>
      </c>
      <c r="G96" s="21" t="str">
        <f>IF(INDEX('Shot Map'!$B$6:$V$26,CEILING($A96/5,1),CEILING(G$2/5,1))=1,INDEX('Serial Reference'!$A$8:$W$8,1,FLOOR(($A96-1)/23,1)+1)&amp;INDEX('Serial Reference'!$A$8:$W$8,1,MOD($A96-1,23)+1)&amp;TEXT(G$2+FLOOR((G$2-1)/9,1),"000"),"")</f>
        <v/>
      </c>
      <c r="H96" s="22" t="str">
        <f>IF(INDEX('Shot Map'!$B$6:$V$26,CEILING($A96/5,1),CEILING(H$2/5,1))=1,INDEX('Serial Reference'!$A$8:$W$8,1,FLOOR(($A96-1)/23,1)+1)&amp;INDEX('Serial Reference'!$A$8:$W$8,1,MOD($A96-1,23)+1)&amp;TEXT(H$2+FLOOR((H$2-1)/9,1),"000"),"")</f>
        <v/>
      </c>
      <c r="I96" s="22" t="str">
        <f>IF(INDEX('Shot Map'!$B$6:$V$26,CEILING($A96/5,1),CEILING(I$2/5,1))=1,INDEX('Serial Reference'!$A$8:$W$8,1,FLOOR(($A96-1)/23,1)+1)&amp;INDEX('Serial Reference'!$A$8:$W$8,1,MOD($A96-1,23)+1)&amp;TEXT(I$2+FLOOR((I$2-1)/9,1),"000"),"")</f>
        <v/>
      </c>
      <c r="J96" s="22" t="str">
        <f>IF(INDEX('Shot Map'!$B$6:$V$26,CEILING($A96/5,1),CEILING(J$2/5,1))=1,INDEX('Serial Reference'!$A$8:$W$8,1,FLOOR(($A96-1)/23,1)+1)&amp;INDEX('Serial Reference'!$A$8:$W$8,1,MOD($A96-1,23)+1)&amp;TEXT(J$2+FLOOR((J$2-1)/9,1),"000"),"")</f>
        <v/>
      </c>
      <c r="K96" s="23" t="str">
        <f>IF(INDEX('Shot Map'!$B$6:$V$26,CEILING($A96/5,1),CEILING(K$2/5,1))=1,INDEX('Serial Reference'!$A$8:$W$8,1,FLOOR(($A96-1)/23,1)+1)&amp;INDEX('Serial Reference'!$A$8:$W$8,1,MOD($A96-1,23)+1)&amp;TEXT(K$2+FLOOR((K$2-1)/9,1),"000"),"")</f>
        <v/>
      </c>
      <c r="L96" s="21" t="str">
        <f>IF(INDEX('Shot Map'!$B$6:$V$26,CEILING($A96/5,1),CEILING(L$2/5,1))=1,INDEX('Serial Reference'!$A$8:$W$8,1,FLOOR(($A96-1)/23,1)+1)&amp;INDEX('Serial Reference'!$A$8:$W$8,1,MOD($A96-1,23)+1)&amp;TEXT(L$2+FLOOR((L$2-1)/9,1),"000"),"")</f>
        <v/>
      </c>
      <c r="M96" s="22" t="str">
        <f>IF(INDEX('Shot Map'!$B$6:$V$26,CEILING($A96/5,1),CEILING(M$2/5,1))=1,INDEX('Serial Reference'!$A$8:$W$8,1,FLOOR(($A96-1)/23,1)+1)&amp;INDEX('Serial Reference'!$A$8:$W$8,1,MOD($A96-1,23)+1)&amp;TEXT(M$2+FLOOR((M$2-1)/9,1),"000"),"")</f>
        <v/>
      </c>
      <c r="N96" s="22" t="str">
        <f>IF(INDEX('Shot Map'!$B$6:$V$26,CEILING($A96/5,1),CEILING(N$2/5,1))=1,INDEX('Serial Reference'!$A$8:$W$8,1,FLOOR(($A96-1)/23,1)+1)&amp;INDEX('Serial Reference'!$A$8:$W$8,1,MOD($A96-1,23)+1)&amp;TEXT(N$2+FLOOR((N$2-1)/9,1),"000"),"")</f>
        <v/>
      </c>
      <c r="O96" s="22" t="str">
        <f>IF(INDEX('Shot Map'!$B$6:$V$26,CEILING($A96/5,1),CEILING(O$2/5,1))=1,INDEX('Serial Reference'!$A$8:$W$8,1,FLOOR(($A96-1)/23,1)+1)&amp;INDEX('Serial Reference'!$A$8:$W$8,1,MOD($A96-1,23)+1)&amp;TEXT(O$2+FLOOR((O$2-1)/9,1),"000"),"")</f>
        <v/>
      </c>
      <c r="P96" s="23" t="str">
        <f>IF(INDEX('Shot Map'!$B$6:$V$26,CEILING($A96/5,1),CEILING(P$2/5,1))=1,INDEX('Serial Reference'!$A$8:$W$8,1,FLOOR(($A96-1)/23,1)+1)&amp;INDEX('Serial Reference'!$A$8:$W$8,1,MOD($A96-1,23)+1)&amp;TEXT(P$2+FLOOR((P$2-1)/9,1),"000"),"")</f>
        <v/>
      </c>
      <c r="Q96" s="21" t="str">
        <f>IF(INDEX('Shot Map'!$B$6:$V$26,CEILING($A96/5,1),CEILING(Q$2/5,1))=1,INDEX('Serial Reference'!$A$8:$W$8,1,FLOOR(($A96-1)/23,1)+1)&amp;INDEX('Serial Reference'!$A$8:$W$8,1,MOD($A96-1,23)+1)&amp;TEXT(Q$2+FLOOR((Q$2-1)/9,1),"000"),"")</f>
        <v/>
      </c>
      <c r="R96" s="22" t="str">
        <f>IF(INDEX('Shot Map'!$B$6:$V$26,CEILING($A96/5,1),CEILING(R$2/5,1))=1,INDEX('Serial Reference'!$A$8:$W$8,1,FLOOR(($A96-1)/23,1)+1)&amp;INDEX('Serial Reference'!$A$8:$W$8,1,MOD($A96-1,23)+1)&amp;TEXT(R$2+FLOOR((R$2-1)/9,1),"000"),"")</f>
        <v/>
      </c>
      <c r="S96" s="22" t="str">
        <f>IF(INDEX('Shot Map'!$B$6:$V$26,CEILING($A96/5,1),CEILING(S$2/5,1))=1,INDEX('Serial Reference'!$A$8:$W$8,1,FLOOR(($A96-1)/23,1)+1)&amp;INDEX('Serial Reference'!$A$8:$W$8,1,MOD($A96-1,23)+1)&amp;TEXT(S$2+FLOOR((S$2-1)/9,1),"000"),"")</f>
        <v/>
      </c>
      <c r="T96" s="22" t="str">
        <f>IF(INDEX('Shot Map'!$B$6:$V$26,CEILING($A96/5,1),CEILING(T$2/5,1))=1,INDEX('Serial Reference'!$A$8:$W$8,1,FLOOR(($A96-1)/23,1)+1)&amp;INDEX('Serial Reference'!$A$8:$W$8,1,MOD($A96-1,23)+1)&amp;TEXT(T$2+FLOOR((T$2-1)/9,1),"000"),"")</f>
        <v/>
      </c>
      <c r="U96" s="23" t="str">
        <f>IF(INDEX('Shot Map'!$B$6:$V$26,CEILING($A96/5,1),CEILING(U$2/5,1))=1,INDEX('Serial Reference'!$A$8:$W$8,1,FLOOR(($A96-1)/23,1)+1)&amp;INDEX('Serial Reference'!$A$8:$W$8,1,MOD($A96-1,23)+1)&amp;TEXT(U$2+FLOOR((U$2-1)/9,1),"000"),"")</f>
        <v/>
      </c>
      <c r="V96" s="21" t="str">
        <f>IF(INDEX('Shot Map'!$B$6:$V$26,CEILING($A96/5,1),CEILING(V$2/5,1))=1,INDEX('Serial Reference'!$A$8:$W$8,1,FLOOR(($A96-1)/23,1)+1)&amp;INDEX('Serial Reference'!$A$8:$W$8,1,MOD($A96-1,23)+1)&amp;TEXT(V$2+FLOOR((V$2-1)/9,1),"000"),"")</f>
        <v>EB023</v>
      </c>
      <c r="W96" s="22" t="str">
        <f>IF(INDEX('Shot Map'!$B$6:$V$26,CEILING($A96/5,1),CEILING(W$2/5,1))=1,INDEX('Serial Reference'!$A$8:$W$8,1,FLOOR(($A96-1)/23,1)+1)&amp;INDEX('Serial Reference'!$A$8:$W$8,1,MOD($A96-1,23)+1)&amp;TEXT(W$2+FLOOR((W$2-1)/9,1),"000"),"")</f>
        <v>EB024</v>
      </c>
      <c r="X96" s="22" t="str">
        <f>IF(INDEX('Shot Map'!$B$6:$V$26,CEILING($A96/5,1),CEILING(X$2/5,1))=1,INDEX('Serial Reference'!$A$8:$W$8,1,FLOOR(($A96-1)/23,1)+1)&amp;INDEX('Serial Reference'!$A$8:$W$8,1,MOD($A96-1,23)+1)&amp;TEXT(X$2+FLOOR((X$2-1)/9,1),"000"),"")</f>
        <v>EB025</v>
      </c>
      <c r="Y96" s="22" t="str">
        <f>IF(INDEX('Shot Map'!$B$6:$V$26,CEILING($A96/5,1),CEILING(Y$2/5,1))=1,INDEX('Serial Reference'!$A$8:$W$8,1,FLOOR(($A96-1)/23,1)+1)&amp;INDEX('Serial Reference'!$A$8:$W$8,1,MOD($A96-1,23)+1)&amp;TEXT(Y$2+FLOOR((Y$2-1)/9,1),"000"),"")</f>
        <v>EB026</v>
      </c>
      <c r="Z96" s="23" t="str">
        <f>IF(INDEX('Shot Map'!$B$6:$V$26,CEILING($A96/5,1),CEILING(Z$2/5,1))=1,INDEX('Serial Reference'!$A$8:$W$8,1,FLOOR(($A96-1)/23,1)+1)&amp;INDEX('Serial Reference'!$A$8:$W$8,1,MOD($A96-1,23)+1)&amp;TEXT(Z$2+FLOOR((Z$2-1)/9,1),"000"),"")</f>
        <v>EB027</v>
      </c>
      <c r="AA96" s="21" t="str">
        <f>IF(INDEX('Shot Map'!$B$6:$V$26,CEILING($A96/5,1),CEILING(AA$2/5,1))=1,INDEX('Serial Reference'!$A$8:$W$8,1,FLOOR(($A96-1)/23,1)+1)&amp;INDEX('Serial Reference'!$A$8:$W$8,1,MOD($A96-1,23)+1)&amp;TEXT(AA$2+FLOOR((AA$2-1)/9,1),"000"),"")</f>
        <v>EB028</v>
      </c>
      <c r="AB96" s="22" t="str">
        <f>IF(INDEX('Shot Map'!$B$6:$V$26,CEILING($A96/5,1),CEILING(AB$2/5,1))=1,INDEX('Serial Reference'!$A$8:$W$8,1,FLOOR(($A96-1)/23,1)+1)&amp;INDEX('Serial Reference'!$A$8:$W$8,1,MOD($A96-1,23)+1)&amp;TEXT(AB$2+FLOOR((AB$2-1)/9,1),"000"),"")</f>
        <v>EB029</v>
      </c>
      <c r="AC96" s="22" t="str">
        <f>IF(INDEX('Shot Map'!$B$6:$V$26,CEILING($A96/5,1),CEILING(AC$2/5,1))=1,INDEX('Serial Reference'!$A$8:$W$8,1,FLOOR(($A96-1)/23,1)+1)&amp;INDEX('Serial Reference'!$A$8:$W$8,1,MOD($A96-1,23)+1)&amp;TEXT(AC$2+FLOOR((AC$2-1)/9,1),"000"),"")</f>
        <v>EB031</v>
      </c>
      <c r="AD96" s="22" t="str">
        <f>IF(INDEX('Shot Map'!$B$6:$V$26,CEILING($A96/5,1),CEILING(AD$2/5,1))=1,INDEX('Serial Reference'!$A$8:$W$8,1,FLOOR(($A96-1)/23,1)+1)&amp;INDEX('Serial Reference'!$A$8:$W$8,1,MOD($A96-1,23)+1)&amp;TEXT(AD$2+FLOOR((AD$2-1)/9,1),"000"),"")</f>
        <v>EB032</v>
      </c>
      <c r="AE96" s="23" t="str">
        <f>IF(INDEX('Shot Map'!$B$6:$V$26,CEILING($A96/5,1),CEILING(AE$2/5,1))=1,INDEX('Serial Reference'!$A$8:$W$8,1,FLOOR(($A96-1)/23,1)+1)&amp;INDEX('Serial Reference'!$A$8:$W$8,1,MOD($A96-1,23)+1)&amp;TEXT(AE$2+FLOOR((AE$2-1)/9,1),"000"),"")</f>
        <v>EB033</v>
      </c>
      <c r="AF96" s="21" t="str">
        <f>IF(INDEX('Shot Map'!$B$6:$V$26,CEILING($A96/5,1),CEILING(AF$2/5,1))=1,INDEX('Serial Reference'!$A$8:$W$8,1,FLOOR(($A96-1)/23,1)+1)&amp;INDEX('Serial Reference'!$A$8:$W$8,1,MOD($A96-1,23)+1)&amp;TEXT(AF$2+FLOOR((AF$2-1)/9,1),"000"),"")</f>
        <v>EB034</v>
      </c>
      <c r="AG96" s="22" t="str">
        <f>IF(INDEX('Shot Map'!$B$6:$V$26,CEILING($A96/5,1),CEILING(AG$2/5,1))=1,INDEX('Serial Reference'!$A$8:$W$8,1,FLOOR(($A96-1)/23,1)+1)&amp;INDEX('Serial Reference'!$A$8:$W$8,1,MOD($A96-1,23)+1)&amp;TEXT(AG$2+FLOOR((AG$2-1)/9,1),"000"),"")</f>
        <v>EB035</v>
      </c>
      <c r="AH96" s="22" t="str">
        <f>IF(INDEX('Shot Map'!$B$6:$V$26,CEILING($A96/5,1),CEILING(AH$2/5,1))=1,INDEX('Serial Reference'!$A$8:$W$8,1,FLOOR(($A96-1)/23,1)+1)&amp;INDEX('Serial Reference'!$A$8:$W$8,1,MOD($A96-1,23)+1)&amp;TEXT(AH$2+FLOOR((AH$2-1)/9,1),"000"),"")</f>
        <v>EB036</v>
      </c>
      <c r="AI96" s="22" t="str">
        <f>IF(INDEX('Shot Map'!$B$6:$V$26,CEILING($A96/5,1),CEILING(AI$2/5,1))=1,INDEX('Serial Reference'!$A$8:$W$8,1,FLOOR(($A96-1)/23,1)+1)&amp;INDEX('Serial Reference'!$A$8:$W$8,1,MOD($A96-1,23)+1)&amp;TEXT(AI$2+FLOOR((AI$2-1)/9,1),"000"),"")</f>
        <v>EB037</v>
      </c>
      <c r="AJ96" s="23" t="str">
        <f>IF(INDEX('Shot Map'!$B$6:$V$26,CEILING($A96/5,1),CEILING(AJ$2/5,1))=1,INDEX('Serial Reference'!$A$8:$W$8,1,FLOOR(($A96-1)/23,1)+1)&amp;INDEX('Serial Reference'!$A$8:$W$8,1,MOD($A96-1,23)+1)&amp;TEXT(AJ$2+FLOOR((AJ$2-1)/9,1),"000"),"")</f>
        <v>EB038</v>
      </c>
      <c r="AK96" s="21" t="str">
        <f>IF(INDEX('Shot Map'!$B$6:$V$26,CEILING($A96/5,1),CEILING(AK$2/5,1))=1,INDEX('Serial Reference'!$A$8:$W$8,1,FLOOR(($A96-1)/23,1)+1)&amp;INDEX('Serial Reference'!$A$8:$W$8,1,MOD($A96-1,23)+1)&amp;TEXT(AK$2+FLOOR((AK$2-1)/9,1),"000"),"")</f>
        <v>EB039</v>
      </c>
      <c r="AL96" s="22" t="str">
        <f>IF(INDEX('Shot Map'!$B$6:$V$26,CEILING($A96/5,1),CEILING(AL$2/5,1))=1,INDEX('Serial Reference'!$A$8:$W$8,1,FLOOR(($A96-1)/23,1)+1)&amp;INDEX('Serial Reference'!$A$8:$W$8,1,MOD($A96-1,23)+1)&amp;TEXT(AL$2+FLOOR((AL$2-1)/9,1),"000"),"")</f>
        <v>EB041</v>
      </c>
      <c r="AM96" s="22" t="str">
        <f>IF(INDEX('Shot Map'!$B$6:$V$26,CEILING($A96/5,1),CEILING(AM$2/5,1))=1,INDEX('Serial Reference'!$A$8:$W$8,1,FLOOR(($A96-1)/23,1)+1)&amp;INDEX('Serial Reference'!$A$8:$W$8,1,MOD($A96-1,23)+1)&amp;TEXT(AM$2+FLOOR((AM$2-1)/9,1),"000"),"")</f>
        <v>EB042</v>
      </c>
      <c r="AN96" s="22" t="str">
        <f>IF(INDEX('Shot Map'!$B$6:$V$26,CEILING($A96/5,1),CEILING(AN$2/5,1))=1,INDEX('Serial Reference'!$A$8:$W$8,1,FLOOR(($A96-1)/23,1)+1)&amp;INDEX('Serial Reference'!$A$8:$W$8,1,MOD($A96-1,23)+1)&amp;TEXT(AN$2+FLOOR((AN$2-1)/9,1),"000"),"")</f>
        <v>EB043</v>
      </c>
      <c r="AO96" s="23" t="str">
        <f>IF(INDEX('Shot Map'!$B$6:$V$26,CEILING($A96/5,1),CEILING(AO$2/5,1))=1,INDEX('Serial Reference'!$A$8:$W$8,1,FLOOR(($A96-1)/23,1)+1)&amp;INDEX('Serial Reference'!$A$8:$W$8,1,MOD($A96-1,23)+1)&amp;TEXT(AO$2+FLOOR((AO$2-1)/9,1),"000"),"")</f>
        <v>EB044</v>
      </c>
      <c r="AP96" s="21" t="str">
        <f>IF(INDEX('Shot Map'!$B$6:$V$26,CEILING($A96/5,1),CEILING(AP$2/5,1))=1,INDEX('Serial Reference'!$A$8:$W$8,1,FLOOR(($A96-1)/23,1)+1)&amp;INDEX('Serial Reference'!$A$8:$W$8,1,MOD($A96-1,23)+1)&amp;TEXT(AP$2+FLOOR((AP$2-1)/9,1),"000"),"")</f>
        <v>EB045</v>
      </c>
      <c r="AQ96" s="22" t="str">
        <f>IF(INDEX('Shot Map'!$B$6:$V$26,CEILING($A96/5,1),CEILING(AQ$2/5,1))=1,INDEX('Serial Reference'!$A$8:$W$8,1,FLOOR(($A96-1)/23,1)+1)&amp;INDEX('Serial Reference'!$A$8:$W$8,1,MOD($A96-1,23)+1)&amp;TEXT(AQ$2+FLOOR((AQ$2-1)/9,1),"000"),"")</f>
        <v>EB046</v>
      </c>
      <c r="AR96" s="22" t="str">
        <f>IF(INDEX('Shot Map'!$B$6:$V$26,CEILING($A96/5,1),CEILING(AR$2/5,1))=1,INDEX('Serial Reference'!$A$8:$W$8,1,FLOOR(($A96-1)/23,1)+1)&amp;INDEX('Serial Reference'!$A$8:$W$8,1,MOD($A96-1,23)+1)&amp;TEXT(AR$2+FLOOR((AR$2-1)/9,1),"000"),"")</f>
        <v>EB047</v>
      </c>
      <c r="AS96" s="22" t="str">
        <f>IF(INDEX('Shot Map'!$B$6:$V$26,CEILING($A96/5,1),CEILING(AS$2/5,1))=1,INDEX('Serial Reference'!$A$8:$W$8,1,FLOOR(($A96-1)/23,1)+1)&amp;INDEX('Serial Reference'!$A$8:$W$8,1,MOD($A96-1,23)+1)&amp;TEXT(AS$2+FLOOR((AS$2-1)/9,1),"000"),"")</f>
        <v>EB048</v>
      </c>
      <c r="AT96" s="23" t="str">
        <f>IF(INDEX('Shot Map'!$B$6:$V$26,CEILING($A96/5,1),CEILING(AT$2/5,1))=1,INDEX('Serial Reference'!$A$8:$W$8,1,FLOOR(($A96-1)/23,1)+1)&amp;INDEX('Serial Reference'!$A$8:$W$8,1,MOD($A96-1,23)+1)&amp;TEXT(AT$2+FLOOR((AT$2-1)/9,1),"000"),"")</f>
        <v>EB049</v>
      </c>
      <c r="AU96" s="21" t="str">
        <f>IF(INDEX('Shot Map'!$B$6:$V$26,CEILING($A96/5,1),CEILING(AU$2/5,1))=1,INDEX('Serial Reference'!$A$8:$W$8,1,FLOOR(($A96-1)/23,1)+1)&amp;INDEX('Serial Reference'!$A$8:$W$8,1,MOD($A96-1,23)+1)&amp;TEXT(AU$2+FLOOR((AU$2-1)/9,1),"000"),"")</f>
        <v>EB051</v>
      </c>
      <c r="AV96" s="22" t="str">
        <f>IF(INDEX('Shot Map'!$B$6:$V$26,CEILING($A96/5,1),CEILING(AV$2/5,1))=1,INDEX('Serial Reference'!$A$8:$W$8,1,FLOOR(($A96-1)/23,1)+1)&amp;INDEX('Serial Reference'!$A$8:$W$8,1,MOD($A96-1,23)+1)&amp;TEXT(AV$2+FLOOR((AV$2-1)/9,1),"000"),"")</f>
        <v>EB052</v>
      </c>
      <c r="AW96" s="22" t="str">
        <f>IF(INDEX('Shot Map'!$B$6:$V$26,CEILING($A96/5,1),CEILING(AW$2/5,1))=1,INDEX('Serial Reference'!$A$8:$W$8,1,FLOOR(($A96-1)/23,1)+1)&amp;INDEX('Serial Reference'!$A$8:$W$8,1,MOD($A96-1,23)+1)&amp;TEXT(AW$2+FLOOR((AW$2-1)/9,1),"000"),"")</f>
        <v>EB053</v>
      </c>
      <c r="AX96" s="22" t="str">
        <f>IF(INDEX('Shot Map'!$B$6:$V$26,CEILING($A96/5,1),CEILING(AX$2/5,1))=1,INDEX('Serial Reference'!$A$8:$W$8,1,FLOOR(($A96-1)/23,1)+1)&amp;INDEX('Serial Reference'!$A$8:$W$8,1,MOD($A96-1,23)+1)&amp;TEXT(AX$2+FLOOR((AX$2-1)/9,1),"000"),"")</f>
        <v>EB054</v>
      </c>
      <c r="AY96" s="23" t="str">
        <f>IF(INDEX('Shot Map'!$B$6:$V$26,CEILING($A96/5,1),CEILING(AY$2/5,1))=1,INDEX('Serial Reference'!$A$8:$W$8,1,FLOOR(($A96-1)/23,1)+1)&amp;INDEX('Serial Reference'!$A$8:$W$8,1,MOD($A96-1,23)+1)&amp;TEXT(AY$2+FLOOR((AY$2-1)/9,1),"000"),"")</f>
        <v>EB055</v>
      </c>
      <c r="AZ96" s="21" t="str">
        <f>IF(INDEX('Shot Map'!$B$6:$V$26,CEILING($A96/5,1),CEILING(AZ$2/5,1))=1,INDEX('Serial Reference'!$A$8:$W$8,1,FLOOR(($A96-1)/23,1)+1)&amp;INDEX('Serial Reference'!$A$8:$W$8,1,MOD($A96-1,23)+1)&amp;TEXT(AZ$2+FLOOR((AZ$2-1)/9,1),"000"),"")</f>
        <v>EB056</v>
      </c>
      <c r="BA96" s="22" t="str">
        <f>IF(INDEX('Shot Map'!$B$6:$V$26,CEILING($A96/5,1),CEILING(BA$2/5,1))=1,INDEX('Serial Reference'!$A$8:$W$8,1,FLOOR(($A96-1)/23,1)+1)&amp;INDEX('Serial Reference'!$A$8:$W$8,1,MOD($A96-1,23)+1)&amp;TEXT(BA$2+FLOOR((BA$2-1)/9,1),"000"),"")</f>
        <v>EB057</v>
      </c>
      <c r="BB96" s="22" t="str">
        <f>IF(INDEX('Shot Map'!$B$6:$V$26,CEILING($A96/5,1),CEILING(BB$2/5,1))=1,INDEX('Serial Reference'!$A$8:$W$8,1,FLOOR(($A96-1)/23,1)+1)&amp;INDEX('Serial Reference'!$A$8:$W$8,1,MOD($A96-1,23)+1)&amp;TEXT(BB$2+FLOOR((BB$2-1)/9,1),"000"),"")</f>
        <v>EB058</v>
      </c>
      <c r="BC96" s="22" t="str">
        <f>IF(INDEX('Shot Map'!$B$6:$V$26,CEILING($A96/5,1),CEILING(BC$2/5,1))=1,INDEX('Serial Reference'!$A$8:$W$8,1,FLOOR(($A96-1)/23,1)+1)&amp;INDEX('Serial Reference'!$A$8:$W$8,1,MOD($A96-1,23)+1)&amp;TEXT(BC$2+FLOOR((BC$2-1)/9,1),"000"),"")</f>
        <v>EB059</v>
      </c>
      <c r="BD96" s="23" t="str">
        <f>IF(INDEX('Shot Map'!$B$6:$V$26,CEILING($A96/5,1),CEILING(BD$2/5,1))=1,INDEX('Serial Reference'!$A$8:$W$8,1,FLOOR(($A96-1)/23,1)+1)&amp;INDEX('Serial Reference'!$A$8:$W$8,1,MOD($A96-1,23)+1)&amp;TEXT(BD$2+FLOOR((BD$2-1)/9,1),"000"),"")</f>
        <v>EB061</v>
      </c>
      <c r="BE96" s="21" t="str">
        <f>IF(INDEX('Shot Map'!$B$6:$V$26,CEILING($A96/5,1),CEILING(BE$2/5,1))=1,INDEX('Serial Reference'!$A$8:$W$8,1,FLOOR(($A96-1)/23,1)+1)&amp;INDEX('Serial Reference'!$A$8:$W$8,1,MOD($A96-1,23)+1)&amp;TEXT(BE$2+FLOOR((BE$2-1)/9,1),"000"),"")</f>
        <v>EB062</v>
      </c>
      <c r="BF96" s="22" t="str">
        <f>IF(INDEX('Shot Map'!$B$6:$V$26,CEILING($A96/5,1),CEILING(BF$2/5,1))=1,INDEX('Serial Reference'!$A$8:$W$8,1,FLOOR(($A96-1)/23,1)+1)&amp;INDEX('Serial Reference'!$A$8:$W$8,1,MOD($A96-1,23)+1)&amp;TEXT(BF$2+FLOOR((BF$2-1)/9,1),"000"),"")</f>
        <v>EB063</v>
      </c>
      <c r="BG96" s="22" t="str">
        <f>IF(INDEX('Shot Map'!$B$6:$V$26,CEILING($A96/5,1),CEILING(BG$2/5,1))=1,INDEX('Serial Reference'!$A$8:$W$8,1,FLOOR(($A96-1)/23,1)+1)&amp;INDEX('Serial Reference'!$A$8:$W$8,1,MOD($A96-1,23)+1)&amp;TEXT(BG$2+FLOOR((BG$2-1)/9,1),"000"),"")</f>
        <v>EB064</v>
      </c>
      <c r="BH96" s="22" t="str">
        <f>IF(INDEX('Shot Map'!$B$6:$V$26,CEILING($A96/5,1),CEILING(BH$2/5,1))=1,INDEX('Serial Reference'!$A$8:$W$8,1,FLOOR(($A96-1)/23,1)+1)&amp;INDEX('Serial Reference'!$A$8:$W$8,1,MOD($A96-1,23)+1)&amp;TEXT(BH$2+FLOOR((BH$2-1)/9,1),"000"),"")</f>
        <v>EB065</v>
      </c>
      <c r="BI96" s="23" t="str">
        <f>IF(INDEX('Shot Map'!$B$6:$V$26,CEILING($A96/5,1),CEILING(BI$2/5,1))=1,INDEX('Serial Reference'!$A$8:$W$8,1,FLOOR(($A96-1)/23,1)+1)&amp;INDEX('Serial Reference'!$A$8:$W$8,1,MOD($A96-1,23)+1)&amp;TEXT(BI$2+FLOOR((BI$2-1)/9,1),"000"),"")</f>
        <v>EB066</v>
      </c>
      <c r="BJ96" s="21" t="str">
        <f>IF(INDEX('Shot Map'!$B$6:$V$26,CEILING($A96/5,1),CEILING(BJ$2/5,1))=1,INDEX('Serial Reference'!$A$8:$W$8,1,FLOOR(($A96-1)/23,1)+1)&amp;INDEX('Serial Reference'!$A$8:$W$8,1,MOD($A96-1,23)+1)&amp;TEXT(BJ$2+FLOOR((BJ$2-1)/9,1),"000"),"")</f>
        <v>EB067</v>
      </c>
      <c r="BK96" s="22" t="str">
        <f>IF(INDEX('Shot Map'!$B$6:$V$26,CEILING($A96/5,1),CEILING(BK$2/5,1))=1,INDEX('Serial Reference'!$A$8:$W$8,1,FLOOR(($A96-1)/23,1)+1)&amp;INDEX('Serial Reference'!$A$8:$W$8,1,MOD($A96-1,23)+1)&amp;TEXT(BK$2+FLOOR((BK$2-1)/9,1),"000"),"")</f>
        <v>EB068</v>
      </c>
      <c r="BL96" s="22" t="str">
        <f>IF(INDEX('Shot Map'!$B$6:$V$26,CEILING($A96/5,1),CEILING(BL$2/5,1))=1,INDEX('Serial Reference'!$A$8:$W$8,1,FLOOR(($A96-1)/23,1)+1)&amp;INDEX('Serial Reference'!$A$8:$W$8,1,MOD($A96-1,23)+1)&amp;TEXT(BL$2+FLOOR((BL$2-1)/9,1),"000"),"")</f>
        <v>EB069</v>
      </c>
      <c r="BM96" s="22" t="str">
        <f>IF(INDEX('Shot Map'!$B$6:$V$26,CEILING($A96/5,1),CEILING(BM$2/5,1))=1,INDEX('Serial Reference'!$A$8:$W$8,1,FLOOR(($A96-1)/23,1)+1)&amp;INDEX('Serial Reference'!$A$8:$W$8,1,MOD($A96-1,23)+1)&amp;TEXT(BM$2+FLOOR((BM$2-1)/9,1),"000"),"")</f>
        <v>EB071</v>
      </c>
      <c r="BN96" s="23" t="str">
        <f>IF(INDEX('Shot Map'!$B$6:$V$26,CEILING($A96/5,1),CEILING(BN$2/5,1))=1,INDEX('Serial Reference'!$A$8:$W$8,1,FLOOR(($A96-1)/23,1)+1)&amp;INDEX('Serial Reference'!$A$8:$W$8,1,MOD($A96-1,23)+1)&amp;TEXT(BN$2+FLOOR((BN$2-1)/9,1),"000"),"")</f>
        <v>EB072</v>
      </c>
      <c r="BO96" s="21" t="str">
        <f>IF(INDEX('Shot Map'!$B$6:$V$26,CEILING($A96/5,1),CEILING(BO$2/5,1))=1,INDEX('Serial Reference'!$A$8:$W$8,1,FLOOR(($A96-1)/23,1)+1)&amp;INDEX('Serial Reference'!$A$8:$W$8,1,MOD($A96-1,23)+1)&amp;TEXT(BO$2+FLOOR((BO$2-1)/9,1),"000"),"")</f>
        <v>EB073</v>
      </c>
      <c r="BP96" s="22" t="str">
        <f>IF(INDEX('Shot Map'!$B$6:$V$26,CEILING($A96/5,1),CEILING(BP$2/5,1))=1,INDEX('Serial Reference'!$A$8:$W$8,1,FLOOR(($A96-1)/23,1)+1)&amp;INDEX('Serial Reference'!$A$8:$W$8,1,MOD($A96-1,23)+1)&amp;TEXT(BP$2+FLOOR((BP$2-1)/9,1),"000"),"")</f>
        <v>EB074</v>
      </c>
      <c r="BQ96" s="22" t="str">
        <f>IF(INDEX('Shot Map'!$B$6:$V$26,CEILING($A96/5,1),CEILING(BQ$2/5,1))=1,INDEX('Serial Reference'!$A$8:$W$8,1,FLOOR(($A96-1)/23,1)+1)&amp;INDEX('Serial Reference'!$A$8:$W$8,1,MOD($A96-1,23)+1)&amp;TEXT(BQ$2+FLOOR((BQ$2-1)/9,1),"000"),"")</f>
        <v>EB075</v>
      </c>
      <c r="BR96" s="22" t="str">
        <f>IF(INDEX('Shot Map'!$B$6:$V$26,CEILING($A96/5,1),CEILING(BR$2/5,1))=1,INDEX('Serial Reference'!$A$8:$W$8,1,FLOOR(($A96-1)/23,1)+1)&amp;INDEX('Serial Reference'!$A$8:$W$8,1,MOD($A96-1,23)+1)&amp;TEXT(BR$2+FLOOR((BR$2-1)/9,1),"000"),"")</f>
        <v>EB076</v>
      </c>
      <c r="BS96" s="23" t="str">
        <f>IF(INDEX('Shot Map'!$B$6:$V$26,CEILING($A96/5,1),CEILING(BS$2/5,1))=1,INDEX('Serial Reference'!$A$8:$W$8,1,FLOOR(($A96-1)/23,1)+1)&amp;INDEX('Serial Reference'!$A$8:$W$8,1,MOD($A96-1,23)+1)&amp;TEXT(BS$2+FLOOR((BS$2-1)/9,1),"000"),"")</f>
        <v>EB077</v>
      </c>
      <c r="BT96" s="21" t="str">
        <f>IF(INDEX('Shot Map'!$B$6:$V$26,CEILING($A96/5,1),CEILING(BT$2/5,1))=1,INDEX('Serial Reference'!$A$8:$W$8,1,FLOOR(($A96-1)/23,1)+1)&amp;INDEX('Serial Reference'!$A$8:$W$8,1,MOD($A96-1,23)+1)&amp;TEXT(BT$2+FLOOR((BT$2-1)/9,1),"000"),"")</f>
        <v>EB078</v>
      </c>
      <c r="BU96" s="22" t="str">
        <f>IF(INDEX('Shot Map'!$B$6:$V$26,CEILING($A96/5,1),CEILING(BU$2/5,1))=1,INDEX('Serial Reference'!$A$8:$W$8,1,FLOOR(($A96-1)/23,1)+1)&amp;INDEX('Serial Reference'!$A$8:$W$8,1,MOD($A96-1,23)+1)&amp;TEXT(BU$2+FLOOR((BU$2-1)/9,1),"000"),"")</f>
        <v>EB079</v>
      </c>
      <c r="BV96" s="22" t="str">
        <f>IF(INDEX('Shot Map'!$B$6:$V$26,CEILING($A96/5,1),CEILING(BV$2/5,1))=1,INDEX('Serial Reference'!$A$8:$W$8,1,FLOOR(($A96-1)/23,1)+1)&amp;INDEX('Serial Reference'!$A$8:$W$8,1,MOD($A96-1,23)+1)&amp;TEXT(BV$2+FLOOR((BV$2-1)/9,1),"000"),"")</f>
        <v>EB081</v>
      </c>
      <c r="BW96" s="22" t="str">
        <f>IF(INDEX('Shot Map'!$B$6:$V$26,CEILING($A96/5,1),CEILING(BW$2/5,1))=1,INDEX('Serial Reference'!$A$8:$W$8,1,FLOOR(($A96-1)/23,1)+1)&amp;INDEX('Serial Reference'!$A$8:$W$8,1,MOD($A96-1,23)+1)&amp;TEXT(BW$2+FLOOR((BW$2-1)/9,1),"000"),"")</f>
        <v>EB082</v>
      </c>
      <c r="BX96" s="23" t="str">
        <f>IF(INDEX('Shot Map'!$B$6:$V$26,CEILING($A96/5,1),CEILING(BX$2/5,1))=1,INDEX('Serial Reference'!$A$8:$W$8,1,FLOOR(($A96-1)/23,1)+1)&amp;INDEX('Serial Reference'!$A$8:$W$8,1,MOD($A96-1,23)+1)&amp;TEXT(BX$2+FLOOR((BX$2-1)/9,1),"000"),"")</f>
        <v>EB083</v>
      </c>
      <c r="BY96" s="21" t="str">
        <f>IF(INDEX('Shot Map'!$B$6:$V$26,CEILING($A96/5,1),CEILING(BY$2/5,1))=1,INDEX('Serial Reference'!$A$8:$W$8,1,FLOOR(($A96-1)/23,1)+1)&amp;INDEX('Serial Reference'!$A$8:$W$8,1,MOD($A96-1,23)+1)&amp;TEXT(BY$2+FLOOR((BY$2-1)/9,1),"000"),"")</f>
        <v>EB084</v>
      </c>
      <c r="BZ96" s="22" t="str">
        <f>IF(INDEX('Shot Map'!$B$6:$V$26,CEILING($A96/5,1),CEILING(BZ$2/5,1))=1,INDEX('Serial Reference'!$A$8:$W$8,1,FLOOR(($A96-1)/23,1)+1)&amp;INDEX('Serial Reference'!$A$8:$W$8,1,MOD($A96-1,23)+1)&amp;TEXT(BZ$2+FLOOR((BZ$2-1)/9,1),"000"),"")</f>
        <v>EB085</v>
      </c>
      <c r="CA96" s="22" t="str">
        <f>IF(INDEX('Shot Map'!$B$6:$V$26,CEILING($A96/5,1),CEILING(CA$2/5,1))=1,INDEX('Serial Reference'!$A$8:$W$8,1,FLOOR(($A96-1)/23,1)+1)&amp;INDEX('Serial Reference'!$A$8:$W$8,1,MOD($A96-1,23)+1)&amp;TEXT(CA$2+FLOOR((CA$2-1)/9,1),"000"),"")</f>
        <v>EB086</v>
      </c>
      <c r="CB96" s="22" t="str">
        <f>IF(INDEX('Shot Map'!$B$6:$V$26,CEILING($A96/5,1),CEILING(CB$2/5,1))=1,INDEX('Serial Reference'!$A$8:$W$8,1,FLOOR(($A96-1)/23,1)+1)&amp;INDEX('Serial Reference'!$A$8:$W$8,1,MOD($A96-1,23)+1)&amp;TEXT(CB$2+FLOOR((CB$2-1)/9,1),"000"),"")</f>
        <v>EB087</v>
      </c>
      <c r="CC96" s="23" t="str">
        <f>IF(INDEX('Shot Map'!$B$6:$V$26,CEILING($A96/5,1),CEILING(CC$2/5,1))=1,INDEX('Serial Reference'!$A$8:$W$8,1,FLOOR(($A96-1)/23,1)+1)&amp;INDEX('Serial Reference'!$A$8:$W$8,1,MOD($A96-1,23)+1)&amp;TEXT(CC$2+FLOOR((CC$2-1)/9,1),"000"),"")</f>
        <v>EB088</v>
      </c>
      <c r="CD96" s="21" t="str">
        <f>IF(INDEX('Shot Map'!$B$6:$V$26,CEILING($A96/5,1),CEILING(CD$2/5,1))=1,INDEX('Serial Reference'!$A$8:$W$8,1,FLOOR(($A96-1)/23,1)+1)&amp;INDEX('Serial Reference'!$A$8:$W$8,1,MOD($A96-1,23)+1)&amp;TEXT(CD$2+FLOOR((CD$2-1)/9,1),"000"),"")</f>
        <v>EB089</v>
      </c>
      <c r="CE96" s="22" t="str">
        <f>IF(INDEX('Shot Map'!$B$6:$V$26,CEILING($A96/5,1),CEILING(CE$2/5,1))=1,INDEX('Serial Reference'!$A$8:$W$8,1,FLOOR(($A96-1)/23,1)+1)&amp;INDEX('Serial Reference'!$A$8:$W$8,1,MOD($A96-1,23)+1)&amp;TEXT(CE$2+FLOOR((CE$2-1)/9,1),"000"),"")</f>
        <v>EB091</v>
      </c>
      <c r="CF96" s="22" t="str">
        <f>IF(INDEX('Shot Map'!$B$6:$V$26,CEILING($A96/5,1),CEILING(CF$2/5,1))=1,INDEX('Serial Reference'!$A$8:$W$8,1,FLOOR(($A96-1)/23,1)+1)&amp;INDEX('Serial Reference'!$A$8:$W$8,1,MOD($A96-1,23)+1)&amp;TEXT(CF$2+FLOOR((CF$2-1)/9,1),"000"),"")</f>
        <v>EB092</v>
      </c>
      <c r="CG96" s="22" t="str">
        <f>IF(INDEX('Shot Map'!$B$6:$V$26,CEILING($A96/5,1),CEILING(CG$2/5,1))=1,INDEX('Serial Reference'!$A$8:$W$8,1,FLOOR(($A96-1)/23,1)+1)&amp;INDEX('Serial Reference'!$A$8:$W$8,1,MOD($A96-1,23)+1)&amp;TEXT(CG$2+FLOOR((CG$2-1)/9,1),"000"),"")</f>
        <v>EB093</v>
      </c>
      <c r="CH96" s="23" t="str">
        <f>IF(INDEX('Shot Map'!$B$6:$V$26,CEILING($A96/5,1),CEILING(CH$2/5,1))=1,INDEX('Serial Reference'!$A$8:$W$8,1,FLOOR(($A96-1)/23,1)+1)&amp;INDEX('Serial Reference'!$A$8:$W$8,1,MOD($A96-1,23)+1)&amp;TEXT(CH$2+FLOOR((CH$2-1)/9,1),"000"),"")</f>
        <v>EB094</v>
      </c>
      <c r="CI96" s="21" t="str">
        <f>IF(INDEX('Shot Map'!$B$6:$V$26,CEILING($A96/5,1),CEILING(CI$2/5,1))=1,INDEX('Serial Reference'!$A$8:$W$8,1,FLOOR(($A96-1)/23,1)+1)&amp;INDEX('Serial Reference'!$A$8:$W$8,1,MOD($A96-1,23)+1)&amp;TEXT(CI$2+FLOOR((CI$2-1)/9,1),"000"),"")</f>
        <v/>
      </c>
      <c r="CJ96" s="22" t="str">
        <f>IF(INDEX('Shot Map'!$B$6:$V$26,CEILING($A96/5,1),CEILING(CJ$2/5,1))=1,INDEX('Serial Reference'!$A$8:$W$8,1,FLOOR(($A96-1)/23,1)+1)&amp;INDEX('Serial Reference'!$A$8:$W$8,1,MOD($A96-1,23)+1)&amp;TEXT(CJ$2+FLOOR((CJ$2-1)/9,1),"000"),"")</f>
        <v/>
      </c>
      <c r="CK96" s="22" t="str">
        <f>IF(INDEX('Shot Map'!$B$6:$V$26,CEILING($A96/5,1),CEILING(CK$2/5,1))=1,INDEX('Serial Reference'!$A$8:$W$8,1,FLOOR(($A96-1)/23,1)+1)&amp;INDEX('Serial Reference'!$A$8:$W$8,1,MOD($A96-1,23)+1)&amp;TEXT(CK$2+FLOOR((CK$2-1)/9,1),"000"),"")</f>
        <v/>
      </c>
      <c r="CL96" s="22" t="str">
        <f>IF(INDEX('Shot Map'!$B$6:$V$26,CEILING($A96/5,1),CEILING(CL$2/5,1))=1,INDEX('Serial Reference'!$A$8:$W$8,1,FLOOR(($A96-1)/23,1)+1)&amp;INDEX('Serial Reference'!$A$8:$W$8,1,MOD($A96-1,23)+1)&amp;TEXT(CL$2+FLOOR((CL$2-1)/9,1),"000"),"")</f>
        <v/>
      </c>
      <c r="CM96" s="23" t="str">
        <f>IF(INDEX('Shot Map'!$B$6:$V$26,CEILING($A96/5,1),CEILING(CM$2/5,1))=1,INDEX('Serial Reference'!$A$8:$W$8,1,FLOOR(($A96-1)/23,1)+1)&amp;INDEX('Serial Reference'!$A$8:$W$8,1,MOD($A96-1,23)+1)&amp;TEXT(CM$2+FLOOR((CM$2-1)/9,1),"000"),"")</f>
        <v/>
      </c>
      <c r="CN96" s="21" t="str">
        <f>IF(INDEX('Shot Map'!$B$6:$V$26,CEILING($A96/5,1),CEILING(CN$2/5,1))=1,INDEX('Serial Reference'!$A$8:$W$8,1,FLOOR(($A96-1)/23,1)+1)&amp;INDEX('Serial Reference'!$A$8:$W$8,1,MOD($A96-1,23)+1)&amp;TEXT(CN$2+FLOOR((CN$2-1)/9,1),"000"),"")</f>
        <v/>
      </c>
      <c r="CO96" s="22" t="str">
        <f>IF(INDEX('Shot Map'!$B$6:$V$26,CEILING($A96/5,1),CEILING(CO$2/5,1))=1,INDEX('Serial Reference'!$A$8:$W$8,1,FLOOR(($A96-1)/23,1)+1)&amp;INDEX('Serial Reference'!$A$8:$W$8,1,MOD($A96-1,23)+1)&amp;TEXT(CO$2+FLOOR((CO$2-1)/9,1),"000"),"")</f>
        <v/>
      </c>
      <c r="CP96" s="22" t="str">
        <f>IF(INDEX('Shot Map'!$B$6:$V$26,CEILING($A96/5,1),CEILING(CP$2/5,1))=1,INDEX('Serial Reference'!$A$8:$W$8,1,FLOOR(($A96-1)/23,1)+1)&amp;INDEX('Serial Reference'!$A$8:$W$8,1,MOD($A96-1,23)+1)&amp;TEXT(CP$2+FLOOR((CP$2-1)/9,1),"000"),"")</f>
        <v/>
      </c>
      <c r="CQ96" s="22" t="str">
        <f>IF(INDEX('Shot Map'!$B$6:$V$26,CEILING($A96/5,1),CEILING(CQ$2/5,1))=1,INDEX('Serial Reference'!$A$8:$W$8,1,FLOOR(($A96-1)/23,1)+1)&amp;INDEX('Serial Reference'!$A$8:$W$8,1,MOD($A96-1,23)+1)&amp;TEXT(CQ$2+FLOOR((CQ$2-1)/9,1),"000"),"")</f>
        <v/>
      </c>
      <c r="CR96" s="23" t="str">
        <f>IF(INDEX('Shot Map'!$B$6:$V$26,CEILING($A96/5,1),CEILING(CR$2/5,1))=1,INDEX('Serial Reference'!$A$8:$W$8,1,FLOOR(($A96-1)/23,1)+1)&amp;INDEX('Serial Reference'!$A$8:$W$8,1,MOD($A96-1,23)+1)&amp;TEXT(CR$2+FLOOR((CR$2-1)/9,1),"000"),"")</f>
        <v/>
      </c>
      <c r="CS96" s="21" t="str">
        <f>IF(INDEX('Shot Map'!$B$6:$V$26,CEILING($A96/5,1),CEILING(CS$2/5,1))=1,INDEX('Serial Reference'!$A$8:$W$8,1,FLOOR(($A96-1)/23,1)+1)&amp;INDEX('Serial Reference'!$A$8:$W$8,1,MOD($A96-1,23)+1)&amp;TEXT(CS$2+FLOOR((CS$2-1)/9,1),"000"),"")</f>
        <v/>
      </c>
      <c r="CT96" s="22" t="str">
        <f>IF(INDEX('Shot Map'!$B$6:$V$26,CEILING($A96/5,1),CEILING(CT$2/5,1))=1,INDEX('Serial Reference'!$A$8:$W$8,1,FLOOR(($A96-1)/23,1)+1)&amp;INDEX('Serial Reference'!$A$8:$W$8,1,MOD($A96-1,23)+1)&amp;TEXT(CT$2+FLOOR((CT$2-1)/9,1),"000"),"")</f>
        <v/>
      </c>
      <c r="CU96" s="22" t="str">
        <f>IF(INDEX('Shot Map'!$B$6:$V$26,CEILING($A96/5,1),CEILING(CU$2/5,1))=1,INDEX('Serial Reference'!$A$8:$W$8,1,FLOOR(($A96-1)/23,1)+1)&amp;INDEX('Serial Reference'!$A$8:$W$8,1,MOD($A96-1,23)+1)&amp;TEXT(CU$2+FLOOR((CU$2-1)/9,1),"000"),"")</f>
        <v/>
      </c>
      <c r="CV96" s="22" t="str">
        <f>IF(INDEX('Shot Map'!$B$6:$V$26,CEILING($A96/5,1),CEILING(CV$2/5,1))=1,INDEX('Serial Reference'!$A$8:$W$8,1,FLOOR(($A96-1)/23,1)+1)&amp;INDEX('Serial Reference'!$A$8:$W$8,1,MOD($A96-1,23)+1)&amp;TEXT(CV$2+FLOOR((CV$2-1)/9,1),"000"),"")</f>
        <v/>
      </c>
      <c r="CW96" s="23" t="str">
        <f>IF(INDEX('Shot Map'!$B$6:$V$26,CEILING($A96/5,1),CEILING(CW$2/5,1))=1,INDEX('Serial Reference'!$A$8:$W$8,1,FLOOR(($A96-1)/23,1)+1)&amp;INDEX('Serial Reference'!$A$8:$W$8,1,MOD($A96-1,23)+1)&amp;TEXT(CW$2+FLOOR((CW$2-1)/9,1),"000"),"")</f>
        <v/>
      </c>
      <c r="CX96" s="21" t="str">
        <f>IF(INDEX('Shot Map'!$B$6:$V$26,CEILING($A96/5,1),CEILING(CX$2/5,1))=1,INDEX('Serial Reference'!$A$8:$W$8,1,FLOOR(($A96-1)/23,1)+1)&amp;INDEX('Serial Reference'!$A$8:$W$8,1,MOD($A96-1,23)+1)&amp;TEXT(CX$2+FLOOR((CX$2-1)/9,1),"000"),"")</f>
        <v/>
      </c>
      <c r="CY96" s="22" t="str">
        <f>IF(INDEX('Shot Map'!$B$6:$V$26,CEILING($A96/5,1),CEILING(CY$2/5,1))=1,INDEX('Serial Reference'!$A$8:$W$8,1,FLOOR(($A96-1)/23,1)+1)&amp;INDEX('Serial Reference'!$A$8:$W$8,1,MOD($A96-1,23)+1)&amp;TEXT(CY$2+FLOOR((CY$2-1)/9,1),"000"),"")</f>
        <v/>
      </c>
      <c r="CZ96" s="22" t="str">
        <f>IF(INDEX('Shot Map'!$B$6:$V$26,CEILING($A96/5,1),CEILING(CZ$2/5,1))=1,INDEX('Serial Reference'!$A$8:$W$8,1,FLOOR(($A96-1)/23,1)+1)&amp;INDEX('Serial Reference'!$A$8:$W$8,1,MOD($A96-1,23)+1)&amp;TEXT(CZ$2+FLOOR((CZ$2-1)/9,1),"000"),"")</f>
        <v/>
      </c>
      <c r="DA96" s="22" t="str">
        <f>IF(INDEX('Shot Map'!$B$6:$V$26,CEILING($A96/5,1),CEILING(DA$2/5,1))=1,INDEX('Serial Reference'!$A$8:$W$8,1,FLOOR(($A96-1)/23,1)+1)&amp;INDEX('Serial Reference'!$A$8:$W$8,1,MOD($A96-1,23)+1)&amp;TEXT(DA$2+FLOOR((DA$2-1)/9,1),"000"),"")</f>
        <v/>
      </c>
      <c r="DB96" s="23" t="str">
        <f>IF(INDEX('Shot Map'!$B$6:$V$26,CEILING($A96/5,1),CEILING(DB$2/5,1))=1,INDEX('Serial Reference'!$A$8:$W$8,1,FLOOR(($A96-1)/23,1)+1)&amp;INDEX('Serial Reference'!$A$8:$W$8,1,MOD($A96-1,23)+1)&amp;TEXT(DB$2+FLOOR((DB$2-1)/9,1),"000"),"")</f>
        <v/>
      </c>
    </row>
    <row r="97" spans="1:106" ht="12.75" customHeight="1" x14ac:dyDescent="0.25">
      <c r="A97" s="17">
        <v>95</v>
      </c>
      <c r="B97" s="24" t="str">
        <f>IF(INDEX('Shot Map'!$B$6:$V$26,CEILING($A97/5,1),CEILING(B$2/5,1))=1,INDEX('Serial Reference'!$A$8:$W$8,1,FLOOR(($A97-1)/23,1)+1)&amp;INDEX('Serial Reference'!$A$8:$W$8,1,MOD($A97-1,23)+1)&amp;TEXT(B$2+FLOOR((B$2-1)/9,1),"000"),"")</f>
        <v/>
      </c>
      <c r="C97" s="25" t="str">
        <f>IF(INDEX('Shot Map'!$B$6:$V$26,CEILING($A97/5,1),CEILING(C$2/5,1))=1,INDEX('Serial Reference'!$A$8:$W$8,1,FLOOR(($A97-1)/23,1)+1)&amp;INDEX('Serial Reference'!$A$8:$W$8,1,MOD($A97-1,23)+1)&amp;TEXT(C$2+FLOOR((C$2-1)/9,1),"000"),"")</f>
        <v/>
      </c>
      <c r="D97" s="25" t="str">
        <f>IF(INDEX('Shot Map'!$B$6:$V$26,CEILING($A97/5,1),CEILING(D$2/5,1))=1,INDEX('Serial Reference'!$A$8:$W$8,1,FLOOR(($A97-1)/23,1)+1)&amp;INDEX('Serial Reference'!$A$8:$W$8,1,MOD($A97-1,23)+1)&amp;TEXT(D$2+FLOOR((D$2-1)/9,1),"000"),"")</f>
        <v/>
      </c>
      <c r="E97" s="25" t="str">
        <f>IF(INDEX('Shot Map'!$B$6:$V$26,CEILING($A97/5,1),CEILING(E$2/5,1))=1,INDEX('Serial Reference'!$A$8:$W$8,1,FLOOR(($A97-1)/23,1)+1)&amp;INDEX('Serial Reference'!$A$8:$W$8,1,MOD($A97-1,23)+1)&amp;TEXT(E$2+FLOOR((E$2-1)/9,1),"000"),"")</f>
        <v/>
      </c>
      <c r="F97" s="26" t="str">
        <f>IF(INDEX('Shot Map'!$B$6:$V$26,CEILING($A97/5,1),CEILING(F$2/5,1))=1,INDEX('Serial Reference'!$A$8:$W$8,1,FLOOR(($A97-1)/23,1)+1)&amp;INDEX('Serial Reference'!$A$8:$W$8,1,MOD($A97-1,23)+1)&amp;TEXT(F$2+FLOOR((F$2-1)/9,1),"000"),"")</f>
        <v/>
      </c>
      <c r="G97" s="24" t="str">
        <f>IF(INDEX('Shot Map'!$B$6:$V$26,CEILING($A97/5,1),CEILING(G$2/5,1))=1,INDEX('Serial Reference'!$A$8:$W$8,1,FLOOR(($A97-1)/23,1)+1)&amp;INDEX('Serial Reference'!$A$8:$W$8,1,MOD($A97-1,23)+1)&amp;TEXT(G$2+FLOOR((G$2-1)/9,1),"000"),"")</f>
        <v/>
      </c>
      <c r="H97" s="25" t="str">
        <f>IF(INDEX('Shot Map'!$B$6:$V$26,CEILING($A97/5,1),CEILING(H$2/5,1))=1,INDEX('Serial Reference'!$A$8:$W$8,1,FLOOR(($A97-1)/23,1)+1)&amp;INDEX('Serial Reference'!$A$8:$W$8,1,MOD($A97-1,23)+1)&amp;TEXT(H$2+FLOOR((H$2-1)/9,1),"000"),"")</f>
        <v/>
      </c>
      <c r="I97" s="25" t="str">
        <f>IF(INDEX('Shot Map'!$B$6:$V$26,CEILING($A97/5,1),CEILING(I$2/5,1))=1,INDEX('Serial Reference'!$A$8:$W$8,1,FLOOR(($A97-1)/23,1)+1)&amp;INDEX('Serial Reference'!$A$8:$W$8,1,MOD($A97-1,23)+1)&amp;TEXT(I$2+FLOOR((I$2-1)/9,1),"000"),"")</f>
        <v/>
      </c>
      <c r="J97" s="25" t="str">
        <f>IF(INDEX('Shot Map'!$B$6:$V$26,CEILING($A97/5,1),CEILING(J$2/5,1))=1,INDEX('Serial Reference'!$A$8:$W$8,1,FLOOR(($A97-1)/23,1)+1)&amp;INDEX('Serial Reference'!$A$8:$W$8,1,MOD($A97-1,23)+1)&amp;TEXT(J$2+FLOOR((J$2-1)/9,1),"000"),"")</f>
        <v/>
      </c>
      <c r="K97" s="26" t="str">
        <f>IF(INDEX('Shot Map'!$B$6:$V$26,CEILING($A97/5,1),CEILING(K$2/5,1))=1,INDEX('Serial Reference'!$A$8:$W$8,1,FLOOR(($A97-1)/23,1)+1)&amp;INDEX('Serial Reference'!$A$8:$W$8,1,MOD($A97-1,23)+1)&amp;TEXT(K$2+FLOOR((K$2-1)/9,1),"000"),"")</f>
        <v/>
      </c>
      <c r="L97" s="24" t="str">
        <f>IF(INDEX('Shot Map'!$B$6:$V$26,CEILING($A97/5,1),CEILING(L$2/5,1))=1,INDEX('Serial Reference'!$A$8:$W$8,1,FLOOR(($A97-1)/23,1)+1)&amp;INDEX('Serial Reference'!$A$8:$W$8,1,MOD($A97-1,23)+1)&amp;TEXT(L$2+FLOOR((L$2-1)/9,1),"000"),"")</f>
        <v/>
      </c>
      <c r="M97" s="25" t="str">
        <f>IF(INDEX('Shot Map'!$B$6:$V$26,CEILING($A97/5,1),CEILING(M$2/5,1))=1,INDEX('Serial Reference'!$A$8:$W$8,1,FLOOR(($A97-1)/23,1)+1)&amp;INDEX('Serial Reference'!$A$8:$W$8,1,MOD($A97-1,23)+1)&amp;TEXT(M$2+FLOOR((M$2-1)/9,1),"000"),"")</f>
        <v/>
      </c>
      <c r="N97" s="25" t="str">
        <f>IF(INDEX('Shot Map'!$B$6:$V$26,CEILING($A97/5,1),CEILING(N$2/5,1))=1,INDEX('Serial Reference'!$A$8:$W$8,1,FLOOR(($A97-1)/23,1)+1)&amp;INDEX('Serial Reference'!$A$8:$W$8,1,MOD($A97-1,23)+1)&amp;TEXT(N$2+FLOOR((N$2-1)/9,1),"000"),"")</f>
        <v/>
      </c>
      <c r="O97" s="25" t="str">
        <f>IF(INDEX('Shot Map'!$B$6:$V$26,CEILING($A97/5,1),CEILING(O$2/5,1))=1,INDEX('Serial Reference'!$A$8:$W$8,1,FLOOR(($A97-1)/23,1)+1)&amp;INDEX('Serial Reference'!$A$8:$W$8,1,MOD($A97-1,23)+1)&amp;TEXT(O$2+FLOOR((O$2-1)/9,1),"000"),"")</f>
        <v/>
      </c>
      <c r="P97" s="26" t="str">
        <f>IF(INDEX('Shot Map'!$B$6:$V$26,CEILING($A97/5,1),CEILING(P$2/5,1))=1,INDEX('Serial Reference'!$A$8:$W$8,1,FLOOR(($A97-1)/23,1)+1)&amp;INDEX('Serial Reference'!$A$8:$W$8,1,MOD($A97-1,23)+1)&amp;TEXT(P$2+FLOOR((P$2-1)/9,1),"000"),"")</f>
        <v/>
      </c>
      <c r="Q97" s="24" t="str">
        <f>IF(INDEX('Shot Map'!$B$6:$V$26,CEILING($A97/5,1),CEILING(Q$2/5,1))=1,INDEX('Serial Reference'!$A$8:$W$8,1,FLOOR(($A97-1)/23,1)+1)&amp;INDEX('Serial Reference'!$A$8:$W$8,1,MOD($A97-1,23)+1)&amp;TEXT(Q$2+FLOOR((Q$2-1)/9,1),"000"),"")</f>
        <v/>
      </c>
      <c r="R97" s="25" t="str">
        <f>IF(INDEX('Shot Map'!$B$6:$V$26,CEILING($A97/5,1),CEILING(R$2/5,1))=1,INDEX('Serial Reference'!$A$8:$W$8,1,FLOOR(($A97-1)/23,1)+1)&amp;INDEX('Serial Reference'!$A$8:$W$8,1,MOD($A97-1,23)+1)&amp;TEXT(R$2+FLOOR((R$2-1)/9,1),"000"),"")</f>
        <v/>
      </c>
      <c r="S97" s="25" t="str">
        <f>IF(INDEX('Shot Map'!$B$6:$V$26,CEILING($A97/5,1),CEILING(S$2/5,1))=1,INDEX('Serial Reference'!$A$8:$W$8,1,FLOOR(($A97-1)/23,1)+1)&amp;INDEX('Serial Reference'!$A$8:$W$8,1,MOD($A97-1,23)+1)&amp;TEXT(S$2+FLOOR((S$2-1)/9,1),"000"),"")</f>
        <v/>
      </c>
      <c r="T97" s="25" t="str">
        <f>IF(INDEX('Shot Map'!$B$6:$V$26,CEILING($A97/5,1),CEILING(T$2/5,1))=1,INDEX('Serial Reference'!$A$8:$W$8,1,FLOOR(($A97-1)/23,1)+1)&amp;INDEX('Serial Reference'!$A$8:$W$8,1,MOD($A97-1,23)+1)&amp;TEXT(T$2+FLOOR((T$2-1)/9,1),"000"),"")</f>
        <v/>
      </c>
      <c r="U97" s="26" t="str">
        <f>IF(INDEX('Shot Map'!$B$6:$V$26,CEILING($A97/5,1),CEILING(U$2/5,1))=1,INDEX('Serial Reference'!$A$8:$W$8,1,FLOOR(($A97-1)/23,1)+1)&amp;INDEX('Serial Reference'!$A$8:$W$8,1,MOD($A97-1,23)+1)&amp;TEXT(U$2+FLOOR((U$2-1)/9,1),"000"),"")</f>
        <v/>
      </c>
      <c r="V97" s="24" t="str">
        <f>IF(INDEX('Shot Map'!$B$6:$V$26,CEILING($A97/5,1),CEILING(V$2/5,1))=1,INDEX('Serial Reference'!$A$8:$W$8,1,FLOOR(($A97-1)/23,1)+1)&amp;INDEX('Serial Reference'!$A$8:$W$8,1,MOD($A97-1,23)+1)&amp;TEXT(V$2+FLOOR((V$2-1)/9,1),"000"),"")</f>
        <v>EC023</v>
      </c>
      <c r="W97" s="25" t="str">
        <f>IF(INDEX('Shot Map'!$B$6:$V$26,CEILING($A97/5,1),CEILING(W$2/5,1))=1,INDEX('Serial Reference'!$A$8:$W$8,1,FLOOR(($A97-1)/23,1)+1)&amp;INDEX('Serial Reference'!$A$8:$W$8,1,MOD($A97-1,23)+1)&amp;TEXT(W$2+FLOOR((W$2-1)/9,1),"000"),"")</f>
        <v>EC024</v>
      </c>
      <c r="X97" s="25" t="str">
        <f>IF(INDEX('Shot Map'!$B$6:$V$26,CEILING($A97/5,1),CEILING(X$2/5,1))=1,INDEX('Serial Reference'!$A$8:$W$8,1,FLOOR(($A97-1)/23,1)+1)&amp;INDEX('Serial Reference'!$A$8:$W$8,1,MOD($A97-1,23)+1)&amp;TEXT(X$2+FLOOR((X$2-1)/9,1),"000"),"")</f>
        <v>EC025</v>
      </c>
      <c r="Y97" s="25" t="str">
        <f>IF(INDEX('Shot Map'!$B$6:$V$26,CEILING($A97/5,1),CEILING(Y$2/5,1))=1,INDEX('Serial Reference'!$A$8:$W$8,1,FLOOR(($A97-1)/23,1)+1)&amp;INDEX('Serial Reference'!$A$8:$W$8,1,MOD($A97-1,23)+1)&amp;TEXT(Y$2+FLOOR((Y$2-1)/9,1),"000"),"")</f>
        <v>EC026</v>
      </c>
      <c r="Z97" s="26" t="str">
        <f>IF(INDEX('Shot Map'!$B$6:$V$26,CEILING($A97/5,1),CEILING(Z$2/5,1))=1,INDEX('Serial Reference'!$A$8:$W$8,1,FLOOR(($A97-1)/23,1)+1)&amp;INDEX('Serial Reference'!$A$8:$W$8,1,MOD($A97-1,23)+1)&amp;TEXT(Z$2+FLOOR((Z$2-1)/9,1),"000"),"")</f>
        <v>EC027</v>
      </c>
      <c r="AA97" s="24" t="str">
        <f>IF(INDEX('Shot Map'!$B$6:$V$26,CEILING($A97/5,1),CEILING(AA$2/5,1))=1,INDEX('Serial Reference'!$A$8:$W$8,1,FLOOR(($A97-1)/23,1)+1)&amp;INDEX('Serial Reference'!$A$8:$W$8,1,MOD($A97-1,23)+1)&amp;TEXT(AA$2+FLOOR((AA$2-1)/9,1),"000"),"")</f>
        <v>EC028</v>
      </c>
      <c r="AB97" s="25" t="str">
        <f>IF(INDEX('Shot Map'!$B$6:$V$26,CEILING($A97/5,1),CEILING(AB$2/5,1))=1,INDEX('Serial Reference'!$A$8:$W$8,1,FLOOR(($A97-1)/23,1)+1)&amp;INDEX('Serial Reference'!$A$8:$W$8,1,MOD($A97-1,23)+1)&amp;TEXT(AB$2+FLOOR((AB$2-1)/9,1),"000"),"")</f>
        <v>EC029</v>
      </c>
      <c r="AC97" s="25" t="str">
        <f>IF(INDEX('Shot Map'!$B$6:$V$26,CEILING($A97/5,1),CEILING(AC$2/5,1))=1,INDEX('Serial Reference'!$A$8:$W$8,1,FLOOR(($A97-1)/23,1)+1)&amp;INDEX('Serial Reference'!$A$8:$W$8,1,MOD($A97-1,23)+1)&amp;TEXT(AC$2+FLOOR((AC$2-1)/9,1),"000"),"")</f>
        <v>EC031</v>
      </c>
      <c r="AD97" s="25" t="str">
        <f>IF(INDEX('Shot Map'!$B$6:$V$26,CEILING($A97/5,1),CEILING(AD$2/5,1))=1,INDEX('Serial Reference'!$A$8:$W$8,1,FLOOR(($A97-1)/23,1)+1)&amp;INDEX('Serial Reference'!$A$8:$W$8,1,MOD($A97-1,23)+1)&amp;TEXT(AD$2+FLOOR((AD$2-1)/9,1),"000"),"")</f>
        <v>EC032</v>
      </c>
      <c r="AE97" s="26" t="str">
        <f>IF(INDEX('Shot Map'!$B$6:$V$26,CEILING($A97/5,1),CEILING(AE$2/5,1))=1,INDEX('Serial Reference'!$A$8:$W$8,1,FLOOR(($A97-1)/23,1)+1)&amp;INDEX('Serial Reference'!$A$8:$W$8,1,MOD($A97-1,23)+1)&amp;TEXT(AE$2+FLOOR((AE$2-1)/9,1),"000"),"")</f>
        <v>EC033</v>
      </c>
      <c r="AF97" s="24" t="str">
        <f>IF(INDEX('Shot Map'!$B$6:$V$26,CEILING($A97/5,1),CEILING(AF$2/5,1))=1,INDEX('Serial Reference'!$A$8:$W$8,1,FLOOR(($A97-1)/23,1)+1)&amp;INDEX('Serial Reference'!$A$8:$W$8,1,MOD($A97-1,23)+1)&amp;TEXT(AF$2+FLOOR((AF$2-1)/9,1),"000"),"")</f>
        <v>EC034</v>
      </c>
      <c r="AG97" s="25" t="str">
        <f>IF(INDEX('Shot Map'!$B$6:$V$26,CEILING($A97/5,1),CEILING(AG$2/5,1))=1,INDEX('Serial Reference'!$A$8:$W$8,1,FLOOR(($A97-1)/23,1)+1)&amp;INDEX('Serial Reference'!$A$8:$W$8,1,MOD($A97-1,23)+1)&amp;TEXT(AG$2+FLOOR((AG$2-1)/9,1),"000"),"")</f>
        <v>EC035</v>
      </c>
      <c r="AH97" s="25" t="str">
        <f>IF(INDEX('Shot Map'!$B$6:$V$26,CEILING($A97/5,1),CEILING(AH$2/5,1))=1,INDEX('Serial Reference'!$A$8:$W$8,1,FLOOR(($A97-1)/23,1)+1)&amp;INDEX('Serial Reference'!$A$8:$W$8,1,MOD($A97-1,23)+1)&amp;TEXT(AH$2+FLOOR((AH$2-1)/9,1),"000"),"")</f>
        <v>EC036</v>
      </c>
      <c r="AI97" s="25" t="str">
        <f>IF(INDEX('Shot Map'!$B$6:$V$26,CEILING($A97/5,1),CEILING(AI$2/5,1))=1,INDEX('Serial Reference'!$A$8:$W$8,1,FLOOR(($A97-1)/23,1)+1)&amp;INDEX('Serial Reference'!$A$8:$W$8,1,MOD($A97-1,23)+1)&amp;TEXT(AI$2+FLOOR((AI$2-1)/9,1),"000"),"")</f>
        <v>EC037</v>
      </c>
      <c r="AJ97" s="26" t="str">
        <f>IF(INDEX('Shot Map'!$B$6:$V$26,CEILING($A97/5,1),CEILING(AJ$2/5,1))=1,INDEX('Serial Reference'!$A$8:$W$8,1,FLOOR(($A97-1)/23,1)+1)&amp;INDEX('Serial Reference'!$A$8:$W$8,1,MOD($A97-1,23)+1)&amp;TEXT(AJ$2+FLOOR((AJ$2-1)/9,1),"000"),"")</f>
        <v>EC038</v>
      </c>
      <c r="AK97" s="24" t="str">
        <f>IF(INDEX('Shot Map'!$B$6:$V$26,CEILING($A97/5,1),CEILING(AK$2/5,1))=1,INDEX('Serial Reference'!$A$8:$W$8,1,FLOOR(($A97-1)/23,1)+1)&amp;INDEX('Serial Reference'!$A$8:$W$8,1,MOD($A97-1,23)+1)&amp;TEXT(AK$2+FLOOR((AK$2-1)/9,1),"000"),"")</f>
        <v>EC039</v>
      </c>
      <c r="AL97" s="25" t="str">
        <f>IF(INDEX('Shot Map'!$B$6:$V$26,CEILING($A97/5,1),CEILING(AL$2/5,1))=1,INDEX('Serial Reference'!$A$8:$W$8,1,FLOOR(($A97-1)/23,1)+1)&amp;INDEX('Serial Reference'!$A$8:$W$8,1,MOD($A97-1,23)+1)&amp;TEXT(AL$2+FLOOR((AL$2-1)/9,1),"000"),"")</f>
        <v>EC041</v>
      </c>
      <c r="AM97" s="25" t="str">
        <f>IF(INDEX('Shot Map'!$B$6:$V$26,CEILING($A97/5,1),CEILING(AM$2/5,1))=1,INDEX('Serial Reference'!$A$8:$W$8,1,FLOOR(($A97-1)/23,1)+1)&amp;INDEX('Serial Reference'!$A$8:$W$8,1,MOD($A97-1,23)+1)&amp;TEXT(AM$2+FLOOR((AM$2-1)/9,1),"000"),"")</f>
        <v>EC042</v>
      </c>
      <c r="AN97" s="25" t="str">
        <f>IF(INDEX('Shot Map'!$B$6:$V$26,CEILING($A97/5,1),CEILING(AN$2/5,1))=1,INDEX('Serial Reference'!$A$8:$W$8,1,FLOOR(($A97-1)/23,1)+1)&amp;INDEX('Serial Reference'!$A$8:$W$8,1,MOD($A97-1,23)+1)&amp;TEXT(AN$2+FLOOR((AN$2-1)/9,1),"000"),"")</f>
        <v>EC043</v>
      </c>
      <c r="AO97" s="26" t="str">
        <f>IF(INDEX('Shot Map'!$B$6:$V$26,CEILING($A97/5,1),CEILING(AO$2/5,1))=1,INDEX('Serial Reference'!$A$8:$W$8,1,FLOOR(($A97-1)/23,1)+1)&amp;INDEX('Serial Reference'!$A$8:$W$8,1,MOD($A97-1,23)+1)&amp;TEXT(AO$2+FLOOR((AO$2-1)/9,1),"000"),"")</f>
        <v>EC044</v>
      </c>
      <c r="AP97" s="24" t="str">
        <f>IF(INDEX('Shot Map'!$B$6:$V$26,CEILING($A97/5,1),CEILING(AP$2/5,1))=1,INDEX('Serial Reference'!$A$8:$W$8,1,FLOOR(($A97-1)/23,1)+1)&amp;INDEX('Serial Reference'!$A$8:$W$8,1,MOD($A97-1,23)+1)&amp;TEXT(AP$2+FLOOR((AP$2-1)/9,1),"000"),"")</f>
        <v>EC045</v>
      </c>
      <c r="AQ97" s="25" t="str">
        <f>IF(INDEX('Shot Map'!$B$6:$V$26,CEILING($A97/5,1),CEILING(AQ$2/5,1))=1,INDEX('Serial Reference'!$A$8:$W$8,1,FLOOR(($A97-1)/23,1)+1)&amp;INDEX('Serial Reference'!$A$8:$W$8,1,MOD($A97-1,23)+1)&amp;TEXT(AQ$2+FLOOR((AQ$2-1)/9,1),"000"),"")</f>
        <v>EC046</v>
      </c>
      <c r="AR97" s="25" t="str">
        <f>IF(INDEX('Shot Map'!$B$6:$V$26,CEILING($A97/5,1),CEILING(AR$2/5,1))=1,INDEX('Serial Reference'!$A$8:$W$8,1,FLOOR(($A97-1)/23,1)+1)&amp;INDEX('Serial Reference'!$A$8:$W$8,1,MOD($A97-1,23)+1)&amp;TEXT(AR$2+FLOOR((AR$2-1)/9,1),"000"),"")</f>
        <v>EC047</v>
      </c>
      <c r="AS97" s="25" t="str">
        <f>IF(INDEX('Shot Map'!$B$6:$V$26,CEILING($A97/5,1),CEILING(AS$2/5,1))=1,INDEX('Serial Reference'!$A$8:$W$8,1,FLOOR(($A97-1)/23,1)+1)&amp;INDEX('Serial Reference'!$A$8:$W$8,1,MOD($A97-1,23)+1)&amp;TEXT(AS$2+FLOOR((AS$2-1)/9,1),"000"),"")</f>
        <v>EC048</v>
      </c>
      <c r="AT97" s="26" t="str">
        <f>IF(INDEX('Shot Map'!$B$6:$V$26,CEILING($A97/5,1),CEILING(AT$2/5,1))=1,INDEX('Serial Reference'!$A$8:$W$8,1,FLOOR(($A97-1)/23,1)+1)&amp;INDEX('Serial Reference'!$A$8:$W$8,1,MOD($A97-1,23)+1)&amp;TEXT(AT$2+FLOOR((AT$2-1)/9,1),"000"),"")</f>
        <v>EC049</v>
      </c>
      <c r="AU97" s="24" t="str">
        <f>IF(INDEX('Shot Map'!$B$6:$V$26,CEILING($A97/5,1),CEILING(AU$2/5,1))=1,INDEX('Serial Reference'!$A$8:$W$8,1,FLOOR(($A97-1)/23,1)+1)&amp;INDEX('Serial Reference'!$A$8:$W$8,1,MOD($A97-1,23)+1)&amp;TEXT(AU$2+FLOOR((AU$2-1)/9,1),"000"),"")</f>
        <v>EC051</v>
      </c>
      <c r="AV97" s="25" t="str">
        <f>IF(INDEX('Shot Map'!$B$6:$V$26,CEILING($A97/5,1),CEILING(AV$2/5,1))=1,INDEX('Serial Reference'!$A$8:$W$8,1,FLOOR(($A97-1)/23,1)+1)&amp;INDEX('Serial Reference'!$A$8:$W$8,1,MOD($A97-1,23)+1)&amp;TEXT(AV$2+FLOOR((AV$2-1)/9,1),"000"),"")</f>
        <v>EC052</v>
      </c>
      <c r="AW97" s="25" t="str">
        <f>IF(INDEX('Shot Map'!$B$6:$V$26,CEILING($A97/5,1),CEILING(AW$2/5,1))=1,INDEX('Serial Reference'!$A$8:$W$8,1,FLOOR(($A97-1)/23,1)+1)&amp;INDEX('Serial Reference'!$A$8:$W$8,1,MOD($A97-1,23)+1)&amp;TEXT(AW$2+FLOOR((AW$2-1)/9,1),"000"),"")</f>
        <v>EC053</v>
      </c>
      <c r="AX97" s="25" t="str">
        <f>IF(INDEX('Shot Map'!$B$6:$V$26,CEILING($A97/5,1),CEILING(AX$2/5,1))=1,INDEX('Serial Reference'!$A$8:$W$8,1,FLOOR(($A97-1)/23,1)+1)&amp;INDEX('Serial Reference'!$A$8:$W$8,1,MOD($A97-1,23)+1)&amp;TEXT(AX$2+FLOOR((AX$2-1)/9,1),"000"),"")</f>
        <v>EC054</v>
      </c>
      <c r="AY97" s="26" t="str">
        <f>IF(INDEX('Shot Map'!$B$6:$V$26,CEILING($A97/5,1),CEILING(AY$2/5,1))=1,INDEX('Serial Reference'!$A$8:$W$8,1,FLOOR(($A97-1)/23,1)+1)&amp;INDEX('Serial Reference'!$A$8:$W$8,1,MOD($A97-1,23)+1)&amp;TEXT(AY$2+FLOOR((AY$2-1)/9,1),"000"),"")</f>
        <v>EC055</v>
      </c>
      <c r="AZ97" s="24" t="str">
        <f>IF(INDEX('Shot Map'!$B$6:$V$26,CEILING($A97/5,1),CEILING(AZ$2/5,1))=1,INDEX('Serial Reference'!$A$8:$W$8,1,FLOOR(($A97-1)/23,1)+1)&amp;INDEX('Serial Reference'!$A$8:$W$8,1,MOD($A97-1,23)+1)&amp;TEXT(AZ$2+FLOOR((AZ$2-1)/9,1),"000"),"")</f>
        <v>EC056</v>
      </c>
      <c r="BA97" s="25" t="str">
        <f>IF(INDEX('Shot Map'!$B$6:$V$26,CEILING($A97/5,1),CEILING(BA$2/5,1))=1,INDEX('Serial Reference'!$A$8:$W$8,1,FLOOR(($A97-1)/23,1)+1)&amp;INDEX('Serial Reference'!$A$8:$W$8,1,MOD($A97-1,23)+1)&amp;TEXT(BA$2+FLOOR((BA$2-1)/9,1),"000"),"")</f>
        <v>EC057</v>
      </c>
      <c r="BB97" s="25" t="str">
        <f>IF(INDEX('Shot Map'!$B$6:$V$26,CEILING($A97/5,1),CEILING(BB$2/5,1))=1,INDEX('Serial Reference'!$A$8:$W$8,1,FLOOR(($A97-1)/23,1)+1)&amp;INDEX('Serial Reference'!$A$8:$W$8,1,MOD($A97-1,23)+1)&amp;TEXT(BB$2+FLOOR((BB$2-1)/9,1),"000"),"")</f>
        <v>EC058</v>
      </c>
      <c r="BC97" s="25" t="str">
        <f>IF(INDEX('Shot Map'!$B$6:$V$26,CEILING($A97/5,1),CEILING(BC$2/5,1))=1,INDEX('Serial Reference'!$A$8:$W$8,1,FLOOR(($A97-1)/23,1)+1)&amp;INDEX('Serial Reference'!$A$8:$W$8,1,MOD($A97-1,23)+1)&amp;TEXT(BC$2+FLOOR((BC$2-1)/9,1),"000"),"")</f>
        <v>EC059</v>
      </c>
      <c r="BD97" s="26" t="str">
        <f>IF(INDEX('Shot Map'!$B$6:$V$26,CEILING($A97/5,1),CEILING(BD$2/5,1))=1,INDEX('Serial Reference'!$A$8:$W$8,1,FLOOR(($A97-1)/23,1)+1)&amp;INDEX('Serial Reference'!$A$8:$W$8,1,MOD($A97-1,23)+1)&amp;TEXT(BD$2+FLOOR((BD$2-1)/9,1),"000"),"")</f>
        <v>EC061</v>
      </c>
      <c r="BE97" s="24" t="str">
        <f>IF(INDEX('Shot Map'!$B$6:$V$26,CEILING($A97/5,1),CEILING(BE$2/5,1))=1,INDEX('Serial Reference'!$A$8:$W$8,1,FLOOR(($A97-1)/23,1)+1)&amp;INDEX('Serial Reference'!$A$8:$W$8,1,MOD($A97-1,23)+1)&amp;TEXT(BE$2+FLOOR((BE$2-1)/9,1),"000"),"")</f>
        <v>EC062</v>
      </c>
      <c r="BF97" s="25" t="str">
        <f>IF(INDEX('Shot Map'!$B$6:$V$26,CEILING($A97/5,1),CEILING(BF$2/5,1))=1,INDEX('Serial Reference'!$A$8:$W$8,1,FLOOR(($A97-1)/23,1)+1)&amp;INDEX('Serial Reference'!$A$8:$W$8,1,MOD($A97-1,23)+1)&amp;TEXT(BF$2+FLOOR((BF$2-1)/9,1),"000"),"")</f>
        <v>EC063</v>
      </c>
      <c r="BG97" s="25" t="str">
        <f>IF(INDEX('Shot Map'!$B$6:$V$26,CEILING($A97/5,1),CEILING(BG$2/5,1))=1,INDEX('Serial Reference'!$A$8:$W$8,1,FLOOR(($A97-1)/23,1)+1)&amp;INDEX('Serial Reference'!$A$8:$W$8,1,MOD($A97-1,23)+1)&amp;TEXT(BG$2+FLOOR((BG$2-1)/9,1),"000"),"")</f>
        <v>EC064</v>
      </c>
      <c r="BH97" s="25" t="str">
        <f>IF(INDEX('Shot Map'!$B$6:$V$26,CEILING($A97/5,1),CEILING(BH$2/5,1))=1,INDEX('Serial Reference'!$A$8:$W$8,1,FLOOR(($A97-1)/23,1)+1)&amp;INDEX('Serial Reference'!$A$8:$W$8,1,MOD($A97-1,23)+1)&amp;TEXT(BH$2+FLOOR((BH$2-1)/9,1),"000"),"")</f>
        <v>EC065</v>
      </c>
      <c r="BI97" s="26" t="str">
        <f>IF(INDEX('Shot Map'!$B$6:$V$26,CEILING($A97/5,1),CEILING(BI$2/5,1))=1,INDEX('Serial Reference'!$A$8:$W$8,1,FLOOR(($A97-1)/23,1)+1)&amp;INDEX('Serial Reference'!$A$8:$W$8,1,MOD($A97-1,23)+1)&amp;TEXT(BI$2+FLOOR((BI$2-1)/9,1),"000"),"")</f>
        <v>EC066</v>
      </c>
      <c r="BJ97" s="24" t="str">
        <f>IF(INDEX('Shot Map'!$B$6:$V$26,CEILING($A97/5,1),CEILING(BJ$2/5,1))=1,INDEX('Serial Reference'!$A$8:$W$8,1,FLOOR(($A97-1)/23,1)+1)&amp;INDEX('Serial Reference'!$A$8:$W$8,1,MOD($A97-1,23)+1)&amp;TEXT(BJ$2+FLOOR((BJ$2-1)/9,1),"000"),"")</f>
        <v>EC067</v>
      </c>
      <c r="BK97" s="25" t="str">
        <f>IF(INDEX('Shot Map'!$B$6:$V$26,CEILING($A97/5,1),CEILING(BK$2/5,1))=1,INDEX('Serial Reference'!$A$8:$W$8,1,FLOOR(($A97-1)/23,1)+1)&amp;INDEX('Serial Reference'!$A$8:$W$8,1,MOD($A97-1,23)+1)&amp;TEXT(BK$2+FLOOR((BK$2-1)/9,1),"000"),"")</f>
        <v>EC068</v>
      </c>
      <c r="BL97" s="25" t="str">
        <f>IF(INDEX('Shot Map'!$B$6:$V$26,CEILING($A97/5,1),CEILING(BL$2/5,1))=1,INDEX('Serial Reference'!$A$8:$W$8,1,FLOOR(($A97-1)/23,1)+1)&amp;INDEX('Serial Reference'!$A$8:$W$8,1,MOD($A97-1,23)+1)&amp;TEXT(BL$2+FLOOR((BL$2-1)/9,1),"000"),"")</f>
        <v>EC069</v>
      </c>
      <c r="BM97" s="25" t="str">
        <f>IF(INDEX('Shot Map'!$B$6:$V$26,CEILING($A97/5,1),CEILING(BM$2/5,1))=1,INDEX('Serial Reference'!$A$8:$W$8,1,FLOOR(($A97-1)/23,1)+1)&amp;INDEX('Serial Reference'!$A$8:$W$8,1,MOD($A97-1,23)+1)&amp;TEXT(BM$2+FLOOR((BM$2-1)/9,1),"000"),"")</f>
        <v>EC071</v>
      </c>
      <c r="BN97" s="26" t="str">
        <f>IF(INDEX('Shot Map'!$B$6:$V$26,CEILING($A97/5,1),CEILING(BN$2/5,1))=1,INDEX('Serial Reference'!$A$8:$W$8,1,FLOOR(($A97-1)/23,1)+1)&amp;INDEX('Serial Reference'!$A$8:$W$8,1,MOD($A97-1,23)+1)&amp;TEXT(BN$2+FLOOR((BN$2-1)/9,1),"000"),"")</f>
        <v>EC072</v>
      </c>
      <c r="BO97" s="24" t="str">
        <f>IF(INDEX('Shot Map'!$B$6:$V$26,CEILING($A97/5,1),CEILING(BO$2/5,1))=1,INDEX('Serial Reference'!$A$8:$W$8,1,FLOOR(($A97-1)/23,1)+1)&amp;INDEX('Serial Reference'!$A$8:$W$8,1,MOD($A97-1,23)+1)&amp;TEXT(BO$2+FLOOR((BO$2-1)/9,1),"000"),"")</f>
        <v>EC073</v>
      </c>
      <c r="BP97" s="25" t="str">
        <f>IF(INDEX('Shot Map'!$B$6:$V$26,CEILING($A97/5,1),CEILING(BP$2/5,1))=1,INDEX('Serial Reference'!$A$8:$W$8,1,FLOOR(($A97-1)/23,1)+1)&amp;INDEX('Serial Reference'!$A$8:$W$8,1,MOD($A97-1,23)+1)&amp;TEXT(BP$2+FLOOR((BP$2-1)/9,1),"000"),"")</f>
        <v>EC074</v>
      </c>
      <c r="BQ97" s="25" t="str">
        <f>IF(INDEX('Shot Map'!$B$6:$V$26,CEILING($A97/5,1),CEILING(BQ$2/5,1))=1,INDEX('Serial Reference'!$A$8:$W$8,1,FLOOR(($A97-1)/23,1)+1)&amp;INDEX('Serial Reference'!$A$8:$W$8,1,MOD($A97-1,23)+1)&amp;TEXT(BQ$2+FLOOR((BQ$2-1)/9,1),"000"),"")</f>
        <v>EC075</v>
      </c>
      <c r="BR97" s="25" t="str">
        <f>IF(INDEX('Shot Map'!$B$6:$V$26,CEILING($A97/5,1),CEILING(BR$2/5,1))=1,INDEX('Serial Reference'!$A$8:$W$8,1,FLOOR(($A97-1)/23,1)+1)&amp;INDEX('Serial Reference'!$A$8:$W$8,1,MOD($A97-1,23)+1)&amp;TEXT(BR$2+FLOOR((BR$2-1)/9,1),"000"),"")</f>
        <v>EC076</v>
      </c>
      <c r="BS97" s="26" t="str">
        <f>IF(INDEX('Shot Map'!$B$6:$V$26,CEILING($A97/5,1),CEILING(BS$2/5,1))=1,INDEX('Serial Reference'!$A$8:$W$8,1,FLOOR(($A97-1)/23,1)+1)&amp;INDEX('Serial Reference'!$A$8:$W$8,1,MOD($A97-1,23)+1)&amp;TEXT(BS$2+FLOOR((BS$2-1)/9,1),"000"),"")</f>
        <v>EC077</v>
      </c>
      <c r="BT97" s="24" t="str">
        <f>IF(INDEX('Shot Map'!$B$6:$V$26,CEILING($A97/5,1),CEILING(BT$2/5,1))=1,INDEX('Serial Reference'!$A$8:$W$8,1,FLOOR(($A97-1)/23,1)+1)&amp;INDEX('Serial Reference'!$A$8:$W$8,1,MOD($A97-1,23)+1)&amp;TEXT(BT$2+FLOOR((BT$2-1)/9,1),"000"),"")</f>
        <v>EC078</v>
      </c>
      <c r="BU97" s="25" t="str">
        <f>IF(INDEX('Shot Map'!$B$6:$V$26,CEILING($A97/5,1),CEILING(BU$2/5,1))=1,INDEX('Serial Reference'!$A$8:$W$8,1,FLOOR(($A97-1)/23,1)+1)&amp;INDEX('Serial Reference'!$A$8:$W$8,1,MOD($A97-1,23)+1)&amp;TEXT(BU$2+FLOOR((BU$2-1)/9,1),"000"),"")</f>
        <v>EC079</v>
      </c>
      <c r="BV97" s="25" t="str">
        <f>IF(INDEX('Shot Map'!$B$6:$V$26,CEILING($A97/5,1),CEILING(BV$2/5,1))=1,INDEX('Serial Reference'!$A$8:$W$8,1,FLOOR(($A97-1)/23,1)+1)&amp;INDEX('Serial Reference'!$A$8:$W$8,1,MOD($A97-1,23)+1)&amp;TEXT(BV$2+FLOOR((BV$2-1)/9,1),"000"),"")</f>
        <v>EC081</v>
      </c>
      <c r="BW97" s="25" t="str">
        <f>IF(INDEX('Shot Map'!$B$6:$V$26,CEILING($A97/5,1),CEILING(BW$2/5,1))=1,INDEX('Serial Reference'!$A$8:$W$8,1,FLOOR(($A97-1)/23,1)+1)&amp;INDEX('Serial Reference'!$A$8:$W$8,1,MOD($A97-1,23)+1)&amp;TEXT(BW$2+FLOOR((BW$2-1)/9,1),"000"),"")</f>
        <v>EC082</v>
      </c>
      <c r="BX97" s="26" t="str">
        <f>IF(INDEX('Shot Map'!$B$6:$V$26,CEILING($A97/5,1),CEILING(BX$2/5,1))=1,INDEX('Serial Reference'!$A$8:$W$8,1,FLOOR(($A97-1)/23,1)+1)&amp;INDEX('Serial Reference'!$A$8:$W$8,1,MOD($A97-1,23)+1)&amp;TEXT(BX$2+FLOOR((BX$2-1)/9,1),"000"),"")</f>
        <v>EC083</v>
      </c>
      <c r="BY97" s="24" t="str">
        <f>IF(INDEX('Shot Map'!$B$6:$V$26,CEILING($A97/5,1),CEILING(BY$2/5,1))=1,INDEX('Serial Reference'!$A$8:$W$8,1,FLOOR(($A97-1)/23,1)+1)&amp;INDEX('Serial Reference'!$A$8:$W$8,1,MOD($A97-1,23)+1)&amp;TEXT(BY$2+FLOOR((BY$2-1)/9,1),"000"),"")</f>
        <v>EC084</v>
      </c>
      <c r="BZ97" s="25" t="str">
        <f>IF(INDEX('Shot Map'!$B$6:$V$26,CEILING($A97/5,1),CEILING(BZ$2/5,1))=1,INDEX('Serial Reference'!$A$8:$W$8,1,FLOOR(($A97-1)/23,1)+1)&amp;INDEX('Serial Reference'!$A$8:$W$8,1,MOD($A97-1,23)+1)&amp;TEXT(BZ$2+FLOOR((BZ$2-1)/9,1),"000"),"")</f>
        <v>EC085</v>
      </c>
      <c r="CA97" s="25" t="str">
        <f>IF(INDEX('Shot Map'!$B$6:$V$26,CEILING($A97/5,1),CEILING(CA$2/5,1))=1,INDEX('Serial Reference'!$A$8:$W$8,1,FLOOR(($A97-1)/23,1)+1)&amp;INDEX('Serial Reference'!$A$8:$W$8,1,MOD($A97-1,23)+1)&amp;TEXT(CA$2+FLOOR((CA$2-1)/9,1),"000"),"")</f>
        <v>EC086</v>
      </c>
      <c r="CB97" s="25" t="str">
        <f>IF(INDEX('Shot Map'!$B$6:$V$26,CEILING($A97/5,1),CEILING(CB$2/5,1))=1,INDEX('Serial Reference'!$A$8:$W$8,1,FLOOR(($A97-1)/23,1)+1)&amp;INDEX('Serial Reference'!$A$8:$W$8,1,MOD($A97-1,23)+1)&amp;TEXT(CB$2+FLOOR((CB$2-1)/9,1),"000"),"")</f>
        <v>EC087</v>
      </c>
      <c r="CC97" s="26" t="str">
        <f>IF(INDEX('Shot Map'!$B$6:$V$26,CEILING($A97/5,1),CEILING(CC$2/5,1))=1,INDEX('Serial Reference'!$A$8:$W$8,1,FLOOR(($A97-1)/23,1)+1)&amp;INDEX('Serial Reference'!$A$8:$W$8,1,MOD($A97-1,23)+1)&amp;TEXT(CC$2+FLOOR((CC$2-1)/9,1),"000"),"")</f>
        <v>EC088</v>
      </c>
      <c r="CD97" s="24" t="str">
        <f>IF(INDEX('Shot Map'!$B$6:$V$26,CEILING($A97/5,1),CEILING(CD$2/5,1))=1,INDEX('Serial Reference'!$A$8:$W$8,1,FLOOR(($A97-1)/23,1)+1)&amp;INDEX('Serial Reference'!$A$8:$W$8,1,MOD($A97-1,23)+1)&amp;TEXT(CD$2+FLOOR((CD$2-1)/9,1),"000"),"")</f>
        <v>EC089</v>
      </c>
      <c r="CE97" s="25" t="str">
        <f>IF(INDEX('Shot Map'!$B$6:$V$26,CEILING($A97/5,1),CEILING(CE$2/5,1))=1,INDEX('Serial Reference'!$A$8:$W$8,1,FLOOR(($A97-1)/23,1)+1)&amp;INDEX('Serial Reference'!$A$8:$W$8,1,MOD($A97-1,23)+1)&amp;TEXT(CE$2+FLOOR((CE$2-1)/9,1),"000"),"")</f>
        <v>EC091</v>
      </c>
      <c r="CF97" s="25" t="str">
        <f>IF(INDEX('Shot Map'!$B$6:$V$26,CEILING($A97/5,1),CEILING(CF$2/5,1))=1,INDEX('Serial Reference'!$A$8:$W$8,1,FLOOR(($A97-1)/23,1)+1)&amp;INDEX('Serial Reference'!$A$8:$W$8,1,MOD($A97-1,23)+1)&amp;TEXT(CF$2+FLOOR((CF$2-1)/9,1),"000"),"")</f>
        <v>EC092</v>
      </c>
      <c r="CG97" s="25" t="str">
        <f>IF(INDEX('Shot Map'!$B$6:$V$26,CEILING($A97/5,1),CEILING(CG$2/5,1))=1,INDEX('Serial Reference'!$A$8:$W$8,1,FLOOR(($A97-1)/23,1)+1)&amp;INDEX('Serial Reference'!$A$8:$W$8,1,MOD($A97-1,23)+1)&amp;TEXT(CG$2+FLOOR((CG$2-1)/9,1),"000"),"")</f>
        <v>EC093</v>
      </c>
      <c r="CH97" s="26" t="str">
        <f>IF(INDEX('Shot Map'!$B$6:$V$26,CEILING($A97/5,1),CEILING(CH$2/5,1))=1,INDEX('Serial Reference'!$A$8:$W$8,1,FLOOR(($A97-1)/23,1)+1)&amp;INDEX('Serial Reference'!$A$8:$W$8,1,MOD($A97-1,23)+1)&amp;TEXT(CH$2+FLOOR((CH$2-1)/9,1),"000"),"")</f>
        <v>EC094</v>
      </c>
      <c r="CI97" s="24" t="str">
        <f>IF(INDEX('Shot Map'!$B$6:$V$26,CEILING($A97/5,1),CEILING(CI$2/5,1))=1,INDEX('Serial Reference'!$A$8:$W$8,1,FLOOR(($A97-1)/23,1)+1)&amp;INDEX('Serial Reference'!$A$8:$W$8,1,MOD($A97-1,23)+1)&amp;TEXT(CI$2+FLOOR((CI$2-1)/9,1),"000"),"")</f>
        <v/>
      </c>
      <c r="CJ97" s="25" t="str">
        <f>IF(INDEX('Shot Map'!$B$6:$V$26,CEILING($A97/5,1),CEILING(CJ$2/5,1))=1,INDEX('Serial Reference'!$A$8:$W$8,1,FLOOR(($A97-1)/23,1)+1)&amp;INDEX('Serial Reference'!$A$8:$W$8,1,MOD($A97-1,23)+1)&amp;TEXT(CJ$2+FLOOR((CJ$2-1)/9,1),"000"),"")</f>
        <v/>
      </c>
      <c r="CK97" s="25" t="str">
        <f>IF(INDEX('Shot Map'!$B$6:$V$26,CEILING($A97/5,1),CEILING(CK$2/5,1))=1,INDEX('Serial Reference'!$A$8:$W$8,1,FLOOR(($A97-1)/23,1)+1)&amp;INDEX('Serial Reference'!$A$8:$W$8,1,MOD($A97-1,23)+1)&amp;TEXT(CK$2+FLOOR((CK$2-1)/9,1),"000"),"")</f>
        <v/>
      </c>
      <c r="CL97" s="25" t="str">
        <f>IF(INDEX('Shot Map'!$B$6:$V$26,CEILING($A97/5,1),CEILING(CL$2/5,1))=1,INDEX('Serial Reference'!$A$8:$W$8,1,FLOOR(($A97-1)/23,1)+1)&amp;INDEX('Serial Reference'!$A$8:$W$8,1,MOD($A97-1,23)+1)&amp;TEXT(CL$2+FLOOR((CL$2-1)/9,1),"000"),"")</f>
        <v/>
      </c>
      <c r="CM97" s="26" t="str">
        <f>IF(INDEX('Shot Map'!$B$6:$V$26,CEILING($A97/5,1),CEILING(CM$2/5,1))=1,INDEX('Serial Reference'!$A$8:$W$8,1,FLOOR(($A97-1)/23,1)+1)&amp;INDEX('Serial Reference'!$A$8:$W$8,1,MOD($A97-1,23)+1)&amp;TEXT(CM$2+FLOOR((CM$2-1)/9,1),"000"),"")</f>
        <v/>
      </c>
      <c r="CN97" s="24" t="str">
        <f>IF(INDEX('Shot Map'!$B$6:$V$26,CEILING($A97/5,1),CEILING(CN$2/5,1))=1,INDEX('Serial Reference'!$A$8:$W$8,1,FLOOR(($A97-1)/23,1)+1)&amp;INDEX('Serial Reference'!$A$8:$W$8,1,MOD($A97-1,23)+1)&amp;TEXT(CN$2+FLOOR((CN$2-1)/9,1),"000"),"")</f>
        <v/>
      </c>
      <c r="CO97" s="25" t="str">
        <f>IF(INDEX('Shot Map'!$B$6:$V$26,CEILING($A97/5,1),CEILING(CO$2/5,1))=1,INDEX('Serial Reference'!$A$8:$W$8,1,FLOOR(($A97-1)/23,1)+1)&amp;INDEX('Serial Reference'!$A$8:$W$8,1,MOD($A97-1,23)+1)&amp;TEXT(CO$2+FLOOR((CO$2-1)/9,1),"000"),"")</f>
        <v/>
      </c>
      <c r="CP97" s="25" t="str">
        <f>IF(INDEX('Shot Map'!$B$6:$V$26,CEILING($A97/5,1),CEILING(CP$2/5,1))=1,INDEX('Serial Reference'!$A$8:$W$8,1,FLOOR(($A97-1)/23,1)+1)&amp;INDEX('Serial Reference'!$A$8:$W$8,1,MOD($A97-1,23)+1)&amp;TEXT(CP$2+FLOOR((CP$2-1)/9,1),"000"),"")</f>
        <v/>
      </c>
      <c r="CQ97" s="25" t="str">
        <f>IF(INDEX('Shot Map'!$B$6:$V$26,CEILING($A97/5,1),CEILING(CQ$2/5,1))=1,INDEX('Serial Reference'!$A$8:$W$8,1,FLOOR(($A97-1)/23,1)+1)&amp;INDEX('Serial Reference'!$A$8:$W$8,1,MOD($A97-1,23)+1)&amp;TEXT(CQ$2+FLOOR((CQ$2-1)/9,1),"000"),"")</f>
        <v/>
      </c>
      <c r="CR97" s="26" t="str">
        <f>IF(INDEX('Shot Map'!$B$6:$V$26,CEILING($A97/5,1),CEILING(CR$2/5,1))=1,INDEX('Serial Reference'!$A$8:$W$8,1,FLOOR(($A97-1)/23,1)+1)&amp;INDEX('Serial Reference'!$A$8:$W$8,1,MOD($A97-1,23)+1)&amp;TEXT(CR$2+FLOOR((CR$2-1)/9,1),"000"),"")</f>
        <v/>
      </c>
      <c r="CS97" s="24" t="str">
        <f>IF(INDEX('Shot Map'!$B$6:$V$26,CEILING($A97/5,1),CEILING(CS$2/5,1))=1,INDEX('Serial Reference'!$A$8:$W$8,1,FLOOR(($A97-1)/23,1)+1)&amp;INDEX('Serial Reference'!$A$8:$W$8,1,MOD($A97-1,23)+1)&amp;TEXT(CS$2+FLOOR((CS$2-1)/9,1),"000"),"")</f>
        <v/>
      </c>
      <c r="CT97" s="25" t="str">
        <f>IF(INDEX('Shot Map'!$B$6:$V$26,CEILING($A97/5,1),CEILING(CT$2/5,1))=1,INDEX('Serial Reference'!$A$8:$W$8,1,FLOOR(($A97-1)/23,1)+1)&amp;INDEX('Serial Reference'!$A$8:$W$8,1,MOD($A97-1,23)+1)&amp;TEXT(CT$2+FLOOR((CT$2-1)/9,1),"000"),"")</f>
        <v/>
      </c>
      <c r="CU97" s="25" t="str">
        <f>IF(INDEX('Shot Map'!$B$6:$V$26,CEILING($A97/5,1),CEILING(CU$2/5,1))=1,INDEX('Serial Reference'!$A$8:$W$8,1,FLOOR(($A97-1)/23,1)+1)&amp;INDEX('Serial Reference'!$A$8:$W$8,1,MOD($A97-1,23)+1)&amp;TEXT(CU$2+FLOOR((CU$2-1)/9,1),"000"),"")</f>
        <v/>
      </c>
      <c r="CV97" s="25" t="str">
        <f>IF(INDEX('Shot Map'!$B$6:$V$26,CEILING($A97/5,1),CEILING(CV$2/5,1))=1,INDEX('Serial Reference'!$A$8:$W$8,1,FLOOR(($A97-1)/23,1)+1)&amp;INDEX('Serial Reference'!$A$8:$W$8,1,MOD($A97-1,23)+1)&amp;TEXT(CV$2+FLOOR((CV$2-1)/9,1),"000"),"")</f>
        <v/>
      </c>
      <c r="CW97" s="26" t="str">
        <f>IF(INDEX('Shot Map'!$B$6:$V$26,CEILING($A97/5,1),CEILING(CW$2/5,1))=1,INDEX('Serial Reference'!$A$8:$W$8,1,FLOOR(($A97-1)/23,1)+1)&amp;INDEX('Serial Reference'!$A$8:$W$8,1,MOD($A97-1,23)+1)&amp;TEXT(CW$2+FLOOR((CW$2-1)/9,1),"000"),"")</f>
        <v/>
      </c>
      <c r="CX97" s="24" t="str">
        <f>IF(INDEX('Shot Map'!$B$6:$V$26,CEILING($A97/5,1),CEILING(CX$2/5,1))=1,INDEX('Serial Reference'!$A$8:$W$8,1,FLOOR(($A97-1)/23,1)+1)&amp;INDEX('Serial Reference'!$A$8:$W$8,1,MOD($A97-1,23)+1)&amp;TEXT(CX$2+FLOOR((CX$2-1)/9,1),"000"),"")</f>
        <v/>
      </c>
      <c r="CY97" s="25" t="str">
        <f>IF(INDEX('Shot Map'!$B$6:$V$26,CEILING($A97/5,1),CEILING(CY$2/5,1))=1,INDEX('Serial Reference'!$A$8:$W$8,1,FLOOR(($A97-1)/23,1)+1)&amp;INDEX('Serial Reference'!$A$8:$W$8,1,MOD($A97-1,23)+1)&amp;TEXT(CY$2+FLOOR((CY$2-1)/9,1),"000"),"")</f>
        <v/>
      </c>
      <c r="CZ97" s="25" t="str">
        <f>IF(INDEX('Shot Map'!$B$6:$V$26,CEILING($A97/5,1),CEILING(CZ$2/5,1))=1,INDEX('Serial Reference'!$A$8:$W$8,1,FLOOR(($A97-1)/23,1)+1)&amp;INDEX('Serial Reference'!$A$8:$W$8,1,MOD($A97-1,23)+1)&amp;TEXT(CZ$2+FLOOR((CZ$2-1)/9,1),"000"),"")</f>
        <v/>
      </c>
      <c r="DA97" s="25" t="str">
        <f>IF(INDEX('Shot Map'!$B$6:$V$26,CEILING($A97/5,1),CEILING(DA$2/5,1))=1,INDEX('Serial Reference'!$A$8:$W$8,1,FLOOR(($A97-1)/23,1)+1)&amp;INDEX('Serial Reference'!$A$8:$W$8,1,MOD($A97-1,23)+1)&amp;TEXT(DA$2+FLOOR((DA$2-1)/9,1),"000"),"")</f>
        <v/>
      </c>
      <c r="DB97" s="26" t="str">
        <f>IF(INDEX('Shot Map'!$B$6:$V$26,CEILING($A97/5,1),CEILING(DB$2/5,1))=1,INDEX('Serial Reference'!$A$8:$W$8,1,FLOOR(($A97-1)/23,1)+1)&amp;INDEX('Serial Reference'!$A$8:$W$8,1,MOD($A97-1,23)+1)&amp;TEXT(DB$2+FLOOR((DB$2-1)/9,1),"000"),"")</f>
        <v/>
      </c>
    </row>
    <row r="98" spans="1:106" ht="12.75" customHeight="1" x14ac:dyDescent="0.25">
      <c r="A98" s="17">
        <v>96</v>
      </c>
      <c r="B98" s="18" t="str">
        <f>IF(INDEX('Shot Map'!$B$6:$V$26,CEILING($A98/5,1),CEILING(B$2/5,1))=1,INDEX('Serial Reference'!$A$8:$W$8,1,FLOOR(($A98-1)/23,1)+1)&amp;INDEX('Serial Reference'!$A$8:$W$8,1,MOD($A98-1,23)+1)&amp;TEXT(B$2+FLOOR((B$2-1)/9,1),"000"),"")</f>
        <v/>
      </c>
      <c r="C98" s="19" t="str">
        <f>IF(INDEX('Shot Map'!$B$6:$V$26,CEILING($A98/5,1),CEILING(C$2/5,1))=1,INDEX('Serial Reference'!$A$8:$W$8,1,FLOOR(($A98-1)/23,1)+1)&amp;INDEX('Serial Reference'!$A$8:$W$8,1,MOD($A98-1,23)+1)&amp;TEXT(C$2+FLOOR((C$2-1)/9,1),"000"),"")</f>
        <v/>
      </c>
      <c r="D98" s="19" t="str">
        <f>IF(INDEX('Shot Map'!$B$6:$V$26,CEILING($A98/5,1),CEILING(D$2/5,1))=1,INDEX('Serial Reference'!$A$8:$W$8,1,FLOOR(($A98-1)/23,1)+1)&amp;INDEX('Serial Reference'!$A$8:$W$8,1,MOD($A98-1,23)+1)&amp;TEXT(D$2+FLOOR((D$2-1)/9,1),"000"),"")</f>
        <v/>
      </c>
      <c r="E98" s="19" t="str">
        <f>IF(INDEX('Shot Map'!$B$6:$V$26,CEILING($A98/5,1),CEILING(E$2/5,1))=1,INDEX('Serial Reference'!$A$8:$W$8,1,FLOOR(($A98-1)/23,1)+1)&amp;INDEX('Serial Reference'!$A$8:$W$8,1,MOD($A98-1,23)+1)&amp;TEXT(E$2+FLOOR((E$2-1)/9,1),"000"),"")</f>
        <v/>
      </c>
      <c r="F98" s="20" t="str">
        <f>IF(INDEX('Shot Map'!$B$6:$V$26,CEILING($A98/5,1),CEILING(F$2/5,1))=1,INDEX('Serial Reference'!$A$8:$W$8,1,FLOOR(($A98-1)/23,1)+1)&amp;INDEX('Serial Reference'!$A$8:$W$8,1,MOD($A98-1,23)+1)&amp;TEXT(F$2+FLOOR((F$2-1)/9,1),"000"),"")</f>
        <v/>
      </c>
      <c r="G98" s="18" t="str">
        <f>IF(INDEX('Shot Map'!$B$6:$V$26,CEILING($A98/5,1),CEILING(G$2/5,1))=1,INDEX('Serial Reference'!$A$8:$W$8,1,FLOOR(($A98-1)/23,1)+1)&amp;INDEX('Serial Reference'!$A$8:$W$8,1,MOD($A98-1,23)+1)&amp;TEXT(G$2+FLOOR((G$2-1)/9,1),"000"),"")</f>
        <v/>
      </c>
      <c r="H98" s="19" t="str">
        <f>IF(INDEX('Shot Map'!$B$6:$V$26,CEILING($A98/5,1),CEILING(H$2/5,1))=1,INDEX('Serial Reference'!$A$8:$W$8,1,FLOOR(($A98-1)/23,1)+1)&amp;INDEX('Serial Reference'!$A$8:$W$8,1,MOD($A98-1,23)+1)&amp;TEXT(H$2+FLOOR((H$2-1)/9,1),"000"),"")</f>
        <v/>
      </c>
      <c r="I98" s="19" t="str">
        <f>IF(INDEX('Shot Map'!$B$6:$V$26,CEILING($A98/5,1),CEILING(I$2/5,1))=1,INDEX('Serial Reference'!$A$8:$W$8,1,FLOOR(($A98-1)/23,1)+1)&amp;INDEX('Serial Reference'!$A$8:$W$8,1,MOD($A98-1,23)+1)&amp;TEXT(I$2+FLOOR((I$2-1)/9,1),"000"),"")</f>
        <v/>
      </c>
      <c r="J98" s="19" t="str">
        <f>IF(INDEX('Shot Map'!$B$6:$V$26,CEILING($A98/5,1),CEILING(J$2/5,1))=1,INDEX('Serial Reference'!$A$8:$W$8,1,FLOOR(($A98-1)/23,1)+1)&amp;INDEX('Serial Reference'!$A$8:$W$8,1,MOD($A98-1,23)+1)&amp;TEXT(J$2+FLOOR((J$2-1)/9,1),"000"),"")</f>
        <v/>
      </c>
      <c r="K98" s="20" t="str">
        <f>IF(INDEX('Shot Map'!$B$6:$V$26,CEILING($A98/5,1),CEILING(K$2/5,1))=1,INDEX('Serial Reference'!$A$8:$W$8,1,FLOOR(($A98-1)/23,1)+1)&amp;INDEX('Serial Reference'!$A$8:$W$8,1,MOD($A98-1,23)+1)&amp;TEXT(K$2+FLOOR((K$2-1)/9,1),"000"),"")</f>
        <v/>
      </c>
      <c r="L98" s="18" t="str">
        <f>IF(INDEX('Shot Map'!$B$6:$V$26,CEILING($A98/5,1),CEILING(L$2/5,1))=1,INDEX('Serial Reference'!$A$8:$W$8,1,FLOOR(($A98-1)/23,1)+1)&amp;INDEX('Serial Reference'!$A$8:$W$8,1,MOD($A98-1,23)+1)&amp;TEXT(L$2+FLOOR((L$2-1)/9,1),"000"),"")</f>
        <v/>
      </c>
      <c r="M98" s="19" t="str">
        <f>IF(INDEX('Shot Map'!$B$6:$V$26,CEILING($A98/5,1),CEILING(M$2/5,1))=1,INDEX('Serial Reference'!$A$8:$W$8,1,FLOOR(($A98-1)/23,1)+1)&amp;INDEX('Serial Reference'!$A$8:$W$8,1,MOD($A98-1,23)+1)&amp;TEXT(M$2+FLOOR((M$2-1)/9,1),"000"),"")</f>
        <v/>
      </c>
      <c r="N98" s="19" t="str">
        <f>IF(INDEX('Shot Map'!$B$6:$V$26,CEILING($A98/5,1),CEILING(N$2/5,1))=1,INDEX('Serial Reference'!$A$8:$W$8,1,FLOOR(($A98-1)/23,1)+1)&amp;INDEX('Serial Reference'!$A$8:$W$8,1,MOD($A98-1,23)+1)&amp;TEXT(N$2+FLOOR((N$2-1)/9,1),"000"),"")</f>
        <v/>
      </c>
      <c r="O98" s="19" t="str">
        <f>IF(INDEX('Shot Map'!$B$6:$V$26,CEILING($A98/5,1),CEILING(O$2/5,1))=1,INDEX('Serial Reference'!$A$8:$W$8,1,FLOOR(($A98-1)/23,1)+1)&amp;INDEX('Serial Reference'!$A$8:$W$8,1,MOD($A98-1,23)+1)&amp;TEXT(O$2+FLOOR((O$2-1)/9,1),"000"),"")</f>
        <v/>
      </c>
      <c r="P98" s="20" t="str">
        <f>IF(INDEX('Shot Map'!$B$6:$V$26,CEILING($A98/5,1),CEILING(P$2/5,1))=1,INDEX('Serial Reference'!$A$8:$W$8,1,FLOOR(($A98-1)/23,1)+1)&amp;INDEX('Serial Reference'!$A$8:$W$8,1,MOD($A98-1,23)+1)&amp;TEXT(P$2+FLOOR((P$2-1)/9,1),"000"),"")</f>
        <v/>
      </c>
      <c r="Q98" s="18" t="str">
        <f>IF(INDEX('Shot Map'!$B$6:$V$26,CEILING($A98/5,1),CEILING(Q$2/5,1))=1,INDEX('Serial Reference'!$A$8:$W$8,1,FLOOR(($A98-1)/23,1)+1)&amp;INDEX('Serial Reference'!$A$8:$W$8,1,MOD($A98-1,23)+1)&amp;TEXT(Q$2+FLOOR((Q$2-1)/9,1),"000"),"")</f>
        <v/>
      </c>
      <c r="R98" s="19" t="str">
        <f>IF(INDEX('Shot Map'!$B$6:$V$26,CEILING($A98/5,1),CEILING(R$2/5,1))=1,INDEX('Serial Reference'!$A$8:$W$8,1,FLOOR(($A98-1)/23,1)+1)&amp;INDEX('Serial Reference'!$A$8:$W$8,1,MOD($A98-1,23)+1)&amp;TEXT(R$2+FLOOR((R$2-1)/9,1),"000"),"")</f>
        <v/>
      </c>
      <c r="S98" s="19" t="str">
        <f>IF(INDEX('Shot Map'!$B$6:$V$26,CEILING($A98/5,1),CEILING(S$2/5,1))=1,INDEX('Serial Reference'!$A$8:$W$8,1,FLOOR(($A98-1)/23,1)+1)&amp;INDEX('Serial Reference'!$A$8:$W$8,1,MOD($A98-1,23)+1)&amp;TEXT(S$2+FLOOR((S$2-1)/9,1),"000"),"")</f>
        <v/>
      </c>
      <c r="T98" s="19" t="str">
        <f>IF(INDEX('Shot Map'!$B$6:$V$26,CEILING($A98/5,1),CEILING(T$2/5,1))=1,INDEX('Serial Reference'!$A$8:$W$8,1,FLOOR(($A98-1)/23,1)+1)&amp;INDEX('Serial Reference'!$A$8:$W$8,1,MOD($A98-1,23)+1)&amp;TEXT(T$2+FLOOR((T$2-1)/9,1),"000"),"")</f>
        <v/>
      </c>
      <c r="U98" s="20" t="str">
        <f>IF(INDEX('Shot Map'!$B$6:$V$26,CEILING($A98/5,1),CEILING(U$2/5,1))=1,INDEX('Serial Reference'!$A$8:$W$8,1,FLOOR(($A98-1)/23,1)+1)&amp;INDEX('Serial Reference'!$A$8:$W$8,1,MOD($A98-1,23)+1)&amp;TEXT(U$2+FLOOR((U$2-1)/9,1),"000"),"")</f>
        <v/>
      </c>
      <c r="V98" s="18" t="str">
        <f>IF(INDEX('Shot Map'!$B$6:$V$26,CEILING($A98/5,1),CEILING(V$2/5,1))=1,INDEX('Serial Reference'!$A$8:$W$8,1,FLOOR(($A98-1)/23,1)+1)&amp;INDEX('Serial Reference'!$A$8:$W$8,1,MOD($A98-1,23)+1)&amp;TEXT(V$2+FLOOR((V$2-1)/9,1),"000"),"")</f>
        <v/>
      </c>
      <c r="W98" s="19" t="str">
        <f>IF(INDEX('Shot Map'!$B$6:$V$26,CEILING($A98/5,1),CEILING(W$2/5,1))=1,INDEX('Serial Reference'!$A$8:$W$8,1,FLOOR(($A98-1)/23,1)+1)&amp;INDEX('Serial Reference'!$A$8:$W$8,1,MOD($A98-1,23)+1)&amp;TEXT(W$2+FLOOR((W$2-1)/9,1),"000"),"")</f>
        <v/>
      </c>
      <c r="X98" s="19" t="str">
        <f>IF(INDEX('Shot Map'!$B$6:$V$26,CEILING($A98/5,1),CEILING(X$2/5,1))=1,INDEX('Serial Reference'!$A$8:$W$8,1,FLOOR(($A98-1)/23,1)+1)&amp;INDEX('Serial Reference'!$A$8:$W$8,1,MOD($A98-1,23)+1)&amp;TEXT(X$2+FLOOR((X$2-1)/9,1),"000"),"")</f>
        <v/>
      </c>
      <c r="Y98" s="19" t="str">
        <f>IF(INDEX('Shot Map'!$B$6:$V$26,CEILING($A98/5,1),CEILING(Y$2/5,1))=1,INDEX('Serial Reference'!$A$8:$W$8,1,FLOOR(($A98-1)/23,1)+1)&amp;INDEX('Serial Reference'!$A$8:$W$8,1,MOD($A98-1,23)+1)&amp;TEXT(Y$2+FLOOR((Y$2-1)/9,1),"000"),"")</f>
        <v/>
      </c>
      <c r="Z98" s="20" t="str">
        <f>IF(INDEX('Shot Map'!$B$6:$V$26,CEILING($A98/5,1),CEILING(Z$2/5,1))=1,INDEX('Serial Reference'!$A$8:$W$8,1,FLOOR(($A98-1)/23,1)+1)&amp;INDEX('Serial Reference'!$A$8:$W$8,1,MOD($A98-1,23)+1)&amp;TEXT(Z$2+FLOOR((Z$2-1)/9,1),"000"),"")</f>
        <v/>
      </c>
      <c r="AA98" s="18" t="str">
        <f>IF(INDEX('Shot Map'!$B$6:$V$26,CEILING($A98/5,1),CEILING(AA$2/5,1))=1,INDEX('Serial Reference'!$A$8:$W$8,1,FLOOR(($A98-1)/23,1)+1)&amp;INDEX('Serial Reference'!$A$8:$W$8,1,MOD($A98-1,23)+1)&amp;TEXT(AA$2+FLOOR((AA$2-1)/9,1),"000"),"")</f>
        <v/>
      </c>
      <c r="AB98" s="19" t="str">
        <f>IF(INDEX('Shot Map'!$B$6:$V$26,CEILING($A98/5,1),CEILING(AB$2/5,1))=1,INDEX('Serial Reference'!$A$8:$W$8,1,FLOOR(($A98-1)/23,1)+1)&amp;INDEX('Serial Reference'!$A$8:$W$8,1,MOD($A98-1,23)+1)&amp;TEXT(AB$2+FLOOR((AB$2-1)/9,1),"000"),"")</f>
        <v/>
      </c>
      <c r="AC98" s="19" t="str">
        <f>IF(INDEX('Shot Map'!$B$6:$V$26,CEILING($A98/5,1),CEILING(AC$2/5,1))=1,INDEX('Serial Reference'!$A$8:$W$8,1,FLOOR(($A98-1)/23,1)+1)&amp;INDEX('Serial Reference'!$A$8:$W$8,1,MOD($A98-1,23)+1)&amp;TEXT(AC$2+FLOOR((AC$2-1)/9,1),"000"),"")</f>
        <v/>
      </c>
      <c r="AD98" s="19" t="str">
        <f>IF(INDEX('Shot Map'!$B$6:$V$26,CEILING($A98/5,1),CEILING(AD$2/5,1))=1,INDEX('Serial Reference'!$A$8:$W$8,1,FLOOR(($A98-1)/23,1)+1)&amp;INDEX('Serial Reference'!$A$8:$W$8,1,MOD($A98-1,23)+1)&amp;TEXT(AD$2+FLOOR((AD$2-1)/9,1),"000"),"")</f>
        <v/>
      </c>
      <c r="AE98" s="20" t="str">
        <f>IF(INDEX('Shot Map'!$B$6:$V$26,CEILING($A98/5,1),CEILING(AE$2/5,1))=1,INDEX('Serial Reference'!$A$8:$W$8,1,FLOOR(($A98-1)/23,1)+1)&amp;INDEX('Serial Reference'!$A$8:$W$8,1,MOD($A98-1,23)+1)&amp;TEXT(AE$2+FLOOR((AE$2-1)/9,1),"000"),"")</f>
        <v/>
      </c>
      <c r="AF98" s="18" t="str">
        <f>IF(INDEX('Shot Map'!$B$6:$V$26,CEILING($A98/5,1),CEILING(AF$2/5,1))=1,INDEX('Serial Reference'!$A$8:$W$8,1,FLOOR(($A98-1)/23,1)+1)&amp;INDEX('Serial Reference'!$A$8:$W$8,1,MOD($A98-1,23)+1)&amp;TEXT(AF$2+FLOOR((AF$2-1)/9,1),"000"),"")</f>
        <v>ED034</v>
      </c>
      <c r="AG98" s="19" t="str">
        <f>IF(INDEX('Shot Map'!$B$6:$V$26,CEILING($A98/5,1),CEILING(AG$2/5,1))=1,INDEX('Serial Reference'!$A$8:$W$8,1,FLOOR(($A98-1)/23,1)+1)&amp;INDEX('Serial Reference'!$A$8:$W$8,1,MOD($A98-1,23)+1)&amp;TEXT(AG$2+FLOOR((AG$2-1)/9,1),"000"),"")</f>
        <v>ED035</v>
      </c>
      <c r="AH98" s="19" t="str">
        <f>IF(INDEX('Shot Map'!$B$6:$V$26,CEILING($A98/5,1),CEILING(AH$2/5,1))=1,INDEX('Serial Reference'!$A$8:$W$8,1,FLOOR(($A98-1)/23,1)+1)&amp;INDEX('Serial Reference'!$A$8:$W$8,1,MOD($A98-1,23)+1)&amp;TEXT(AH$2+FLOOR((AH$2-1)/9,1),"000"),"")</f>
        <v>ED036</v>
      </c>
      <c r="AI98" s="19" t="str">
        <f>IF(INDEX('Shot Map'!$B$6:$V$26,CEILING($A98/5,1),CEILING(AI$2/5,1))=1,INDEX('Serial Reference'!$A$8:$W$8,1,FLOOR(($A98-1)/23,1)+1)&amp;INDEX('Serial Reference'!$A$8:$W$8,1,MOD($A98-1,23)+1)&amp;TEXT(AI$2+FLOOR((AI$2-1)/9,1),"000"),"")</f>
        <v>ED037</v>
      </c>
      <c r="AJ98" s="20" t="str">
        <f>IF(INDEX('Shot Map'!$B$6:$V$26,CEILING($A98/5,1),CEILING(AJ$2/5,1))=1,INDEX('Serial Reference'!$A$8:$W$8,1,FLOOR(($A98-1)/23,1)+1)&amp;INDEX('Serial Reference'!$A$8:$W$8,1,MOD($A98-1,23)+1)&amp;TEXT(AJ$2+FLOOR((AJ$2-1)/9,1),"000"),"")</f>
        <v>ED038</v>
      </c>
      <c r="AK98" s="18" t="str">
        <f>IF(INDEX('Shot Map'!$B$6:$V$26,CEILING($A98/5,1),CEILING(AK$2/5,1))=1,INDEX('Serial Reference'!$A$8:$W$8,1,FLOOR(($A98-1)/23,1)+1)&amp;INDEX('Serial Reference'!$A$8:$W$8,1,MOD($A98-1,23)+1)&amp;TEXT(AK$2+FLOOR((AK$2-1)/9,1),"000"),"")</f>
        <v>ED039</v>
      </c>
      <c r="AL98" s="19" t="str">
        <f>IF(INDEX('Shot Map'!$B$6:$V$26,CEILING($A98/5,1),CEILING(AL$2/5,1))=1,INDEX('Serial Reference'!$A$8:$W$8,1,FLOOR(($A98-1)/23,1)+1)&amp;INDEX('Serial Reference'!$A$8:$W$8,1,MOD($A98-1,23)+1)&amp;TEXT(AL$2+FLOOR((AL$2-1)/9,1),"000"),"")</f>
        <v>ED041</v>
      </c>
      <c r="AM98" s="19" t="str">
        <f>IF(INDEX('Shot Map'!$B$6:$V$26,CEILING($A98/5,1),CEILING(AM$2/5,1))=1,INDEX('Serial Reference'!$A$8:$W$8,1,FLOOR(($A98-1)/23,1)+1)&amp;INDEX('Serial Reference'!$A$8:$W$8,1,MOD($A98-1,23)+1)&amp;TEXT(AM$2+FLOOR((AM$2-1)/9,1),"000"),"")</f>
        <v>ED042</v>
      </c>
      <c r="AN98" s="19" t="str">
        <f>IF(INDEX('Shot Map'!$B$6:$V$26,CEILING($A98/5,1),CEILING(AN$2/5,1))=1,INDEX('Serial Reference'!$A$8:$W$8,1,FLOOR(($A98-1)/23,1)+1)&amp;INDEX('Serial Reference'!$A$8:$W$8,1,MOD($A98-1,23)+1)&amp;TEXT(AN$2+FLOOR((AN$2-1)/9,1),"000"),"")</f>
        <v>ED043</v>
      </c>
      <c r="AO98" s="20" t="str">
        <f>IF(INDEX('Shot Map'!$B$6:$V$26,CEILING($A98/5,1),CEILING(AO$2/5,1))=1,INDEX('Serial Reference'!$A$8:$W$8,1,FLOOR(($A98-1)/23,1)+1)&amp;INDEX('Serial Reference'!$A$8:$W$8,1,MOD($A98-1,23)+1)&amp;TEXT(AO$2+FLOOR((AO$2-1)/9,1),"000"),"")</f>
        <v>ED044</v>
      </c>
      <c r="AP98" s="18" t="str">
        <f>IF(INDEX('Shot Map'!$B$6:$V$26,CEILING($A98/5,1),CEILING(AP$2/5,1))=1,INDEX('Serial Reference'!$A$8:$W$8,1,FLOOR(($A98-1)/23,1)+1)&amp;INDEX('Serial Reference'!$A$8:$W$8,1,MOD($A98-1,23)+1)&amp;TEXT(AP$2+FLOOR((AP$2-1)/9,1),"000"),"")</f>
        <v>ED045</v>
      </c>
      <c r="AQ98" s="19" t="str">
        <f>IF(INDEX('Shot Map'!$B$6:$V$26,CEILING($A98/5,1),CEILING(AQ$2/5,1))=1,INDEX('Serial Reference'!$A$8:$W$8,1,FLOOR(($A98-1)/23,1)+1)&amp;INDEX('Serial Reference'!$A$8:$W$8,1,MOD($A98-1,23)+1)&amp;TEXT(AQ$2+FLOOR((AQ$2-1)/9,1),"000"),"")</f>
        <v>ED046</v>
      </c>
      <c r="AR98" s="19" t="str">
        <f>IF(INDEX('Shot Map'!$B$6:$V$26,CEILING($A98/5,1),CEILING(AR$2/5,1))=1,INDEX('Serial Reference'!$A$8:$W$8,1,FLOOR(($A98-1)/23,1)+1)&amp;INDEX('Serial Reference'!$A$8:$W$8,1,MOD($A98-1,23)+1)&amp;TEXT(AR$2+FLOOR((AR$2-1)/9,1),"000"),"")</f>
        <v>ED047</v>
      </c>
      <c r="AS98" s="19" t="str">
        <f>IF(INDEX('Shot Map'!$B$6:$V$26,CEILING($A98/5,1),CEILING(AS$2/5,1))=1,INDEX('Serial Reference'!$A$8:$W$8,1,FLOOR(($A98-1)/23,1)+1)&amp;INDEX('Serial Reference'!$A$8:$W$8,1,MOD($A98-1,23)+1)&amp;TEXT(AS$2+FLOOR((AS$2-1)/9,1),"000"),"")</f>
        <v>ED048</v>
      </c>
      <c r="AT98" s="20" t="str">
        <f>IF(INDEX('Shot Map'!$B$6:$V$26,CEILING($A98/5,1),CEILING(AT$2/5,1))=1,INDEX('Serial Reference'!$A$8:$W$8,1,FLOOR(($A98-1)/23,1)+1)&amp;INDEX('Serial Reference'!$A$8:$W$8,1,MOD($A98-1,23)+1)&amp;TEXT(AT$2+FLOOR((AT$2-1)/9,1),"000"),"")</f>
        <v>ED049</v>
      </c>
      <c r="AU98" s="18" t="str">
        <f>IF(INDEX('Shot Map'!$B$6:$V$26,CEILING($A98/5,1),CEILING(AU$2/5,1))=1,INDEX('Serial Reference'!$A$8:$W$8,1,FLOOR(($A98-1)/23,1)+1)&amp;INDEX('Serial Reference'!$A$8:$W$8,1,MOD($A98-1,23)+1)&amp;TEXT(AU$2+FLOOR((AU$2-1)/9,1),"000"),"")</f>
        <v>ED051</v>
      </c>
      <c r="AV98" s="19" t="str">
        <f>IF(INDEX('Shot Map'!$B$6:$V$26,CEILING($A98/5,1),CEILING(AV$2/5,1))=1,INDEX('Serial Reference'!$A$8:$W$8,1,FLOOR(($A98-1)/23,1)+1)&amp;INDEX('Serial Reference'!$A$8:$W$8,1,MOD($A98-1,23)+1)&amp;TEXT(AV$2+FLOOR((AV$2-1)/9,1),"000"),"")</f>
        <v>ED052</v>
      </c>
      <c r="AW98" s="19" t="str">
        <f>IF(INDEX('Shot Map'!$B$6:$V$26,CEILING($A98/5,1),CEILING(AW$2/5,1))=1,INDEX('Serial Reference'!$A$8:$W$8,1,FLOOR(($A98-1)/23,1)+1)&amp;INDEX('Serial Reference'!$A$8:$W$8,1,MOD($A98-1,23)+1)&amp;TEXT(AW$2+FLOOR((AW$2-1)/9,1),"000"),"")</f>
        <v>ED053</v>
      </c>
      <c r="AX98" s="19" t="str">
        <f>IF(INDEX('Shot Map'!$B$6:$V$26,CEILING($A98/5,1),CEILING(AX$2/5,1))=1,INDEX('Serial Reference'!$A$8:$W$8,1,FLOOR(($A98-1)/23,1)+1)&amp;INDEX('Serial Reference'!$A$8:$W$8,1,MOD($A98-1,23)+1)&amp;TEXT(AX$2+FLOOR((AX$2-1)/9,1),"000"),"")</f>
        <v>ED054</v>
      </c>
      <c r="AY98" s="20" t="str">
        <f>IF(INDEX('Shot Map'!$B$6:$V$26,CEILING($A98/5,1),CEILING(AY$2/5,1))=1,INDEX('Serial Reference'!$A$8:$W$8,1,FLOOR(($A98-1)/23,1)+1)&amp;INDEX('Serial Reference'!$A$8:$W$8,1,MOD($A98-1,23)+1)&amp;TEXT(AY$2+FLOOR((AY$2-1)/9,1),"000"),"")</f>
        <v>ED055</v>
      </c>
      <c r="AZ98" s="18" t="str">
        <f>IF(INDEX('Shot Map'!$B$6:$V$26,CEILING($A98/5,1),CEILING(AZ$2/5,1))=1,INDEX('Serial Reference'!$A$8:$W$8,1,FLOOR(($A98-1)/23,1)+1)&amp;INDEX('Serial Reference'!$A$8:$W$8,1,MOD($A98-1,23)+1)&amp;TEXT(AZ$2+FLOOR((AZ$2-1)/9,1),"000"),"")</f>
        <v>ED056</v>
      </c>
      <c r="BA98" s="19" t="str">
        <f>IF(INDEX('Shot Map'!$B$6:$V$26,CEILING($A98/5,1),CEILING(BA$2/5,1))=1,INDEX('Serial Reference'!$A$8:$W$8,1,FLOOR(($A98-1)/23,1)+1)&amp;INDEX('Serial Reference'!$A$8:$W$8,1,MOD($A98-1,23)+1)&amp;TEXT(BA$2+FLOOR((BA$2-1)/9,1),"000"),"")</f>
        <v>ED057</v>
      </c>
      <c r="BB98" s="19" t="str">
        <f>IF(INDEX('Shot Map'!$B$6:$V$26,CEILING($A98/5,1),CEILING(BB$2/5,1))=1,INDEX('Serial Reference'!$A$8:$W$8,1,FLOOR(($A98-1)/23,1)+1)&amp;INDEX('Serial Reference'!$A$8:$W$8,1,MOD($A98-1,23)+1)&amp;TEXT(BB$2+FLOOR((BB$2-1)/9,1),"000"),"")</f>
        <v>ED058</v>
      </c>
      <c r="BC98" s="19" t="str">
        <f>IF(INDEX('Shot Map'!$B$6:$V$26,CEILING($A98/5,1),CEILING(BC$2/5,1))=1,INDEX('Serial Reference'!$A$8:$W$8,1,FLOOR(($A98-1)/23,1)+1)&amp;INDEX('Serial Reference'!$A$8:$W$8,1,MOD($A98-1,23)+1)&amp;TEXT(BC$2+FLOOR((BC$2-1)/9,1),"000"),"")</f>
        <v>ED059</v>
      </c>
      <c r="BD98" s="20" t="str">
        <f>IF(INDEX('Shot Map'!$B$6:$V$26,CEILING($A98/5,1),CEILING(BD$2/5,1))=1,INDEX('Serial Reference'!$A$8:$W$8,1,FLOOR(($A98-1)/23,1)+1)&amp;INDEX('Serial Reference'!$A$8:$W$8,1,MOD($A98-1,23)+1)&amp;TEXT(BD$2+FLOOR((BD$2-1)/9,1),"000"),"")</f>
        <v>ED061</v>
      </c>
      <c r="BE98" s="18" t="str">
        <f>IF(INDEX('Shot Map'!$B$6:$V$26,CEILING($A98/5,1),CEILING(BE$2/5,1))=1,INDEX('Serial Reference'!$A$8:$W$8,1,FLOOR(($A98-1)/23,1)+1)&amp;INDEX('Serial Reference'!$A$8:$W$8,1,MOD($A98-1,23)+1)&amp;TEXT(BE$2+FLOOR((BE$2-1)/9,1),"000"),"")</f>
        <v>ED062</v>
      </c>
      <c r="BF98" s="19" t="str">
        <f>IF(INDEX('Shot Map'!$B$6:$V$26,CEILING($A98/5,1),CEILING(BF$2/5,1))=1,INDEX('Serial Reference'!$A$8:$W$8,1,FLOOR(($A98-1)/23,1)+1)&amp;INDEX('Serial Reference'!$A$8:$W$8,1,MOD($A98-1,23)+1)&amp;TEXT(BF$2+FLOOR((BF$2-1)/9,1),"000"),"")</f>
        <v>ED063</v>
      </c>
      <c r="BG98" s="19" t="str">
        <f>IF(INDEX('Shot Map'!$B$6:$V$26,CEILING($A98/5,1),CEILING(BG$2/5,1))=1,INDEX('Serial Reference'!$A$8:$W$8,1,FLOOR(($A98-1)/23,1)+1)&amp;INDEX('Serial Reference'!$A$8:$W$8,1,MOD($A98-1,23)+1)&amp;TEXT(BG$2+FLOOR((BG$2-1)/9,1),"000"),"")</f>
        <v>ED064</v>
      </c>
      <c r="BH98" s="19" t="str">
        <f>IF(INDEX('Shot Map'!$B$6:$V$26,CEILING($A98/5,1),CEILING(BH$2/5,1))=1,INDEX('Serial Reference'!$A$8:$W$8,1,FLOOR(($A98-1)/23,1)+1)&amp;INDEX('Serial Reference'!$A$8:$W$8,1,MOD($A98-1,23)+1)&amp;TEXT(BH$2+FLOOR((BH$2-1)/9,1),"000"),"")</f>
        <v>ED065</v>
      </c>
      <c r="BI98" s="20" t="str">
        <f>IF(INDEX('Shot Map'!$B$6:$V$26,CEILING($A98/5,1),CEILING(BI$2/5,1))=1,INDEX('Serial Reference'!$A$8:$W$8,1,FLOOR(($A98-1)/23,1)+1)&amp;INDEX('Serial Reference'!$A$8:$W$8,1,MOD($A98-1,23)+1)&amp;TEXT(BI$2+FLOOR((BI$2-1)/9,1),"000"),"")</f>
        <v>ED066</v>
      </c>
      <c r="BJ98" s="18" t="str">
        <f>IF(INDEX('Shot Map'!$B$6:$V$26,CEILING($A98/5,1),CEILING(BJ$2/5,1))=1,INDEX('Serial Reference'!$A$8:$W$8,1,FLOOR(($A98-1)/23,1)+1)&amp;INDEX('Serial Reference'!$A$8:$W$8,1,MOD($A98-1,23)+1)&amp;TEXT(BJ$2+FLOOR((BJ$2-1)/9,1),"000"),"")</f>
        <v>ED067</v>
      </c>
      <c r="BK98" s="19" t="str">
        <f>IF(INDEX('Shot Map'!$B$6:$V$26,CEILING($A98/5,1),CEILING(BK$2/5,1))=1,INDEX('Serial Reference'!$A$8:$W$8,1,FLOOR(($A98-1)/23,1)+1)&amp;INDEX('Serial Reference'!$A$8:$W$8,1,MOD($A98-1,23)+1)&amp;TEXT(BK$2+FLOOR((BK$2-1)/9,1),"000"),"")</f>
        <v>ED068</v>
      </c>
      <c r="BL98" s="19" t="str">
        <f>IF(INDEX('Shot Map'!$B$6:$V$26,CEILING($A98/5,1),CEILING(BL$2/5,1))=1,INDEX('Serial Reference'!$A$8:$W$8,1,FLOOR(($A98-1)/23,1)+1)&amp;INDEX('Serial Reference'!$A$8:$W$8,1,MOD($A98-1,23)+1)&amp;TEXT(BL$2+FLOOR((BL$2-1)/9,1),"000"),"")</f>
        <v>ED069</v>
      </c>
      <c r="BM98" s="19" t="str">
        <f>IF(INDEX('Shot Map'!$B$6:$V$26,CEILING($A98/5,1),CEILING(BM$2/5,1))=1,INDEX('Serial Reference'!$A$8:$W$8,1,FLOOR(($A98-1)/23,1)+1)&amp;INDEX('Serial Reference'!$A$8:$W$8,1,MOD($A98-1,23)+1)&amp;TEXT(BM$2+FLOOR((BM$2-1)/9,1),"000"),"")</f>
        <v>ED071</v>
      </c>
      <c r="BN98" s="20" t="str">
        <f>IF(INDEX('Shot Map'!$B$6:$V$26,CEILING($A98/5,1),CEILING(BN$2/5,1))=1,INDEX('Serial Reference'!$A$8:$W$8,1,FLOOR(($A98-1)/23,1)+1)&amp;INDEX('Serial Reference'!$A$8:$W$8,1,MOD($A98-1,23)+1)&amp;TEXT(BN$2+FLOOR((BN$2-1)/9,1),"000"),"")</f>
        <v>ED072</v>
      </c>
      <c r="BO98" s="18" t="str">
        <f>IF(INDEX('Shot Map'!$B$6:$V$26,CEILING($A98/5,1),CEILING(BO$2/5,1))=1,INDEX('Serial Reference'!$A$8:$W$8,1,FLOOR(($A98-1)/23,1)+1)&amp;INDEX('Serial Reference'!$A$8:$W$8,1,MOD($A98-1,23)+1)&amp;TEXT(BO$2+FLOOR((BO$2-1)/9,1),"000"),"")</f>
        <v>ED073</v>
      </c>
      <c r="BP98" s="19" t="str">
        <f>IF(INDEX('Shot Map'!$B$6:$V$26,CEILING($A98/5,1),CEILING(BP$2/5,1))=1,INDEX('Serial Reference'!$A$8:$W$8,1,FLOOR(($A98-1)/23,1)+1)&amp;INDEX('Serial Reference'!$A$8:$W$8,1,MOD($A98-1,23)+1)&amp;TEXT(BP$2+FLOOR((BP$2-1)/9,1),"000"),"")</f>
        <v>ED074</v>
      </c>
      <c r="BQ98" s="19" t="str">
        <f>IF(INDEX('Shot Map'!$B$6:$V$26,CEILING($A98/5,1),CEILING(BQ$2/5,1))=1,INDEX('Serial Reference'!$A$8:$W$8,1,FLOOR(($A98-1)/23,1)+1)&amp;INDEX('Serial Reference'!$A$8:$W$8,1,MOD($A98-1,23)+1)&amp;TEXT(BQ$2+FLOOR((BQ$2-1)/9,1),"000"),"")</f>
        <v>ED075</v>
      </c>
      <c r="BR98" s="19" t="str">
        <f>IF(INDEX('Shot Map'!$B$6:$V$26,CEILING($A98/5,1),CEILING(BR$2/5,1))=1,INDEX('Serial Reference'!$A$8:$W$8,1,FLOOR(($A98-1)/23,1)+1)&amp;INDEX('Serial Reference'!$A$8:$W$8,1,MOD($A98-1,23)+1)&amp;TEXT(BR$2+FLOOR((BR$2-1)/9,1),"000"),"")</f>
        <v>ED076</v>
      </c>
      <c r="BS98" s="20" t="str">
        <f>IF(INDEX('Shot Map'!$B$6:$V$26,CEILING($A98/5,1),CEILING(BS$2/5,1))=1,INDEX('Serial Reference'!$A$8:$W$8,1,FLOOR(($A98-1)/23,1)+1)&amp;INDEX('Serial Reference'!$A$8:$W$8,1,MOD($A98-1,23)+1)&amp;TEXT(BS$2+FLOOR((BS$2-1)/9,1),"000"),"")</f>
        <v>ED077</v>
      </c>
      <c r="BT98" s="18" t="str">
        <f>IF(INDEX('Shot Map'!$B$6:$V$26,CEILING($A98/5,1),CEILING(BT$2/5,1))=1,INDEX('Serial Reference'!$A$8:$W$8,1,FLOOR(($A98-1)/23,1)+1)&amp;INDEX('Serial Reference'!$A$8:$W$8,1,MOD($A98-1,23)+1)&amp;TEXT(BT$2+FLOOR((BT$2-1)/9,1),"000"),"")</f>
        <v>ED078</v>
      </c>
      <c r="BU98" s="19" t="str">
        <f>IF(INDEX('Shot Map'!$B$6:$V$26,CEILING($A98/5,1),CEILING(BU$2/5,1))=1,INDEX('Serial Reference'!$A$8:$W$8,1,FLOOR(($A98-1)/23,1)+1)&amp;INDEX('Serial Reference'!$A$8:$W$8,1,MOD($A98-1,23)+1)&amp;TEXT(BU$2+FLOOR((BU$2-1)/9,1),"000"),"")</f>
        <v>ED079</v>
      </c>
      <c r="BV98" s="19" t="str">
        <f>IF(INDEX('Shot Map'!$B$6:$V$26,CEILING($A98/5,1),CEILING(BV$2/5,1))=1,INDEX('Serial Reference'!$A$8:$W$8,1,FLOOR(($A98-1)/23,1)+1)&amp;INDEX('Serial Reference'!$A$8:$W$8,1,MOD($A98-1,23)+1)&amp;TEXT(BV$2+FLOOR((BV$2-1)/9,1),"000"),"")</f>
        <v>ED081</v>
      </c>
      <c r="BW98" s="19" t="str">
        <f>IF(INDEX('Shot Map'!$B$6:$V$26,CEILING($A98/5,1),CEILING(BW$2/5,1))=1,INDEX('Serial Reference'!$A$8:$W$8,1,FLOOR(($A98-1)/23,1)+1)&amp;INDEX('Serial Reference'!$A$8:$W$8,1,MOD($A98-1,23)+1)&amp;TEXT(BW$2+FLOOR((BW$2-1)/9,1),"000"),"")</f>
        <v>ED082</v>
      </c>
      <c r="BX98" s="20" t="str">
        <f>IF(INDEX('Shot Map'!$B$6:$V$26,CEILING($A98/5,1),CEILING(BX$2/5,1))=1,INDEX('Serial Reference'!$A$8:$W$8,1,FLOOR(($A98-1)/23,1)+1)&amp;INDEX('Serial Reference'!$A$8:$W$8,1,MOD($A98-1,23)+1)&amp;TEXT(BX$2+FLOOR((BX$2-1)/9,1),"000"),"")</f>
        <v>ED083</v>
      </c>
      <c r="BY98" s="18" t="str">
        <f>IF(INDEX('Shot Map'!$B$6:$V$26,CEILING($A98/5,1),CEILING(BY$2/5,1))=1,INDEX('Serial Reference'!$A$8:$W$8,1,FLOOR(($A98-1)/23,1)+1)&amp;INDEX('Serial Reference'!$A$8:$W$8,1,MOD($A98-1,23)+1)&amp;TEXT(BY$2+FLOOR((BY$2-1)/9,1),"000"),"")</f>
        <v/>
      </c>
      <c r="BZ98" s="19" t="str">
        <f>IF(INDEX('Shot Map'!$B$6:$V$26,CEILING($A98/5,1),CEILING(BZ$2/5,1))=1,INDEX('Serial Reference'!$A$8:$W$8,1,FLOOR(($A98-1)/23,1)+1)&amp;INDEX('Serial Reference'!$A$8:$W$8,1,MOD($A98-1,23)+1)&amp;TEXT(BZ$2+FLOOR((BZ$2-1)/9,1),"000"),"")</f>
        <v/>
      </c>
      <c r="CA98" s="19" t="str">
        <f>IF(INDEX('Shot Map'!$B$6:$V$26,CEILING($A98/5,1),CEILING(CA$2/5,1))=1,INDEX('Serial Reference'!$A$8:$W$8,1,FLOOR(($A98-1)/23,1)+1)&amp;INDEX('Serial Reference'!$A$8:$W$8,1,MOD($A98-1,23)+1)&amp;TEXT(CA$2+FLOOR((CA$2-1)/9,1),"000"),"")</f>
        <v/>
      </c>
      <c r="CB98" s="19" t="str">
        <f>IF(INDEX('Shot Map'!$B$6:$V$26,CEILING($A98/5,1),CEILING(CB$2/5,1))=1,INDEX('Serial Reference'!$A$8:$W$8,1,FLOOR(($A98-1)/23,1)+1)&amp;INDEX('Serial Reference'!$A$8:$W$8,1,MOD($A98-1,23)+1)&amp;TEXT(CB$2+FLOOR((CB$2-1)/9,1),"000"),"")</f>
        <v/>
      </c>
      <c r="CC98" s="20" t="str">
        <f>IF(INDEX('Shot Map'!$B$6:$V$26,CEILING($A98/5,1),CEILING(CC$2/5,1))=1,INDEX('Serial Reference'!$A$8:$W$8,1,FLOOR(($A98-1)/23,1)+1)&amp;INDEX('Serial Reference'!$A$8:$W$8,1,MOD($A98-1,23)+1)&amp;TEXT(CC$2+FLOOR((CC$2-1)/9,1),"000"),"")</f>
        <v/>
      </c>
      <c r="CD98" s="18" t="str">
        <f>IF(INDEX('Shot Map'!$B$6:$V$26,CEILING($A98/5,1),CEILING(CD$2/5,1))=1,INDEX('Serial Reference'!$A$8:$W$8,1,FLOOR(($A98-1)/23,1)+1)&amp;INDEX('Serial Reference'!$A$8:$W$8,1,MOD($A98-1,23)+1)&amp;TEXT(CD$2+FLOOR((CD$2-1)/9,1),"000"),"")</f>
        <v/>
      </c>
      <c r="CE98" s="19" t="str">
        <f>IF(INDEX('Shot Map'!$B$6:$V$26,CEILING($A98/5,1),CEILING(CE$2/5,1))=1,INDEX('Serial Reference'!$A$8:$W$8,1,FLOOR(($A98-1)/23,1)+1)&amp;INDEX('Serial Reference'!$A$8:$W$8,1,MOD($A98-1,23)+1)&amp;TEXT(CE$2+FLOOR((CE$2-1)/9,1),"000"),"")</f>
        <v/>
      </c>
      <c r="CF98" s="19" t="str">
        <f>IF(INDEX('Shot Map'!$B$6:$V$26,CEILING($A98/5,1),CEILING(CF$2/5,1))=1,INDEX('Serial Reference'!$A$8:$W$8,1,FLOOR(($A98-1)/23,1)+1)&amp;INDEX('Serial Reference'!$A$8:$W$8,1,MOD($A98-1,23)+1)&amp;TEXT(CF$2+FLOOR((CF$2-1)/9,1),"000"),"")</f>
        <v/>
      </c>
      <c r="CG98" s="19" t="str">
        <f>IF(INDEX('Shot Map'!$B$6:$V$26,CEILING($A98/5,1),CEILING(CG$2/5,1))=1,INDEX('Serial Reference'!$A$8:$W$8,1,FLOOR(($A98-1)/23,1)+1)&amp;INDEX('Serial Reference'!$A$8:$W$8,1,MOD($A98-1,23)+1)&amp;TEXT(CG$2+FLOOR((CG$2-1)/9,1),"000"),"")</f>
        <v/>
      </c>
      <c r="CH98" s="20" t="str">
        <f>IF(INDEX('Shot Map'!$B$6:$V$26,CEILING($A98/5,1),CEILING(CH$2/5,1))=1,INDEX('Serial Reference'!$A$8:$W$8,1,FLOOR(($A98-1)/23,1)+1)&amp;INDEX('Serial Reference'!$A$8:$W$8,1,MOD($A98-1,23)+1)&amp;TEXT(CH$2+FLOOR((CH$2-1)/9,1),"000"),"")</f>
        <v/>
      </c>
      <c r="CI98" s="18" t="str">
        <f>IF(INDEX('Shot Map'!$B$6:$V$26,CEILING($A98/5,1),CEILING(CI$2/5,1))=1,INDEX('Serial Reference'!$A$8:$W$8,1,FLOOR(($A98-1)/23,1)+1)&amp;INDEX('Serial Reference'!$A$8:$W$8,1,MOD($A98-1,23)+1)&amp;TEXT(CI$2+FLOOR((CI$2-1)/9,1),"000"),"")</f>
        <v/>
      </c>
      <c r="CJ98" s="19" t="str">
        <f>IF(INDEX('Shot Map'!$B$6:$V$26,CEILING($A98/5,1),CEILING(CJ$2/5,1))=1,INDEX('Serial Reference'!$A$8:$W$8,1,FLOOR(($A98-1)/23,1)+1)&amp;INDEX('Serial Reference'!$A$8:$W$8,1,MOD($A98-1,23)+1)&amp;TEXT(CJ$2+FLOOR((CJ$2-1)/9,1),"000"),"")</f>
        <v/>
      </c>
      <c r="CK98" s="19" t="str">
        <f>IF(INDEX('Shot Map'!$B$6:$V$26,CEILING($A98/5,1),CEILING(CK$2/5,1))=1,INDEX('Serial Reference'!$A$8:$W$8,1,FLOOR(($A98-1)/23,1)+1)&amp;INDEX('Serial Reference'!$A$8:$W$8,1,MOD($A98-1,23)+1)&amp;TEXT(CK$2+FLOOR((CK$2-1)/9,1),"000"),"")</f>
        <v/>
      </c>
      <c r="CL98" s="19" t="str">
        <f>IF(INDEX('Shot Map'!$B$6:$V$26,CEILING($A98/5,1),CEILING(CL$2/5,1))=1,INDEX('Serial Reference'!$A$8:$W$8,1,FLOOR(($A98-1)/23,1)+1)&amp;INDEX('Serial Reference'!$A$8:$W$8,1,MOD($A98-1,23)+1)&amp;TEXT(CL$2+FLOOR((CL$2-1)/9,1),"000"),"")</f>
        <v/>
      </c>
      <c r="CM98" s="20" t="str">
        <f>IF(INDEX('Shot Map'!$B$6:$V$26,CEILING($A98/5,1),CEILING(CM$2/5,1))=1,INDEX('Serial Reference'!$A$8:$W$8,1,FLOOR(($A98-1)/23,1)+1)&amp;INDEX('Serial Reference'!$A$8:$W$8,1,MOD($A98-1,23)+1)&amp;TEXT(CM$2+FLOOR((CM$2-1)/9,1),"000"),"")</f>
        <v/>
      </c>
      <c r="CN98" s="18" t="str">
        <f>IF(INDEX('Shot Map'!$B$6:$V$26,CEILING($A98/5,1),CEILING(CN$2/5,1))=1,INDEX('Serial Reference'!$A$8:$W$8,1,FLOOR(($A98-1)/23,1)+1)&amp;INDEX('Serial Reference'!$A$8:$W$8,1,MOD($A98-1,23)+1)&amp;TEXT(CN$2+FLOOR((CN$2-1)/9,1),"000"),"")</f>
        <v/>
      </c>
      <c r="CO98" s="19" t="str">
        <f>IF(INDEX('Shot Map'!$B$6:$V$26,CEILING($A98/5,1),CEILING(CO$2/5,1))=1,INDEX('Serial Reference'!$A$8:$W$8,1,FLOOR(($A98-1)/23,1)+1)&amp;INDEX('Serial Reference'!$A$8:$W$8,1,MOD($A98-1,23)+1)&amp;TEXT(CO$2+FLOOR((CO$2-1)/9,1),"000"),"")</f>
        <v/>
      </c>
      <c r="CP98" s="19" t="str">
        <f>IF(INDEX('Shot Map'!$B$6:$V$26,CEILING($A98/5,1),CEILING(CP$2/5,1))=1,INDEX('Serial Reference'!$A$8:$W$8,1,FLOOR(($A98-1)/23,1)+1)&amp;INDEX('Serial Reference'!$A$8:$W$8,1,MOD($A98-1,23)+1)&amp;TEXT(CP$2+FLOOR((CP$2-1)/9,1),"000"),"")</f>
        <v/>
      </c>
      <c r="CQ98" s="19" t="str">
        <f>IF(INDEX('Shot Map'!$B$6:$V$26,CEILING($A98/5,1),CEILING(CQ$2/5,1))=1,INDEX('Serial Reference'!$A$8:$W$8,1,FLOOR(($A98-1)/23,1)+1)&amp;INDEX('Serial Reference'!$A$8:$W$8,1,MOD($A98-1,23)+1)&amp;TEXT(CQ$2+FLOOR((CQ$2-1)/9,1),"000"),"")</f>
        <v/>
      </c>
      <c r="CR98" s="20" t="str">
        <f>IF(INDEX('Shot Map'!$B$6:$V$26,CEILING($A98/5,1),CEILING(CR$2/5,1))=1,INDEX('Serial Reference'!$A$8:$W$8,1,FLOOR(($A98-1)/23,1)+1)&amp;INDEX('Serial Reference'!$A$8:$W$8,1,MOD($A98-1,23)+1)&amp;TEXT(CR$2+FLOOR((CR$2-1)/9,1),"000"),"")</f>
        <v/>
      </c>
      <c r="CS98" s="18" t="str">
        <f>IF(INDEX('Shot Map'!$B$6:$V$26,CEILING($A98/5,1),CEILING(CS$2/5,1))=1,INDEX('Serial Reference'!$A$8:$W$8,1,FLOOR(($A98-1)/23,1)+1)&amp;INDEX('Serial Reference'!$A$8:$W$8,1,MOD($A98-1,23)+1)&amp;TEXT(CS$2+FLOOR((CS$2-1)/9,1),"000"),"")</f>
        <v/>
      </c>
      <c r="CT98" s="19" t="str">
        <f>IF(INDEX('Shot Map'!$B$6:$V$26,CEILING($A98/5,1),CEILING(CT$2/5,1))=1,INDEX('Serial Reference'!$A$8:$W$8,1,FLOOR(($A98-1)/23,1)+1)&amp;INDEX('Serial Reference'!$A$8:$W$8,1,MOD($A98-1,23)+1)&amp;TEXT(CT$2+FLOOR((CT$2-1)/9,1),"000"),"")</f>
        <v/>
      </c>
      <c r="CU98" s="19" t="str">
        <f>IF(INDEX('Shot Map'!$B$6:$V$26,CEILING($A98/5,1),CEILING(CU$2/5,1))=1,INDEX('Serial Reference'!$A$8:$W$8,1,FLOOR(($A98-1)/23,1)+1)&amp;INDEX('Serial Reference'!$A$8:$W$8,1,MOD($A98-1,23)+1)&amp;TEXT(CU$2+FLOOR((CU$2-1)/9,1),"000"),"")</f>
        <v/>
      </c>
      <c r="CV98" s="19" t="str">
        <f>IF(INDEX('Shot Map'!$B$6:$V$26,CEILING($A98/5,1),CEILING(CV$2/5,1))=1,INDEX('Serial Reference'!$A$8:$W$8,1,FLOOR(($A98-1)/23,1)+1)&amp;INDEX('Serial Reference'!$A$8:$W$8,1,MOD($A98-1,23)+1)&amp;TEXT(CV$2+FLOOR((CV$2-1)/9,1),"000"),"")</f>
        <v/>
      </c>
      <c r="CW98" s="20" t="str">
        <f>IF(INDEX('Shot Map'!$B$6:$V$26,CEILING($A98/5,1),CEILING(CW$2/5,1))=1,INDEX('Serial Reference'!$A$8:$W$8,1,FLOOR(($A98-1)/23,1)+1)&amp;INDEX('Serial Reference'!$A$8:$W$8,1,MOD($A98-1,23)+1)&amp;TEXT(CW$2+FLOOR((CW$2-1)/9,1),"000"),"")</f>
        <v/>
      </c>
      <c r="CX98" s="18" t="str">
        <f>IF(INDEX('Shot Map'!$B$6:$V$26,CEILING($A98/5,1),CEILING(CX$2/5,1))=1,INDEX('Serial Reference'!$A$8:$W$8,1,FLOOR(($A98-1)/23,1)+1)&amp;INDEX('Serial Reference'!$A$8:$W$8,1,MOD($A98-1,23)+1)&amp;TEXT(CX$2+FLOOR((CX$2-1)/9,1),"000"),"")</f>
        <v/>
      </c>
      <c r="CY98" s="19" t="str">
        <f>IF(INDEX('Shot Map'!$B$6:$V$26,CEILING($A98/5,1),CEILING(CY$2/5,1))=1,INDEX('Serial Reference'!$A$8:$W$8,1,FLOOR(($A98-1)/23,1)+1)&amp;INDEX('Serial Reference'!$A$8:$W$8,1,MOD($A98-1,23)+1)&amp;TEXT(CY$2+FLOOR((CY$2-1)/9,1),"000"),"")</f>
        <v/>
      </c>
      <c r="CZ98" s="19" t="str">
        <f>IF(INDEX('Shot Map'!$B$6:$V$26,CEILING($A98/5,1),CEILING(CZ$2/5,1))=1,INDEX('Serial Reference'!$A$8:$W$8,1,FLOOR(($A98-1)/23,1)+1)&amp;INDEX('Serial Reference'!$A$8:$W$8,1,MOD($A98-1,23)+1)&amp;TEXT(CZ$2+FLOOR((CZ$2-1)/9,1),"000"),"")</f>
        <v/>
      </c>
      <c r="DA98" s="19" t="str">
        <f>IF(INDEX('Shot Map'!$B$6:$V$26,CEILING($A98/5,1),CEILING(DA$2/5,1))=1,INDEX('Serial Reference'!$A$8:$W$8,1,FLOOR(($A98-1)/23,1)+1)&amp;INDEX('Serial Reference'!$A$8:$W$8,1,MOD($A98-1,23)+1)&amp;TEXT(DA$2+FLOOR((DA$2-1)/9,1),"000"),"")</f>
        <v/>
      </c>
      <c r="DB98" s="20" t="str">
        <f>IF(INDEX('Shot Map'!$B$6:$V$26,CEILING($A98/5,1),CEILING(DB$2/5,1))=1,INDEX('Serial Reference'!$A$8:$W$8,1,FLOOR(($A98-1)/23,1)+1)&amp;INDEX('Serial Reference'!$A$8:$W$8,1,MOD($A98-1,23)+1)&amp;TEXT(DB$2+FLOOR((DB$2-1)/9,1),"000"),"")</f>
        <v/>
      </c>
    </row>
    <row r="99" spans="1:106" ht="12.75" customHeight="1" x14ac:dyDescent="0.25">
      <c r="A99" s="17">
        <v>97</v>
      </c>
      <c r="B99" s="21" t="str">
        <f>IF(INDEX('Shot Map'!$B$6:$V$26,CEILING($A99/5,1),CEILING(B$2/5,1))=1,INDEX('Serial Reference'!$A$8:$W$8,1,FLOOR(($A99-1)/23,1)+1)&amp;INDEX('Serial Reference'!$A$8:$W$8,1,MOD($A99-1,23)+1)&amp;TEXT(B$2+FLOOR((B$2-1)/9,1),"000"),"")</f>
        <v/>
      </c>
      <c r="C99" s="22" t="str">
        <f>IF(INDEX('Shot Map'!$B$6:$V$26,CEILING($A99/5,1),CEILING(C$2/5,1))=1,INDEX('Serial Reference'!$A$8:$W$8,1,FLOOR(($A99-1)/23,1)+1)&amp;INDEX('Serial Reference'!$A$8:$W$8,1,MOD($A99-1,23)+1)&amp;TEXT(C$2+FLOOR((C$2-1)/9,1),"000"),"")</f>
        <v/>
      </c>
      <c r="D99" s="22" t="str">
        <f>IF(INDEX('Shot Map'!$B$6:$V$26,CEILING($A99/5,1),CEILING(D$2/5,1))=1,INDEX('Serial Reference'!$A$8:$W$8,1,FLOOR(($A99-1)/23,1)+1)&amp;INDEX('Serial Reference'!$A$8:$W$8,1,MOD($A99-1,23)+1)&amp;TEXT(D$2+FLOOR((D$2-1)/9,1),"000"),"")</f>
        <v/>
      </c>
      <c r="E99" s="22" t="str">
        <f>IF(INDEX('Shot Map'!$B$6:$V$26,CEILING($A99/5,1),CEILING(E$2/5,1))=1,INDEX('Serial Reference'!$A$8:$W$8,1,FLOOR(($A99-1)/23,1)+1)&amp;INDEX('Serial Reference'!$A$8:$W$8,1,MOD($A99-1,23)+1)&amp;TEXT(E$2+FLOOR((E$2-1)/9,1),"000"),"")</f>
        <v/>
      </c>
      <c r="F99" s="23" t="str">
        <f>IF(INDEX('Shot Map'!$B$6:$V$26,CEILING($A99/5,1),CEILING(F$2/5,1))=1,INDEX('Serial Reference'!$A$8:$W$8,1,FLOOR(($A99-1)/23,1)+1)&amp;INDEX('Serial Reference'!$A$8:$W$8,1,MOD($A99-1,23)+1)&amp;TEXT(F$2+FLOOR((F$2-1)/9,1),"000"),"")</f>
        <v/>
      </c>
      <c r="G99" s="21" t="str">
        <f>IF(INDEX('Shot Map'!$B$6:$V$26,CEILING($A99/5,1),CEILING(G$2/5,1))=1,INDEX('Serial Reference'!$A$8:$W$8,1,FLOOR(($A99-1)/23,1)+1)&amp;INDEX('Serial Reference'!$A$8:$W$8,1,MOD($A99-1,23)+1)&amp;TEXT(G$2+FLOOR((G$2-1)/9,1),"000"),"")</f>
        <v/>
      </c>
      <c r="H99" s="22" t="str">
        <f>IF(INDEX('Shot Map'!$B$6:$V$26,CEILING($A99/5,1),CEILING(H$2/5,1))=1,INDEX('Serial Reference'!$A$8:$W$8,1,FLOOR(($A99-1)/23,1)+1)&amp;INDEX('Serial Reference'!$A$8:$W$8,1,MOD($A99-1,23)+1)&amp;TEXT(H$2+FLOOR((H$2-1)/9,1),"000"),"")</f>
        <v/>
      </c>
      <c r="I99" s="22" t="str">
        <f>IF(INDEX('Shot Map'!$B$6:$V$26,CEILING($A99/5,1),CEILING(I$2/5,1))=1,INDEX('Serial Reference'!$A$8:$W$8,1,FLOOR(($A99-1)/23,1)+1)&amp;INDEX('Serial Reference'!$A$8:$W$8,1,MOD($A99-1,23)+1)&amp;TEXT(I$2+FLOOR((I$2-1)/9,1),"000"),"")</f>
        <v/>
      </c>
      <c r="J99" s="22" t="str">
        <f>IF(INDEX('Shot Map'!$B$6:$V$26,CEILING($A99/5,1),CEILING(J$2/5,1))=1,INDEX('Serial Reference'!$A$8:$W$8,1,FLOOR(($A99-1)/23,1)+1)&amp;INDEX('Serial Reference'!$A$8:$W$8,1,MOD($A99-1,23)+1)&amp;TEXT(J$2+FLOOR((J$2-1)/9,1),"000"),"")</f>
        <v/>
      </c>
      <c r="K99" s="23" t="str">
        <f>IF(INDEX('Shot Map'!$B$6:$V$26,CEILING($A99/5,1),CEILING(K$2/5,1))=1,INDEX('Serial Reference'!$A$8:$W$8,1,FLOOR(($A99-1)/23,1)+1)&amp;INDEX('Serial Reference'!$A$8:$W$8,1,MOD($A99-1,23)+1)&amp;TEXT(K$2+FLOOR((K$2-1)/9,1),"000"),"")</f>
        <v/>
      </c>
      <c r="L99" s="21" t="str">
        <f>IF(INDEX('Shot Map'!$B$6:$V$26,CEILING($A99/5,1),CEILING(L$2/5,1))=1,INDEX('Serial Reference'!$A$8:$W$8,1,FLOOR(($A99-1)/23,1)+1)&amp;INDEX('Serial Reference'!$A$8:$W$8,1,MOD($A99-1,23)+1)&amp;TEXT(L$2+FLOOR((L$2-1)/9,1),"000"),"")</f>
        <v/>
      </c>
      <c r="M99" s="22" t="str">
        <f>IF(INDEX('Shot Map'!$B$6:$V$26,CEILING($A99/5,1),CEILING(M$2/5,1))=1,INDEX('Serial Reference'!$A$8:$W$8,1,FLOOR(($A99-1)/23,1)+1)&amp;INDEX('Serial Reference'!$A$8:$W$8,1,MOD($A99-1,23)+1)&amp;TEXT(M$2+FLOOR((M$2-1)/9,1),"000"),"")</f>
        <v/>
      </c>
      <c r="N99" s="22" t="str">
        <f>IF(INDEX('Shot Map'!$B$6:$V$26,CEILING($A99/5,1),CEILING(N$2/5,1))=1,INDEX('Serial Reference'!$A$8:$W$8,1,FLOOR(($A99-1)/23,1)+1)&amp;INDEX('Serial Reference'!$A$8:$W$8,1,MOD($A99-1,23)+1)&amp;TEXT(N$2+FLOOR((N$2-1)/9,1),"000"),"")</f>
        <v/>
      </c>
      <c r="O99" s="22" t="str">
        <f>IF(INDEX('Shot Map'!$B$6:$V$26,CEILING($A99/5,1),CEILING(O$2/5,1))=1,INDEX('Serial Reference'!$A$8:$W$8,1,FLOOR(($A99-1)/23,1)+1)&amp;INDEX('Serial Reference'!$A$8:$W$8,1,MOD($A99-1,23)+1)&amp;TEXT(O$2+FLOOR((O$2-1)/9,1),"000"),"")</f>
        <v/>
      </c>
      <c r="P99" s="23" t="str">
        <f>IF(INDEX('Shot Map'!$B$6:$V$26,CEILING($A99/5,1),CEILING(P$2/5,1))=1,INDEX('Serial Reference'!$A$8:$W$8,1,FLOOR(($A99-1)/23,1)+1)&amp;INDEX('Serial Reference'!$A$8:$W$8,1,MOD($A99-1,23)+1)&amp;TEXT(P$2+FLOOR((P$2-1)/9,1),"000"),"")</f>
        <v/>
      </c>
      <c r="Q99" s="21" t="str">
        <f>IF(INDEX('Shot Map'!$B$6:$V$26,CEILING($A99/5,1),CEILING(Q$2/5,1))=1,INDEX('Serial Reference'!$A$8:$W$8,1,FLOOR(($A99-1)/23,1)+1)&amp;INDEX('Serial Reference'!$A$8:$W$8,1,MOD($A99-1,23)+1)&amp;TEXT(Q$2+FLOOR((Q$2-1)/9,1),"000"),"")</f>
        <v/>
      </c>
      <c r="R99" s="22" t="str">
        <f>IF(INDEX('Shot Map'!$B$6:$V$26,CEILING($A99/5,1),CEILING(R$2/5,1))=1,INDEX('Serial Reference'!$A$8:$W$8,1,FLOOR(($A99-1)/23,1)+1)&amp;INDEX('Serial Reference'!$A$8:$W$8,1,MOD($A99-1,23)+1)&amp;TEXT(R$2+FLOOR((R$2-1)/9,1),"000"),"")</f>
        <v/>
      </c>
      <c r="S99" s="22" t="str">
        <f>IF(INDEX('Shot Map'!$B$6:$V$26,CEILING($A99/5,1),CEILING(S$2/5,1))=1,INDEX('Serial Reference'!$A$8:$W$8,1,FLOOR(($A99-1)/23,1)+1)&amp;INDEX('Serial Reference'!$A$8:$W$8,1,MOD($A99-1,23)+1)&amp;TEXT(S$2+FLOOR((S$2-1)/9,1),"000"),"")</f>
        <v/>
      </c>
      <c r="T99" s="22" t="str">
        <f>IF(INDEX('Shot Map'!$B$6:$V$26,CEILING($A99/5,1),CEILING(T$2/5,1))=1,INDEX('Serial Reference'!$A$8:$W$8,1,FLOOR(($A99-1)/23,1)+1)&amp;INDEX('Serial Reference'!$A$8:$W$8,1,MOD($A99-1,23)+1)&amp;TEXT(T$2+FLOOR((T$2-1)/9,1),"000"),"")</f>
        <v/>
      </c>
      <c r="U99" s="23" t="str">
        <f>IF(INDEX('Shot Map'!$B$6:$V$26,CEILING($A99/5,1),CEILING(U$2/5,1))=1,INDEX('Serial Reference'!$A$8:$W$8,1,FLOOR(($A99-1)/23,1)+1)&amp;INDEX('Serial Reference'!$A$8:$W$8,1,MOD($A99-1,23)+1)&amp;TEXT(U$2+FLOOR((U$2-1)/9,1),"000"),"")</f>
        <v/>
      </c>
      <c r="V99" s="21" t="str">
        <f>IF(INDEX('Shot Map'!$B$6:$V$26,CEILING($A99/5,1),CEILING(V$2/5,1))=1,INDEX('Serial Reference'!$A$8:$W$8,1,FLOOR(($A99-1)/23,1)+1)&amp;INDEX('Serial Reference'!$A$8:$W$8,1,MOD($A99-1,23)+1)&amp;TEXT(V$2+FLOOR((V$2-1)/9,1),"000"),"")</f>
        <v/>
      </c>
      <c r="W99" s="22" t="str">
        <f>IF(INDEX('Shot Map'!$B$6:$V$26,CEILING($A99/5,1),CEILING(W$2/5,1))=1,INDEX('Serial Reference'!$A$8:$W$8,1,FLOOR(($A99-1)/23,1)+1)&amp;INDEX('Serial Reference'!$A$8:$W$8,1,MOD($A99-1,23)+1)&amp;TEXT(W$2+FLOOR((W$2-1)/9,1),"000"),"")</f>
        <v/>
      </c>
      <c r="X99" s="22" t="str">
        <f>IF(INDEX('Shot Map'!$B$6:$V$26,CEILING($A99/5,1),CEILING(X$2/5,1))=1,INDEX('Serial Reference'!$A$8:$W$8,1,FLOOR(($A99-1)/23,1)+1)&amp;INDEX('Serial Reference'!$A$8:$W$8,1,MOD($A99-1,23)+1)&amp;TEXT(X$2+FLOOR((X$2-1)/9,1),"000"),"")</f>
        <v/>
      </c>
      <c r="Y99" s="22" t="str">
        <f>IF(INDEX('Shot Map'!$B$6:$V$26,CEILING($A99/5,1),CEILING(Y$2/5,1))=1,INDEX('Serial Reference'!$A$8:$W$8,1,FLOOR(($A99-1)/23,1)+1)&amp;INDEX('Serial Reference'!$A$8:$W$8,1,MOD($A99-1,23)+1)&amp;TEXT(Y$2+FLOOR((Y$2-1)/9,1),"000"),"")</f>
        <v/>
      </c>
      <c r="Z99" s="23" t="str">
        <f>IF(INDEX('Shot Map'!$B$6:$V$26,CEILING($A99/5,1),CEILING(Z$2/5,1))=1,INDEX('Serial Reference'!$A$8:$W$8,1,FLOOR(($A99-1)/23,1)+1)&amp;INDEX('Serial Reference'!$A$8:$W$8,1,MOD($A99-1,23)+1)&amp;TEXT(Z$2+FLOOR((Z$2-1)/9,1),"000"),"")</f>
        <v/>
      </c>
      <c r="AA99" s="21" t="str">
        <f>IF(INDEX('Shot Map'!$B$6:$V$26,CEILING($A99/5,1),CEILING(AA$2/5,1))=1,INDEX('Serial Reference'!$A$8:$W$8,1,FLOOR(($A99-1)/23,1)+1)&amp;INDEX('Serial Reference'!$A$8:$W$8,1,MOD($A99-1,23)+1)&amp;TEXT(AA$2+FLOOR((AA$2-1)/9,1),"000"),"")</f>
        <v/>
      </c>
      <c r="AB99" s="22" t="str">
        <f>IF(INDEX('Shot Map'!$B$6:$V$26,CEILING($A99/5,1),CEILING(AB$2/5,1))=1,INDEX('Serial Reference'!$A$8:$W$8,1,FLOOR(($A99-1)/23,1)+1)&amp;INDEX('Serial Reference'!$A$8:$W$8,1,MOD($A99-1,23)+1)&amp;TEXT(AB$2+FLOOR((AB$2-1)/9,1),"000"),"")</f>
        <v/>
      </c>
      <c r="AC99" s="22" t="str">
        <f>IF(INDEX('Shot Map'!$B$6:$V$26,CEILING($A99/5,1),CEILING(AC$2/5,1))=1,INDEX('Serial Reference'!$A$8:$W$8,1,FLOOR(($A99-1)/23,1)+1)&amp;INDEX('Serial Reference'!$A$8:$W$8,1,MOD($A99-1,23)+1)&amp;TEXT(AC$2+FLOOR((AC$2-1)/9,1),"000"),"")</f>
        <v/>
      </c>
      <c r="AD99" s="22" t="str">
        <f>IF(INDEX('Shot Map'!$B$6:$V$26,CEILING($A99/5,1),CEILING(AD$2/5,1))=1,INDEX('Serial Reference'!$A$8:$W$8,1,FLOOR(($A99-1)/23,1)+1)&amp;INDEX('Serial Reference'!$A$8:$W$8,1,MOD($A99-1,23)+1)&amp;TEXT(AD$2+FLOOR((AD$2-1)/9,1),"000"),"")</f>
        <v/>
      </c>
      <c r="AE99" s="23" t="str">
        <f>IF(INDEX('Shot Map'!$B$6:$V$26,CEILING($A99/5,1),CEILING(AE$2/5,1))=1,INDEX('Serial Reference'!$A$8:$W$8,1,FLOOR(($A99-1)/23,1)+1)&amp;INDEX('Serial Reference'!$A$8:$W$8,1,MOD($A99-1,23)+1)&amp;TEXT(AE$2+FLOOR((AE$2-1)/9,1),"000"),"")</f>
        <v/>
      </c>
      <c r="AF99" s="21" t="str">
        <f>IF(INDEX('Shot Map'!$B$6:$V$26,CEILING($A99/5,1),CEILING(AF$2/5,1))=1,INDEX('Serial Reference'!$A$8:$W$8,1,FLOOR(($A99-1)/23,1)+1)&amp;INDEX('Serial Reference'!$A$8:$W$8,1,MOD($A99-1,23)+1)&amp;TEXT(AF$2+FLOOR((AF$2-1)/9,1),"000"),"")</f>
        <v>EE034</v>
      </c>
      <c r="AG99" s="22" t="str">
        <f>IF(INDEX('Shot Map'!$B$6:$V$26,CEILING($A99/5,1),CEILING(AG$2/5,1))=1,INDEX('Serial Reference'!$A$8:$W$8,1,FLOOR(($A99-1)/23,1)+1)&amp;INDEX('Serial Reference'!$A$8:$W$8,1,MOD($A99-1,23)+1)&amp;TEXT(AG$2+FLOOR((AG$2-1)/9,1),"000"),"")</f>
        <v>EE035</v>
      </c>
      <c r="AH99" s="22" t="str">
        <f>IF(INDEX('Shot Map'!$B$6:$V$26,CEILING($A99/5,1),CEILING(AH$2/5,1))=1,INDEX('Serial Reference'!$A$8:$W$8,1,FLOOR(($A99-1)/23,1)+1)&amp;INDEX('Serial Reference'!$A$8:$W$8,1,MOD($A99-1,23)+1)&amp;TEXT(AH$2+FLOOR((AH$2-1)/9,1),"000"),"")</f>
        <v>EE036</v>
      </c>
      <c r="AI99" s="22" t="str">
        <f>IF(INDEX('Shot Map'!$B$6:$V$26,CEILING($A99/5,1),CEILING(AI$2/5,1))=1,INDEX('Serial Reference'!$A$8:$W$8,1,FLOOR(($A99-1)/23,1)+1)&amp;INDEX('Serial Reference'!$A$8:$W$8,1,MOD($A99-1,23)+1)&amp;TEXT(AI$2+FLOOR((AI$2-1)/9,1),"000"),"")</f>
        <v>EE037</v>
      </c>
      <c r="AJ99" s="23" t="str">
        <f>IF(INDEX('Shot Map'!$B$6:$V$26,CEILING($A99/5,1),CEILING(AJ$2/5,1))=1,INDEX('Serial Reference'!$A$8:$W$8,1,FLOOR(($A99-1)/23,1)+1)&amp;INDEX('Serial Reference'!$A$8:$W$8,1,MOD($A99-1,23)+1)&amp;TEXT(AJ$2+FLOOR((AJ$2-1)/9,1),"000"),"")</f>
        <v>EE038</v>
      </c>
      <c r="AK99" s="21" t="str">
        <f>IF(INDEX('Shot Map'!$B$6:$V$26,CEILING($A99/5,1),CEILING(AK$2/5,1))=1,INDEX('Serial Reference'!$A$8:$W$8,1,FLOOR(($A99-1)/23,1)+1)&amp;INDEX('Serial Reference'!$A$8:$W$8,1,MOD($A99-1,23)+1)&amp;TEXT(AK$2+FLOOR((AK$2-1)/9,1),"000"),"")</f>
        <v>EE039</v>
      </c>
      <c r="AL99" s="22" t="str">
        <f>IF(INDEX('Shot Map'!$B$6:$V$26,CEILING($A99/5,1),CEILING(AL$2/5,1))=1,INDEX('Serial Reference'!$A$8:$W$8,1,FLOOR(($A99-1)/23,1)+1)&amp;INDEX('Serial Reference'!$A$8:$W$8,1,MOD($A99-1,23)+1)&amp;TEXT(AL$2+FLOOR((AL$2-1)/9,1),"000"),"")</f>
        <v>EE041</v>
      </c>
      <c r="AM99" s="22" t="str">
        <f>IF(INDEX('Shot Map'!$B$6:$V$26,CEILING($A99/5,1),CEILING(AM$2/5,1))=1,INDEX('Serial Reference'!$A$8:$W$8,1,FLOOR(($A99-1)/23,1)+1)&amp;INDEX('Serial Reference'!$A$8:$W$8,1,MOD($A99-1,23)+1)&amp;TEXT(AM$2+FLOOR((AM$2-1)/9,1),"000"),"")</f>
        <v>EE042</v>
      </c>
      <c r="AN99" s="22" t="str">
        <f>IF(INDEX('Shot Map'!$B$6:$V$26,CEILING($A99/5,1),CEILING(AN$2/5,1))=1,INDEX('Serial Reference'!$A$8:$W$8,1,FLOOR(($A99-1)/23,1)+1)&amp;INDEX('Serial Reference'!$A$8:$W$8,1,MOD($A99-1,23)+1)&amp;TEXT(AN$2+FLOOR((AN$2-1)/9,1),"000"),"")</f>
        <v>EE043</v>
      </c>
      <c r="AO99" s="23" t="str">
        <f>IF(INDEX('Shot Map'!$B$6:$V$26,CEILING($A99/5,1),CEILING(AO$2/5,1))=1,INDEX('Serial Reference'!$A$8:$W$8,1,FLOOR(($A99-1)/23,1)+1)&amp;INDEX('Serial Reference'!$A$8:$W$8,1,MOD($A99-1,23)+1)&amp;TEXT(AO$2+FLOOR((AO$2-1)/9,1),"000"),"")</f>
        <v>EE044</v>
      </c>
      <c r="AP99" s="21" t="str">
        <f>IF(INDEX('Shot Map'!$B$6:$V$26,CEILING($A99/5,1),CEILING(AP$2/5,1))=1,INDEX('Serial Reference'!$A$8:$W$8,1,FLOOR(($A99-1)/23,1)+1)&amp;INDEX('Serial Reference'!$A$8:$W$8,1,MOD($A99-1,23)+1)&amp;TEXT(AP$2+FLOOR((AP$2-1)/9,1),"000"),"")</f>
        <v>EE045</v>
      </c>
      <c r="AQ99" s="22" t="str">
        <f>IF(INDEX('Shot Map'!$B$6:$V$26,CEILING($A99/5,1),CEILING(AQ$2/5,1))=1,INDEX('Serial Reference'!$A$8:$W$8,1,FLOOR(($A99-1)/23,1)+1)&amp;INDEX('Serial Reference'!$A$8:$W$8,1,MOD($A99-1,23)+1)&amp;TEXT(AQ$2+FLOOR((AQ$2-1)/9,1),"000"),"")</f>
        <v>EE046</v>
      </c>
      <c r="AR99" s="22" t="str">
        <f>IF(INDEX('Shot Map'!$B$6:$V$26,CEILING($A99/5,1),CEILING(AR$2/5,1))=1,INDEX('Serial Reference'!$A$8:$W$8,1,FLOOR(($A99-1)/23,1)+1)&amp;INDEX('Serial Reference'!$A$8:$W$8,1,MOD($A99-1,23)+1)&amp;TEXT(AR$2+FLOOR((AR$2-1)/9,1),"000"),"")</f>
        <v>EE047</v>
      </c>
      <c r="AS99" s="22" t="str">
        <f>IF(INDEX('Shot Map'!$B$6:$V$26,CEILING($A99/5,1),CEILING(AS$2/5,1))=1,INDEX('Serial Reference'!$A$8:$W$8,1,FLOOR(($A99-1)/23,1)+1)&amp;INDEX('Serial Reference'!$A$8:$W$8,1,MOD($A99-1,23)+1)&amp;TEXT(AS$2+FLOOR((AS$2-1)/9,1),"000"),"")</f>
        <v>EE048</v>
      </c>
      <c r="AT99" s="23" t="str">
        <f>IF(INDEX('Shot Map'!$B$6:$V$26,CEILING($A99/5,1),CEILING(AT$2/5,1))=1,INDEX('Serial Reference'!$A$8:$W$8,1,FLOOR(($A99-1)/23,1)+1)&amp;INDEX('Serial Reference'!$A$8:$W$8,1,MOD($A99-1,23)+1)&amp;TEXT(AT$2+FLOOR((AT$2-1)/9,1),"000"),"")</f>
        <v>EE049</v>
      </c>
      <c r="AU99" s="21" t="str">
        <f>IF(INDEX('Shot Map'!$B$6:$V$26,CEILING($A99/5,1),CEILING(AU$2/5,1))=1,INDEX('Serial Reference'!$A$8:$W$8,1,FLOOR(($A99-1)/23,1)+1)&amp;INDEX('Serial Reference'!$A$8:$W$8,1,MOD($A99-1,23)+1)&amp;TEXT(AU$2+FLOOR((AU$2-1)/9,1),"000"),"")</f>
        <v>EE051</v>
      </c>
      <c r="AV99" s="22" t="str">
        <f>IF(INDEX('Shot Map'!$B$6:$V$26,CEILING($A99/5,1),CEILING(AV$2/5,1))=1,INDEX('Serial Reference'!$A$8:$W$8,1,FLOOR(($A99-1)/23,1)+1)&amp;INDEX('Serial Reference'!$A$8:$W$8,1,MOD($A99-1,23)+1)&amp;TEXT(AV$2+FLOOR((AV$2-1)/9,1),"000"),"")</f>
        <v>EE052</v>
      </c>
      <c r="AW99" s="22" t="str">
        <f>IF(INDEX('Shot Map'!$B$6:$V$26,CEILING($A99/5,1),CEILING(AW$2/5,1))=1,INDEX('Serial Reference'!$A$8:$W$8,1,FLOOR(($A99-1)/23,1)+1)&amp;INDEX('Serial Reference'!$A$8:$W$8,1,MOD($A99-1,23)+1)&amp;TEXT(AW$2+FLOOR((AW$2-1)/9,1),"000"),"")</f>
        <v>EE053</v>
      </c>
      <c r="AX99" s="22" t="str">
        <f>IF(INDEX('Shot Map'!$B$6:$V$26,CEILING($A99/5,1),CEILING(AX$2/5,1))=1,INDEX('Serial Reference'!$A$8:$W$8,1,FLOOR(($A99-1)/23,1)+1)&amp;INDEX('Serial Reference'!$A$8:$W$8,1,MOD($A99-1,23)+1)&amp;TEXT(AX$2+FLOOR((AX$2-1)/9,1),"000"),"")</f>
        <v>EE054</v>
      </c>
      <c r="AY99" s="23" t="str">
        <f>IF(INDEX('Shot Map'!$B$6:$V$26,CEILING($A99/5,1),CEILING(AY$2/5,1))=1,INDEX('Serial Reference'!$A$8:$W$8,1,FLOOR(($A99-1)/23,1)+1)&amp;INDEX('Serial Reference'!$A$8:$W$8,1,MOD($A99-1,23)+1)&amp;TEXT(AY$2+FLOOR((AY$2-1)/9,1),"000"),"")</f>
        <v>EE055</v>
      </c>
      <c r="AZ99" s="21" t="str">
        <f>IF(INDEX('Shot Map'!$B$6:$V$26,CEILING($A99/5,1),CEILING(AZ$2/5,1))=1,INDEX('Serial Reference'!$A$8:$W$8,1,FLOOR(($A99-1)/23,1)+1)&amp;INDEX('Serial Reference'!$A$8:$W$8,1,MOD($A99-1,23)+1)&amp;TEXT(AZ$2+FLOOR((AZ$2-1)/9,1),"000"),"")</f>
        <v>EE056</v>
      </c>
      <c r="BA99" s="22" t="str">
        <f>IF(INDEX('Shot Map'!$B$6:$V$26,CEILING($A99/5,1),CEILING(BA$2/5,1))=1,INDEX('Serial Reference'!$A$8:$W$8,1,FLOOR(($A99-1)/23,1)+1)&amp;INDEX('Serial Reference'!$A$8:$W$8,1,MOD($A99-1,23)+1)&amp;TEXT(BA$2+FLOOR((BA$2-1)/9,1),"000"),"")</f>
        <v>EE057</v>
      </c>
      <c r="BB99" s="22" t="str">
        <f>IF(INDEX('Shot Map'!$B$6:$V$26,CEILING($A99/5,1),CEILING(BB$2/5,1))=1,INDEX('Serial Reference'!$A$8:$W$8,1,FLOOR(($A99-1)/23,1)+1)&amp;INDEX('Serial Reference'!$A$8:$W$8,1,MOD($A99-1,23)+1)&amp;TEXT(BB$2+FLOOR((BB$2-1)/9,1),"000"),"")</f>
        <v>EE058</v>
      </c>
      <c r="BC99" s="22" t="str">
        <f>IF(INDEX('Shot Map'!$B$6:$V$26,CEILING($A99/5,1),CEILING(BC$2/5,1))=1,INDEX('Serial Reference'!$A$8:$W$8,1,FLOOR(($A99-1)/23,1)+1)&amp;INDEX('Serial Reference'!$A$8:$W$8,1,MOD($A99-1,23)+1)&amp;TEXT(BC$2+FLOOR((BC$2-1)/9,1),"000"),"")</f>
        <v>EE059</v>
      </c>
      <c r="BD99" s="23" t="str">
        <f>IF(INDEX('Shot Map'!$B$6:$V$26,CEILING($A99/5,1),CEILING(BD$2/5,1))=1,INDEX('Serial Reference'!$A$8:$W$8,1,FLOOR(($A99-1)/23,1)+1)&amp;INDEX('Serial Reference'!$A$8:$W$8,1,MOD($A99-1,23)+1)&amp;TEXT(BD$2+FLOOR((BD$2-1)/9,1),"000"),"")</f>
        <v>EE061</v>
      </c>
      <c r="BE99" s="21" t="str">
        <f>IF(INDEX('Shot Map'!$B$6:$V$26,CEILING($A99/5,1),CEILING(BE$2/5,1))=1,INDEX('Serial Reference'!$A$8:$W$8,1,FLOOR(($A99-1)/23,1)+1)&amp;INDEX('Serial Reference'!$A$8:$W$8,1,MOD($A99-1,23)+1)&amp;TEXT(BE$2+FLOOR((BE$2-1)/9,1),"000"),"")</f>
        <v>EE062</v>
      </c>
      <c r="BF99" s="22" t="str">
        <f>IF(INDEX('Shot Map'!$B$6:$V$26,CEILING($A99/5,1),CEILING(BF$2/5,1))=1,INDEX('Serial Reference'!$A$8:$W$8,1,FLOOR(($A99-1)/23,1)+1)&amp;INDEX('Serial Reference'!$A$8:$W$8,1,MOD($A99-1,23)+1)&amp;TEXT(BF$2+FLOOR((BF$2-1)/9,1),"000"),"")</f>
        <v>EE063</v>
      </c>
      <c r="BG99" s="22" t="str">
        <f>IF(INDEX('Shot Map'!$B$6:$V$26,CEILING($A99/5,1),CEILING(BG$2/5,1))=1,INDEX('Serial Reference'!$A$8:$W$8,1,FLOOR(($A99-1)/23,1)+1)&amp;INDEX('Serial Reference'!$A$8:$W$8,1,MOD($A99-1,23)+1)&amp;TEXT(BG$2+FLOOR((BG$2-1)/9,1),"000"),"")</f>
        <v>EE064</v>
      </c>
      <c r="BH99" s="22" t="str">
        <f>IF(INDEX('Shot Map'!$B$6:$V$26,CEILING($A99/5,1),CEILING(BH$2/5,1))=1,INDEX('Serial Reference'!$A$8:$W$8,1,FLOOR(($A99-1)/23,1)+1)&amp;INDEX('Serial Reference'!$A$8:$W$8,1,MOD($A99-1,23)+1)&amp;TEXT(BH$2+FLOOR((BH$2-1)/9,1),"000"),"")</f>
        <v>EE065</v>
      </c>
      <c r="BI99" s="23" t="str">
        <f>IF(INDEX('Shot Map'!$B$6:$V$26,CEILING($A99/5,1),CEILING(BI$2/5,1))=1,INDEX('Serial Reference'!$A$8:$W$8,1,FLOOR(($A99-1)/23,1)+1)&amp;INDEX('Serial Reference'!$A$8:$W$8,1,MOD($A99-1,23)+1)&amp;TEXT(BI$2+FLOOR((BI$2-1)/9,1),"000"),"")</f>
        <v>EE066</v>
      </c>
      <c r="BJ99" s="21" t="str">
        <f>IF(INDEX('Shot Map'!$B$6:$V$26,CEILING($A99/5,1),CEILING(BJ$2/5,1))=1,INDEX('Serial Reference'!$A$8:$W$8,1,FLOOR(($A99-1)/23,1)+1)&amp;INDEX('Serial Reference'!$A$8:$W$8,1,MOD($A99-1,23)+1)&amp;TEXT(BJ$2+FLOOR((BJ$2-1)/9,1),"000"),"")</f>
        <v>EE067</v>
      </c>
      <c r="BK99" s="22" t="str">
        <f>IF(INDEX('Shot Map'!$B$6:$V$26,CEILING($A99/5,1),CEILING(BK$2/5,1))=1,INDEX('Serial Reference'!$A$8:$W$8,1,FLOOR(($A99-1)/23,1)+1)&amp;INDEX('Serial Reference'!$A$8:$W$8,1,MOD($A99-1,23)+1)&amp;TEXT(BK$2+FLOOR((BK$2-1)/9,1),"000"),"")</f>
        <v>EE068</v>
      </c>
      <c r="BL99" s="22" t="str">
        <f>IF(INDEX('Shot Map'!$B$6:$V$26,CEILING($A99/5,1),CEILING(BL$2/5,1))=1,INDEX('Serial Reference'!$A$8:$W$8,1,FLOOR(($A99-1)/23,1)+1)&amp;INDEX('Serial Reference'!$A$8:$W$8,1,MOD($A99-1,23)+1)&amp;TEXT(BL$2+FLOOR((BL$2-1)/9,1),"000"),"")</f>
        <v>EE069</v>
      </c>
      <c r="BM99" s="22" t="str">
        <f>IF(INDEX('Shot Map'!$B$6:$V$26,CEILING($A99/5,1),CEILING(BM$2/5,1))=1,INDEX('Serial Reference'!$A$8:$W$8,1,FLOOR(($A99-1)/23,1)+1)&amp;INDEX('Serial Reference'!$A$8:$W$8,1,MOD($A99-1,23)+1)&amp;TEXT(BM$2+FLOOR((BM$2-1)/9,1),"000"),"")</f>
        <v>EE071</v>
      </c>
      <c r="BN99" s="23" t="str">
        <f>IF(INDEX('Shot Map'!$B$6:$V$26,CEILING($A99/5,1),CEILING(BN$2/5,1))=1,INDEX('Serial Reference'!$A$8:$W$8,1,FLOOR(($A99-1)/23,1)+1)&amp;INDEX('Serial Reference'!$A$8:$W$8,1,MOD($A99-1,23)+1)&amp;TEXT(BN$2+FLOOR((BN$2-1)/9,1),"000"),"")</f>
        <v>EE072</v>
      </c>
      <c r="BO99" s="21" t="str">
        <f>IF(INDEX('Shot Map'!$B$6:$V$26,CEILING($A99/5,1),CEILING(BO$2/5,1))=1,INDEX('Serial Reference'!$A$8:$W$8,1,FLOOR(($A99-1)/23,1)+1)&amp;INDEX('Serial Reference'!$A$8:$W$8,1,MOD($A99-1,23)+1)&amp;TEXT(BO$2+FLOOR((BO$2-1)/9,1),"000"),"")</f>
        <v>EE073</v>
      </c>
      <c r="BP99" s="22" t="str">
        <f>IF(INDEX('Shot Map'!$B$6:$V$26,CEILING($A99/5,1),CEILING(BP$2/5,1))=1,INDEX('Serial Reference'!$A$8:$W$8,1,FLOOR(($A99-1)/23,1)+1)&amp;INDEX('Serial Reference'!$A$8:$W$8,1,MOD($A99-1,23)+1)&amp;TEXT(BP$2+FLOOR((BP$2-1)/9,1),"000"),"")</f>
        <v>EE074</v>
      </c>
      <c r="BQ99" s="22" t="str">
        <f>IF(INDEX('Shot Map'!$B$6:$V$26,CEILING($A99/5,1),CEILING(BQ$2/5,1))=1,INDEX('Serial Reference'!$A$8:$W$8,1,FLOOR(($A99-1)/23,1)+1)&amp;INDEX('Serial Reference'!$A$8:$W$8,1,MOD($A99-1,23)+1)&amp;TEXT(BQ$2+FLOOR((BQ$2-1)/9,1),"000"),"")</f>
        <v>EE075</v>
      </c>
      <c r="BR99" s="22" t="str">
        <f>IF(INDEX('Shot Map'!$B$6:$V$26,CEILING($A99/5,1),CEILING(BR$2/5,1))=1,INDEX('Serial Reference'!$A$8:$W$8,1,FLOOR(($A99-1)/23,1)+1)&amp;INDEX('Serial Reference'!$A$8:$W$8,1,MOD($A99-1,23)+1)&amp;TEXT(BR$2+FLOOR((BR$2-1)/9,1),"000"),"")</f>
        <v>EE076</v>
      </c>
      <c r="BS99" s="23" t="str">
        <f>IF(INDEX('Shot Map'!$B$6:$V$26,CEILING($A99/5,1),CEILING(BS$2/5,1))=1,INDEX('Serial Reference'!$A$8:$W$8,1,FLOOR(($A99-1)/23,1)+1)&amp;INDEX('Serial Reference'!$A$8:$W$8,1,MOD($A99-1,23)+1)&amp;TEXT(BS$2+FLOOR((BS$2-1)/9,1),"000"),"")</f>
        <v>EE077</v>
      </c>
      <c r="BT99" s="21" t="str">
        <f>IF(INDEX('Shot Map'!$B$6:$V$26,CEILING($A99/5,1),CEILING(BT$2/5,1))=1,INDEX('Serial Reference'!$A$8:$W$8,1,FLOOR(($A99-1)/23,1)+1)&amp;INDEX('Serial Reference'!$A$8:$W$8,1,MOD($A99-1,23)+1)&amp;TEXT(BT$2+FLOOR((BT$2-1)/9,1),"000"),"")</f>
        <v>EE078</v>
      </c>
      <c r="BU99" s="22" t="str">
        <f>IF(INDEX('Shot Map'!$B$6:$V$26,CEILING($A99/5,1),CEILING(BU$2/5,1))=1,INDEX('Serial Reference'!$A$8:$W$8,1,FLOOR(($A99-1)/23,1)+1)&amp;INDEX('Serial Reference'!$A$8:$W$8,1,MOD($A99-1,23)+1)&amp;TEXT(BU$2+FLOOR((BU$2-1)/9,1),"000"),"")</f>
        <v>EE079</v>
      </c>
      <c r="BV99" s="22" t="str">
        <f>IF(INDEX('Shot Map'!$B$6:$V$26,CEILING($A99/5,1),CEILING(BV$2/5,1))=1,INDEX('Serial Reference'!$A$8:$W$8,1,FLOOR(($A99-1)/23,1)+1)&amp;INDEX('Serial Reference'!$A$8:$W$8,1,MOD($A99-1,23)+1)&amp;TEXT(BV$2+FLOOR((BV$2-1)/9,1),"000"),"")</f>
        <v>EE081</v>
      </c>
      <c r="BW99" s="22" t="str">
        <f>IF(INDEX('Shot Map'!$B$6:$V$26,CEILING($A99/5,1),CEILING(BW$2/5,1))=1,INDEX('Serial Reference'!$A$8:$W$8,1,FLOOR(($A99-1)/23,1)+1)&amp;INDEX('Serial Reference'!$A$8:$W$8,1,MOD($A99-1,23)+1)&amp;TEXT(BW$2+FLOOR((BW$2-1)/9,1),"000"),"")</f>
        <v>EE082</v>
      </c>
      <c r="BX99" s="23" t="str">
        <f>IF(INDEX('Shot Map'!$B$6:$V$26,CEILING($A99/5,1),CEILING(BX$2/5,1))=1,INDEX('Serial Reference'!$A$8:$W$8,1,FLOOR(($A99-1)/23,1)+1)&amp;INDEX('Serial Reference'!$A$8:$W$8,1,MOD($A99-1,23)+1)&amp;TEXT(BX$2+FLOOR((BX$2-1)/9,1),"000"),"")</f>
        <v>EE083</v>
      </c>
      <c r="BY99" s="21" t="str">
        <f>IF(INDEX('Shot Map'!$B$6:$V$26,CEILING($A99/5,1),CEILING(BY$2/5,1))=1,INDEX('Serial Reference'!$A$8:$W$8,1,FLOOR(($A99-1)/23,1)+1)&amp;INDEX('Serial Reference'!$A$8:$W$8,1,MOD($A99-1,23)+1)&amp;TEXT(BY$2+FLOOR((BY$2-1)/9,1),"000"),"")</f>
        <v/>
      </c>
      <c r="BZ99" s="22" t="str">
        <f>IF(INDEX('Shot Map'!$B$6:$V$26,CEILING($A99/5,1),CEILING(BZ$2/5,1))=1,INDEX('Serial Reference'!$A$8:$W$8,1,FLOOR(($A99-1)/23,1)+1)&amp;INDEX('Serial Reference'!$A$8:$W$8,1,MOD($A99-1,23)+1)&amp;TEXT(BZ$2+FLOOR((BZ$2-1)/9,1),"000"),"")</f>
        <v/>
      </c>
      <c r="CA99" s="22" t="str">
        <f>IF(INDEX('Shot Map'!$B$6:$V$26,CEILING($A99/5,1),CEILING(CA$2/5,1))=1,INDEX('Serial Reference'!$A$8:$W$8,1,FLOOR(($A99-1)/23,1)+1)&amp;INDEX('Serial Reference'!$A$8:$W$8,1,MOD($A99-1,23)+1)&amp;TEXT(CA$2+FLOOR((CA$2-1)/9,1),"000"),"")</f>
        <v/>
      </c>
      <c r="CB99" s="22" t="str">
        <f>IF(INDEX('Shot Map'!$B$6:$V$26,CEILING($A99/5,1),CEILING(CB$2/5,1))=1,INDEX('Serial Reference'!$A$8:$W$8,1,FLOOR(($A99-1)/23,1)+1)&amp;INDEX('Serial Reference'!$A$8:$W$8,1,MOD($A99-1,23)+1)&amp;TEXT(CB$2+FLOOR((CB$2-1)/9,1),"000"),"")</f>
        <v/>
      </c>
      <c r="CC99" s="23" t="str">
        <f>IF(INDEX('Shot Map'!$B$6:$V$26,CEILING($A99/5,1),CEILING(CC$2/5,1))=1,INDEX('Serial Reference'!$A$8:$W$8,1,FLOOR(($A99-1)/23,1)+1)&amp;INDEX('Serial Reference'!$A$8:$W$8,1,MOD($A99-1,23)+1)&amp;TEXT(CC$2+FLOOR((CC$2-1)/9,1),"000"),"")</f>
        <v/>
      </c>
      <c r="CD99" s="21" t="str">
        <f>IF(INDEX('Shot Map'!$B$6:$V$26,CEILING($A99/5,1),CEILING(CD$2/5,1))=1,INDEX('Serial Reference'!$A$8:$W$8,1,FLOOR(($A99-1)/23,1)+1)&amp;INDEX('Serial Reference'!$A$8:$W$8,1,MOD($A99-1,23)+1)&amp;TEXT(CD$2+FLOOR((CD$2-1)/9,1),"000"),"")</f>
        <v/>
      </c>
      <c r="CE99" s="22" t="str">
        <f>IF(INDEX('Shot Map'!$B$6:$V$26,CEILING($A99/5,1),CEILING(CE$2/5,1))=1,INDEX('Serial Reference'!$A$8:$W$8,1,FLOOR(($A99-1)/23,1)+1)&amp;INDEX('Serial Reference'!$A$8:$W$8,1,MOD($A99-1,23)+1)&amp;TEXT(CE$2+FLOOR((CE$2-1)/9,1),"000"),"")</f>
        <v/>
      </c>
      <c r="CF99" s="22" t="str">
        <f>IF(INDEX('Shot Map'!$B$6:$V$26,CEILING($A99/5,1),CEILING(CF$2/5,1))=1,INDEX('Serial Reference'!$A$8:$W$8,1,FLOOR(($A99-1)/23,1)+1)&amp;INDEX('Serial Reference'!$A$8:$W$8,1,MOD($A99-1,23)+1)&amp;TEXT(CF$2+FLOOR((CF$2-1)/9,1),"000"),"")</f>
        <v/>
      </c>
      <c r="CG99" s="22" t="str">
        <f>IF(INDEX('Shot Map'!$B$6:$V$26,CEILING($A99/5,1),CEILING(CG$2/5,1))=1,INDEX('Serial Reference'!$A$8:$W$8,1,FLOOR(($A99-1)/23,1)+1)&amp;INDEX('Serial Reference'!$A$8:$W$8,1,MOD($A99-1,23)+1)&amp;TEXT(CG$2+FLOOR((CG$2-1)/9,1),"000"),"")</f>
        <v/>
      </c>
      <c r="CH99" s="23" t="str">
        <f>IF(INDEX('Shot Map'!$B$6:$V$26,CEILING($A99/5,1),CEILING(CH$2/5,1))=1,INDEX('Serial Reference'!$A$8:$W$8,1,FLOOR(($A99-1)/23,1)+1)&amp;INDEX('Serial Reference'!$A$8:$W$8,1,MOD($A99-1,23)+1)&amp;TEXT(CH$2+FLOOR((CH$2-1)/9,1),"000"),"")</f>
        <v/>
      </c>
      <c r="CI99" s="21" t="str">
        <f>IF(INDEX('Shot Map'!$B$6:$V$26,CEILING($A99/5,1),CEILING(CI$2/5,1))=1,INDEX('Serial Reference'!$A$8:$W$8,1,FLOOR(($A99-1)/23,1)+1)&amp;INDEX('Serial Reference'!$A$8:$W$8,1,MOD($A99-1,23)+1)&amp;TEXT(CI$2+FLOOR((CI$2-1)/9,1),"000"),"")</f>
        <v/>
      </c>
      <c r="CJ99" s="22" t="str">
        <f>IF(INDEX('Shot Map'!$B$6:$V$26,CEILING($A99/5,1),CEILING(CJ$2/5,1))=1,INDEX('Serial Reference'!$A$8:$W$8,1,FLOOR(($A99-1)/23,1)+1)&amp;INDEX('Serial Reference'!$A$8:$W$8,1,MOD($A99-1,23)+1)&amp;TEXT(CJ$2+FLOOR((CJ$2-1)/9,1),"000"),"")</f>
        <v/>
      </c>
      <c r="CK99" s="22" t="str">
        <f>IF(INDEX('Shot Map'!$B$6:$V$26,CEILING($A99/5,1),CEILING(CK$2/5,1))=1,INDEX('Serial Reference'!$A$8:$W$8,1,FLOOR(($A99-1)/23,1)+1)&amp;INDEX('Serial Reference'!$A$8:$W$8,1,MOD($A99-1,23)+1)&amp;TEXT(CK$2+FLOOR((CK$2-1)/9,1),"000"),"")</f>
        <v/>
      </c>
      <c r="CL99" s="22" t="str">
        <f>IF(INDEX('Shot Map'!$B$6:$V$26,CEILING($A99/5,1),CEILING(CL$2/5,1))=1,INDEX('Serial Reference'!$A$8:$W$8,1,FLOOR(($A99-1)/23,1)+1)&amp;INDEX('Serial Reference'!$A$8:$W$8,1,MOD($A99-1,23)+1)&amp;TEXT(CL$2+FLOOR((CL$2-1)/9,1),"000"),"")</f>
        <v/>
      </c>
      <c r="CM99" s="23" t="str">
        <f>IF(INDEX('Shot Map'!$B$6:$V$26,CEILING($A99/5,1),CEILING(CM$2/5,1))=1,INDEX('Serial Reference'!$A$8:$W$8,1,FLOOR(($A99-1)/23,1)+1)&amp;INDEX('Serial Reference'!$A$8:$W$8,1,MOD($A99-1,23)+1)&amp;TEXT(CM$2+FLOOR((CM$2-1)/9,1),"000"),"")</f>
        <v/>
      </c>
      <c r="CN99" s="21" t="str">
        <f>IF(INDEX('Shot Map'!$B$6:$V$26,CEILING($A99/5,1),CEILING(CN$2/5,1))=1,INDEX('Serial Reference'!$A$8:$W$8,1,FLOOR(($A99-1)/23,1)+1)&amp;INDEX('Serial Reference'!$A$8:$W$8,1,MOD($A99-1,23)+1)&amp;TEXT(CN$2+FLOOR((CN$2-1)/9,1),"000"),"")</f>
        <v/>
      </c>
      <c r="CO99" s="22" t="str">
        <f>IF(INDEX('Shot Map'!$B$6:$V$26,CEILING($A99/5,1),CEILING(CO$2/5,1))=1,INDEX('Serial Reference'!$A$8:$W$8,1,FLOOR(($A99-1)/23,1)+1)&amp;INDEX('Serial Reference'!$A$8:$W$8,1,MOD($A99-1,23)+1)&amp;TEXT(CO$2+FLOOR((CO$2-1)/9,1),"000"),"")</f>
        <v/>
      </c>
      <c r="CP99" s="22" t="str">
        <f>IF(INDEX('Shot Map'!$B$6:$V$26,CEILING($A99/5,1),CEILING(CP$2/5,1))=1,INDEX('Serial Reference'!$A$8:$W$8,1,FLOOR(($A99-1)/23,1)+1)&amp;INDEX('Serial Reference'!$A$8:$W$8,1,MOD($A99-1,23)+1)&amp;TEXT(CP$2+FLOOR((CP$2-1)/9,1),"000"),"")</f>
        <v/>
      </c>
      <c r="CQ99" s="22" t="str">
        <f>IF(INDEX('Shot Map'!$B$6:$V$26,CEILING($A99/5,1),CEILING(CQ$2/5,1))=1,INDEX('Serial Reference'!$A$8:$W$8,1,FLOOR(($A99-1)/23,1)+1)&amp;INDEX('Serial Reference'!$A$8:$W$8,1,MOD($A99-1,23)+1)&amp;TEXT(CQ$2+FLOOR((CQ$2-1)/9,1),"000"),"")</f>
        <v/>
      </c>
      <c r="CR99" s="23" t="str">
        <f>IF(INDEX('Shot Map'!$B$6:$V$26,CEILING($A99/5,1),CEILING(CR$2/5,1))=1,INDEX('Serial Reference'!$A$8:$W$8,1,FLOOR(($A99-1)/23,1)+1)&amp;INDEX('Serial Reference'!$A$8:$W$8,1,MOD($A99-1,23)+1)&amp;TEXT(CR$2+FLOOR((CR$2-1)/9,1),"000"),"")</f>
        <v/>
      </c>
      <c r="CS99" s="21" t="str">
        <f>IF(INDEX('Shot Map'!$B$6:$V$26,CEILING($A99/5,1),CEILING(CS$2/5,1))=1,INDEX('Serial Reference'!$A$8:$W$8,1,FLOOR(($A99-1)/23,1)+1)&amp;INDEX('Serial Reference'!$A$8:$W$8,1,MOD($A99-1,23)+1)&amp;TEXT(CS$2+FLOOR((CS$2-1)/9,1),"000"),"")</f>
        <v/>
      </c>
      <c r="CT99" s="22" t="str">
        <f>IF(INDEX('Shot Map'!$B$6:$V$26,CEILING($A99/5,1),CEILING(CT$2/5,1))=1,INDEX('Serial Reference'!$A$8:$W$8,1,FLOOR(($A99-1)/23,1)+1)&amp;INDEX('Serial Reference'!$A$8:$W$8,1,MOD($A99-1,23)+1)&amp;TEXT(CT$2+FLOOR((CT$2-1)/9,1),"000"),"")</f>
        <v/>
      </c>
      <c r="CU99" s="22" t="str">
        <f>IF(INDEX('Shot Map'!$B$6:$V$26,CEILING($A99/5,1),CEILING(CU$2/5,1))=1,INDEX('Serial Reference'!$A$8:$W$8,1,FLOOR(($A99-1)/23,1)+1)&amp;INDEX('Serial Reference'!$A$8:$W$8,1,MOD($A99-1,23)+1)&amp;TEXT(CU$2+FLOOR((CU$2-1)/9,1),"000"),"")</f>
        <v/>
      </c>
      <c r="CV99" s="22" t="str">
        <f>IF(INDEX('Shot Map'!$B$6:$V$26,CEILING($A99/5,1),CEILING(CV$2/5,1))=1,INDEX('Serial Reference'!$A$8:$W$8,1,FLOOR(($A99-1)/23,1)+1)&amp;INDEX('Serial Reference'!$A$8:$W$8,1,MOD($A99-1,23)+1)&amp;TEXT(CV$2+FLOOR((CV$2-1)/9,1),"000"),"")</f>
        <v/>
      </c>
      <c r="CW99" s="23" t="str">
        <f>IF(INDEX('Shot Map'!$B$6:$V$26,CEILING($A99/5,1),CEILING(CW$2/5,1))=1,INDEX('Serial Reference'!$A$8:$W$8,1,FLOOR(($A99-1)/23,1)+1)&amp;INDEX('Serial Reference'!$A$8:$W$8,1,MOD($A99-1,23)+1)&amp;TEXT(CW$2+FLOOR((CW$2-1)/9,1),"000"),"")</f>
        <v/>
      </c>
      <c r="CX99" s="21" t="str">
        <f>IF(INDEX('Shot Map'!$B$6:$V$26,CEILING($A99/5,1),CEILING(CX$2/5,1))=1,INDEX('Serial Reference'!$A$8:$W$8,1,FLOOR(($A99-1)/23,1)+1)&amp;INDEX('Serial Reference'!$A$8:$W$8,1,MOD($A99-1,23)+1)&amp;TEXT(CX$2+FLOOR((CX$2-1)/9,1),"000"),"")</f>
        <v/>
      </c>
      <c r="CY99" s="22" t="str">
        <f>IF(INDEX('Shot Map'!$B$6:$V$26,CEILING($A99/5,1),CEILING(CY$2/5,1))=1,INDEX('Serial Reference'!$A$8:$W$8,1,FLOOR(($A99-1)/23,1)+1)&amp;INDEX('Serial Reference'!$A$8:$W$8,1,MOD($A99-1,23)+1)&amp;TEXT(CY$2+FLOOR((CY$2-1)/9,1),"000"),"")</f>
        <v/>
      </c>
      <c r="CZ99" s="22" t="str">
        <f>IF(INDEX('Shot Map'!$B$6:$V$26,CEILING($A99/5,1),CEILING(CZ$2/5,1))=1,INDEX('Serial Reference'!$A$8:$W$8,1,FLOOR(($A99-1)/23,1)+1)&amp;INDEX('Serial Reference'!$A$8:$W$8,1,MOD($A99-1,23)+1)&amp;TEXT(CZ$2+FLOOR((CZ$2-1)/9,1),"000"),"")</f>
        <v/>
      </c>
      <c r="DA99" s="22" t="str">
        <f>IF(INDEX('Shot Map'!$B$6:$V$26,CEILING($A99/5,1),CEILING(DA$2/5,1))=1,INDEX('Serial Reference'!$A$8:$W$8,1,FLOOR(($A99-1)/23,1)+1)&amp;INDEX('Serial Reference'!$A$8:$W$8,1,MOD($A99-1,23)+1)&amp;TEXT(DA$2+FLOOR((DA$2-1)/9,1),"000"),"")</f>
        <v/>
      </c>
      <c r="DB99" s="23" t="str">
        <f>IF(INDEX('Shot Map'!$B$6:$V$26,CEILING($A99/5,1),CEILING(DB$2/5,1))=1,INDEX('Serial Reference'!$A$8:$W$8,1,FLOOR(($A99-1)/23,1)+1)&amp;INDEX('Serial Reference'!$A$8:$W$8,1,MOD($A99-1,23)+1)&amp;TEXT(DB$2+FLOOR((DB$2-1)/9,1),"000"),"")</f>
        <v/>
      </c>
    </row>
    <row r="100" spans="1:106" ht="12.75" customHeight="1" x14ac:dyDescent="0.25">
      <c r="A100" s="17">
        <v>98</v>
      </c>
      <c r="B100" s="21" t="str">
        <f>IF(INDEX('Shot Map'!$B$6:$V$26,CEILING($A100/5,1),CEILING(B$2/5,1))=1,INDEX('Serial Reference'!$A$8:$W$8,1,FLOOR(($A100-1)/23,1)+1)&amp;INDEX('Serial Reference'!$A$8:$W$8,1,MOD($A100-1,23)+1)&amp;TEXT(B$2+FLOOR((B$2-1)/9,1),"000"),"")</f>
        <v/>
      </c>
      <c r="C100" s="22" t="str">
        <f>IF(INDEX('Shot Map'!$B$6:$V$26,CEILING($A100/5,1),CEILING(C$2/5,1))=1,INDEX('Serial Reference'!$A$8:$W$8,1,FLOOR(($A100-1)/23,1)+1)&amp;INDEX('Serial Reference'!$A$8:$W$8,1,MOD($A100-1,23)+1)&amp;TEXT(C$2+FLOOR((C$2-1)/9,1),"000"),"")</f>
        <v/>
      </c>
      <c r="D100" s="22" t="str">
        <f>IF(INDEX('Shot Map'!$B$6:$V$26,CEILING($A100/5,1),CEILING(D$2/5,1))=1,INDEX('Serial Reference'!$A$8:$W$8,1,FLOOR(($A100-1)/23,1)+1)&amp;INDEX('Serial Reference'!$A$8:$W$8,1,MOD($A100-1,23)+1)&amp;TEXT(D$2+FLOOR((D$2-1)/9,1),"000"),"")</f>
        <v/>
      </c>
      <c r="E100" s="22" t="str">
        <f>IF(INDEX('Shot Map'!$B$6:$V$26,CEILING($A100/5,1),CEILING(E$2/5,1))=1,INDEX('Serial Reference'!$A$8:$W$8,1,FLOOR(($A100-1)/23,1)+1)&amp;INDEX('Serial Reference'!$A$8:$W$8,1,MOD($A100-1,23)+1)&amp;TEXT(E$2+FLOOR((E$2-1)/9,1),"000"),"")</f>
        <v/>
      </c>
      <c r="F100" s="23" t="str">
        <f>IF(INDEX('Shot Map'!$B$6:$V$26,CEILING($A100/5,1),CEILING(F$2/5,1))=1,INDEX('Serial Reference'!$A$8:$W$8,1,FLOOR(($A100-1)/23,1)+1)&amp;INDEX('Serial Reference'!$A$8:$W$8,1,MOD($A100-1,23)+1)&amp;TEXT(F$2+FLOOR((F$2-1)/9,1),"000"),"")</f>
        <v/>
      </c>
      <c r="G100" s="21" t="str">
        <f>IF(INDEX('Shot Map'!$B$6:$V$26,CEILING($A100/5,1),CEILING(G$2/5,1))=1,INDEX('Serial Reference'!$A$8:$W$8,1,FLOOR(($A100-1)/23,1)+1)&amp;INDEX('Serial Reference'!$A$8:$W$8,1,MOD($A100-1,23)+1)&amp;TEXT(G$2+FLOOR((G$2-1)/9,1),"000"),"")</f>
        <v/>
      </c>
      <c r="H100" s="22" t="str">
        <f>IF(INDEX('Shot Map'!$B$6:$V$26,CEILING($A100/5,1),CEILING(H$2/5,1))=1,INDEX('Serial Reference'!$A$8:$W$8,1,FLOOR(($A100-1)/23,1)+1)&amp;INDEX('Serial Reference'!$A$8:$W$8,1,MOD($A100-1,23)+1)&amp;TEXT(H$2+FLOOR((H$2-1)/9,1),"000"),"")</f>
        <v/>
      </c>
      <c r="I100" s="22" t="str">
        <f>IF(INDEX('Shot Map'!$B$6:$V$26,CEILING($A100/5,1),CEILING(I$2/5,1))=1,INDEX('Serial Reference'!$A$8:$W$8,1,FLOOR(($A100-1)/23,1)+1)&amp;INDEX('Serial Reference'!$A$8:$W$8,1,MOD($A100-1,23)+1)&amp;TEXT(I$2+FLOOR((I$2-1)/9,1),"000"),"")</f>
        <v/>
      </c>
      <c r="J100" s="22" t="str">
        <f>IF(INDEX('Shot Map'!$B$6:$V$26,CEILING($A100/5,1),CEILING(J$2/5,1))=1,INDEX('Serial Reference'!$A$8:$W$8,1,FLOOR(($A100-1)/23,1)+1)&amp;INDEX('Serial Reference'!$A$8:$W$8,1,MOD($A100-1,23)+1)&amp;TEXT(J$2+FLOOR((J$2-1)/9,1),"000"),"")</f>
        <v/>
      </c>
      <c r="K100" s="23" t="str">
        <f>IF(INDEX('Shot Map'!$B$6:$V$26,CEILING($A100/5,1),CEILING(K$2/5,1))=1,INDEX('Serial Reference'!$A$8:$W$8,1,FLOOR(($A100-1)/23,1)+1)&amp;INDEX('Serial Reference'!$A$8:$W$8,1,MOD($A100-1,23)+1)&amp;TEXT(K$2+FLOOR((K$2-1)/9,1),"000"),"")</f>
        <v/>
      </c>
      <c r="L100" s="21" t="str">
        <f>IF(INDEX('Shot Map'!$B$6:$V$26,CEILING($A100/5,1),CEILING(L$2/5,1))=1,INDEX('Serial Reference'!$A$8:$W$8,1,FLOOR(($A100-1)/23,1)+1)&amp;INDEX('Serial Reference'!$A$8:$W$8,1,MOD($A100-1,23)+1)&amp;TEXT(L$2+FLOOR((L$2-1)/9,1),"000"),"")</f>
        <v/>
      </c>
      <c r="M100" s="22" t="str">
        <f>IF(INDEX('Shot Map'!$B$6:$V$26,CEILING($A100/5,1),CEILING(M$2/5,1))=1,INDEX('Serial Reference'!$A$8:$W$8,1,FLOOR(($A100-1)/23,1)+1)&amp;INDEX('Serial Reference'!$A$8:$W$8,1,MOD($A100-1,23)+1)&amp;TEXT(M$2+FLOOR((M$2-1)/9,1),"000"),"")</f>
        <v/>
      </c>
      <c r="N100" s="22" t="str">
        <f>IF(INDEX('Shot Map'!$B$6:$V$26,CEILING($A100/5,1),CEILING(N$2/5,1))=1,INDEX('Serial Reference'!$A$8:$W$8,1,FLOOR(($A100-1)/23,1)+1)&amp;INDEX('Serial Reference'!$A$8:$W$8,1,MOD($A100-1,23)+1)&amp;TEXT(N$2+FLOOR((N$2-1)/9,1),"000"),"")</f>
        <v/>
      </c>
      <c r="O100" s="22" t="str">
        <f>IF(INDEX('Shot Map'!$B$6:$V$26,CEILING($A100/5,1),CEILING(O$2/5,1))=1,INDEX('Serial Reference'!$A$8:$W$8,1,FLOOR(($A100-1)/23,1)+1)&amp;INDEX('Serial Reference'!$A$8:$W$8,1,MOD($A100-1,23)+1)&amp;TEXT(O$2+FLOOR((O$2-1)/9,1),"000"),"")</f>
        <v/>
      </c>
      <c r="P100" s="23" t="str">
        <f>IF(INDEX('Shot Map'!$B$6:$V$26,CEILING($A100/5,1),CEILING(P$2/5,1))=1,INDEX('Serial Reference'!$A$8:$W$8,1,FLOOR(($A100-1)/23,1)+1)&amp;INDEX('Serial Reference'!$A$8:$W$8,1,MOD($A100-1,23)+1)&amp;TEXT(P$2+FLOOR((P$2-1)/9,1),"000"),"")</f>
        <v/>
      </c>
      <c r="Q100" s="21" t="str">
        <f>IF(INDEX('Shot Map'!$B$6:$V$26,CEILING($A100/5,1),CEILING(Q$2/5,1))=1,INDEX('Serial Reference'!$A$8:$W$8,1,FLOOR(($A100-1)/23,1)+1)&amp;INDEX('Serial Reference'!$A$8:$W$8,1,MOD($A100-1,23)+1)&amp;TEXT(Q$2+FLOOR((Q$2-1)/9,1),"000"),"")</f>
        <v/>
      </c>
      <c r="R100" s="22" t="str">
        <f>IF(INDEX('Shot Map'!$B$6:$V$26,CEILING($A100/5,1),CEILING(R$2/5,1))=1,INDEX('Serial Reference'!$A$8:$W$8,1,FLOOR(($A100-1)/23,1)+1)&amp;INDEX('Serial Reference'!$A$8:$W$8,1,MOD($A100-1,23)+1)&amp;TEXT(R$2+FLOOR((R$2-1)/9,1),"000"),"")</f>
        <v/>
      </c>
      <c r="S100" s="22" t="str">
        <f>IF(INDEX('Shot Map'!$B$6:$V$26,CEILING($A100/5,1),CEILING(S$2/5,1))=1,INDEX('Serial Reference'!$A$8:$W$8,1,FLOOR(($A100-1)/23,1)+1)&amp;INDEX('Serial Reference'!$A$8:$W$8,1,MOD($A100-1,23)+1)&amp;TEXT(S$2+FLOOR((S$2-1)/9,1),"000"),"")</f>
        <v/>
      </c>
      <c r="T100" s="22" t="str">
        <f>IF(INDEX('Shot Map'!$B$6:$V$26,CEILING($A100/5,1),CEILING(T$2/5,1))=1,INDEX('Serial Reference'!$A$8:$W$8,1,FLOOR(($A100-1)/23,1)+1)&amp;INDEX('Serial Reference'!$A$8:$W$8,1,MOD($A100-1,23)+1)&amp;TEXT(T$2+FLOOR((T$2-1)/9,1),"000"),"")</f>
        <v/>
      </c>
      <c r="U100" s="23" t="str">
        <f>IF(INDEX('Shot Map'!$B$6:$V$26,CEILING($A100/5,1),CEILING(U$2/5,1))=1,INDEX('Serial Reference'!$A$8:$W$8,1,FLOOR(($A100-1)/23,1)+1)&amp;INDEX('Serial Reference'!$A$8:$W$8,1,MOD($A100-1,23)+1)&amp;TEXT(U$2+FLOOR((U$2-1)/9,1),"000"),"")</f>
        <v/>
      </c>
      <c r="V100" s="21" t="str">
        <f>IF(INDEX('Shot Map'!$B$6:$V$26,CEILING($A100/5,1),CEILING(V$2/5,1))=1,INDEX('Serial Reference'!$A$8:$W$8,1,FLOOR(($A100-1)/23,1)+1)&amp;INDEX('Serial Reference'!$A$8:$W$8,1,MOD($A100-1,23)+1)&amp;TEXT(V$2+FLOOR((V$2-1)/9,1),"000"),"")</f>
        <v/>
      </c>
      <c r="W100" s="22" t="str">
        <f>IF(INDEX('Shot Map'!$B$6:$V$26,CEILING($A100/5,1),CEILING(W$2/5,1))=1,INDEX('Serial Reference'!$A$8:$W$8,1,FLOOR(($A100-1)/23,1)+1)&amp;INDEX('Serial Reference'!$A$8:$W$8,1,MOD($A100-1,23)+1)&amp;TEXT(W$2+FLOOR((W$2-1)/9,1),"000"),"")</f>
        <v/>
      </c>
      <c r="X100" s="22" t="str">
        <f>IF(INDEX('Shot Map'!$B$6:$V$26,CEILING($A100/5,1),CEILING(X$2/5,1))=1,INDEX('Serial Reference'!$A$8:$W$8,1,FLOOR(($A100-1)/23,1)+1)&amp;INDEX('Serial Reference'!$A$8:$W$8,1,MOD($A100-1,23)+1)&amp;TEXT(X$2+FLOOR((X$2-1)/9,1),"000"),"")</f>
        <v/>
      </c>
      <c r="Y100" s="22" t="str">
        <f>IF(INDEX('Shot Map'!$B$6:$V$26,CEILING($A100/5,1),CEILING(Y$2/5,1))=1,INDEX('Serial Reference'!$A$8:$W$8,1,FLOOR(($A100-1)/23,1)+1)&amp;INDEX('Serial Reference'!$A$8:$W$8,1,MOD($A100-1,23)+1)&amp;TEXT(Y$2+FLOOR((Y$2-1)/9,1),"000"),"")</f>
        <v/>
      </c>
      <c r="Z100" s="23" t="str">
        <f>IF(INDEX('Shot Map'!$B$6:$V$26,CEILING($A100/5,1),CEILING(Z$2/5,1))=1,INDEX('Serial Reference'!$A$8:$W$8,1,FLOOR(($A100-1)/23,1)+1)&amp;INDEX('Serial Reference'!$A$8:$W$8,1,MOD($A100-1,23)+1)&amp;TEXT(Z$2+FLOOR((Z$2-1)/9,1),"000"),"")</f>
        <v/>
      </c>
      <c r="AA100" s="21" t="str">
        <f>IF(INDEX('Shot Map'!$B$6:$V$26,CEILING($A100/5,1),CEILING(AA$2/5,1))=1,INDEX('Serial Reference'!$A$8:$W$8,1,FLOOR(($A100-1)/23,1)+1)&amp;INDEX('Serial Reference'!$A$8:$W$8,1,MOD($A100-1,23)+1)&amp;TEXT(AA$2+FLOOR((AA$2-1)/9,1),"000"),"")</f>
        <v/>
      </c>
      <c r="AB100" s="22" t="str">
        <f>IF(INDEX('Shot Map'!$B$6:$V$26,CEILING($A100/5,1),CEILING(AB$2/5,1))=1,INDEX('Serial Reference'!$A$8:$W$8,1,FLOOR(($A100-1)/23,1)+1)&amp;INDEX('Serial Reference'!$A$8:$W$8,1,MOD($A100-1,23)+1)&amp;TEXT(AB$2+FLOOR((AB$2-1)/9,1),"000"),"")</f>
        <v/>
      </c>
      <c r="AC100" s="22" t="str">
        <f>IF(INDEX('Shot Map'!$B$6:$V$26,CEILING($A100/5,1),CEILING(AC$2/5,1))=1,INDEX('Serial Reference'!$A$8:$W$8,1,FLOOR(($A100-1)/23,1)+1)&amp;INDEX('Serial Reference'!$A$8:$W$8,1,MOD($A100-1,23)+1)&amp;TEXT(AC$2+FLOOR((AC$2-1)/9,1),"000"),"")</f>
        <v/>
      </c>
      <c r="AD100" s="22" t="str">
        <f>IF(INDEX('Shot Map'!$B$6:$V$26,CEILING($A100/5,1),CEILING(AD$2/5,1))=1,INDEX('Serial Reference'!$A$8:$W$8,1,FLOOR(($A100-1)/23,1)+1)&amp;INDEX('Serial Reference'!$A$8:$W$8,1,MOD($A100-1,23)+1)&amp;TEXT(AD$2+FLOOR((AD$2-1)/9,1),"000"),"")</f>
        <v/>
      </c>
      <c r="AE100" s="23" t="str">
        <f>IF(INDEX('Shot Map'!$B$6:$V$26,CEILING($A100/5,1),CEILING(AE$2/5,1))=1,INDEX('Serial Reference'!$A$8:$W$8,1,FLOOR(($A100-1)/23,1)+1)&amp;INDEX('Serial Reference'!$A$8:$W$8,1,MOD($A100-1,23)+1)&amp;TEXT(AE$2+FLOOR((AE$2-1)/9,1),"000"),"")</f>
        <v/>
      </c>
      <c r="AF100" s="21" t="str">
        <f>IF(INDEX('Shot Map'!$B$6:$V$26,CEILING($A100/5,1),CEILING(AF$2/5,1))=1,INDEX('Serial Reference'!$A$8:$W$8,1,FLOOR(($A100-1)/23,1)+1)&amp;INDEX('Serial Reference'!$A$8:$W$8,1,MOD($A100-1,23)+1)&amp;TEXT(AF$2+FLOOR((AF$2-1)/9,1),"000"),"")</f>
        <v>EF034</v>
      </c>
      <c r="AG100" s="22" t="str">
        <f>IF(INDEX('Shot Map'!$B$6:$V$26,CEILING($A100/5,1),CEILING(AG$2/5,1))=1,INDEX('Serial Reference'!$A$8:$W$8,1,FLOOR(($A100-1)/23,1)+1)&amp;INDEX('Serial Reference'!$A$8:$W$8,1,MOD($A100-1,23)+1)&amp;TEXT(AG$2+FLOOR((AG$2-1)/9,1),"000"),"")</f>
        <v>EF035</v>
      </c>
      <c r="AH100" s="22" t="str">
        <f>IF(INDEX('Shot Map'!$B$6:$V$26,CEILING($A100/5,1),CEILING(AH$2/5,1))=1,INDEX('Serial Reference'!$A$8:$W$8,1,FLOOR(($A100-1)/23,1)+1)&amp;INDEX('Serial Reference'!$A$8:$W$8,1,MOD($A100-1,23)+1)&amp;TEXT(AH$2+FLOOR((AH$2-1)/9,1),"000"),"")</f>
        <v>EF036</v>
      </c>
      <c r="AI100" s="22" t="str">
        <f>IF(INDEX('Shot Map'!$B$6:$V$26,CEILING($A100/5,1),CEILING(AI$2/5,1))=1,INDEX('Serial Reference'!$A$8:$W$8,1,FLOOR(($A100-1)/23,1)+1)&amp;INDEX('Serial Reference'!$A$8:$W$8,1,MOD($A100-1,23)+1)&amp;TEXT(AI$2+FLOOR((AI$2-1)/9,1),"000"),"")</f>
        <v>EF037</v>
      </c>
      <c r="AJ100" s="23" t="str">
        <f>IF(INDEX('Shot Map'!$B$6:$V$26,CEILING($A100/5,1),CEILING(AJ$2/5,1))=1,INDEX('Serial Reference'!$A$8:$W$8,1,FLOOR(($A100-1)/23,1)+1)&amp;INDEX('Serial Reference'!$A$8:$W$8,1,MOD($A100-1,23)+1)&amp;TEXT(AJ$2+FLOOR((AJ$2-1)/9,1),"000"),"")</f>
        <v>EF038</v>
      </c>
      <c r="AK100" s="21" t="str">
        <f>IF(INDEX('Shot Map'!$B$6:$V$26,CEILING($A100/5,1),CEILING(AK$2/5,1))=1,INDEX('Serial Reference'!$A$8:$W$8,1,FLOOR(($A100-1)/23,1)+1)&amp;INDEX('Serial Reference'!$A$8:$W$8,1,MOD($A100-1,23)+1)&amp;TEXT(AK$2+FLOOR((AK$2-1)/9,1),"000"),"")</f>
        <v>EF039</v>
      </c>
      <c r="AL100" s="22" t="str">
        <f>IF(INDEX('Shot Map'!$B$6:$V$26,CEILING($A100/5,1),CEILING(AL$2/5,1))=1,INDEX('Serial Reference'!$A$8:$W$8,1,FLOOR(($A100-1)/23,1)+1)&amp;INDEX('Serial Reference'!$A$8:$W$8,1,MOD($A100-1,23)+1)&amp;TEXT(AL$2+FLOOR((AL$2-1)/9,1),"000"),"")</f>
        <v>EF041</v>
      </c>
      <c r="AM100" s="22" t="str">
        <f>IF(INDEX('Shot Map'!$B$6:$V$26,CEILING($A100/5,1),CEILING(AM$2/5,1))=1,INDEX('Serial Reference'!$A$8:$W$8,1,FLOOR(($A100-1)/23,1)+1)&amp;INDEX('Serial Reference'!$A$8:$W$8,1,MOD($A100-1,23)+1)&amp;TEXT(AM$2+FLOOR((AM$2-1)/9,1),"000"),"")</f>
        <v>EF042</v>
      </c>
      <c r="AN100" s="22" t="str">
        <f>IF(INDEX('Shot Map'!$B$6:$V$26,CEILING($A100/5,1),CEILING(AN$2/5,1))=1,INDEX('Serial Reference'!$A$8:$W$8,1,FLOOR(($A100-1)/23,1)+1)&amp;INDEX('Serial Reference'!$A$8:$W$8,1,MOD($A100-1,23)+1)&amp;TEXT(AN$2+FLOOR((AN$2-1)/9,1),"000"),"")</f>
        <v>EF043</v>
      </c>
      <c r="AO100" s="23" t="str">
        <f>IF(INDEX('Shot Map'!$B$6:$V$26,CEILING($A100/5,1),CEILING(AO$2/5,1))=1,INDEX('Serial Reference'!$A$8:$W$8,1,FLOOR(($A100-1)/23,1)+1)&amp;INDEX('Serial Reference'!$A$8:$W$8,1,MOD($A100-1,23)+1)&amp;TEXT(AO$2+FLOOR((AO$2-1)/9,1),"000"),"")</f>
        <v>EF044</v>
      </c>
      <c r="AP100" s="21" t="str">
        <f>IF(INDEX('Shot Map'!$B$6:$V$26,CEILING($A100/5,1),CEILING(AP$2/5,1))=1,INDEX('Serial Reference'!$A$8:$W$8,1,FLOOR(($A100-1)/23,1)+1)&amp;INDEX('Serial Reference'!$A$8:$W$8,1,MOD($A100-1,23)+1)&amp;TEXT(AP$2+FLOOR((AP$2-1)/9,1),"000"),"")</f>
        <v>EF045</v>
      </c>
      <c r="AQ100" s="22" t="str">
        <f>IF(INDEX('Shot Map'!$B$6:$V$26,CEILING($A100/5,1),CEILING(AQ$2/5,1))=1,INDEX('Serial Reference'!$A$8:$W$8,1,FLOOR(($A100-1)/23,1)+1)&amp;INDEX('Serial Reference'!$A$8:$W$8,1,MOD($A100-1,23)+1)&amp;TEXT(AQ$2+FLOOR((AQ$2-1)/9,1),"000"),"")</f>
        <v>EF046</v>
      </c>
      <c r="AR100" s="22" t="str">
        <f>IF(INDEX('Shot Map'!$B$6:$V$26,CEILING($A100/5,1),CEILING(AR$2/5,1))=1,INDEX('Serial Reference'!$A$8:$W$8,1,FLOOR(($A100-1)/23,1)+1)&amp;INDEX('Serial Reference'!$A$8:$W$8,1,MOD($A100-1,23)+1)&amp;TEXT(AR$2+FLOOR((AR$2-1)/9,1),"000"),"")</f>
        <v>EF047</v>
      </c>
      <c r="AS100" s="22" t="str">
        <f>IF(INDEX('Shot Map'!$B$6:$V$26,CEILING($A100/5,1),CEILING(AS$2/5,1))=1,INDEX('Serial Reference'!$A$8:$W$8,1,FLOOR(($A100-1)/23,1)+1)&amp;INDEX('Serial Reference'!$A$8:$W$8,1,MOD($A100-1,23)+1)&amp;TEXT(AS$2+FLOOR((AS$2-1)/9,1),"000"),"")</f>
        <v>EF048</v>
      </c>
      <c r="AT100" s="23" t="str">
        <f>IF(INDEX('Shot Map'!$B$6:$V$26,CEILING($A100/5,1),CEILING(AT$2/5,1))=1,INDEX('Serial Reference'!$A$8:$W$8,1,FLOOR(($A100-1)/23,1)+1)&amp;INDEX('Serial Reference'!$A$8:$W$8,1,MOD($A100-1,23)+1)&amp;TEXT(AT$2+FLOOR((AT$2-1)/9,1),"000"),"")</f>
        <v>EF049</v>
      </c>
      <c r="AU100" s="21" t="str">
        <f>IF(INDEX('Shot Map'!$B$6:$V$26,CEILING($A100/5,1),CEILING(AU$2/5,1))=1,INDEX('Serial Reference'!$A$8:$W$8,1,FLOOR(($A100-1)/23,1)+1)&amp;INDEX('Serial Reference'!$A$8:$W$8,1,MOD($A100-1,23)+1)&amp;TEXT(AU$2+FLOOR((AU$2-1)/9,1),"000"),"")</f>
        <v>EF051</v>
      </c>
      <c r="AV100" s="22" t="str">
        <f>IF(INDEX('Shot Map'!$B$6:$V$26,CEILING($A100/5,1),CEILING(AV$2/5,1))=1,INDEX('Serial Reference'!$A$8:$W$8,1,FLOOR(($A100-1)/23,1)+1)&amp;INDEX('Serial Reference'!$A$8:$W$8,1,MOD($A100-1,23)+1)&amp;TEXT(AV$2+FLOOR((AV$2-1)/9,1),"000"),"")</f>
        <v>EF052</v>
      </c>
      <c r="AW100" s="22" t="str">
        <f>IF(INDEX('Shot Map'!$B$6:$V$26,CEILING($A100/5,1),CEILING(AW$2/5,1))=1,INDEX('Serial Reference'!$A$8:$W$8,1,FLOOR(($A100-1)/23,1)+1)&amp;INDEX('Serial Reference'!$A$8:$W$8,1,MOD($A100-1,23)+1)&amp;TEXT(AW$2+FLOOR((AW$2-1)/9,1),"000"),"")</f>
        <v>EF053</v>
      </c>
      <c r="AX100" s="22" t="str">
        <f>IF(INDEX('Shot Map'!$B$6:$V$26,CEILING($A100/5,1),CEILING(AX$2/5,1))=1,INDEX('Serial Reference'!$A$8:$W$8,1,FLOOR(($A100-1)/23,1)+1)&amp;INDEX('Serial Reference'!$A$8:$W$8,1,MOD($A100-1,23)+1)&amp;TEXT(AX$2+FLOOR((AX$2-1)/9,1),"000"),"")</f>
        <v>EF054</v>
      </c>
      <c r="AY100" s="23" t="str">
        <f>IF(INDEX('Shot Map'!$B$6:$V$26,CEILING($A100/5,1),CEILING(AY$2/5,1))=1,INDEX('Serial Reference'!$A$8:$W$8,1,FLOOR(($A100-1)/23,1)+1)&amp;INDEX('Serial Reference'!$A$8:$W$8,1,MOD($A100-1,23)+1)&amp;TEXT(AY$2+FLOOR((AY$2-1)/9,1),"000"),"")</f>
        <v>EF055</v>
      </c>
      <c r="AZ100" s="21" t="str">
        <f>IF(INDEX('Shot Map'!$B$6:$V$26,CEILING($A100/5,1),CEILING(AZ$2/5,1))=1,INDEX('Serial Reference'!$A$8:$W$8,1,FLOOR(($A100-1)/23,1)+1)&amp;INDEX('Serial Reference'!$A$8:$W$8,1,MOD($A100-1,23)+1)&amp;TEXT(AZ$2+FLOOR((AZ$2-1)/9,1),"000"),"")</f>
        <v>EF056</v>
      </c>
      <c r="BA100" s="22" t="str">
        <f>IF(INDEX('Shot Map'!$B$6:$V$26,CEILING($A100/5,1),CEILING(BA$2/5,1))=1,INDEX('Serial Reference'!$A$8:$W$8,1,FLOOR(($A100-1)/23,1)+1)&amp;INDEX('Serial Reference'!$A$8:$W$8,1,MOD($A100-1,23)+1)&amp;TEXT(BA$2+FLOOR((BA$2-1)/9,1),"000"),"")</f>
        <v>EF057</v>
      </c>
      <c r="BB100" s="22" t="str">
        <f>IF(INDEX('Shot Map'!$B$6:$V$26,CEILING($A100/5,1),CEILING(BB$2/5,1))=1,INDEX('Serial Reference'!$A$8:$W$8,1,FLOOR(($A100-1)/23,1)+1)&amp;INDEX('Serial Reference'!$A$8:$W$8,1,MOD($A100-1,23)+1)&amp;TEXT(BB$2+FLOOR((BB$2-1)/9,1),"000"),"")</f>
        <v>EF058</v>
      </c>
      <c r="BC100" s="22" t="str">
        <f>IF(INDEX('Shot Map'!$B$6:$V$26,CEILING($A100/5,1),CEILING(BC$2/5,1))=1,INDEX('Serial Reference'!$A$8:$W$8,1,FLOOR(($A100-1)/23,1)+1)&amp;INDEX('Serial Reference'!$A$8:$W$8,1,MOD($A100-1,23)+1)&amp;TEXT(BC$2+FLOOR((BC$2-1)/9,1),"000"),"")</f>
        <v>EF059</v>
      </c>
      <c r="BD100" s="23" t="str">
        <f>IF(INDEX('Shot Map'!$B$6:$V$26,CEILING($A100/5,1),CEILING(BD$2/5,1))=1,INDEX('Serial Reference'!$A$8:$W$8,1,FLOOR(($A100-1)/23,1)+1)&amp;INDEX('Serial Reference'!$A$8:$W$8,1,MOD($A100-1,23)+1)&amp;TEXT(BD$2+FLOOR((BD$2-1)/9,1),"000"),"")</f>
        <v>EF061</v>
      </c>
      <c r="BE100" s="21" t="str">
        <f>IF(INDEX('Shot Map'!$B$6:$V$26,CEILING($A100/5,1),CEILING(BE$2/5,1))=1,INDEX('Serial Reference'!$A$8:$W$8,1,FLOOR(($A100-1)/23,1)+1)&amp;INDEX('Serial Reference'!$A$8:$W$8,1,MOD($A100-1,23)+1)&amp;TEXT(BE$2+FLOOR((BE$2-1)/9,1),"000"),"")</f>
        <v>EF062</v>
      </c>
      <c r="BF100" s="22" t="str">
        <f>IF(INDEX('Shot Map'!$B$6:$V$26,CEILING($A100/5,1),CEILING(BF$2/5,1))=1,INDEX('Serial Reference'!$A$8:$W$8,1,FLOOR(($A100-1)/23,1)+1)&amp;INDEX('Serial Reference'!$A$8:$W$8,1,MOD($A100-1,23)+1)&amp;TEXT(BF$2+FLOOR((BF$2-1)/9,1),"000"),"")</f>
        <v>EF063</v>
      </c>
      <c r="BG100" s="22" t="str">
        <f>IF(INDEX('Shot Map'!$B$6:$V$26,CEILING($A100/5,1),CEILING(BG$2/5,1))=1,INDEX('Serial Reference'!$A$8:$W$8,1,FLOOR(($A100-1)/23,1)+1)&amp;INDEX('Serial Reference'!$A$8:$W$8,1,MOD($A100-1,23)+1)&amp;TEXT(BG$2+FLOOR((BG$2-1)/9,1),"000"),"")</f>
        <v>EF064</v>
      </c>
      <c r="BH100" s="22" t="str">
        <f>IF(INDEX('Shot Map'!$B$6:$V$26,CEILING($A100/5,1),CEILING(BH$2/5,1))=1,INDEX('Serial Reference'!$A$8:$W$8,1,FLOOR(($A100-1)/23,1)+1)&amp;INDEX('Serial Reference'!$A$8:$W$8,1,MOD($A100-1,23)+1)&amp;TEXT(BH$2+FLOOR((BH$2-1)/9,1),"000"),"")</f>
        <v>EF065</v>
      </c>
      <c r="BI100" s="23" t="str">
        <f>IF(INDEX('Shot Map'!$B$6:$V$26,CEILING($A100/5,1),CEILING(BI$2/5,1))=1,INDEX('Serial Reference'!$A$8:$W$8,1,FLOOR(($A100-1)/23,1)+1)&amp;INDEX('Serial Reference'!$A$8:$W$8,1,MOD($A100-1,23)+1)&amp;TEXT(BI$2+FLOOR((BI$2-1)/9,1),"000"),"")</f>
        <v>EF066</v>
      </c>
      <c r="BJ100" s="21" t="str">
        <f>IF(INDEX('Shot Map'!$B$6:$V$26,CEILING($A100/5,1),CEILING(BJ$2/5,1))=1,INDEX('Serial Reference'!$A$8:$W$8,1,FLOOR(($A100-1)/23,1)+1)&amp;INDEX('Serial Reference'!$A$8:$W$8,1,MOD($A100-1,23)+1)&amp;TEXT(BJ$2+FLOOR((BJ$2-1)/9,1),"000"),"")</f>
        <v>EF067</v>
      </c>
      <c r="BK100" s="22" t="str">
        <f>IF(INDEX('Shot Map'!$B$6:$V$26,CEILING($A100/5,1),CEILING(BK$2/5,1))=1,INDEX('Serial Reference'!$A$8:$W$8,1,FLOOR(($A100-1)/23,1)+1)&amp;INDEX('Serial Reference'!$A$8:$W$8,1,MOD($A100-1,23)+1)&amp;TEXT(BK$2+FLOOR((BK$2-1)/9,1),"000"),"")</f>
        <v>EF068</v>
      </c>
      <c r="BL100" s="22" t="str">
        <f>IF(INDEX('Shot Map'!$B$6:$V$26,CEILING($A100/5,1),CEILING(BL$2/5,1))=1,INDEX('Serial Reference'!$A$8:$W$8,1,FLOOR(($A100-1)/23,1)+1)&amp;INDEX('Serial Reference'!$A$8:$W$8,1,MOD($A100-1,23)+1)&amp;TEXT(BL$2+FLOOR((BL$2-1)/9,1),"000"),"")</f>
        <v>EF069</v>
      </c>
      <c r="BM100" s="22" t="str">
        <f>IF(INDEX('Shot Map'!$B$6:$V$26,CEILING($A100/5,1),CEILING(BM$2/5,1))=1,INDEX('Serial Reference'!$A$8:$W$8,1,FLOOR(($A100-1)/23,1)+1)&amp;INDEX('Serial Reference'!$A$8:$W$8,1,MOD($A100-1,23)+1)&amp;TEXT(BM$2+FLOOR((BM$2-1)/9,1),"000"),"")</f>
        <v>EF071</v>
      </c>
      <c r="BN100" s="23" t="str">
        <f>IF(INDEX('Shot Map'!$B$6:$V$26,CEILING($A100/5,1),CEILING(BN$2/5,1))=1,INDEX('Serial Reference'!$A$8:$W$8,1,FLOOR(($A100-1)/23,1)+1)&amp;INDEX('Serial Reference'!$A$8:$W$8,1,MOD($A100-1,23)+1)&amp;TEXT(BN$2+FLOOR((BN$2-1)/9,1),"000"),"")</f>
        <v>EF072</v>
      </c>
      <c r="BO100" s="21" t="str">
        <f>IF(INDEX('Shot Map'!$B$6:$V$26,CEILING($A100/5,1),CEILING(BO$2/5,1))=1,INDEX('Serial Reference'!$A$8:$W$8,1,FLOOR(($A100-1)/23,1)+1)&amp;INDEX('Serial Reference'!$A$8:$W$8,1,MOD($A100-1,23)+1)&amp;TEXT(BO$2+FLOOR((BO$2-1)/9,1),"000"),"")</f>
        <v>EF073</v>
      </c>
      <c r="BP100" s="22" t="str">
        <f>IF(INDEX('Shot Map'!$B$6:$V$26,CEILING($A100/5,1),CEILING(BP$2/5,1))=1,INDEX('Serial Reference'!$A$8:$W$8,1,FLOOR(($A100-1)/23,1)+1)&amp;INDEX('Serial Reference'!$A$8:$W$8,1,MOD($A100-1,23)+1)&amp;TEXT(BP$2+FLOOR((BP$2-1)/9,1),"000"),"")</f>
        <v>EF074</v>
      </c>
      <c r="BQ100" s="22" t="str">
        <f>IF(INDEX('Shot Map'!$B$6:$V$26,CEILING($A100/5,1),CEILING(BQ$2/5,1))=1,INDEX('Serial Reference'!$A$8:$W$8,1,FLOOR(($A100-1)/23,1)+1)&amp;INDEX('Serial Reference'!$A$8:$W$8,1,MOD($A100-1,23)+1)&amp;TEXT(BQ$2+FLOOR((BQ$2-1)/9,1),"000"),"")</f>
        <v>EF075</v>
      </c>
      <c r="BR100" s="22" t="str">
        <f>IF(INDEX('Shot Map'!$B$6:$V$26,CEILING($A100/5,1),CEILING(BR$2/5,1))=1,INDEX('Serial Reference'!$A$8:$W$8,1,FLOOR(($A100-1)/23,1)+1)&amp;INDEX('Serial Reference'!$A$8:$W$8,1,MOD($A100-1,23)+1)&amp;TEXT(BR$2+FLOOR((BR$2-1)/9,1),"000"),"")</f>
        <v>EF076</v>
      </c>
      <c r="BS100" s="23" t="str">
        <f>IF(INDEX('Shot Map'!$B$6:$V$26,CEILING($A100/5,1),CEILING(BS$2/5,1))=1,INDEX('Serial Reference'!$A$8:$W$8,1,FLOOR(($A100-1)/23,1)+1)&amp;INDEX('Serial Reference'!$A$8:$W$8,1,MOD($A100-1,23)+1)&amp;TEXT(BS$2+FLOOR((BS$2-1)/9,1),"000"),"")</f>
        <v>EF077</v>
      </c>
      <c r="BT100" s="21" t="str">
        <f>IF(INDEX('Shot Map'!$B$6:$V$26,CEILING($A100/5,1),CEILING(BT$2/5,1))=1,INDEX('Serial Reference'!$A$8:$W$8,1,FLOOR(($A100-1)/23,1)+1)&amp;INDEX('Serial Reference'!$A$8:$W$8,1,MOD($A100-1,23)+1)&amp;TEXT(BT$2+FLOOR((BT$2-1)/9,1),"000"),"")</f>
        <v>EF078</v>
      </c>
      <c r="BU100" s="22" t="str">
        <f>IF(INDEX('Shot Map'!$B$6:$V$26,CEILING($A100/5,1),CEILING(BU$2/5,1))=1,INDEX('Serial Reference'!$A$8:$W$8,1,FLOOR(($A100-1)/23,1)+1)&amp;INDEX('Serial Reference'!$A$8:$W$8,1,MOD($A100-1,23)+1)&amp;TEXT(BU$2+FLOOR((BU$2-1)/9,1),"000"),"")</f>
        <v>EF079</v>
      </c>
      <c r="BV100" s="22" t="str">
        <f>IF(INDEX('Shot Map'!$B$6:$V$26,CEILING($A100/5,1),CEILING(BV$2/5,1))=1,INDEX('Serial Reference'!$A$8:$W$8,1,FLOOR(($A100-1)/23,1)+1)&amp;INDEX('Serial Reference'!$A$8:$W$8,1,MOD($A100-1,23)+1)&amp;TEXT(BV$2+FLOOR((BV$2-1)/9,1),"000"),"")</f>
        <v>EF081</v>
      </c>
      <c r="BW100" s="22" t="str">
        <f>IF(INDEX('Shot Map'!$B$6:$V$26,CEILING($A100/5,1),CEILING(BW$2/5,1))=1,INDEX('Serial Reference'!$A$8:$W$8,1,FLOOR(($A100-1)/23,1)+1)&amp;INDEX('Serial Reference'!$A$8:$W$8,1,MOD($A100-1,23)+1)&amp;TEXT(BW$2+FLOOR((BW$2-1)/9,1),"000"),"")</f>
        <v>EF082</v>
      </c>
      <c r="BX100" s="23" t="str">
        <f>IF(INDEX('Shot Map'!$B$6:$V$26,CEILING($A100/5,1),CEILING(BX$2/5,1))=1,INDEX('Serial Reference'!$A$8:$W$8,1,FLOOR(($A100-1)/23,1)+1)&amp;INDEX('Serial Reference'!$A$8:$W$8,1,MOD($A100-1,23)+1)&amp;TEXT(BX$2+FLOOR((BX$2-1)/9,1),"000"),"")</f>
        <v>EF083</v>
      </c>
      <c r="BY100" s="21" t="str">
        <f>IF(INDEX('Shot Map'!$B$6:$V$26,CEILING($A100/5,1),CEILING(BY$2/5,1))=1,INDEX('Serial Reference'!$A$8:$W$8,1,FLOOR(($A100-1)/23,1)+1)&amp;INDEX('Serial Reference'!$A$8:$W$8,1,MOD($A100-1,23)+1)&amp;TEXT(BY$2+FLOOR((BY$2-1)/9,1),"000"),"")</f>
        <v/>
      </c>
      <c r="BZ100" s="22" t="str">
        <f>IF(INDEX('Shot Map'!$B$6:$V$26,CEILING($A100/5,1),CEILING(BZ$2/5,1))=1,INDEX('Serial Reference'!$A$8:$W$8,1,FLOOR(($A100-1)/23,1)+1)&amp;INDEX('Serial Reference'!$A$8:$W$8,1,MOD($A100-1,23)+1)&amp;TEXT(BZ$2+FLOOR((BZ$2-1)/9,1),"000"),"")</f>
        <v/>
      </c>
      <c r="CA100" s="22" t="str">
        <f>IF(INDEX('Shot Map'!$B$6:$V$26,CEILING($A100/5,1),CEILING(CA$2/5,1))=1,INDEX('Serial Reference'!$A$8:$W$8,1,FLOOR(($A100-1)/23,1)+1)&amp;INDEX('Serial Reference'!$A$8:$W$8,1,MOD($A100-1,23)+1)&amp;TEXT(CA$2+FLOOR((CA$2-1)/9,1),"000"),"")</f>
        <v/>
      </c>
      <c r="CB100" s="22" t="str">
        <f>IF(INDEX('Shot Map'!$B$6:$V$26,CEILING($A100/5,1),CEILING(CB$2/5,1))=1,INDEX('Serial Reference'!$A$8:$W$8,1,FLOOR(($A100-1)/23,1)+1)&amp;INDEX('Serial Reference'!$A$8:$W$8,1,MOD($A100-1,23)+1)&amp;TEXT(CB$2+FLOOR((CB$2-1)/9,1),"000"),"")</f>
        <v/>
      </c>
      <c r="CC100" s="23" t="str">
        <f>IF(INDEX('Shot Map'!$B$6:$V$26,CEILING($A100/5,1),CEILING(CC$2/5,1))=1,INDEX('Serial Reference'!$A$8:$W$8,1,FLOOR(($A100-1)/23,1)+1)&amp;INDEX('Serial Reference'!$A$8:$W$8,1,MOD($A100-1,23)+1)&amp;TEXT(CC$2+FLOOR((CC$2-1)/9,1),"000"),"")</f>
        <v/>
      </c>
      <c r="CD100" s="21" t="str">
        <f>IF(INDEX('Shot Map'!$B$6:$V$26,CEILING($A100/5,1),CEILING(CD$2/5,1))=1,INDEX('Serial Reference'!$A$8:$W$8,1,FLOOR(($A100-1)/23,1)+1)&amp;INDEX('Serial Reference'!$A$8:$W$8,1,MOD($A100-1,23)+1)&amp;TEXT(CD$2+FLOOR((CD$2-1)/9,1),"000"),"")</f>
        <v/>
      </c>
      <c r="CE100" s="22" t="str">
        <f>IF(INDEX('Shot Map'!$B$6:$V$26,CEILING($A100/5,1),CEILING(CE$2/5,1))=1,INDEX('Serial Reference'!$A$8:$W$8,1,FLOOR(($A100-1)/23,1)+1)&amp;INDEX('Serial Reference'!$A$8:$W$8,1,MOD($A100-1,23)+1)&amp;TEXT(CE$2+FLOOR((CE$2-1)/9,1),"000"),"")</f>
        <v/>
      </c>
      <c r="CF100" s="22" t="str">
        <f>IF(INDEX('Shot Map'!$B$6:$V$26,CEILING($A100/5,1),CEILING(CF$2/5,1))=1,INDEX('Serial Reference'!$A$8:$W$8,1,FLOOR(($A100-1)/23,1)+1)&amp;INDEX('Serial Reference'!$A$8:$W$8,1,MOD($A100-1,23)+1)&amp;TEXT(CF$2+FLOOR((CF$2-1)/9,1),"000"),"")</f>
        <v/>
      </c>
      <c r="CG100" s="22" t="str">
        <f>IF(INDEX('Shot Map'!$B$6:$V$26,CEILING($A100/5,1),CEILING(CG$2/5,1))=1,INDEX('Serial Reference'!$A$8:$W$8,1,FLOOR(($A100-1)/23,1)+1)&amp;INDEX('Serial Reference'!$A$8:$W$8,1,MOD($A100-1,23)+1)&amp;TEXT(CG$2+FLOOR((CG$2-1)/9,1),"000"),"")</f>
        <v/>
      </c>
      <c r="CH100" s="23" t="str">
        <f>IF(INDEX('Shot Map'!$B$6:$V$26,CEILING($A100/5,1),CEILING(CH$2/5,1))=1,INDEX('Serial Reference'!$A$8:$W$8,1,FLOOR(($A100-1)/23,1)+1)&amp;INDEX('Serial Reference'!$A$8:$W$8,1,MOD($A100-1,23)+1)&amp;TEXT(CH$2+FLOOR((CH$2-1)/9,1),"000"),"")</f>
        <v/>
      </c>
      <c r="CI100" s="21" t="str">
        <f>IF(INDEX('Shot Map'!$B$6:$V$26,CEILING($A100/5,1),CEILING(CI$2/5,1))=1,INDEX('Serial Reference'!$A$8:$W$8,1,FLOOR(($A100-1)/23,1)+1)&amp;INDEX('Serial Reference'!$A$8:$W$8,1,MOD($A100-1,23)+1)&amp;TEXT(CI$2+FLOOR((CI$2-1)/9,1),"000"),"")</f>
        <v/>
      </c>
      <c r="CJ100" s="22" t="str">
        <f>IF(INDEX('Shot Map'!$B$6:$V$26,CEILING($A100/5,1),CEILING(CJ$2/5,1))=1,INDEX('Serial Reference'!$A$8:$W$8,1,FLOOR(($A100-1)/23,1)+1)&amp;INDEX('Serial Reference'!$A$8:$W$8,1,MOD($A100-1,23)+1)&amp;TEXT(CJ$2+FLOOR((CJ$2-1)/9,1),"000"),"")</f>
        <v/>
      </c>
      <c r="CK100" s="22" t="str">
        <f>IF(INDEX('Shot Map'!$B$6:$V$26,CEILING($A100/5,1),CEILING(CK$2/5,1))=1,INDEX('Serial Reference'!$A$8:$W$8,1,FLOOR(($A100-1)/23,1)+1)&amp;INDEX('Serial Reference'!$A$8:$W$8,1,MOD($A100-1,23)+1)&amp;TEXT(CK$2+FLOOR((CK$2-1)/9,1),"000"),"")</f>
        <v/>
      </c>
      <c r="CL100" s="22" t="str">
        <f>IF(INDEX('Shot Map'!$B$6:$V$26,CEILING($A100/5,1),CEILING(CL$2/5,1))=1,INDEX('Serial Reference'!$A$8:$W$8,1,FLOOR(($A100-1)/23,1)+1)&amp;INDEX('Serial Reference'!$A$8:$W$8,1,MOD($A100-1,23)+1)&amp;TEXT(CL$2+FLOOR((CL$2-1)/9,1),"000"),"")</f>
        <v/>
      </c>
      <c r="CM100" s="23" t="str">
        <f>IF(INDEX('Shot Map'!$B$6:$V$26,CEILING($A100/5,1),CEILING(CM$2/5,1))=1,INDEX('Serial Reference'!$A$8:$W$8,1,FLOOR(($A100-1)/23,1)+1)&amp;INDEX('Serial Reference'!$A$8:$W$8,1,MOD($A100-1,23)+1)&amp;TEXT(CM$2+FLOOR((CM$2-1)/9,1),"000"),"")</f>
        <v/>
      </c>
      <c r="CN100" s="21" t="str">
        <f>IF(INDEX('Shot Map'!$B$6:$V$26,CEILING($A100/5,1),CEILING(CN$2/5,1))=1,INDEX('Serial Reference'!$A$8:$W$8,1,FLOOR(($A100-1)/23,1)+1)&amp;INDEX('Serial Reference'!$A$8:$W$8,1,MOD($A100-1,23)+1)&amp;TEXT(CN$2+FLOOR((CN$2-1)/9,1),"000"),"")</f>
        <v/>
      </c>
      <c r="CO100" s="22" t="str">
        <f>IF(INDEX('Shot Map'!$B$6:$V$26,CEILING($A100/5,1),CEILING(CO$2/5,1))=1,INDEX('Serial Reference'!$A$8:$W$8,1,FLOOR(($A100-1)/23,1)+1)&amp;INDEX('Serial Reference'!$A$8:$W$8,1,MOD($A100-1,23)+1)&amp;TEXT(CO$2+FLOOR((CO$2-1)/9,1),"000"),"")</f>
        <v/>
      </c>
      <c r="CP100" s="22" t="str">
        <f>IF(INDEX('Shot Map'!$B$6:$V$26,CEILING($A100/5,1),CEILING(CP$2/5,1))=1,INDEX('Serial Reference'!$A$8:$W$8,1,FLOOR(($A100-1)/23,1)+1)&amp;INDEX('Serial Reference'!$A$8:$W$8,1,MOD($A100-1,23)+1)&amp;TEXT(CP$2+FLOOR((CP$2-1)/9,1),"000"),"")</f>
        <v/>
      </c>
      <c r="CQ100" s="22" t="str">
        <f>IF(INDEX('Shot Map'!$B$6:$V$26,CEILING($A100/5,1),CEILING(CQ$2/5,1))=1,INDEX('Serial Reference'!$A$8:$W$8,1,FLOOR(($A100-1)/23,1)+1)&amp;INDEX('Serial Reference'!$A$8:$W$8,1,MOD($A100-1,23)+1)&amp;TEXT(CQ$2+FLOOR((CQ$2-1)/9,1),"000"),"")</f>
        <v/>
      </c>
      <c r="CR100" s="23" t="str">
        <f>IF(INDEX('Shot Map'!$B$6:$V$26,CEILING($A100/5,1),CEILING(CR$2/5,1))=1,INDEX('Serial Reference'!$A$8:$W$8,1,FLOOR(($A100-1)/23,1)+1)&amp;INDEX('Serial Reference'!$A$8:$W$8,1,MOD($A100-1,23)+1)&amp;TEXT(CR$2+FLOOR((CR$2-1)/9,1),"000"),"")</f>
        <v/>
      </c>
      <c r="CS100" s="21" t="str">
        <f>IF(INDEX('Shot Map'!$B$6:$V$26,CEILING($A100/5,1),CEILING(CS$2/5,1))=1,INDEX('Serial Reference'!$A$8:$W$8,1,FLOOR(($A100-1)/23,1)+1)&amp;INDEX('Serial Reference'!$A$8:$W$8,1,MOD($A100-1,23)+1)&amp;TEXT(CS$2+FLOOR((CS$2-1)/9,1),"000"),"")</f>
        <v/>
      </c>
      <c r="CT100" s="22" t="str">
        <f>IF(INDEX('Shot Map'!$B$6:$V$26,CEILING($A100/5,1),CEILING(CT$2/5,1))=1,INDEX('Serial Reference'!$A$8:$W$8,1,FLOOR(($A100-1)/23,1)+1)&amp;INDEX('Serial Reference'!$A$8:$W$8,1,MOD($A100-1,23)+1)&amp;TEXT(CT$2+FLOOR((CT$2-1)/9,1),"000"),"")</f>
        <v/>
      </c>
      <c r="CU100" s="22" t="str">
        <f>IF(INDEX('Shot Map'!$B$6:$V$26,CEILING($A100/5,1),CEILING(CU$2/5,1))=1,INDEX('Serial Reference'!$A$8:$W$8,1,FLOOR(($A100-1)/23,1)+1)&amp;INDEX('Serial Reference'!$A$8:$W$8,1,MOD($A100-1,23)+1)&amp;TEXT(CU$2+FLOOR((CU$2-1)/9,1),"000"),"")</f>
        <v/>
      </c>
      <c r="CV100" s="22" t="str">
        <f>IF(INDEX('Shot Map'!$B$6:$V$26,CEILING($A100/5,1),CEILING(CV$2/5,1))=1,INDEX('Serial Reference'!$A$8:$W$8,1,FLOOR(($A100-1)/23,1)+1)&amp;INDEX('Serial Reference'!$A$8:$W$8,1,MOD($A100-1,23)+1)&amp;TEXT(CV$2+FLOOR((CV$2-1)/9,1),"000"),"")</f>
        <v/>
      </c>
      <c r="CW100" s="23" t="str">
        <f>IF(INDEX('Shot Map'!$B$6:$V$26,CEILING($A100/5,1),CEILING(CW$2/5,1))=1,INDEX('Serial Reference'!$A$8:$W$8,1,FLOOR(($A100-1)/23,1)+1)&amp;INDEX('Serial Reference'!$A$8:$W$8,1,MOD($A100-1,23)+1)&amp;TEXT(CW$2+FLOOR((CW$2-1)/9,1),"000"),"")</f>
        <v/>
      </c>
      <c r="CX100" s="21" t="str">
        <f>IF(INDEX('Shot Map'!$B$6:$V$26,CEILING($A100/5,1),CEILING(CX$2/5,1))=1,INDEX('Serial Reference'!$A$8:$W$8,1,FLOOR(($A100-1)/23,1)+1)&amp;INDEX('Serial Reference'!$A$8:$W$8,1,MOD($A100-1,23)+1)&amp;TEXT(CX$2+FLOOR((CX$2-1)/9,1),"000"),"")</f>
        <v/>
      </c>
      <c r="CY100" s="22" t="str">
        <f>IF(INDEX('Shot Map'!$B$6:$V$26,CEILING($A100/5,1),CEILING(CY$2/5,1))=1,INDEX('Serial Reference'!$A$8:$W$8,1,FLOOR(($A100-1)/23,1)+1)&amp;INDEX('Serial Reference'!$A$8:$W$8,1,MOD($A100-1,23)+1)&amp;TEXT(CY$2+FLOOR((CY$2-1)/9,1),"000"),"")</f>
        <v/>
      </c>
      <c r="CZ100" s="22" t="str">
        <f>IF(INDEX('Shot Map'!$B$6:$V$26,CEILING($A100/5,1),CEILING(CZ$2/5,1))=1,INDEX('Serial Reference'!$A$8:$W$8,1,FLOOR(($A100-1)/23,1)+1)&amp;INDEX('Serial Reference'!$A$8:$W$8,1,MOD($A100-1,23)+1)&amp;TEXT(CZ$2+FLOOR((CZ$2-1)/9,1),"000"),"")</f>
        <v/>
      </c>
      <c r="DA100" s="22" t="str">
        <f>IF(INDEX('Shot Map'!$B$6:$V$26,CEILING($A100/5,1),CEILING(DA$2/5,1))=1,INDEX('Serial Reference'!$A$8:$W$8,1,FLOOR(($A100-1)/23,1)+1)&amp;INDEX('Serial Reference'!$A$8:$W$8,1,MOD($A100-1,23)+1)&amp;TEXT(DA$2+FLOOR((DA$2-1)/9,1),"000"),"")</f>
        <v/>
      </c>
      <c r="DB100" s="23" t="str">
        <f>IF(INDEX('Shot Map'!$B$6:$V$26,CEILING($A100/5,1),CEILING(DB$2/5,1))=1,INDEX('Serial Reference'!$A$8:$W$8,1,FLOOR(($A100-1)/23,1)+1)&amp;INDEX('Serial Reference'!$A$8:$W$8,1,MOD($A100-1,23)+1)&amp;TEXT(DB$2+FLOOR((DB$2-1)/9,1),"000"),"")</f>
        <v/>
      </c>
    </row>
    <row r="101" spans="1:106" ht="12.75" customHeight="1" x14ac:dyDescent="0.25">
      <c r="A101" s="17">
        <v>99</v>
      </c>
      <c r="B101" s="21" t="str">
        <f>IF(INDEX('Shot Map'!$B$6:$V$26,CEILING($A101/5,1),CEILING(B$2/5,1))=1,INDEX('Serial Reference'!$A$8:$W$8,1,FLOOR(($A101-1)/23,1)+1)&amp;INDEX('Serial Reference'!$A$8:$W$8,1,MOD($A101-1,23)+1)&amp;TEXT(B$2+FLOOR((B$2-1)/9,1),"000"),"")</f>
        <v/>
      </c>
      <c r="C101" s="22" t="str">
        <f>IF(INDEX('Shot Map'!$B$6:$V$26,CEILING($A101/5,1),CEILING(C$2/5,1))=1,INDEX('Serial Reference'!$A$8:$W$8,1,FLOOR(($A101-1)/23,1)+1)&amp;INDEX('Serial Reference'!$A$8:$W$8,1,MOD($A101-1,23)+1)&amp;TEXT(C$2+FLOOR((C$2-1)/9,1),"000"),"")</f>
        <v/>
      </c>
      <c r="D101" s="22" t="str">
        <f>IF(INDEX('Shot Map'!$B$6:$V$26,CEILING($A101/5,1),CEILING(D$2/5,1))=1,INDEX('Serial Reference'!$A$8:$W$8,1,FLOOR(($A101-1)/23,1)+1)&amp;INDEX('Serial Reference'!$A$8:$W$8,1,MOD($A101-1,23)+1)&amp;TEXT(D$2+FLOOR((D$2-1)/9,1),"000"),"")</f>
        <v/>
      </c>
      <c r="E101" s="22" t="str">
        <f>IF(INDEX('Shot Map'!$B$6:$V$26,CEILING($A101/5,1),CEILING(E$2/5,1))=1,INDEX('Serial Reference'!$A$8:$W$8,1,FLOOR(($A101-1)/23,1)+1)&amp;INDEX('Serial Reference'!$A$8:$W$8,1,MOD($A101-1,23)+1)&amp;TEXT(E$2+FLOOR((E$2-1)/9,1),"000"),"")</f>
        <v/>
      </c>
      <c r="F101" s="23" t="str">
        <f>IF(INDEX('Shot Map'!$B$6:$V$26,CEILING($A101/5,1),CEILING(F$2/5,1))=1,INDEX('Serial Reference'!$A$8:$W$8,1,FLOOR(($A101-1)/23,1)+1)&amp;INDEX('Serial Reference'!$A$8:$W$8,1,MOD($A101-1,23)+1)&amp;TEXT(F$2+FLOOR((F$2-1)/9,1),"000"),"")</f>
        <v/>
      </c>
      <c r="G101" s="21" t="str">
        <f>IF(INDEX('Shot Map'!$B$6:$V$26,CEILING($A101/5,1),CEILING(G$2/5,1))=1,INDEX('Serial Reference'!$A$8:$W$8,1,FLOOR(($A101-1)/23,1)+1)&amp;INDEX('Serial Reference'!$A$8:$W$8,1,MOD($A101-1,23)+1)&amp;TEXT(G$2+FLOOR((G$2-1)/9,1),"000"),"")</f>
        <v/>
      </c>
      <c r="H101" s="22" t="str">
        <f>IF(INDEX('Shot Map'!$B$6:$V$26,CEILING($A101/5,1),CEILING(H$2/5,1))=1,INDEX('Serial Reference'!$A$8:$W$8,1,FLOOR(($A101-1)/23,1)+1)&amp;INDEX('Serial Reference'!$A$8:$W$8,1,MOD($A101-1,23)+1)&amp;TEXT(H$2+FLOOR((H$2-1)/9,1),"000"),"")</f>
        <v/>
      </c>
      <c r="I101" s="22" t="str">
        <f>IF(INDEX('Shot Map'!$B$6:$V$26,CEILING($A101/5,1),CEILING(I$2/5,1))=1,INDEX('Serial Reference'!$A$8:$W$8,1,FLOOR(($A101-1)/23,1)+1)&amp;INDEX('Serial Reference'!$A$8:$W$8,1,MOD($A101-1,23)+1)&amp;TEXT(I$2+FLOOR((I$2-1)/9,1),"000"),"")</f>
        <v/>
      </c>
      <c r="J101" s="22" t="str">
        <f>IF(INDEX('Shot Map'!$B$6:$V$26,CEILING($A101/5,1),CEILING(J$2/5,1))=1,INDEX('Serial Reference'!$A$8:$W$8,1,FLOOR(($A101-1)/23,1)+1)&amp;INDEX('Serial Reference'!$A$8:$W$8,1,MOD($A101-1,23)+1)&amp;TEXT(J$2+FLOOR((J$2-1)/9,1),"000"),"")</f>
        <v/>
      </c>
      <c r="K101" s="23" t="str">
        <f>IF(INDEX('Shot Map'!$B$6:$V$26,CEILING($A101/5,1),CEILING(K$2/5,1))=1,INDEX('Serial Reference'!$A$8:$W$8,1,FLOOR(($A101-1)/23,1)+1)&amp;INDEX('Serial Reference'!$A$8:$W$8,1,MOD($A101-1,23)+1)&amp;TEXT(K$2+FLOOR((K$2-1)/9,1),"000"),"")</f>
        <v/>
      </c>
      <c r="L101" s="21" t="str">
        <f>IF(INDEX('Shot Map'!$B$6:$V$26,CEILING($A101/5,1),CEILING(L$2/5,1))=1,INDEX('Serial Reference'!$A$8:$W$8,1,FLOOR(($A101-1)/23,1)+1)&amp;INDEX('Serial Reference'!$A$8:$W$8,1,MOD($A101-1,23)+1)&amp;TEXT(L$2+FLOOR((L$2-1)/9,1),"000"),"")</f>
        <v/>
      </c>
      <c r="M101" s="22" t="str">
        <f>IF(INDEX('Shot Map'!$B$6:$V$26,CEILING($A101/5,1),CEILING(M$2/5,1))=1,INDEX('Serial Reference'!$A$8:$W$8,1,FLOOR(($A101-1)/23,1)+1)&amp;INDEX('Serial Reference'!$A$8:$W$8,1,MOD($A101-1,23)+1)&amp;TEXT(M$2+FLOOR((M$2-1)/9,1),"000"),"")</f>
        <v/>
      </c>
      <c r="N101" s="22" t="str">
        <f>IF(INDEX('Shot Map'!$B$6:$V$26,CEILING($A101/5,1),CEILING(N$2/5,1))=1,INDEX('Serial Reference'!$A$8:$W$8,1,FLOOR(($A101-1)/23,1)+1)&amp;INDEX('Serial Reference'!$A$8:$W$8,1,MOD($A101-1,23)+1)&amp;TEXT(N$2+FLOOR((N$2-1)/9,1),"000"),"")</f>
        <v/>
      </c>
      <c r="O101" s="22" t="str">
        <f>IF(INDEX('Shot Map'!$B$6:$V$26,CEILING($A101/5,1),CEILING(O$2/5,1))=1,INDEX('Serial Reference'!$A$8:$W$8,1,FLOOR(($A101-1)/23,1)+1)&amp;INDEX('Serial Reference'!$A$8:$W$8,1,MOD($A101-1,23)+1)&amp;TEXT(O$2+FLOOR((O$2-1)/9,1),"000"),"")</f>
        <v/>
      </c>
      <c r="P101" s="23" t="str">
        <f>IF(INDEX('Shot Map'!$B$6:$V$26,CEILING($A101/5,1),CEILING(P$2/5,1))=1,INDEX('Serial Reference'!$A$8:$W$8,1,FLOOR(($A101-1)/23,1)+1)&amp;INDEX('Serial Reference'!$A$8:$W$8,1,MOD($A101-1,23)+1)&amp;TEXT(P$2+FLOOR((P$2-1)/9,1),"000"),"")</f>
        <v/>
      </c>
      <c r="Q101" s="21" t="str">
        <f>IF(INDEX('Shot Map'!$B$6:$V$26,CEILING($A101/5,1),CEILING(Q$2/5,1))=1,INDEX('Serial Reference'!$A$8:$W$8,1,FLOOR(($A101-1)/23,1)+1)&amp;INDEX('Serial Reference'!$A$8:$W$8,1,MOD($A101-1,23)+1)&amp;TEXT(Q$2+FLOOR((Q$2-1)/9,1),"000"),"")</f>
        <v/>
      </c>
      <c r="R101" s="22" t="str">
        <f>IF(INDEX('Shot Map'!$B$6:$V$26,CEILING($A101/5,1),CEILING(R$2/5,1))=1,INDEX('Serial Reference'!$A$8:$W$8,1,FLOOR(($A101-1)/23,1)+1)&amp;INDEX('Serial Reference'!$A$8:$W$8,1,MOD($A101-1,23)+1)&amp;TEXT(R$2+FLOOR((R$2-1)/9,1),"000"),"")</f>
        <v/>
      </c>
      <c r="S101" s="22" t="str">
        <f>IF(INDEX('Shot Map'!$B$6:$V$26,CEILING($A101/5,1),CEILING(S$2/5,1))=1,INDEX('Serial Reference'!$A$8:$W$8,1,FLOOR(($A101-1)/23,1)+1)&amp;INDEX('Serial Reference'!$A$8:$W$8,1,MOD($A101-1,23)+1)&amp;TEXT(S$2+FLOOR((S$2-1)/9,1),"000"),"")</f>
        <v/>
      </c>
      <c r="T101" s="22" t="str">
        <f>IF(INDEX('Shot Map'!$B$6:$V$26,CEILING($A101/5,1),CEILING(T$2/5,1))=1,INDEX('Serial Reference'!$A$8:$W$8,1,FLOOR(($A101-1)/23,1)+1)&amp;INDEX('Serial Reference'!$A$8:$W$8,1,MOD($A101-1,23)+1)&amp;TEXT(T$2+FLOOR((T$2-1)/9,1),"000"),"")</f>
        <v/>
      </c>
      <c r="U101" s="23" t="str">
        <f>IF(INDEX('Shot Map'!$B$6:$V$26,CEILING($A101/5,1),CEILING(U$2/5,1))=1,INDEX('Serial Reference'!$A$8:$W$8,1,FLOOR(($A101-1)/23,1)+1)&amp;INDEX('Serial Reference'!$A$8:$W$8,1,MOD($A101-1,23)+1)&amp;TEXT(U$2+FLOOR((U$2-1)/9,1),"000"),"")</f>
        <v/>
      </c>
      <c r="V101" s="21" t="str">
        <f>IF(INDEX('Shot Map'!$B$6:$V$26,CEILING($A101/5,1),CEILING(V$2/5,1))=1,INDEX('Serial Reference'!$A$8:$W$8,1,FLOOR(($A101-1)/23,1)+1)&amp;INDEX('Serial Reference'!$A$8:$W$8,1,MOD($A101-1,23)+1)&amp;TEXT(V$2+FLOOR((V$2-1)/9,1),"000"),"")</f>
        <v/>
      </c>
      <c r="W101" s="22" t="str">
        <f>IF(INDEX('Shot Map'!$B$6:$V$26,CEILING($A101/5,1),CEILING(W$2/5,1))=1,INDEX('Serial Reference'!$A$8:$W$8,1,FLOOR(($A101-1)/23,1)+1)&amp;INDEX('Serial Reference'!$A$8:$W$8,1,MOD($A101-1,23)+1)&amp;TEXT(W$2+FLOOR((W$2-1)/9,1),"000"),"")</f>
        <v/>
      </c>
      <c r="X101" s="22" t="str">
        <f>IF(INDEX('Shot Map'!$B$6:$V$26,CEILING($A101/5,1),CEILING(X$2/5,1))=1,INDEX('Serial Reference'!$A$8:$W$8,1,FLOOR(($A101-1)/23,1)+1)&amp;INDEX('Serial Reference'!$A$8:$W$8,1,MOD($A101-1,23)+1)&amp;TEXT(X$2+FLOOR((X$2-1)/9,1),"000"),"")</f>
        <v/>
      </c>
      <c r="Y101" s="22" t="str">
        <f>IF(INDEX('Shot Map'!$B$6:$V$26,CEILING($A101/5,1),CEILING(Y$2/5,1))=1,INDEX('Serial Reference'!$A$8:$W$8,1,FLOOR(($A101-1)/23,1)+1)&amp;INDEX('Serial Reference'!$A$8:$W$8,1,MOD($A101-1,23)+1)&amp;TEXT(Y$2+FLOOR((Y$2-1)/9,1),"000"),"")</f>
        <v/>
      </c>
      <c r="Z101" s="23" t="str">
        <f>IF(INDEX('Shot Map'!$B$6:$V$26,CEILING($A101/5,1),CEILING(Z$2/5,1))=1,INDEX('Serial Reference'!$A$8:$W$8,1,FLOOR(($A101-1)/23,1)+1)&amp;INDEX('Serial Reference'!$A$8:$W$8,1,MOD($A101-1,23)+1)&amp;TEXT(Z$2+FLOOR((Z$2-1)/9,1),"000"),"")</f>
        <v/>
      </c>
      <c r="AA101" s="21" t="str">
        <f>IF(INDEX('Shot Map'!$B$6:$V$26,CEILING($A101/5,1),CEILING(AA$2/5,1))=1,INDEX('Serial Reference'!$A$8:$W$8,1,FLOOR(($A101-1)/23,1)+1)&amp;INDEX('Serial Reference'!$A$8:$W$8,1,MOD($A101-1,23)+1)&amp;TEXT(AA$2+FLOOR((AA$2-1)/9,1),"000"),"")</f>
        <v/>
      </c>
      <c r="AB101" s="22" t="str">
        <f>IF(INDEX('Shot Map'!$B$6:$V$26,CEILING($A101/5,1),CEILING(AB$2/5,1))=1,INDEX('Serial Reference'!$A$8:$W$8,1,FLOOR(($A101-1)/23,1)+1)&amp;INDEX('Serial Reference'!$A$8:$W$8,1,MOD($A101-1,23)+1)&amp;TEXT(AB$2+FLOOR((AB$2-1)/9,1),"000"),"")</f>
        <v/>
      </c>
      <c r="AC101" s="22" t="str">
        <f>IF(INDEX('Shot Map'!$B$6:$V$26,CEILING($A101/5,1),CEILING(AC$2/5,1))=1,INDEX('Serial Reference'!$A$8:$W$8,1,FLOOR(($A101-1)/23,1)+1)&amp;INDEX('Serial Reference'!$A$8:$W$8,1,MOD($A101-1,23)+1)&amp;TEXT(AC$2+FLOOR((AC$2-1)/9,1),"000"),"")</f>
        <v/>
      </c>
      <c r="AD101" s="22" t="str">
        <f>IF(INDEX('Shot Map'!$B$6:$V$26,CEILING($A101/5,1),CEILING(AD$2/5,1))=1,INDEX('Serial Reference'!$A$8:$W$8,1,FLOOR(($A101-1)/23,1)+1)&amp;INDEX('Serial Reference'!$A$8:$W$8,1,MOD($A101-1,23)+1)&amp;TEXT(AD$2+FLOOR((AD$2-1)/9,1),"000"),"")</f>
        <v/>
      </c>
      <c r="AE101" s="23" t="str">
        <f>IF(INDEX('Shot Map'!$B$6:$V$26,CEILING($A101/5,1),CEILING(AE$2/5,1))=1,INDEX('Serial Reference'!$A$8:$W$8,1,FLOOR(($A101-1)/23,1)+1)&amp;INDEX('Serial Reference'!$A$8:$W$8,1,MOD($A101-1,23)+1)&amp;TEXT(AE$2+FLOOR((AE$2-1)/9,1),"000"),"")</f>
        <v/>
      </c>
      <c r="AF101" s="21" t="str">
        <f>IF(INDEX('Shot Map'!$B$6:$V$26,CEILING($A101/5,1),CEILING(AF$2/5,1))=1,INDEX('Serial Reference'!$A$8:$W$8,1,FLOOR(($A101-1)/23,1)+1)&amp;INDEX('Serial Reference'!$A$8:$W$8,1,MOD($A101-1,23)+1)&amp;TEXT(AF$2+FLOOR((AF$2-1)/9,1),"000"),"")</f>
        <v>EG034</v>
      </c>
      <c r="AG101" s="22" t="str">
        <f>IF(INDEX('Shot Map'!$B$6:$V$26,CEILING($A101/5,1),CEILING(AG$2/5,1))=1,INDEX('Serial Reference'!$A$8:$W$8,1,FLOOR(($A101-1)/23,1)+1)&amp;INDEX('Serial Reference'!$A$8:$W$8,1,MOD($A101-1,23)+1)&amp;TEXT(AG$2+FLOOR((AG$2-1)/9,1),"000"),"")</f>
        <v>EG035</v>
      </c>
      <c r="AH101" s="22" t="str">
        <f>IF(INDEX('Shot Map'!$B$6:$V$26,CEILING($A101/5,1),CEILING(AH$2/5,1))=1,INDEX('Serial Reference'!$A$8:$W$8,1,FLOOR(($A101-1)/23,1)+1)&amp;INDEX('Serial Reference'!$A$8:$W$8,1,MOD($A101-1,23)+1)&amp;TEXT(AH$2+FLOOR((AH$2-1)/9,1),"000"),"")</f>
        <v>EG036</v>
      </c>
      <c r="AI101" s="22" t="str">
        <f>IF(INDEX('Shot Map'!$B$6:$V$26,CEILING($A101/5,1),CEILING(AI$2/5,1))=1,INDEX('Serial Reference'!$A$8:$W$8,1,FLOOR(($A101-1)/23,1)+1)&amp;INDEX('Serial Reference'!$A$8:$W$8,1,MOD($A101-1,23)+1)&amp;TEXT(AI$2+FLOOR((AI$2-1)/9,1),"000"),"")</f>
        <v>EG037</v>
      </c>
      <c r="AJ101" s="23" t="str">
        <f>IF(INDEX('Shot Map'!$B$6:$V$26,CEILING($A101/5,1),CEILING(AJ$2/5,1))=1,INDEX('Serial Reference'!$A$8:$W$8,1,FLOOR(($A101-1)/23,1)+1)&amp;INDEX('Serial Reference'!$A$8:$W$8,1,MOD($A101-1,23)+1)&amp;TEXT(AJ$2+FLOOR((AJ$2-1)/9,1),"000"),"")</f>
        <v>EG038</v>
      </c>
      <c r="AK101" s="21" t="str">
        <f>IF(INDEX('Shot Map'!$B$6:$V$26,CEILING($A101/5,1),CEILING(AK$2/5,1))=1,INDEX('Serial Reference'!$A$8:$W$8,1,FLOOR(($A101-1)/23,1)+1)&amp;INDEX('Serial Reference'!$A$8:$W$8,1,MOD($A101-1,23)+1)&amp;TEXT(AK$2+FLOOR((AK$2-1)/9,1),"000"),"")</f>
        <v>EG039</v>
      </c>
      <c r="AL101" s="22" t="str">
        <f>IF(INDEX('Shot Map'!$B$6:$V$26,CEILING($A101/5,1),CEILING(AL$2/5,1))=1,INDEX('Serial Reference'!$A$8:$W$8,1,FLOOR(($A101-1)/23,1)+1)&amp;INDEX('Serial Reference'!$A$8:$W$8,1,MOD($A101-1,23)+1)&amp;TEXT(AL$2+FLOOR((AL$2-1)/9,1),"000"),"")</f>
        <v>EG041</v>
      </c>
      <c r="AM101" s="22" t="str">
        <f>IF(INDEX('Shot Map'!$B$6:$V$26,CEILING($A101/5,1),CEILING(AM$2/5,1))=1,INDEX('Serial Reference'!$A$8:$W$8,1,FLOOR(($A101-1)/23,1)+1)&amp;INDEX('Serial Reference'!$A$8:$W$8,1,MOD($A101-1,23)+1)&amp;TEXT(AM$2+FLOOR((AM$2-1)/9,1),"000"),"")</f>
        <v>EG042</v>
      </c>
      <c r="AN101" s="22" t="str">
        <f>IF(INDEX('Shot Map'!$B$6:$V$26,CEILING($A101/5,1),CEILING(AN$2/5,1))=1,INDEX('Serial Reference'!$A$8:$W$8,1,FLOOR(($A101-1)/23,1)+1)&amp;INDEX('Serial Reference'!$A$8:$W$8,1,MOD($A101-1,23)+1)&amp;TEXT(AN$2+FLOOR((AN$2-1)/9,1),"000"),"")</f>
        <v>EG043</v>
      </c>
      <c r="AO101" s="23" t="str">
        <f>IF(INDEX('Shot Map'!$B$6:$V$26,CEILING($A101/5,1),CEILING(AO$2/5,1))=1,INDEX('Serial Reference'!$A$8:$W$8,1,FLOOR(($A101-1)/23,1)+1)&amp;INDEX('Serial Reference'!$A$8:$W$8,1,MOD($A101-1,23)+1)&amp;TEXT(AO$2+FLOOR((AO$2-1)/9,1),"000"),"")</f>
        <v>EG044</v>
      </c>
      <c r="AP101" s="21" t="str">
        <f>IF(INDEX('Shot Map'!$B$6:$V$26,CEILING($A101/5,1),CEILING(AP$2/5,1))=1,INDEX('Serial Reference'!$A$8:$W$8,1,FLOOR(($A101-1)/23,1)+1)&amp;INDEX('Serial Reference'!$A$8:$W$8,1,MOD($A101-1,23)+1)&amp;TEXT(AP$2+FLOOR((AP$2-1)/9,1),"000"),"")</f>
        <v>EG045</v>
      </c>
      <c r="AQ101" s="22" t="str">
        <f>IF(INDEX('Shot Map'!$B$6:$V$26,CEILING($A101/5,1),CEILING(AQ$2/5,1))=1,INDEX('Serial Reference'!$A$8:$W$8,1,FLOOR(($A101-1)/23,1)+1)&amp;INDEX('Serial Reference'!$A$8:$W$8,1,MOD($A101-1,23)+1)&amp;TEXT(AQ$2+FLOOR((AQ$2-1)/9,1),"000"),"")</f>
        <v>EG046</v>
      </c>
      <c r="AR101" s="22" t="str">
        <f>IF(INDEX('Shot Map'!$B$6:$V$26,CEILING($A101/5,1),CEILING(AR$2/5,1))=1,INDEX('Serial Reference'!$A$8:$W$8,1,FLOOR(($A101-1)/23,1)+1)&amp;INDEX('Serial Reference'!$A$8:$W$8,1,MOD($A101-1,23)+1)&amp;TEXT(AR$2+FLOOR((AR$2-1)/9,1),"000"),"")</f>
        <v>EG047</v>
      </c>
      <c r="AS101" s="22" t="str">
        <f>IF(INDEX('Shot Map'!$B$6:$V$26,CEILING($A101/5,1),CEILING(AS$2/5,1))=1,INDEX('Serial Reference'!$A$8:$W$8,1,FLOOR(($A101-1)/23,1)+1)&amp;INDEX('Serial Reference'!$A$8:$W$8,1,MOD($A101-1,23)+1)&amp;TEXT(AS$2+FLOOR((AS$2-1)/9,1),"000"),"")</f>
        <v>EG048</v>
      </c>
      <c r="AT101" s="23" t="str">
        <f>IF(INDEX('Shot Map'!$B$6:$V$26,CEILING($A101/5,1),CEILING(AT$2/5,1))=1,INDEX('Serial Reference'!$A$8:$W$8,1,FLOOR(($A101-1)/23,1)+1)&amp;INDEX('Serial Reference'!$A$8:$W$8,1,MOD($A101-1,23)+1)&amp;TEXT(AT$2+FLOOR((AT$2-1)/9,1),"000"),"")</f>
        <v>EG049</v>
      </c>
      <c r="AU101" s="21" t="str">
        <f>IF(INDEX('Shot Map'!$B$6:$V$26,CEILING($A101/5,1),CEILING(AU$2/5,1))=1,INDEX('Serial Reference'!$A$8:$W$8,1,FLOOR(($A101-1)/23,1)+1)&amp;INDEX('Serial Reference'!$A$8:$W$8,1,MOD($A101-1,23)+1)&amp;TEXT(AU$2+FLOOR((AU$2-1)/9,1),"000"),"")</f>
        <v>EG051</v>
      </c>
      <c r="AV101" s="22" t="str">
        <f>IF(INDEX('Shot Map'!$B$6:$V$26,CEILING($A101/5,1),CEILING(AV$2/5,1))=1,INDEX('Serial Reference'!$A$8:$W$8,1,FLOOR(($A101-1)/23,1)+1)&amp;INDEX('Serial Reference'!$A$8:$W$8,1,MOD($A101-1,23)+1)&amp;TEXT(AV$2+FLOOR((AV$2-1)/9,1),"000"),"")</f>
        <v>EG052</v>
      </c>
      <c r="AW101" s="22" t="str">
        <f>IF(INDEX('Shot Map'!$B$6:$V$26,CEILING($A101/5,1),CEILING(AW$2/5,1))=1,INDEX('Serial Reference'!$A$8:$W$8,1,FLOOR(($A101-1)/23,1)+1)&amp;INDEX('Serial Reference'!$A$8:$W$8,1,MOD($A101-1,23)+1)&amp;TEXT(AW$2+FLOOR((AW$2-1)/9,1),"000"),"")</f>
        <v>EG053</v>
      </c>
      <c r="AX101" s="22" t="str">
        <f>IF(INDEX('Shot Map'!$B$6:$V$26,CEILING($A101/5,1),CEILING(AX$2/5,1))=1,INDEX('Serial Reference'!$A$8:$W$8,1,FLOOR(($A101-1)/23,1)+1)&amp;INDEX('Serial Reference'!$A$8:$W$8,1,MOD($A101-1,23)+1)&amp;TEXT(AX$2+FLOOR((AX$2-1)/9,1),"000"),"")</f>
        <v>EG054</v>
      </c>
      <c r="AY101" s="23" t="str">
        <f>IF(INDEX('Shot Map'!$B$6:$V$26,CEILING($A101/5,1),CEILING(AY$2/5,1))=1,INDEX('Serial Reference'!$A$8:$W$8,1,FLOOR(($A101-1)/23,1)+1)&amp;INDEX('Serial Reference'!$A$8:$W$8,1,MOD($A101-1,23)+1)&amp;TEXT(AY$2+FLOOR((AY$2-1)/9,1),"000"),"")</f>
        <v>EG055</v>
      </c>
      <c r="AZ101" s="21" t="str">
        <f>IF(INDEX('Shot Map'!$B$6:$V$26,CEILING($A101/5,1),CEILING(AZ$2/5,1))=1,INDEX('Serial Reference'!$A$8:$W$8,1,FLOOR(($A101-1)/23,1)+1)&amp;INDEX('Serial Reference'!$A$8:$W$8,1,MOD($A101-1,23)+1)&amp;TEXT(AZ$2+FLOOR((AZ$2-1)/9,1),"000"),"")</f>
        <v>EG056</v>
      </c>
      <c r="BA101" s="22" t="str">
        <f>IF(INDEX('Shot Map'!$B$6:$V$26,CEILING($A101/5,1),CEILING(BA$2/5,1))=1,INDEX('Serial Reference'!$A$8:$W$8,1,FLOOR(($A101-1)/23,1)+1)&amp;INDEX('Serial Reference'!$A$8:$W$8,1,MOD($A101-1,23)+1)&amp;TEXT(BA$2+FLOOR((BA$2-1)/9,1),"000"),"")</f>
        <v>EG057</v>
      </c>
      <c r="BB101" s="22" t="str">
        <f>IF(INDEX('Shot Map'!$B$6:$V$26,CEILING($A101/5,1),CEILING(BB$2/5,1))=1,INDEX('Serial Reference'!$A$8:$W$8,1,FLOOR(($A101-1)/23,1)+1)&amp;INDEX('Serial Reference'!$A$8:$W$8,1,MOD($A101-1,23)+1)&amp;TEXT(BB$2+FLOOR((BB$2-1)/9,1),"000"),"")</f>
        <v>EG058</v>
      </c>
      <c r="BC101" s="22" t="str">
        <f>IF(INDEX('Shot Map'!$B$6:$V$26,CEILING($A101/5,1),CEILING(BC$2/5,1))=1,INDEX('Serial Reference'!$A$8:$W$8,1,FLOOR(($A101-1)/23,1)+1)&amp;INDEX('Serial Reference'!$A$8:$W$8,1,MOD($A101-1,23)+1)&amp;TEXT(BC$2+FLOOR((BC$2-1)/9,1),"000"),"")</f>
        <v>EG059</v>
      </c>
      <c r="BD101" s="23" t="str">
        <f>IF(INDEX('Shot Map'!$B$6:$V$26,CEILING($A101/5,1),CEILING(BD$2/5,1))=1,INDEX('Serial Reference'!$A$8:$W$8,1,FLOOR(($A101-1)/23,1)+1)&amp;INDEX('Serial Reference'!$A$8:$W$8,1,MOD($A101-1,23)+1)&amp;TEXT(BD$2+FLOOR((BD$2-1)/9,1),"000"),"")</f>
        <v>EG061</v>
      </c>
      <c r="BE101" s="21" t="str">
        <f>IF(INDEX('Shot Map'!$B$6:$V$26,CEILING($A101/5,1),CEILING(BE$2/5,1))=1,INDEX('Serial Reference'!$A$8:$W$8,1,FLOOR(($A101-1)/23,1)+1)&amp;INDEX('Serial Reference'!$A$8:$W$8,1,MOD($A101-1,23)+1)&amp;TEXT(BE$2+FLOOR((BE$2-1)/9,1),"000"),"")</f>
        <v>EG062</v>
      </c>
      <c r="BF101" s="22" t="str">
        <f>IF(INDEX('Shot Map'!$B$6:$V$26,CEILING($A101/5,1),CEILING(BF$2/5,1))=1,INDEX('Serial Reference'!$A$8:$W$8,1,FLOOR(($A101-1)/23,1)+1)&amp;INDEX('Serial Reference'!$A$8:$W$8,1,MOD($A101-1,23)+1)&amp;TEXT(BF$2+FLOOR((BF$2-1)/9,1),"000"),"")</f>
        <v>EG063</v>
      </c>
      <c r="BG101" s="22" t="str">
        <f>IF(INDEX('Shot Map'!$B$6:$V$26,CEILING($A101/5,1),CEILING(BG$2/5,1))=1,INDEX('Serial Reference'!$A$8:$W$8,1,FLOOR(($A101-1)/23,1)+1)&amp;INDEX('Serial Reference'!$A$8:$W$8,1,MOD($A101-1,23)+1)&amp;TEXT(BG$2+FLOOR((BG$2-1)/9,1),"000"),"")</f>
        <v>EG064</v>
      </c>
      <c r="BH101" s="22" t="str">
        <f>IF(INDEX('Shot Map'!$B$6:$V$26,CEILING($A101/5,1),CEILING(BH$2/5,1))=1,INDEX('Serial Reference'!$A$8:$W$8,1,FLOOR(($A101-1)/23,1)+1)&amp;INDEX('Serial Reference'!$A$8:$W$8,1,MOD($A101-1,23)+1)&amp;TEXT(BH$2+FLOOR((BH$2-1)/9,1),"000"),"")</f>
        <v>EG065</v>
      </c>
      <c r="BI101" s="23" t="str">
        <f>IF(INDEX('Shot Map'!$B$6:$V$26,CEILING($A101/5,1),CEILING(BI$2/5,1))=1,INDEX('Serial Reference'!$A$8:$W$8,1,FLOOR(($A101-1)/23,1)+1)&amp;INDEX('Serial Reference'!$A$8:$W$8,1,MOD($A101-1,23)+1)&amp;TEXT(BI$2+FLOOR((BI$2-1)/9,1),"000"),"")</f>
        <v>EG066</v>
      </c>
      <c r="BJ101" s="21" t="str">
        <f>IF(INDEX('Shot Map'!$B$6:$V$26,CEILING($A101/5,1),CEILING(BJ$2/5,1))=1,INDEX('Serial Reference'!$A$8:$W$8,1,FLOOR(($A101-1)/23,1)+1)&amp;INDEX('Serial Reference'!$A$8:$W$8,1,MOD($A101-1,23)+1)&amp;TEXT(BJ$2+FLOOR((BJ$2-1)/9,1),"000"),"")</f>
        <v>EG067</v>
      </c>
      <c r="BK101" s="22" t="str">
        <f>IF(INDEX('Shot Map'!$B$6:$V$26,CEILING($A101/5,1),CEILING(BK$2/5,1))=1,INDEX('Serial Reference'!$A$8:$W$8,1,FLOOR(($A101-1)/23,1)+1)&amp;INDEX('Serial Reference'!$A$8:$W$8,1,MOD($A101-1,23)+1)&amp;TEXT(BK$2+FLOOR((BK$2-1)/9,1),"000"),"")</f>
        <v>EG068</v>
      </c>
      <c r="BL101" s="22" t="str">
        <f>IF(INDEX('Shot Map'!$B$6:$V$26,CEILING($A101/5,1),CEILING(BL$2/5,1))=1,INDEX('Serial Reference'!$A$8:$W$8,1,FLOOR(($A101-1)/23,1)+1)&amp;INDEX('Serial Reference'!$A$8:$W$8,1,MOD($A101-1,23)+1)&amp;TEXT(BL$2+FLOOR((BL$2-1)/9,1),"000"),"")</f>
        <v>EG069</v>
      </c>
      <c r="BM101" s="22" t="str">
        <f>IF(INDEX('Shot Map'!$B$6:$V$26,CEILING($A101/5,1),CEILING(BM$2/5,1))=1,INDEX('Serial Reference'!$A$8:$W$8,1,FLOOR(($A101-1)/23,1)+1)&amp;INDEX('Serial Reference'!$A$8:$W$8,1,MOD($A101-1,23)+1)&amp;TEXT(BM$2+FLOOR((BM$2-1)/9,1),"000"),"")</f>
        <v>EG071</v>
      </c>
      <c r="BN101" s="23" t="str">
        <f>IF(INDEX('Shot Map'!$B$6:$V$26,CEILING($A101/5,1),CEILING(BN$2/5,1))=1,INDEX('Serial Reference'!$A$8:$W$8,1,FLOOR(($A101-1)/23,1)+1)&amp;INDEX('Serial Reference'!$A$8:$W$8,1,MOD($A101-1,23)+1)&amp;TEXT(BN$2+FLOOR((BN$2-1)/9,1),"000"),"")</f>
        <v>EG072</v>
      </c>
      <c r="BO101" s="21" t="str">
        <f>IF(INDEX('Shot Map'!$B$6:$V$26,CEILING($A101/5,1),CEILING(BO$2/5,1))=1,INDEX('Serial Reference'!$A$8:$W$8,1,FLOOR(($A101-1)/23,1)+1)&amp;INDEX('Serial Reference'!$A$8:$W$8,1,MOD($A101-1,23)+1)&amp;TEXT(BO$2+FLOOR((BO$2-1)/9,1),"000"),"")</f>
        <v>EG073</v>
      </c>
      <c r="BP101" s="22" t="str">
        <f>IF(INDEX('Shot Map'!$B$6:$V$26,CEILING($A101/5,1),CEILING(BP$2/5,1))=1,INDEX('Serial Reference'!$A$8:$W$8,1,FLOOR(($A101-1)/23,1)+1)&amp;INDEX('Serial Reference'!$A$8:$W$8,1,MOD($A101-1,23)+1)&amp;TEXT(BP$2+FLOOR((BP$2-1)/9,1),"000"),"")</f>
        <v>EG074</v>
      </c>
      <c r="BQ101" s="22" t="str">
        <f>IF(INDEX('Shot Map'!$B$6:$V$26,CEILING($A101/5,1),CEILING(BQ$2/5,1))=1,INDEX('Serial Reference'!$A$8:$W$8,1,FLOOR(($A101-1)/23,1)+1)&amp;INDEX('Serial Reference'!$A$8:$W$8,1,MOD($A101-1,23)+1)&amp;TEXT(BQ$2+FLOOR((BQ$2-1)/9,1),"000"),"")</f>
        <v>EG075</v>
      </c>
      <c r="BR101" s="22" t="str">
        <f>IF(INDEX('Shot Map'!$B$6:$V$26,CEILING($A101/5,1),CEILING(BR$2/5,1))=1,INDEX('Serial Reference'!$A$8:$W$8,1,FLOOR(($A101-1)/23,1)+1)&amp;INDEX('Serial Reference'!$A$8:$W$8,1,MOD($A101-1,23)+1)&amp;TEXT(BR$2+FLOOR((BR$2-1)/9,1),"000"),"")</f>
        <v>EG076</v>
      </c>
      <c r="BS101" s="23" t="str">
        <f>IF(INDEX('Shot Map'!$B$6:$V$26,CEILING($A101/5,1),CEILING(BS$2/5,1))=1,INDEX('Serial Reference'!$A$8:$W$8,1,FLOOR(($A101-1)/23,1)+1)&amp;INDEX('Serial Reference'!$A$8:$W$8,1,MOD($A101-1,23)+1)&amp;TEXT(BS$2+FLOOR((BS$2-1)/9,1),"000"),"")</f>
        <v>EG077</v>
      </c>
      <c r="BT101" s="21" t="str">
        <f>IF(INDEX('Shot Map'!$B$6:$V$26,CEILING($A101/5,1),CEILING(BT$2/5,1))=1,INDEX('Serial Reference'!$A$8:$W$8,1,FLOOR(($A101-1)/23,1)+1)&amp;INDEX('Serial Reference'!$A$8:$W$8,1,MOD($A101-1,23)+1)&amp;TEXT(BT$2+FLOOR((BT$2-1)/9,1),"000"),"")</f>
        <v>EG078</v>
      </c>
      <c r="BU101" s="22" t="str">
        <f>IF(INDEX('Shot Map'!$B$6:$V$26,CEILING($A101/5,1),CEILING(BU$2/5,1))=1,INDEX('Serial Reference'!$A$8:$W$8,1,FLOOR(($A101-1)/23,1)+1)&amp;INDEX('Serial Reference'!$A$8:$W$8,1,MOD($A101-1,23)+1)&amp;TEXT(BU$2+FLOOR((BU$2-1)/9,1),"000"),"")</f>
        <v>EG079</v>
      </c>
      <c r="BV101" s="22" t="str">
        <f>IF(INDEX('Shot Map'!$B$6:$V$26,CEILING($A101/5,1),CEILING(BV$2/5,1))=1,INDEX('Serial Reference'!$A$8:$W$8,1,FLOOR(($A101-1)/23,1)+1)&amp;INDEX('Serial Reference'!$A$8:$W$8,1,MOD($A101-1,23)+1)&amp;TEXT(BV$2+FLOOR((BV$2-1)/9,1),"000"),"")</f>
        <v>EG081</v>
      </c>
      <c r="BW101" s="22" t="str">
        <f>IF(INDEX('Shot Map'!$B$6:$V$26,CEILING($A101/5,1),CEILING(BW$2/5,1))=1,INDEX('Serial Reference'!$A$8:$W$8,1,FLOOR(($A101-1)/23,1)+1)&amp;INDEX('Serial Reference'!$A$8:$W$8,1,MOD($A101-1,23)+1)&amp;TEXT(BW$2+FLOOR((BW$2-1)/9,1),"000"),"")</f>
        <v>EG082</v>
      </c>
      <c r="BX101" s="23" t="str">
        <f>IF(INDEX('Shot Map'!$B$6:$V$26,CEILING($A101/5,1),CEILING(BX$2/5,1))=1,INDEX('Serial Reference'!$A$8:$W$8,1,FLOOR(($A101-1)/23,1)+1)&amp;INDEX('Serial Reference'!$A$8:$W$8,1,MOD($A101-1,23)+1)&amp;TEXT(BX$2+FLOOR((BX$2-1)/9,1),"000"),"")</f>
        <v>EG083</v>
      </c>
      <c r="BY101" s="21" t="str">
        <f>IF(INDEX('Shot Map'!$B$6:$V$26,CEILING($A101/5,1),CEILING(BY$2/5,1))=1,INDEX('Serial Reference'!$A$8:$W$8,1,FLOOR(($A101-1)/23,1)+1)&amp;INDEX('Serial Reference'!$A$8:$W$8,1,MOD($A101-1,23)+1)&amp;TEXT(BY$2+FLOOR((BY$2-1)/9,1),"000"),"")</f>
        <v/>
      </c>
      <c r="BZ101" s="22" t="str">
        <f>IF(INDEX('Shot Map'!$B$6:$V$26,CEILING($A101/5,1),CEILING(BZ$2/5,1))=1,INDEX('Serial Reference'!$A$8:$W$8,1,FLOOR(($A101-1)/23,1)+1)&amp;INDEX('Serial Reference'!$A$8:$W$8,1,MOD($A101-1,23)+1)&amp;TEXT(BZ$2+FLOOR((BZ$2-1)/9,1),"000"),"")</f>
        <v/>
      </c>
      <c r="CA101" s="22" t="str">
        <f>IF(INDEX('Shot Map'!$B$6:$V$26,CEILING($A101/5,1),CEILING(CA$2/5,1))=1,INDEX('Serial Reference'!$A$8:$W$8,1,FLOOR(($A101-1)/23,1)+1)&amp;INDEX('Serial Reference'!$A$8:$W$8,1,MOD($A101-1,23)+1)&amp;TEXT(CA$2+FLOOR((CA$2-1)/9,1),"000"),"")</f>
        <v/>
      </c>
      <c r="CB101" s="22" t="str">
        <f>IF(INDEX('Shot Map'!$B$6:$V$26,CEILING($A101/5,1),CEILING(CB$2/5,1))=1,INDEX('Serial Reference'!$A$8:$W$8,1,FLOOR(($A101-1)/23,1)+1)&amp;INDEX('Serial Reference'!$A$8:$W$8,1,MOD($A101-1,23)+1)&amp;TEXT(CB$2+FLOOR((CB$2-1)/9,1),"000"),"")</f>
        <v/>
      </c>
      <c r="CC101" s="23" t="str">
        <f>IF(INDEX('Shot Map'!$B$6:$V$26,CEILING($A101/5,1),CEILING(CC$2/5,1))=1,INDEX('Serial Reference'!$A$8:$W$8,1,FLOOR(($A101-1)/23,1)+1)&amp;INDEX('Serial Reference'!$A$8:$W$8,1,MOD($A101-1,23)+1)&amp;TEXT(CC$2+FLOOR((CC$2-1)/9,1),"000"),"")</f>
        <v/>
      </c>
      <c r="CD101" s="21" t="str">
        <f>IF(INDEX('Shot Map'!$B$6:$V$26,CEILING($A101/5,1),CEILING(CD$2/5,1))=1,INDEX('Serial Reference'!$A$8:$W$8,1,FLOOR(($A101-1)/23,1)+1)&amp;INDEX('Serial Reference'!$A$8:$W$8,1,MOD($A101-1,23)+1)&amp;TEXT(CD$2+FLOOR((CD$2-1)/9,1),"000"),"")</f>
        <v/>
      </c>
      <c r="CE101" s="22" t="str">
        <f>IF(INDEX('Shot Map'!$B$6:$V$26,CEILING($A101/5,1),CEILING(CE$2/5,1))=1,INDEX('Serial Reference'!$A$8:$W$8,1,FLOOR(($A101-1)/23,1)+1)&amp;INDEX('Serial Reference'!$A$8:$W$8,1,MOD($A101-1,23)+1)&amp;TEXT(CE$2+FLOOR((CE$2-1)/9,1),"000"),"")</f>
        <v/>
      </c>
      <c r="CF101" s="22" t="str">
        <f>IF(INDEX('Shot Map'!$B$6:$V$26,CEILING($A101/5,1),CEILING(CF$2/5,1))=1,INDEX('Serial Reference'!$A$8:$W$8,1,FLOOR(($A101-1)/23,1)+1)&amp;INDEX('Serial Reference'!$A$8:$W$8,1,MOD($A101-1,23)+1)&amp;TEXT(CF$2+FLOOR((CF$2-1)/9,1),"000"),"")</f>
        <v/>
      </c>
      <c r="CG101" s="22" t="str">
        <f>IF(INDEX('Shot Map'!$B$6:$V$26,CEILING($A101/5,1),CEILING(CG$2/5,1))=1,INDEX('Serial Reference'!$A$8:$W$8,1,FLOOR(($A101-1)/23,1)+1)&amp;INDEX('Serial Reference'!$A$8:$W$8,1,MOD($A101-1,23)+1)&amp;TEXT(CG$2+FLOOR((CG$2-1)/9,1),"000"),"")</f>
        <v/>
      </c>
      <c r="CH101" s="23" t="str">
        <f>IF(INDEX('Shot Map'!$B$6:$V$26,CEILING($A101/5,1),CEILING(CH$2/5,1))=1,INDEX('Serial Reference'!$A$8:$W$8,1,FLOOR(($A101-1)/23,1)+1)&amp;INDEX('Serial Reference'!$A$8:$W$8,1,MOD($A101-1,23)+1)&amp;TEXT(CH$2+FLOOR((CH$2-1)/9,1),"000"),"")</f>
        <v/>
      </c>
      <c r="CI101" s="21" t="str">
        <f>IF(INDEX('Shot Map'!$B$6:$V$26,CEILING($A101/5,1),CEILING(CI$2/5,1))=1,INDEX('Serial Reference'!$A$8:$W$8,1,FLOOR(($A101-1)/23,1)+1)&amp;INDEX('Serial Reference'!$A$8:$W$8,1,MOD($A101-1,23)+1)&amp;TEXT(CI$2+FLOOR((CI$2-1)/9,1),"000"),"")</f>
        <v/>
      </c>
      <c r="CJ101" s="22" t="str">
        <f>IF(INDEX('Shot Map'!$B$6:$V$26,CEILING($A101/5,1),CEILING(CJ$2/5,1))=1,INDEX('Serial Reference'!$A$8:$W$8,1,FLOOR(($A101-1)/23,1)+1)&amp;INDEX('Serial Reference'!$A$8:$W$8,1,MOD($A101-1,23)+1)&amp;TEXT(CJ$2+FLOOR((CJ$2-1)/9,1),"000"),"")</f>
        <v/>
      </c>
      <c r="CK101" s="22" t="str">
        <f>IF(INDEX('Shot Map'!$B$6:$V$26,CEILING($A101/5,1),CEILING(CK$2/5,1))=1,INDEX('Serial Reference'!$A$8:$W$8,1,FLOOR(($A101-1)/23,1)+1)&amp;INDEX('Serial Reference'!$A$8:$W$8,1,MOD($A101-1,23)+1)&amp;TEXT(CK$2+FLOOR((CK$2-1)/9,1),"000"),"")</f>
        <v/>
      </c>
      <c r="CL101" s="22" t="str">
        <f>IF(INDEX('Shot Map'!$B$6:$V$26,CEILING($A101/5,1),CEILING(CL$2/5,1))=1,INDEX('Serial Reference'!$A$8:$W$8,1,FLOOR(($A101-1)/23,1)+1)&amp;INDEX('Serial Reference'!$A$8:$W$8,1,MOD($A101-1,23)+1)&amp;TEXT(CL$2+FLOOR((CL$2-1)/9,1),"000"),"")</f>
        <v/>
      </c>
      <c r="CM101" s="23" t="str">
        <f>IF(INDEX('Shot Map'!$B$6:$V$26,CEILING($A101/5,1),CEILING(CM$2/5,1))=1,INDEX('Serial Reference'!$A$8:$W$8,1,FLOOR(($A101-1)/23,1)+1)&amp;INDEX('Serial Reference'!$A$8:$W$8,1,MOD($A101-1,23)+1)&amp;TEXT(CM$2+FLOOR((CM$2-1)/9,1),"000"),"")</f>
        <v/>
      </c>
      <c r="CN101" s="21" t="str">
        <f>IF(INDEX('Shot Map'!$B$6:$V$26,CEILING($A101/5,1),CEILING(CN$2/5,1))=1,INDEX('Serial Reference'!$A$8:$W$8,1,FLOOR(($A101-1)/23,1)+1)&amp;INDEX('Serial Reference'!$A$8:$W$8,1,MOD($A101-1,23)+1)&amp;TEXT(CN$2+FLOOR((CN$2-1)/9,1),"000"),"")</f>
        <v/>
      </c>
      <c r="CO101" s="22" t="str">
        <f>IF(INDEX('Shot Map'!$B$6:$V$26,CEILING($A101/5,1),CEILING(CO$2/5,1))=1,INDEX('Serial Reference'!$A$8:$W$8,1,FLOOR(($A101-1)/23,1)+1)&amp;INDEX('Serial Reference'!$A$8:$W$8,1,MOD($A101-1,23)+1)&amp;TEXT(CO$2+FLOOR((CO$2-1)/9,1),"000"),"")</f>
        <v/>
      </c>
      <c r="CP101" s="22" t="str">
        <f>IF(INDEX('Shot Map'!$B$6:$V$26,CEILING($A101/5,1),CEILING(CP$2/5,1))=1,INDEX('Serial Reference'!$A$8:$W$8,1,FLOOR(($A101-1)/23,1)+1)&amp;INDEX('Serial Reference'!$A$8:$W$8,1,MOD($A101-1,23)+1)&amp;TEXT(CP$2+FLOOR((CP$2-1)/9,1),"000"),"")</f>
        <v/>
      </c>
      <c r="CQ101" s="22" t="str">
        <f>IF(INDEX('Shot Map'!$B$6:$V$26,CEILING($A101/5,1),CEILING(CQ$2/5,1))=1,INDEX('Serial Reference'!$A$8:$W$8,1,FLOOR(($A101-1)/23,1)+1)&amp;INDEX('Serial Reference'!$A$8:$W$8,1,MOD($A101-1,23)+1)&amp;TEXT(CQ$2+FLOOR((CQ$2-1)/9,1),"000"),"")</f>
        <v/>
      </c>
      <c r="CR101" s="23" t="str">
        <f>IF(INDEX('Shot Map'!$B$6:$V$26,CEILING($A101/5,1),CEILING(CR$2/5,1))=1,INDEX('Serial Reference'!$A$8:$W$8,1,FLOOR(($A101-1)/23,1)+1)&amp;INDEX('Serial Reference'!$A$8:$W$8,1,MOD($A101-1,23)+1)&amp;TEXT(CR$2+FLOOR((CR$2-1)/9,1),"000"),"")</f>
        <v/>
      </c>
      <c r="CS101" s="21" t="str">
        <f>IF(INDEX('Shot Map'!$B$6:$V$26,CEILING($A101/5,1),CEILING(CS$2/5,1))=1,INDEX('Serial Reference'!$A$8:$W$8,1,FLOOR(($A101-1)/23,1)+1)&amp;INDEX('Serial Reference'!$A$8:$W$8,1,MOD($A101-1,23)+1)&amp;TEXT(CS$2+FLOOR((CS$2-1)/9,1),"000"),"")</f>
        <v/>
      </c>
      <c r="CT101" s="22" t="str">
        <f>IF(INDEX('Shot Map'!$B$6:$V$26,CEILING($A101/5,1),CEILING(CT$2/5,1))=1,INDEX('Serial Reference'!$A$8:$W$8,1,FLOOR(($A101-1)/23,1)+1)&amp;INDEX('Serial Reference'!$A$8:$W$8,1,MOD($A101-1,23)+1)&amp;TEXT(CT$2+FLOOR((CT$2-1)/9,1),"000"),"")</f>
        <v/>
      </c>
      <c r="CU101" s="22" t="str">
        <f>IF(INDEX('Shot Map'!$B$6:$V$26,CEILING($A101/5,1),CEILING(CU$2/5,1))=1,INDEX('Serial Reference'!$A$8:$W$8,1,FLOOR(($A101-1)/23,1)+1)&amp;INDEX('Serial Reference'!$A$8:$W$8,1,MOD($A101-1,23)+1)&amp;TEXT(CU$2+FLOOR((CU$2-1)/9,1),"000"),"")</f>
        <v/>
      </c>
      <c r="CV101" s="22" t="str">
        <f>IF(INDEX('Shot Map'!$B$6:$V$26,CEILING($A101/5,1),CEILING(CV$2/5,1))=1,INDEX('Serial Reference'!$A$8:$W$8,1,FLOOR(($A101-1)/23,1)+1)&amp;INDEX('Serial Reference'!$A$8:$W$8,1,MOD($A101-1,23)+1)&amp;TEXT(CV$2+FLOOR((CV$2-1)/9,1),"000"),"")</f>
        <v/>
      </c>
      <c r="CW101" s="23" t="str">
        <f>IF(INDEX('Shot Map'!$B$6:$V$26,CEILING($A101/5,1),CEILING(CW$2/5,1))=1,INDEX('Serial Reference'!$A$8:$W$8,1,FLOOR(($A101-1)/23,1)+1)&amp;INDEX('Serial Reference'!$A$8:$W$8,1,MOD($A101-1,23)+1)&amp;TEXT(CW$2+FLOOR((CW$2-1)/9,1),"000"),"")</f>
        <v/>
      </c>
      <c r="CX101" s="21" t="str">
        <f>IF(INDEX('Shot Map'!$B$6:$V$26,CEILING($A101/5,1),CEILING(CX$2/5,1))=1,INDEX('Serial Reference'!$A$8:$W$8,1,FLOOR(($A101-1)/23,1)+1)&amp;INDEX('Serial Reference'!$A$8:$W$8,1,MOD($A101-1,23)+1)&amp;TEXT(CX$2+FLOOR((CX$2-1)/9,1),"000"),"")</f>
        <v/>
      </c>
      <c r="CY101" s="22" t="str">
        <f>IF(INDEX('Shot Map'!$B$6:$V$26,CEILING($A101/5,1),CEILING(CY$2/5,1))=1,INDEX('Serial Reference'!$A$8:$W$8,1,FLOOR(($A101-1)/23,1)+1)&amp;INDEX('Serial Reference'!$A$8:$W$8,1,MOD($A101-1,23)+1)&amp;TEXT(CY$2+FLOOR((CY$2-1)/9,1),"000"),"")</f>
        <v/>
      </c>
      <c r="CZ101" s="22" t="str">
        <f>IF(INDEX('Shot Map'!$B$6:$V$26,CEILING($A101/5,1),CEILING(CZ$2/5,1))=1,INDEX('Serial Reference'!$A$8:$W$8,1,FLOOR(($A101-1)/23,1)+1)&amp;INDEX('Serial Reference'!$A$8:$W$8,1,MOD($A101-1,23)+1)&amp;TEXT(CZ$2+FLOOR((CZ$2-1)/9,1),"000"),"")</f>
        <v/>
      </c>
      <c r="DA101" s="22" t="str">
        <f>IF(INDEX('Shot Map'!$B$6:$V$26,CEILING($A101/5,1),CEILING(DA$2/5,1))=1,INDEX('Serial Reference'!$A$8:$W$8,1,FLOOR(($A101-1)/23,1)+1)&amp;INDEX('Serial Reference'!$A$8:$W$8,1,MOD($A101-1,23)+1)&amp;TEXT(DA$2+FLOOR((DA$2-1)/9,1),"000"),"")</f>
        <v/>
      </c>
      <c r="DB101" s="23" t="str">
        <f>IF(INDEX('Shot Map'!$B$6:$V$26,CEILING($A101/5,1),CEILING(DB$2/5,1))=1,INDEX('Serial Reference'!$A$8:$W$8,1,FLOOR(($A101-1)/23,1)+1)&amp;INDEX('Serial Reference'!$A$8:$W$8,1,MOD($A101-1,23)+1)&amp;TEXT(DB$2+FLOOR((DB$2-1)/9,1),"000"),"")</f>
        <v/>
      </c>
    </row>
    <row r="102" spans="1:106" ht="12.75" customHeight="1" x14ac:dyDescent="0.25">
      <c r="A102" s="17">
        <v>100</v>
      </c>
      <c r="B102" s="24" t="str">
        <f>IF(INDEX('Shot Map'!$B$6:$V$26,CEILING($A102/5,1),CEILING(B$2/5,1))=1,INDEX('Serial Reference'!$A$8:$W$8,1,FLOOR(($A102-1)/23,1)+1)&amp;INDEX('Serial Reference'!$A$8:$W$8,1,MOD($A102-1,23)+1)&amp;TEXT(B$2+FLOOR((B$2-1)/9,1),"000"),"")</f>
        <v/>
      </c>
      <c r="C102" s="25" t="str">
        <f>IF(INDEX('Shot Map'!$B$6:$V$26,CEILING($A102/5,1),CEILING(C$2/5,1))=1,INDEX('Serial Reference'!$A$8:$W$8,1,FLOOR(($A102-1)/23,1)+1)&amp;INDEX('Serial Reference'!$A$8:$W$8,1,MOD($A102-1,23)+1)&amp;TEXT(C$2+FLOOR((C$2-1)/9,1),"000"),"")</f>
        <v/>
      </c>
      <c r="D102" s="25" t="str">
        <f>IF(INDEX('Shot Map'!$B$6:$V$26,CEILING($A102/5,1),CEILING(D$2/5,1))=1,INDEX('Serial Reference'!$A$8:$W$8,1,FLOOR(($A102-1)/23,1)+1)&amp;INDEX('Serial Reference'!$A$8:$W$8,1,MOD($A102-1,23)+1)&amp;TEXT(D$2+FLOOR((D$2-1)/9,1),"000"),"")</f>
        <v/>
      </c>
      <c r="E102" s="25" t="str">
        <f>IF(INDEX('Shot Map'!$B$6:$V$26,CEILING($A102/5,1),CEILING(E$2/5,1))=1,INDEX('Serial Reference'!$A$8:$W$8,1,FLOOR(($A102-1)/23,1)+1)&amp;INDEX('Serial Reference'!$A$8:$W$8,1,MOD($A102-1,23)+1)&amp;TEXT(E$2+FLOOR((E$2-1)/9,1),"000"),"")</f>
        <v/>
      </c>
      <c r="F102" s="26" t="str">
        <f>IF(INDEX('Shot Map'!$B$6:$V$26,CEILING($A102/5,1),CEILING(F$2/5,1))=1,INDEX('Serial Reference'!$A$8:$W$8,1,FLOOR(($A102-1)/23,1)+1)&amp;INDEX('Serial Reference'!$A$8:$W$8,1,MOD($A102-1,23)+1)&amp;TEXT(F$2+FLOOR((F$2-1)/9,1),"000"),"")</f>
        <v/>
      </c>
      <c r="G102" s="24" t="str">
        <f>IF(INDEX('Shot Map'!$B$6:$V$26,CEILING($A102/5,1),CEILING(G$2/5,1))=1,INDEX('Serial Reference'!$A$8:$W$8,1,FLOOR(($A102-1)/23,1)+1)&amp;INDEX('Serial Reference'!$A$8:$W$8,1,MOD($A102-1,23)+1)&amp;TEXT(G$2+FLOOR((G$2-1)/9,1),"000"),"")</f>
        <v/>
      </c>
      <c r="H102" s="25" t="str">
        <f>IF(INDEX('Shot Map'!$B$6:$V$26,CEILING($A102/5,1),CEILING(H$2/5,1))=1,INDEX('Serial Reference'!$A$8:$W$8,1,FLOOR(($A102-1)/23,1)+1)&amp;INDEX('Serial Reference'!$A$8:$W$8,1,MOD($A102-1,23)+1)&amp;TEXT(H$2+FLOOR((H$2-1)/9,1),"000"),"")</f>
        <v/>
      </c>
      <c r="I102" s="25" t="str">
        <f>IF(INDEX('Shot Map'!$B$6:$V$26,CEILING($A102/5,1),CEILING(I$2/5,1))=1,INDEX('Serial Reference'!$A$8:$W$8,1,FLOOR(($A102-1)/23,1)+1)&amp;INDEX('Serial Reference'!$A$8:$W$8,1,MOD($A102-1,23)+1)&amp;TEXT(I$2+FLOOR((I$2-1)/9,1),"000"),"")</f>
        <v/>
      </c>
      <c r="J102" s="25" t="str">
        <f>IF(INDEX('Shot Map'!$B$6:$V$26,CEILING($A102/5,1),CEILING(J$2/5,1))=1,INDEX('Serial Reference'!$A$8:$W$8,1,FLOOR(($A102-1)/23,1)+1)&amp;INDEX('Serial Reference'!$A$8:$W$8,1,MOD($A102-1,23)+1)&amp;TEXT(J$2+FLOOR((J$2-1)/9,1),"000"),"")</f>
        <v/>
      </c>
      <c r="K102" s="26" t="str">
        <f>IF(INDEX('Shot Map'!$B$6:$V$26,CEILING($A102/5,1),CEILING(K$2/5,1))=1,INDEX('Serial Reference'!$A$8:$W$8,1,FLOOR(($A102-1)/23,1)+1)&amp;INDEX('Serial Reference'!$A$8:$W$8,1,MOD($A102-1,23)+1)&amp;TEXT(K$2+FLOOR((K$2-1)/9,1),"000"),"")</f>
        <v/>
      </c>
      <c r="L102" s="24" t="str">
        <f>IF(INDEX('Shot Map'!$B$6:$V$26,CEILING($A102/5,1),CEILING(L$2/5,1))=1,INDEX('Serial Reference'!$A$8:$W$8,1,FLOOR(($A102-1)/23,1)+1)&amp;INDEX('Serial Reference'!$A$8:$W$8,1,MOD($A102-1,23)+1)&amp;TEXT(L$2+FLOOR((L$2-1)/9,1),"000"),"")</f>
        <v/>
      </c>
      <c r="M102" s="25" t="str">
        <f>IF(INDEX('Shot Map'!$B$6:$V$26,CEILING($A102/5,1),CEILING(M$2/5,1))=1,INDEX('Serial Reference'!$A$8:$W$8,1,FLOOR(($A102-1)/23,1)+1)&amp;INDEX('Serial Reference'!$A$8:$W$8,1,MOD($A102-1,23)+1)&amp;TEXT(M$2+FLOOR((M$2-1)/9,1),"000"),"")</f>
        <v/>
      </c>
      <c r="N102" s="25" t="str">
        <f>IF(INDEX('Shot Map'!$B$6:$V$26,CEILING($A102/5,1),CEILING(N$2/5,1))=1,INDEX('Serial Reference'!$A$8:$W$8,1,FLOOR(($A102-1)/23,1)+1)&amp;INDEX('Serial Reference'!$A$8:$W$8,1,MOD($A102-1,23)+1)&amp;TEXT(N$2+FLOOR((N$2-1)/9,1),"000"),"")</f>
        <v/>
      </c>
      <c r="O102" s="25" t="str">
        <f>IF(INDEX('Shot Map'!$B$6:$V$26,CEILING($A102/5,1),CEILING(O$2/5,1))=1,INDEX('Serial Reference'!$A$8:$W$8,1,FLOOR(($A102-1)/23,1)+1)&amp;INDEX('Serial Reference'!$A$8:$W$8,1,MOD($A102-1,23)+1)&amp;TEXT(O$2+FLOOR((O$2-1)/9,1),"000"),"")</f>
        <v/>
      </c>
      <c r="P102" s="26" t="str">
        <f>IF(INDEX('Shot Map'!$B$6:$V$26,CEILING($A102/5,1),CEILING(P$2/5,1))=1,INDEX('Serial Reference'!$A$8:$W$8,1,FLOOR(($A102-1)/23,1)+1)&amp;INDEX('Serial Reference'!$A$8:$W$8,1,MOD($A102-1,23)+1)&amp;TEXT(P$2+FLOOR((P$2-1)/9,1),"000"),"")</f>
        <v/>
      </c>
      <c r="Q102" s="24" t="str">
        <f>IF(INDEX('Shot Map'!$B$6:$V$26,CEILING($A102/5,1),CEILING(Q$2/5,1))=1,INDEX('Serial Reference'!$A$8:$W$8,1,FLOOR(($A102-1)/23,1)+1)&amp;INDEX('Serial Reference'!$A$8:$W$8,1,MOD($A102-1,23)+1)&amp;TEXT(Q$2+FLOOR((Q$2-1)/9,1),"000"),"")</f>
        <v/>
      </c>
      <c r="R102" s="25" t="str">
        <f>IF(INDEX('Shot Map'!$B$6:$V$26,CEILING($A102/5,1),CEILING(R$2/5,1))=1,INDEX('Serial Reference'!$A$8:$W$8,1,FLOOR(($A102-1)/23,1)+1)&amp;INDEX('Serial Reference'!$A$8:$W$8,1,MOD($A102-1,23)+1)&amp;TEXT(R$2+FLOOR((R$2-1)/9,1),"000"),"")</f>
        <v/>
      </c>
      <c r="S102" s="25" t="str">
        <f>IF(INDEX('Shot Map'!$B$6:$V$26,CEILING($A102/5,1),CEILING(S$2/5,1))=1,INDEX('Serial Reference'!$A$8:$W$8,1,FLOOR(($A102-1)/23,1)+1)&amp;INDEX('Serial Reference'!$A$8:$W$8,1,MOD($A102-1,23)+1)&amp;TEXT(S$2+FLOOR((S$2-1)/9,1),"000"),"")</f>
        <v/>
      </c>
      <c r="T102" s="25" t="str">
        <f>IF(INDEX('Shot Map'!$B$6:$V$26,CEILING($A102/5,1),CEILING(T$2/5,1))=1,INDEX('Serial Reference'!$A$8:$W$8,1,FLOOR(($A102-1)/23,1)+1)&amp;INDEX('Serial Reference'!$A$8:$W$8,1,MOD($A102-1,23)+1)&amp;TEXT(T$2+FLOOR((T$2-1)/9,1),"000"),"")</f>
        <v/>
      </c>
      <c r="U102" s="26" t="str">
        <f>IF(INDEX('Shot Map'!$B$6:$V$26,CEILING($A102/5,1),CEILING(U$2/5,1))=1,INDEX('Serial Reference'!$A$8:$W$8,1,FLOOR(($A102-1)/23,1)+1)&amp;INDEX('Serial Reference'!$A$8:$W$8,1,MOD($A102-1,23)+1)&amp;TEXT(U$2+FLOOR((U$2-1)/9,1),"000"),"")</f>
        <v/>
      </c>
      <c r="V102" s="24" t="str">
        <f>IF(INDEX('Shot Map'!$B$6:$V$26,CEILING($A102/5,1),CEILING(V$2/5,1))=1,INDEX('Serial Reference'!$A$8:$W$8,1,FLOOR(($A102-1)/23,1)+1)&amp;INDEX('Serial Reference'!$A$8:$W$8,1,MOD($A102-1,23)+1)&amp;TEXT(V$2+FLOOR((V$2-1)/9,1),"000"),"")</f>
        <v/>
      </c>
      <c r="W102" s="25" t="str">
        <f>IF(INDEX('Shot Map'!$B$6:$V$26,CEILING($A102/5,1),CEILING(W$2/5,1))=1,INDEX('Serial Reference'!$A$8:$W$8,1,FLOOR(($A102-1)/23,1)+1)&amp;INDEX('Serial Reference'!$A$8:$W$8,1,MOD($A102-1,23)+1)&amp;TEXT(W$2+FLOOR((W$2-1)/9,1),"000"),"")</f>
        <v/>
      </c>
      <c r="X102" s="25" t="str">
        <f>IF(INDEX('Shot Map'!$B$6:$V$26,CEILING($A102/5,1),CEILING(X$2/5,1))=1,INDEX('Serial Reference'!$A$8:$W$8,1,FLOOR(($A102-1)/23,1)+1)&amp;INDEX('Serial Reference'!$A$8:$W$8,1,MOD($A102-1,23)+1)&amp;TEXT(X$2+FLOOR((X$2-1)/9,1),"000"),"")</f>
        <v/>
      </c>
      <c r="Y102" s="25" t="str">
        <f>IF(INDEX('Shot Map'!$B$6:$V$26,CEILING($A102/5,1),CEILING(Y$2/5,1))=1,INDEX('Serial Reference'!$A$8:$W$8,1,FLOOR(($A102-1)/23,1)+1)&amp;INDEX('Serial Reference'!$A$8:$W$8,1,MOD($A102-1,23)+1)&amp;TEXT(Y$2+FLOOR((Y$2-1)/9,1),"000"),"")</f>
        <v/>
      </c>
      <c r="Z102" s="26" t="str">
        <f>IF(INDEX('Shot Map'!$B$6:$V$26,CEILING($A102/5,1),CEILING(Z$2/5,1))=1,INDEX('Serial Reference'!$A$8:$W$8,1,FLOOR(($A102-1)/23,1)+1)&amp;INDEX('Serial Reference'!$A$8:$W$8,1,MOD($A102-1,23)+1)&amp;TEXT(Z$2+FLOOR((Z$2-1)/9,1),"000"),"")</f>
        <v/>
      </c>
      <c r="AA102" s="24" t="str">
        <f>IF(INDEX('Shot Map'!$B$6:$V$26,CEILING($A102/5,1),CEILING(AA$2/5,1))=1,INDEX('Serial Reference'!$A$8:$W$8,1,FLOOR(($A102-1)/23,1)+1)&amp;INDEX('Serial Reference'!$A$8:$W$8,1,MOD($A102-1,23)+1)&amp;TEXT(AA$2+FLOOR((AA$2-1)/9,1),"000"),"")</f>
        <v/>
      </c>
      <c r="AB102" s="25" t="str">
        <f>IF(INDEX('Shot Map'!$B$6:$V$26,CEILING($A102/5,1),CEILING(AB$2/5,1))=1,INDEX('Serial Reference'!$A$8:$W$8,1,FLOOR(($A102-1)/23,1)+1)&amp;INDEX('Serial Reference'!$A$8:$W$8,1,MOD($A102-1,23)+1)&amp;TEXT(AB$2+FLOOR((AB$2-1)/9,1),"000"),"")</f>
        <v/>
      </c>
      <c r="AC102" s="25" t="str">
        <f>IF(INDEX('Shot Map'!$B$6:$V$26,CEILING($A102/5,1),CEILING(AC$2/5,1))=1,INDEX('Serial Reference'!$A$8:$W$8,1,FLOOR(($A102-1)/23,1)+1)&amp;INDEX('Serial Reference'!$A$8:$W$8,1,MOD($A102-1,23)+1)&amp;TEXT(AC$2+FLOOR((AC$2-1)/9,1),"000"),"")</f>
        <v/>
      </c>
      <c r="AD102" s="25" t="str">
        <f>IF(INDEX('Shot Map'!$B$6:$V$26,CEILING($A102/5,1),CEILING(AD$2/5,1))=1,INDEX('Serial Reference'!$A$8:$W$8,1,FLOOR(($A102-1)/23,1)+1)&amp;INDEX('Serial Reference'!$A$8:$W$8,1,MOD($A102-1,23)+1)&amp;TEXT(AD$2+FLOOR((AD$2-1)/9,1),"000"),"")</f>
        <v/>
      </c>
      <c r="AE102" s="26" t="str">
        <f>IF(INDEX('Shot Map'!$B$6:$V$26,CEILING($A102/5,1),CEILING(AE$2/5,1))=1,INDEX('Serial Reference'!$A$8:$W$8,1,FLOOR(($A102-1)/23,1)+1)&amp;INDEX('Serial Reference'!$A$8:$W$8,1,MOD($A102-1,23)+1)&amp;TEXT(AE$2+FLOOR((AE$2-1)/9,1),"000"),"")</f>
        <v/>
      </c>
      <c r="AF102" s="24" t="str">
        <f>IF(INDEX('Shot Map'!$B$6:$V$26,CEILING($A102/5,1),CEILING(AF$2/5,1))=1,INDEX('Serial Reference'!$A$8:$W$8,1,FLOOR(($A102-1)/23,1)+1)&amp;INDEX('Serial Reference'!$A$8:$W$8,1,MOD($A102-1,23)+1)&amp;TEXT(AF$2+FLOOR((AF$2-1)/9,1),"000"),"")</f>
        <v>EH034</v>
      </c>
      <c r="AG102" s="25" t="str">
        <f>IF(INDEX('Shot Map'!$B$6:$V$26,CEILING($A102/5,1),CEILING(AG$2/5,1))=1,INDEX('Serial Reference'!$A$8:$W$8,1,FLOOR(($A102-1)/23,1)+1)&amp;INDEX('Serial Reference'!$A$8:$W$8,1,MOD($A102-1,23)+1)&amp;TEXT(AG$2+FLOOR((AG$2-1)/9,1),"000"),"")</f>
        <v>EH035</v>
      </c>
      <c r="AH102" s="25" t="str">
        <f>IF(INDEX('Shot Map'!$B$6:$V$26,CEILING($A102/5,1),CEILING(AH$2/5,1))=1,INDEX('Serial Reference'!$A$8:$W$8,1,FLOOR(($A102-1)/23,1)+1)&amp;INDEX('Serial Reference'!$A$8:$W$8,1,MOD($A102-1,23)+1)&amp;TEXT(AH$2+FLOOR((AH$2-1)/9,1),"000"),"")</f>
        <v>EH036</v>
      </c>
      <c r="AI102" s="25" t="str">
        <f>IF(INDEX('Shot Map'!$B$6:$V$26,CEILING($A102/5,1),CEILING(AI$2/5,1))=1,INDEX('Serial Reference'!$A$8:$W$8,1,FLOOR(($A102-1)/23,1)+1)&amp;INDEX('Serial Reference'!$A$8:$W$8,1,MOD($A102-1,23)+1)&amp;TEXT(AI$2+FLOOR((AI$2-1)/9,1),"000"),"")</f>
        <v>EH037</v>
      </c>
      <c r="AJ102" s="26" t="str">
        <f>IF(INDEX('Shot Map'!$B$6:$V$26,CEILING($A102/5,1),CEILING(AJ$2/5,1))=1,INDEX('Serial Reference'!$A$8:$W$8,1,FLOOR(($A102-1)/23,1)+1)&amp;INDEX('Serial Reference'!$A$8:$W$8,1,MOD($A102-1,23)+1)&amp;TEXT(AJ$2+FLOOR((AJ$2-1)/9,1),"000"),"")</f>
        <v>EH038</v>
      </c>
      <c r="AK102" s="24" t="str">
        <f>IF(INDEX('Shot Map'!$B$6:$V$26,CEILING($A102/5,1),CEILING(AK$2/5,1))=1,INDEX('Serial Reference'!$A$8:$W$8,1,FLOOR(($A102-1)/23,1)+1)&amp;INDEX('Serial Reference'!$A$8:$W$8,1,MOD($A102-1,23)+1)&amp;TEXT(AK$2+FLOOR((AK$2-1)/9,1),"000"),"")</f>
        <v>EH039</v>
      </c>
      <c r="AL102" s="25" t="str">
        <f>IF(INDEX('Shot Map'!$B$6:$V$26,CEILING($A102/5,1),CEILING(AL$2/5,1))=1,INDEX('Serial Reference'!$A$8:$W$8,1,FLOOR(($A102-1)/23,1)+1)&amp;INDEX('Serial Reference'!$A$8:$W$8,1,MOD($A102-1,23)+1)&amp;TEXT(AL$2+FLOOR((AL$2-1)/9,1),"000"),"")</f>
        <v>EH041</v>
      </c>
      <c r="AM102" s="25" t="str">
        <f>IF(INDEX('Shot Map'!$B$6:$V$26,CEILING($A102/5,1),CEILING(AM$2/5,1))=1,INDEX('Serial Reference'!$A$8:$W$8,1,FLOOR(($A102-1)/23,1)+1)&amp;INDEX('Serial Reference'!$A$8:$W$8,1,MOD($A102-1,23)+1)&amp;TEXT(AM$2+FLOOR((AM$2-1)/9,1),"000"),"")</f>
        <v>EH042</v>
      </c>
      <c r="AN102" s="25" t="str">
        <f>IF(INDEX('Shot Map'!$B$6:$V$26,CEILING($A102/5,1),CEILING(AN$2/5,1))=1,INDEX('Serial Reference'!$A$8:$W$8,1,FLOOR(($A102-1)/23,1)+1)&amp;INDEX('Serial Reference'!$A$8:$W$8,1,MOD($A102-1,23)+1)&amp;TEXT(AN$2+FLOOR((AN$2-1)/9,1),"000"),"")</f>
        <v>EH043</v>
      </c>
      <c r="AO102" s="26" t="str">
        <f>IF(INDEX('Shot Map'!$B$6:$V$26,CEILING($A102/5,1),CEILING(AO$2/5,1))=1,INDEX('Serial Reference'!$A$8:$W$8,1,FLOOR(($A102-1)/23,1)+1)&amp;INDEX('Serial Reference'!$A$8:$W$8,1,MOD($A102-1,23)+1)&amp;TEXT(AO$2+FLOOR((AO$2-1)/9,1),"000"),"")</f>
        <v>EH044</v>
      </c>
      <c r="AP102" s="24" t="str">
        <f>IF(INDEX('Shot Map'!$B$6:$V$26,CEILING($A102/5,1),CEILING(AP$2/5,1))=1,INDEX('Serial Reference'!$A$8:$W$8,1,FLOOR(($A102-1)/23,1)+1)&amp;INDEX('Serial Reference'!$A$8:$W$8,1,MOD($A102-1,23)+1)&amp;TEXT(AP$2+FLOOR((AP$2-1)/9,1),"000"),"")</f>
        <v>EH045</v>
      </c>
      <c r="AQ102" s="25" t="str">
        <f>IF(INDEX('Shot Map'!$B$6:$V$26,CEILING($A102/5,1),CEILING(AQ$2/5,1))=1,INDEX('Serial Reference'!$A$8:$W$8,1,FLOOR(($A102-1)/23,1)+1)&amp;INDEX('Serial Reference'!$A$8:$W$8,1,MOD($A102-1,23)+1)&amp;TEXT(AQ$2+FLOOR((AQ$2-1)/9,1),"000"),"")</f>
        <v>EH046</v>
      </c>
      <c r="AR102" s="25" t="str">
        <f>IF(INDEX('Shot Map'!$B$6:$V$26,CEILING($A102/5,1),CEILING(AR$2/5,1))=1,INDEX('Serial Reference'!$A$8:$W$8,1,FLOOR(($A102-1)/23,1)+1)&amp;INDEX('Serial Reference'!$A$8:$W$8,1,MOD($A102-1,23)+1)&amp;TEXT(AR$2+FLOOR((AR$2-1)/9,1),"000"),"")</f>
        <v>EH047</v>
      </c>
      <c r="AS102" s="25" t="str">
        <f>IF(INDEX('Shot Map'!$B$6:$V$26,CEILING($A102/5,1),CEILING(AS$2/5,1))=1,INDEX('Serial Reference'!$A$8:$W$8,1,FLOOR(($A102-1)/23,1)+1)&amp;INDEX('Serial Reference'!$A$8:$W$8,1,MOD($A102-1,23)+1)&amp;TEXT(AS$2+FLOOR((AS$2-1)/9,1),"000"),"")</f>
        <v>EH048</v>
      </c>
      <c r="AT102" s="26" t="str">
        <f>IF(INDEX('Shot Map'!$B$6:$V$26,CEILING($A102/5,1),CEILING(AT$2/5,1))=1,INDEX('Serial Reference'!$A$8:$W$8,1,FLOOR(($A102-1)/23,1)+1)&amp;INDEX('Serial Reference'!$A$8:$W$8,1,MOD($A102-1,23)+1)&amp;TEXT(AT$2+FLOOR((AT$2-1)/9,1),"000"),"")</f>
        <v>EH049</v>
      </c>
      <c r="AU102" s="24" t="str">
        <f>IF(INDEX('Shot Map'!$B$6:$V$26,CEILING($A102/5,1),CEILING(AU$2/5,1))=1,INDEX('Serial Reference'!$A$8:$W$8,1,FLOOR(($A102-1)/23,1)+1)&amp;INDEX('Serial Reference'!$A$8:$W$8,1,MOD($A102-1,23)+1)&amp;TEXT(AU$2+FLOOR((AU$2-1)/9,1),"000"),"")</f>
        <v>EH051</v>
      </c>
      <c r="AV102" s="25" t="str">
        <f>IF(INDEX('Shot Map'!$B$6:$V$26,CEILING($A102/5,1),CEILING(AV$2/5,1))=1,INDEX('Serial Reference'!$A$8:$W$8,1,FLOOR(($A102-1)/23,1)+1)&amp;INDEX('Serial Reference'!$A$8:$W$8,1,MOD($A102-1,23)+1)&amp;TEXT(AV$2+FLOOR((AV$2-1)/9,1),"000"),"")</f>
        <v>EH052</v>
      </c>
      <c r="AW102" s="25" t="str">
        <f>IF(INDEX('Shot Map'!$B$6:$V$26,CEILING($A102/5,1),CEILING(AW$2/5,1))=1,INDEX('Serial Reference'!$A$8:$W$8,1,FLOOR(($A102-1)/23,1)+1)&amp;INDEX('Serial Reference'!$A$8:$W$8,1,MOD($A102-1,23)+1)&amp;TEXT(AW$2+FLOOR((AW$2-1)/9,1),"000"),"")</f>
        <v>EH053</v>
      </c>
      <c r="AX102" s="25" t="str">
        <f>IF(INDEX('Shot Map'!$B$6:$V$26,CEILING($A102/5,1),CEILING(AX$2/5,1))=1,INDEX('Serial Reference'!$A$8:$W$8,1,FLOOR(($A102-1)/23,1)+1)&amp;INDEX('Serial Reference'!$A$8:$W$8,1,MOD($A102-1,23)+1)&amp;TEXT(AX$2+FLOOR((AX$2-1)/9,1),"000"),"")</f>
        <v>EH054</v>
      </c>
      <c r="AY102" s="26" t="str">
        <f>IF(INDEX('Shot Map'!$B$6:$V$26,CEILING($A102/5,1),CEILING(AY$2/5,1))=1,INDEX('Serial Reference'!$A$8:$W$8,1,FLOOR(($A102-1)/23,1)+1)&amp;INDEX('Serial Reference'!$A$8:$W$8,1,MOD($A102-1,23)+1)&amp;TEXT(AY$2+FLOOR((AY$2-1)/9,1),"000"),"")</f>
        <v>EH055</v>
      </c>
      <c r="AZ102" s="24" t="str">
        <f>IF(INDEX('Shot Map'!$B$6:$V$26,CEILING($A102/5,1),CEILING(AZ$2/5,1))=1,INDEX('Serial Reference'!$A$8:$W$8,1,FLOOR(($A102-1)/23,1)+1)&amp;INDEX('Serial Reference'!$A$8:$W$8,1,MOD($A102-1,23)+1)&amp;TEXT(AZ$2+FLOOR((AZ$2-1)/9,1),"000"),"")</f>
        <v>EH056</v>
      </c>
      <c r="BA102" s="25" t="str">
        <f>IF(INDEX('Shot Map'!$B$6:$V$26,CEILING($A102/5,1),CEILING(BA$2/5,1))=1,INDEX('Serial Reference'!$A$8:$W$8,1,FLOOR(($A102-1)/23,1)+1)&amp;INDEX('Serial Reference'!$A$8:$W$8,1,MOD($A102-1,23)+1)&amp;TEXT(BA$2+FLOOR((BA$2-1)/9,1),"000"),"")</f>
        <v>EH057</v>
      </c>
      <c r="BB102" s="25" t="str">
        <f>IF(INDEX('Shot Map'!$B$6:$V$26,CEILING($A102/5,1),CEILING(BB$2/5,1))=1,INDEX('Serial Reference'!$A$8:$W$8,1,FLOOR(($A102-1)/23,1)+1)&amp;INDEX('Serial Reference'!$A$8:$W$8,1,MOD($A102-1,23)+1)&amp;TEXT(BB$2+FLOOR((BB$2-1)/9,1),"000"),"")</f>
        <v>EH058</v>
      </c>
      <c r="BC102" s="25" t="str">
        <f>IF(INDEX('Shot Map'!$B$6:$V$26,CEILING($A102/5,1),CEILING(BC$2/5,1))=1,INDEX('Serial Reference'!$A$8:$W$8,1,FLOOR(($A102-1)/23,1)+1)&amp;INDEX('Serial Reference'!$A$8:$W$8,1,MOD($A102-1,23)+1)&amp;TEXT(BC$2+FLOOR((BC$2-1)/9,1),"000"),"")</f>
        <v>EH059</v>
      </c>
      <c r="BD102" s="26" t="str">
        <f>IF(INDEX('Shot Map'!$B$6:$V$26,CEILING($A102/5,1),CEILING(BD$2/5,1))=1,INDEX('Serial Reference'!$A$8:$W$8,1,FLOOR(($A102-1)/23,1)+1)&amp;INDEX('Serial Reference'!$A$8:$W$8,1,MOD($A102-1,23)+1)&amp;TEXT(BD$2+FLOOR((BD$2-1)/9,1),"000"),"")</f>
        <v>EH061</v>
      </c>
      <c r="BE102" s="24" t="str">
        <f>IF(INDEX('Shot Map'!$B$6:$V$26,CEILING($A102/5,1),CEILING(BE$2/5,1))=1,INDEX('Serial Reference'!$A$8:$W$8,1,FLOOR(($A102-1)/23,1)+1)&amp;INDEX('Serial Reference'!$A$8:$W$8,1,MOD($A102-1,23)+1)&amp;TEXT(BE$2+FLOOR((BE$2-1)/9,1),"000"),"")</f>
        <v>EH062</v>
      </c>
      <c r="BF102" s="25" t="str">
        <f>IF(INDEX('Shot Map'!$B$6:$V$26,CEILING($A102/5,1),CEILING(BF$2/5,1))=1,INDEX('Serial Reference'!$A$8:$W$8,1,FLOOR(($A102-1)/23,1)+1)&amp;INDEX('Serial Reference'!$A$8:$W$8,1,MOD($A102-1,23)+1)&amp;TEXT(BF$2+FLOOR((BF$2-1)/9,1),"000"),"")</f>
        <v>EH063</v>
      </c>
      <c r="BG102" s="25" t="str">
        <f>IF(INDEX('Shot Map'!$B$6:$V$26,CEILING($A102/5,1),CEILING(BG$2/5,1))=1,INDEX('Serial Reference'!$A$8:$W$8,1,FLOOR(($A102-1)/23,1)+1)&amp;INDEX('Serial Reference'!$A$8:$W$8,1,MOD($A102-1,23)+1)&amp;TEXT(BG$2+FLOOR((BG$2-1)/9,1),"000"),"")</f>
        <v>EH064</v>
      </c>
      <c r="BH102" s="25" t="str">
        <f>IF(INDEX('Shot Map'!$B$6:$V$26,CEILING($A102/5,1),CEILING(BH$2/5,1))=1,INDEX('Serial Reference'!$A$8:$W$8,1,FLOOR(($A102-1)/23,1)+1)&amp;INDEX('Serial Reference'!$A$8:$W$8,1,MOD($A102-1,23)+1)&amp;TEXT(BH$2+FLOOR((BH$2-1)/9,1),"000"),"")</f>
        <v>EH065</v>
      </c>
      <c r="BI102" s="26" t="str">
        <f>IF(INDEX('Shot Map'!$B$6:$V$26,CEILING($A102/5,1),CEILING(BI$2/5,1))=1,INDEX('Serial Reference'!$A$8:$W$8,1,FLOOR(($A102-1)/23,1)+1)&amp;INDEX('Serial Reference'!$A$8:$W$8,1,MOD($A102-1,23)+1)&amp;TEXT(BI$2+FLOOR((BI$2-1)/9,1),"000"),"")</f>
        <v>EH066</v>
      </c>
      <c r="BJ102" s="24" t="str">
        <f>IF(INDEX('Shot Map'!$B$6:$V$26,CEILING($A102/5,1),CEILING(BJ$2/5,1))=1,INDEX('Serial Reference'!$A$8:$W$8,1,FLOOR(($A102-1)/23,1)+1)&amp;INDEX('Serial Reference'!$A$8:$W$8,1,MOD($A102-1,23)+1)&amp;TEXT(BJ$2+FLOOR((BJ$2-1)/9,1),"000"),"")</f>
        <v>EH067</v>
      </c>
      <c r="BK102" s="25" t="str">
        <f>IF(INDEX('Shot Map'!$B$6:$V$26,CEILING($A102/5,1),CEILING(BK$2/5,1))=1,INDEX('Serial Reference'!$A$8:$W$8,1,FLOOR(($A102-1)/23,1)+1)&amp;INDEX('Serial Reference'!$A$8:$W$8,1,MOD($A102-1,23)+1)&amp;TEXT(BK$2+FLOOR((BK$2-1)/9,1),"000"),"")</f>
        <v>EH068</v>
      </c>
      <c r="BL102" s="25" t="str">
        <f>IF(INDEX('Shot Map'!$B$6:$V$26,CEILING($A102/5,1),CEILING(BL$2/5,1))=1,INDEX('Serial Reference'!$A$8:$W$8,1,FLOOR(($A102-1)/23,1)+1)&amp;INDEX('Serial Reference'!$A$8:$W$8,1,MOD($A102-1,23)+1)&amp;TEXT(BL$2+FLOOR((BL$2-1)/9,1),"000"),"")</f>
        <v>EH069</v>
      </c>
      <c r="BM102" s="25" t="str">
        <f>IF(INDEX('Shot Map'!$B$6:$V$26,CEILING($A102/5,1),CEILING(BM$2/5,1))=1,INDEX('Serial Reference'!$A$8:$W$8,1,FLOOR(($A102-1)/23,1)+1)&amp;INDEX('Serial Reference'!$A$8:$W$8,1,MOD($A102-1,23)+1)&amp;TEXT(BM$2+FLOOR((BM$2-1)/9,1),"000"),"")</f>
        <v>EH071</v>
      </c>
      <c r="BN102" s="26" t="str">
        <f>IF(INDEX('Shot Map'!$B$6:$V$26,CEILING($A102/5,1),CEILING(BN$2/5,1))=1,INDEX('Serial Reference'!$A$8:$W$8,1,FLOOR(($A102-1)/23,1)+1)&amp;INDEX('Serial Reference'!$A$8:$W$8,1,MOD($A102-1,23)+1)&amp;TEXT(BN$2+FLOOR((BN$2-1)/9,1),"000"),"")</f>
        <v>EH072</v>
      </c>
      <c r="BO102" s="24" t="str">
        <f>IF(INDEX('Shot Map'!$B$6:$V$26,CEILING($A102/5,1),CEILING(BO$2/5,1))=1,INDEX('Serial Reference'!$A$8:$W$8,1,FLOOR(($A102-1)/23,1)+1)&amp;INDEX('Serial Reference'!$A$8:$W$8,1,MOD($A102-1,23)+1)&amp;TEXT(BO$2+FLOOR((BO$2-1)/9,1),"000"),"")</f>
        <v>EH073</v>
      </c>
      <c r="BP102" s="25" t="str">
        <f>IF(INDEX('Shot Map'!$B$6:$V$26,CEILING($A102/5,1),CEILING(BP$2/5,1))=1,INDEX('Serial Reference'!$A$8:$W$8,1,FLOOR(($A102-1)/23,1)+1)&amp;INDEX('Serial Reference'!$A$8:$W$8,1,MOD($A102-1,23)+1)&amp;TEXT(BP$2+FLOOR((BP$2-1)/9,1),"000"),"")</f>
        <v>EH074</v>
      </c>
      <c r="BQ102" s="25" t="str">
        <f>IF(INDEX('Shot Map'!$B$6:$V$26,CEILING($A102/5,1),CEILING(BQ$2/5,1))=1,INDEX('Serial Reference'!$A$8:$W$8,1,FLOOR(($A102-1)/23,1)+1)&amp;INDEX('Serial Reference'!$A$8:$W$8,1,MOD($A102-1,23)+1)&amp;TEXT(BQ$2+FLOOR((BQ$2-1)/9,1),"000"),"")</f>
        <v>EH075</v>
      </c>
      <c r="BR102" s="25" t="str">
        <f>IF(INDEX('Shot Map'!$B$6:$V$26,CEILING($A102/5,1),CEILING(BR$2/5,1))=1,INDEX('Serial Reference'!$A$8:$W$8,1,FLOOR(($A102-1)/23,1)+1)&amp;INDEX('Serial Reference'!$A$8:$W$8,1,MOD($A102-1,23)+1)&amp;TEXT(BR$2+FLOOR((BR$2-1)/9,1),"000"),"")</f>
        <v>EH076</v>
      </c>
      <c r="BS102" s="26" t="str">
        <f>IF(INDEX('Shot Map'!$B$6:$V$26,CEILING($A102/5,1),CEILING(BS$2/5,1))=1,INDEX('Serial Reference'!$A$8:$W$8,1,FLOOR(($A102-1)/23,1)+1)&amp;INDEX('Serial Reference'!$A$8:$W$8,1,MOD($A102-1,23)+1)&amp;TEXT(BS$2+FLOOR((BS$2-1)/9,1),"000"),"")</f>
        <v>EH077</v>
      </c>
      <c r="BT102" s="24" t="str">
        <f>IF(INDEX('Shot Map'!$B$6:$V$26,CEILING($A102/5,1),CEILING(BT$2/5,1))=1,INDEX('Serial Reference'!$A$8:$W$8,1,FLOOR(($A102-1)/23,1)+1)&amp;INDEX('Serial Reference'!$A$8:$W$8,1,MOD($A102-1,23)+1)&amp;TEXT(BT$2+FLOOR((BT$2-1)/9,1),"000"),"")</f>
        <v>EH078</v>
      </c>
      <c r="BU102" s="25" t="str">
        <f>IF(INDEX('Shot Map'!$B$6:$V$26,CEILING($A102/5,1),CEILING(BU$2/5,1))=1,INDEX('Serial Reference'!$A$8:$W$8,1,FLOOR(($A102-1)/23,1)+1)&amp;INDEX('Serial Reference'!$A$8:$W$8,1,MOD($A102-1,23)+1)&amp;TEXT(BU$2+FLOOR((BU$2-1)/9,1),"000"),"")</f>
        <v>EH079</v>
      </c>
      <c r="BV102" s="25" t="str">
        <f>IF(INDEX('Shot Map'!$B$6:$V$26,CEILING($A102/5,1),CEILING(BV$2/5,1))=1,INDEX('Serial Reference'!$A$8:$W$8,1,FLOOR(($A102-1)/23,1)+1)&amp;INDEX('Serial Reference'!$A$8:$W$8,1,MOD($A102-1,23)+1)&amp;TEXT(BV$2+FLOOR((BV$2-1)/9,1),"000"),"")</f>
        <v>EH081</v>
      </c>
      <c r="BW102" s="25" t="str">
        <f>IF(INDEX('Shot Map'!$B$6:$V$26,CEILING($A102/5,1),CEILING(BW$2/5,1))=1,INDEX('Serial Reference'!$A$8:$W$8,1,FLOOR(($A102-1)/23,1)+1)&amp;INDEX('Serial Reference'!$A$8:$W$8,1,MOD($A102-1,23)+1)&amp;TEXT(BW$2+FLOOR((BW$2-1)/9,1),"000"),"")</f>
        <v>EH082</v>
      </c>
      <c r="BX102" s="26" t="str">
        <f>IF(INDEX('Shot Map'!$B$6:$V$26,CEILING($A102/5,1),CEILING(BX$2/5,1))=1,INDEX('Serial Reference'!$A$8:$W$8,1,FLOOR(($A102-1)/23,1)+1)&amp;INDEX('Serial Reference'!$A$8:$W$8,1,MOD($A102-1,23)+1)&amp;TEXT(BX$2+FLOOR((BX$2-1)/9,1),"000"),"")</f>
        <v>EH083</v>
      </c>
      <c r="BY102" s="24" t="str">
        <f>IF(INDEX('Shot Map'!$B$6:$V$26,CEILING($A102/5,1),CEILING(BY$2/5,1))=1,INDEX('Serial Reference'!$A$8:$W$8,1,FLOOR(($A102-1)/23,1)+1)&amp;INDEX('Serial Reference'!$A$8:$W$8,1,MOD($A102-1,23)+1)&amp;TEXT(BY$2+FLOOR((BY$2-1)/9,1),"000"),"")</f>
        <v/>
      </c>
      <c r="BZ102" s="25" t="str">
        <f>IF(INDEX('Shot Map'!$B$6:$V$26,CEILING($A102/5,1),CEILING(BZ$2/5,1))=1,INDEX('Serial Reference'!$A$8:$W$8,1,FLOOR(($A102-1)/23,1)+1)&amp;INDEX('Serial Reference'!$A$8:$W$8,1,MOD($A102-1,23)+1)&amp;TEXT(BZ$2+FLOOR((BZ$2-1)/9,1),"000"),"")</f>
        <v/>
      </c>
      <c r="CA102" s="25" t="str">
        <f>IF(INDEX('Shot Map'!$B$6:$V$26,CEILING($A102/5,1),CEILING(CA$2/5,1))=1,INDEX('Serial Reference'!$A$8:$W$8,1,FLOOR(($A102-1)/23,1)+1)&amp;INDEX('Serial Reference'!$A$8:$W$8,1,MOD($A102-1,23)+1)&amp;TEXT(CA$2+FLOOR((CA$2-1)/9,1),"000"),"")</f>
        <v/>
      </c>
      <c r="CB102" s="25" t="str">
        <f>IF(INDEX('Shot Map'!$B$6:$V$26,CEILING($A102/5,1),CEILING(CB$2/5,1))=1,INDEX('Serial Reference'!$A$8:$W$8,1,FLOOR(($A102-1)/23,1)+1)&amp;INDEX('Serial Reference'!$A$8:$W$8,1,MOD($A102-1,23)+1)&amp;TEXT(CB$2+FLOOR((CB$2-1)/9,1),"000"),"")</f>
        <v/>
      </c>
      <c r="CC102" s="26" t="str">
        <f>IF(INDEX('Shot Map'!$B$6:$V$26,CEILING($A102/5,1),CEILING(CC$2/5,1))=1,INDEX('Serial Reference'!$A$8:$W$8,1,FLOOR(($A102-1)/23,1)+1)&amp;INDEX('Serial Reference'!$A$8:$W$8,1,MOD($A102-1,23)+1)&amp;TEXT(CC$2+FLOOR((CC$2-1)/9,1),"000"),"")</f>
        <v/>
      </c>
      <c r="CD102" s="24" t="str">
        <f>IF(INDEX('Shot Map'!$B$6:$V$26,CEILING($A102/5,1),CEILING(CD$2/5,1))=1,INDEX('Serial Reference'!$A$8:$W$8,1,FLOOR(($A102-1)/23,1)+1)&amp;INDEX('Serial Reference'!$A$8:$W$8,1,MOD($A102-1,23)+1)&amp;TEXT(CD$2+FLOOR((CD$2-1)/9,1),"000"),"")</f>
        <v/>
      </c>
      <c r="CE102" s="25" t="str">
        <f>IF(INDEX('Shot Map'!$B$6:$V$26,CEILING($A102/5,1),CEILING(CE$2/5,1))=1,INDEX('Serial Reference'!$A$8:$W$8,1,FLOOR(($A102-1)/23,1)+1)&amp;INDEX('Serial Reference'!$A$8:$W$8,1,MOD($A102-1,23)+1)&amp;TEXT(CE$2+FLOOR((CE$2-1)/9,1),"000"),"")</f>
        <v/>
      </c>
      <c r="CF102" s="25" t="str">
        <f>IF(INDEX('Shot Map'!$B$6:$V$26,CEILING($A102/5,1),CEILING(CF$2/5,1))=1,INDEX('Serial Reference'!$A$8:$W$8,1,FLOOR(($A102-1)/23,1)+1)&amp;INDEX('Serial Reference'!$A$8:$W$8,1,MOD($A102-1,23)+1)&amp;TEXT(CF$2+FLOOR((CF$2-1)/9,1),"000"),"")</f>
        <v/>
      </c>
      <c r="CG102" s="25" t="str">
        <f>IF(INDEX('Shot Map'!$B$6:$V$26,CEILING($A102/5,1),CEILING(CG$2/5,1))=1,INDEX('Serial Reference'!$A$8:$W$8,1,FLOOR(($A102-1)/23,1)+1)&amp;INDEX('Serial Reference'!$A$8:$W$8,1,MOD($A102-1,23)+1)&amp;TEXT(CG$2+FLOOR((CG$2-1)/9,1),"000"),"")</f>
        <v/>
      </c>
      <c r="CH102" s="26" t="str">
        <f>IF(INDEX('Shot Map'!$B$6:$V$26,CEILING($A102/5,1),CEILING(CH$2/5,1))=1,INDEX('Serial Reference'!$A$8:$W$8,1,FLOOR(($A102-1)/23,1)+1)&amp;INDEX('Serial Reference'!$A$8:$W$8,1,MOD($A102-1,23)+1)&amp;TEXT(CH$2+FLOOR((CH$2-1)/9,1),"000"),"")</f>
        <v/>
      </c>
      <c r="CI102" s="24" t="str">
        <f>IF(INDEX('Shot Map'!$B$6:$V$26,CEILING($A102/5,1),CEILING(CI$2/5,1))=1,INDEX('Serial Reference'!$A$8:$W$8,1,FLOOR(($A102-1)/23,1)+1)&amp;INDEX('Serial Reference'!$A$8:$W$8,1,MOD($A102-1,23)+1)&amp;TEXT(CI$2+FLOOR((CI$2-1)/9,1),"000"),"")</f>
        <v/>
      </c>
      <c r="CJ102" s="25" t="str">
        <f>IF(INDEX('Shot Map'!$B$6:$V$26,CEILING($A102/5,1),CEILING(CJ$2/5,1))=1,INDEX('Serial Reference'!$A$8:$W$8,1,FLOOR(($A102-1)/23,1)+1)&amp;INDEX('Serial Reference'!$A$8:$W$8,1,MOD($A102-1,23)+1)&amp;TEXT(CJ$2+FLOOR((CJ$2-1)/9,1),"000"),"")</f>
        <v/>
      </c>
      <c r="CK102" s="25" t="str">
        <f>IF(INDEX('Shot Map'!$B$6:$V$26,CEILING($A102/5,1),CEILING(CK$2/5,1))=1,INDEX('Serial Reference'!$A$8:$W$8,1,FLOOR(($A102-1)/23,1)+1)&amp;INDEX('Serial Reference'!$A$8:$W$8,1,MOD($A102-1,23)+1)&amp;TEXT(CK$2+FLOOR((CK$2-1)/9,1),"000"),"")</f>
        <v/>
      </c>
      <c r="CL102" s="25" t="str">
        <f>IF(INDEX('Shot Map'!$B$6:$V$26,CEILING($A102/5,1),CEILING(CL$2/5,1))=1,INDEX('Serial Reference'!$A$8:$W$8,1,FLOOR(($A102-1)/23,1)+1)&amp;INDEX('Serial Reference'!$A$8:$W$8,1,MOD($A102-1,23)+1)&amp;TEXT(CL$2+FLOOR((CL$2-1)/9,1),"000"),"")</f>
        <v/>
      </c>
      <c r="CM102" s="26" t="str">
        <f>IF(INDEX('Shot Map'!$B$6:$V$26,CEILING($A102/5,1),CEILING(CM$2/5,1))=1,INDEX('Serial Reference'!$A$8:$W$8,1,FLOOR(($A102-1)/23,1)+1)&amp;INDEX('Serial Reference'!$A$8:$W$8,1,MOD($A102-1,23)+1)&amp;TEXT(CM$2+FLOOR((CM$2-1)/9,1),"000"),"")</f>
        <v/>
      </c>
      <c r="CN102" s="24" t="str">
        <f>IF(INDEX('Shot Map'!$B$6:$V$26,CEILING($A102/5,1),CEILING(CN$2/5,1))=1,INDEX('Serial Reference'!$A$8:$W$8,1,FLOOR(($A102-1)/23,1)+1)&amp;INDEX('Serial Reference'!$A$8:$W$8,1,MOD($A102-1,23)+1)&amp;TEXT(CN$2+FLOOR((CN$2-1)/9,1),"000"),"")</f>
        <v/>
      </c>
      <c r="CO102" s="25" t="str">
        <f>IF(INDEX('Shot Map'!$B$6:$V$26,CEILING($A102/5,1),CEILING(CO$2/5,1))=1,INDEX('Serial Reference'!$A$8:$W$8,1,FLOOR(($A102-1)/23,1)+1)&amp;INDEX('Serial Reference'!$A$8:$W$8,1,MOD($A102-1,23)+1)&amp;TEXT(CO$2+FLOOR((CO$2-1)/9,1),"000"),"")</f>
        <v/>
      </c>
      <c r="CP102" s="25" t="str">
        <f>IF(INDEX('Shot Map'!$B$6:$V$26,CEILING($A102/5,1),CEILING(CP$2/5,1))=1,INDEX('Serial Reference'!$A$8:$W$8,1,FLOOR(($A102-1)/23,1)+1)&amp;INDEX('Serial Reference'!$A$8:$W$8,1,MOD($A102-1,23)+1)&amp;TEXT(CP$2+FLOOR((CP$2-1)/9,1),"000"),"")</f>
        <v/>
      </c>
      <c r="CQ102" s="25" t="str">
        <f>IF(INDEX('Shot Map'!$B$6:$V$26,CEILING($A102/5,1),CEILING(CQ$2/5,1))=1,INDEX('Serial Reference'!$A$8:$W$8,1,FLOOR(($A102-1)/23,1)+1)&amp;INDEX('Serial Reference'!$A$8:$W$8,1,MOD($A102-1,23)+1)&amp;TEXT(CQ$2+FLOOR((CQ$2-1)/9,1),"000"),"")</f>
        <v/>
      </c>
      <c r="CR102" s="26" t="str">
        <f>IF(INDEX('Shot Map'!$B$6:$V$26,CEILING($A102/5,1),CEILING(CR$2/5,1))=1,INDEX('Serial Reference'!$A$8:$W$8,1,FLOOR(($A102-1)/23,1)+1)&amp;INDEX('Serial Reference'!$A$8:$W$8,1,MOD($A102-1,23)+1)&amp;TEXT(CR$2+FLOOR((CR$2-1)/9,1),"000"),"")</f>
        <v/>
      </c>
      <c r="CS102" s="24" t="str">
        <f>IF(INDEX('Shot Map'!$B$6:$V$26,CEILING($A102/5,1),CEILING(CS$2/5,1))=1,INDEX('Serial Reference'!$A$8:$W$8,1,FLOOR(($A102-1)/23,1)+1)&amp;INDEX('Serial Reference'!$A$8:$W$8,1,MOD($A102-1,23)+1)&amp;TEXT(CS$2+FLOOR((CS$2-1)/9,1),"000"),"")</f>
        <v/>
      </c>
      <c r="CT102" s="25" t="str">
        <f>IF(INDEX('Shot Map'!$B$6:$V$26,CEILING($A102/5,1),CEILING(CT$2/5,1))=1,INDEX('Serial Reference'!$A$8:$W$8,1,FLOOR(($A102-1)/23,1)+1)&amp;INDEX('Serial Reference'!$A$8:$W$8,1,MOD($A102-1,23)+1)&amp;TEXT(CT$2+FLOOR((CT$2-1)/9,1),"000"),"")</f>
        <v/>
      </c>
      <c r="CU102" s="25" t="str">
        <f>IF(INDEX('Shot Map'!$B$6:$V$26,CEILING($A102/5,1),CEILING(CU$2/5,1))=1,INDEX('Serial Reference'!$A$8:$W$8,1,FLOOR(($A102-1)/23,1)+1)&amp;INDEX('Serial Reference'!$A$8:$W$8,1,MOD($A102-1,23)+1)&amp;TEXT(CU$2+FLOOR((CU$2-1)/9,1),"000"),"")</f>
        <v/>
      </c>
      <c r="CV102" s="25" t="str">
        <f>IF(INDEX('Shot Map'!$B$6:$V$26,CEILING($A102/5,1),CEILING(CV$2/5,1))=1,INDEX('Serial Reference'!$A$8:$W$8,1,FLOOR(($A102-1)/23,1)+1)&amp;INDEX('Serial Reference'!$A$8:$W$8,1,MOD($A102-1,23)+1)&amp;TEXT(CV$2+FLOOR((CV$2-1)/9,1),"000"),"")</f>
        <v/>
      </c>
      <c r="CW102" s="26" t="str">
        <f>IF(INDEX('Shot Map'!$B$6:$V$26,CEILING($A102/5,1),CEILING(CW$2/5,1))=1,INDEX('Serial Reference'!$A$8:$W$8,1,FLOOR(($A102-1)/23,1)+1)&amp;INDEX('Serial Reference'!$A$8:$W$8,1,MOD($A102-1,23)+1)&amp;TEXT(CW$2+FLOOR((CW$2-1)/9,1),"000"),"")</f>
        <v/>
      </c>
      <c r="CX102" s="24" t="str">
        <f>IF(INDEX('Shot Map'!$B$6:$V$26,CEILING($A102/5,1),CEILING(CX$2/5,1))=1,INDEX('Serial Reference'!$A$8:$W$8,1,FLOOR(($A102-1)/23,1)+1)&amp;INDEX('Serial Reference'!$A$8:$W$8,1,MOD($A102-1,23)+1)&amp;TEXT(CX$2+FLOOR((CX$2-1)/9,1),"000"),"")</f>
        <v/>
      </c>
      <c r="CY102" s="25" t="str">
        <f>IF(INDEX('Shot Map'!$B$6:$V$26,CEILING($A102/5,1),CEILING(CY$2/5,1))=1,INDEX('Serial Reference'!$A$8:$W$8,1,FLOOR(($A102-1)/23,1)+1)&amp;INDEX('Serial Reference'!$A$8:$W$8,1,MOD($A102-1,23)+1)&amp;TEXT(CY$2+FLOOR((CY$2-1)/9,1),"000"),"")</f>
        <v/>
      </c>
      <c r="CZ102" s="25" t="str">
        <f>IF(INDEX('Shot Map'!$B$6:$V$26,CEILING($A102/5,1),CEILING(CZ$2/5,1))=1,INDEX('Serial Reference'!$A$8:$W$8,1,FLOOR(($A102-1)/23,1)+1)&amp;INDEX('Serial Reference'!$A$8:$W$8,1,MOD($A102-1,23)+1)&amp;TEXT(CZ$2+FLOOR((CZ$2-1)/9,1),"000"),"")</f>
        <v/>
      </c>
      <c r="DA102" s="25" t="str">
        <f>IF(INDEX('Shot Map'!$B$6:$V$26,CEILING($A102/5,1),CEILING(DA$2/5,1))=1,INDEX('Serial Reference'!$A$8:$W$8,1,FLOOR(($A102-1)/23,1)+1)&amp;INDEX('Serial Reference'!$A$8:$W$8,1,MOD($A102-1,23)+1)&amp;TEXT(DA$2+FLOOR((DA$2-1)/9,1),"000"),"")</f>
        <v/>
      </c>
      <c r="DB102" s="26" t="str">
        <f>IF(INDEX('Shot Map'!$B$6:$V$26,CEILING($A102/5,1),CEILING(DB$2/5,1))=1,INDEX('Serial Reference'!$A$8:$W$8,1,FLOOR(($A102-1)/23,1)+1)&amp;INDEX('Serial Reference'!$A$8:$W$8,1,MOD($A102-1,23)+1)&amp;TEXT(DB$2+FLOOR((DB$2-1)/9,1),"000"),"")</f>
        <v/>
      </c>
    </row>
    <row r="103" spans="1:106" ht="12.75" customHeight="1" x14ac:dyDescent="0.25">
      <c r="A103" s="17">
        <v>101</v>
      </c>
      <c r="B103" s="18" t="str">
        <f>IF(INDEX('Shot Map'!$B$6:$V$26,CEILING($A103/5,1),CEILING(B$2/5,1))=1,INDEX('Serial Reference'!$A$8:$W$8,1,FLOOR(($A103-1)/23,1)+1)&amp;INDEX('Serial Reference'!$A$8:$W$8,1,MOD($A103-1,23)+1)&amp;TEXT(B$2+FLOOR((B$2-1)/9,1),"000"),"")</f>
        <v/>
      </c>
      <c r="C103" s="19" t="str">
        <f>IF(INDEX('Shot Map'!$B$6:$V$26,CEILING($A103/5,1),CEILING(C$2/5,1))=1,INDEX('Serial Reference'!$A$8:$W$8,1,FLOOR(($A103-1)/23,1)+1)&amp;INDEX('Serial Reference'!$A$8:$W$8,1,MOD($A103-1,23)+1)&amp;TEXT(C$2+FLOOR((C$2-1)/9,1),"000"),"")</f>
        <v/>
      </c>
      <c r="D103" s="19" t="str">
        <f>IF(INDEX('Shot Map'!$B$6:$V$26,CEILING($A103/5,1),CEILING(D$2/5,1))=1,INDEX('Serial Reference'!$A$8:$W$8,1,FLOOR(($A103-1)/23,1)+1)&amp;INDEX('Serial Reference'!$A$8:$W$8,1,MOD($A103-1,23)+1)&amp;TEXT(D$2+FLOOR((D$2-1)/9,1),"000"),"")</f>
        <v/>
      </c>
      <c r="E103" s="19" t="str">
        <f>IF(INDEX('Shot Map'!$B$6:$V$26,CEILING($A103/5,1),CEILING(E$2/5,1))=1,INDEX('Serial Reference'!$A$8:$W$8,1,FLOOR(($A103-1)/23,1)+1)&amp;INDEX('Serial Reference'!$A$8:$W$8,1,MOD($A103-1,23)+1)&amp;TEXT(E$2+FLOOR((E$2-1)/9,1),"000"),"")</f>
        <v/>
      </c>
      <c r="F103" s="20" t="str">
        <f>IF(INDEX('Shot Map'!$B$6:$V$26,CEILING($A103/5,1),CEILING(F$2/5,1))=1,INDEX('Serial Reference'!$A$8:$W$8,1,FLOOR(($A103-1)/23,1)+1)&amp;INDEX('Serial Reference'!$A$8:$W$8,1,MOD($A103-1,23)+1)&amp;TEXT(F$2+FLOOR((F$2-1)/9,1),"000"),"")</f>
        <v/>
      </c>
      <c r="G103" s="18" t="str">
        <f>IF(INDEX('Shot Map'!$B$6:$V$26,CEILING($A103/5,1),CEILING(G$2/5,1))=1,INDEX('Serial Reference'!$A$8:$W$8,1,FLOOR(($A103-1)/23,1)+1)&amp;INDEX('Serial Reference'!$A$8:$W$8,1,MOD($A103-1,23)+1)&amp;TEXT(G$2+FLOOR((G$2-1)/9,1),"000"),"")</f>
        <v/>
      </c>
      <c r="H103" s="19" t="str">
        <f>IF(INDEX('Shot Map'!$B$6:$V$26,CEILING($A103/5,1),CEILING(H$2/5,1))=1,INDEX('Serial Reference'!$A$8:$W$8,1,FLOOR(($A103-1)/23,1)+1)&amp;INDEX('Serial Reference'!$A$8:$W$8,1,MOD($A103-1,23)+1)&amp;TEXT(H$2+FLOOR((H$2-1)/9,1),"000"),"")</f>
        <v/>
      </c>
      <c r="I103" s="19" t="str">
        <f>IF(INDEX('Shot Map'!$B$6:$V$26,CEILING($A103/5,1),CEILING(I$2/5,1))=1,INDEX('Serial Reference'!$A$8:$W$8,1,FLOOR(($A103-1)/23,1)+1)&amp;INDEX('Serial Reference'!$A$8:$W$8,1,MOD($A103-1,23)+1)&amp;TEXT(I$2+FLOOR((I$2-1)/9,1),"000"),"")</f>
        <v/>
      </c>
      <c r="J103" s="19" t="str">
        <f>IF(INDEX('Shot Map'!$B$6:$V$26,CEILING($A103/5,1),CEILING(J$2/5,1))=1,INDEX('Serial Reference'!$A$8:$W$8,1,FLOOR(($A103-1)/23,1)+1)&amp;INDEX('Serial Reference'!$A$8:$W$8,1,MOD($A103-1,23)+1)&amp;TEXT(J$2+FLOOR((J$2-1)/9,1),"000"),"")</f>
        <v/>
      </c>
      <c r="K103" s="20" t="str">
        <f>IF(INDEX('Shot Map'!$B$6:$V$26,CEILING($A103/5,1),CEILING(K$2/5,1))=1,INDEX('Serial Reference'!$A$8:$W$8,1,FLOOR(($A103-1)/23,1)+1)&amp;INDEX('Serial Reference'!$A$8:$W$8,1,MOD($A103-1,23)+1)&amp;TEXT(K$2+FLOOR((K$2-1)/9,1),"000"),"")</f>
        <v/>
      </c>
      <c r="L103" s="18" t="str">
        <f>IF(INDEX('Shot Map'!$B$6:$V$26,CEILING($A103/5,1),CEILING(L$2/5,1))=1,INDEX('Serial Reference'!$A$8:$W$8,1,FLOOR(($A103-1)/23,1)+1)&amp;INDEX('Serial Reference'!$A$8:$W$8,1,MOD($A103-1,23)+1)&amp;TEXT(L$2+FLOOR((L$2-1)/9,1),"000"),"")</f>
        <v/>
      </c>
      <c r="M103" s="19" t="str">
        <f>IF(INDEX('Shot Map'!$B$6:$V$26,CEILING($A103/5,1),CEILING(M$2/5,1))=1,INDEX('Serial Reference'!$A$8:$W$8,1,FLOOR(($A103-1)/23,1)+1)&amp;INDEX('Serial Reference'!$A$8:$W$8,1,MOD($A103-1,23)+1)&amp;TEXT(M$2+FLOOR((M$2-1)/9,1),"000"),"")</f>
        <v/>
      </c>
      <c r="N103" s="19" t="str">
        <f>IF(INDEX('Shot Map'!$B$6:$V$26,CEILING($A103/5,1),CEILING(N$2/5,1))=1,INDEX('Serial Reference'!$A$8:$W$8,1,FLOOR(($A103-1)/23,1)+1)&amp;INDEX('Serial Reference'!$A$8:$W$8,1,MOD($A103-1,23)+1)&amp;TEXT(N$2+FLOOR((N$2-1)/9,1),"000"),"")</f>
        <v/>
      </c>
      <c r="O103" s="19" t="str">
        <f>IF(INDEX('Shot Map'!$B$6:$V$26,CEILING($A103/5,1),CEILING(O$2/5,1))=1,INDEX('Serial Reference'!$A$8:$W$8,1,FLOOR(($A103-1)/23,1)+1)&amp;INDEX('Serial Reference'!$A$8:$W$8,1,MOD($A103-1,23)+1)&amp;TEXT(O$2+FLOOR((O$2-1)/9,1),"000"),"")</f>
        <v/>
      </c>
      <c r="P103" s="20" t="str">
        <f>IF(INDEX('Shot Map'!$B$6:$V$26,CEILING($A103/5,1),CEILING(P$2/5,1))=1,INDEX('Serial Reference'!$A$8:$W$8,1,FLOOR(($A103-1)/23,1)+1)&amp;INDEX('Serial Reference'!$A$8:$W$8,1,MOD($A103-1,23)+1)&amp;TEXT(P$2+FLOOR((P$2-1)/9,1),"000"),"")</f>
        <v/>
      </c>
      <c r="Q103" s="18" t="str">
        <f>IF(INDEX('Shot Map'!$B$6:$V$26,CEILING($A103/5,1),CEILING(Q$2/5,1))=1,INDEX('Serial Reference'!$A$8:$W$8,1,FLOOR(($A103-1)/23,1)+1)&amp;INDEX('Serial Reference'!$A$8:$W$8,1,MOD($A103-1,23)+1)&amp;TEXT(Q$2+FLOOR((Q$2-1)/9,1),"000"),"")</f>
        <v/>
      </c>
      <c r="R103" s="19" t="str">
        <f>IF(INDEX('Shot Map'!$B$6:$V$26,CEILING($A103/5,1),CEILING(R$2/5,1))=1,INDEX('Serial Reference'!$A$8:$W$8,1,FLOOR(($A103-1)/23,1)+1)&amp;INDEX('Serial Reference'!$A$8:$W$8,1,MOD($A103-1,23)+1)&amp;TEXT(R$2+FLOOR((R$2-1)/9,1),"000"),"")</f>
        <v/>
      </c>
      <c r="S103" s="19" t="str">
        <f>IF(INDEX('Shot Map'!$B$6:$V$26,CEILING($A103/5,1),CEILING(S$2/5,1))=1,INDEX('Serial Reference'!$A$8:$W$8,1,FLOOR(($A103-1)/23,1)+1)&amp;INDEX('Serial Reference'!$A$8:$W$8,1,MOD($A103-1,23)+1)&amp;TEXT(S$2+FLOOR((S$2-1)/9,1),"000"),"")</f>
        <v/>
      </c>
      <c r="T103" s="19" t="str">
        <f>IF(INDEX('Shot Map'!$B$6:$V$26,CEILING($A103/5,1),CEILING(T$2/5,1))=1,INDEX('Serial Reference'!$A$8:$W$8,1,FLOOR(($A103-1)/23,1)+1)&amp;INDEX('Serial Reference'!$A$8:$W$8,1,MOD($A103-1,23)+1)&amp;TEXT(T$2+FLOOR((T$2-1)/9,1),"000"),"")</f>
        <v/>
      </c>
      <c r="U103" s="20" t="str">
        <f>IF(INDEX('Shot Map'!$B$6:$V$26,CEILING($A103/5,1),CEILING(U$2/5,1))=1,INDEX('Serial Reference'!$A$8:$W$8,1,FLOOR(($A103-1)/23,1)+1)&amp;INDEX('Serial Reference'!$A$8:$W$8,1,MOD($A103-1,23)+1)&amp;TEXT(U$2+FLOOR((U$2-1)/9,1),"000"),"")</f>
        <v/>
      </c>
      <c r="V103" s="18" t="str">
        <f>IF(INDEX('Shot Map'!$B$6:$V$26,CEILING($A103/5,1),CEILING(V$2/5,1))=1,INDEX('Serial Reference'!$A$8:$W$8,1,FLOOR(($A103-1)/23,1)+1)&amp;INDEX('Serial Reference'!$A$8:$W$8,1,MOD($A103-1,23)+1)&amp;TEXT(V$2+FLOOR((V$2-1)/9,1),"000"),"")</f>
        <v/>
      </c>
      <c r="W103" s="19" t="str">
        <f>IF(INDEX('Shot Map'!$B$6:$V$26,CEILING($A103/5,1),CEILING(W$2/5,1))=1,INDEX('Serial Reference'!$A$8:$W$8,1,FLOOR(($A103-1)/23,1)+1)&amp;INDEX('Serial Reference'!$A$8:$W$8,1,MOD($A103-1,23)+1)&amp;TEXT(W$2+FLOOR((W$2-1)/9,1),"000"),"")</f>
        <v/>
      </c>
      <c r="X103" s="19" t="str">
        <f>IF(INDEX('Shot Map'!$B$6:$V$26,CEILING($A103/5,1),CEILING(X$2/5,1))=1,INDEX('Serial Reference'!$A$8:$W$8,1,FLOOR(($A103-1)/23,1)+1)&amp;INDEX('Serial Reference'!$A$8:$W$8,1,MOD($A103-1,23)+1)&amp;TEXT(X$2+FLOOR((X$2-1)/9,1),"000"),"")</f>
        <v/>
      </c>
      <c r="Y103" s="19" t="str">
        <f>IF(INDEX('Shot Map'!$B$6:$V$26,CEILING($A103/5,1),CEILING(Y$2/5,1))=1,INDEX('Serial Reference'!$A$8:$W$8,1,FLOOR(($A103-1)/23,1)+1)&amp;INDEX('Serial Reference'!$A$8:$W$8,1,MOD($A103-1,23)+1)&amp;TEXT(Y$2+FLOOR((Y$2-1)/9,1),"000"),"")</f>
        <v/>
      </c>
      <c r="Z103" s="20" t="str">
        <f>IF(INDEX('Shot Map'!$B$6:$V$26,CEILING($A103/5,1),CEILING(Z$2/5,1))=1,INDEX('Serial Reference'!$A$8:$W$8,1,FLOOR(($A103-1)/23,1)+1)&amp;INDEX('Serial Reference'!$A$8:$W$8,1,MOD($A103-1,23)+1)&amp;TEXT(Z$2+FLOOR((Z$2-1)/9,1),"000"),"")</f>
        <v/>
      </c>
      <c r="AA103" s="18" t="str">
        <f>IF(INDEX('Shot Map'!$B$6:$V$26,CEILING($A103/5,1),CEILING(AA$2/5,1))=1,INDEX('Serial Reference'!$A$8:$W$8,1,FLOOR(($A103-1)/23,1)+1)&amp;INDEX('Serial Reference'!$A$8:$W$8,1,MOD($A103-1,23)+1)&amp;TEXT(AA$2+FLOOR((AA$2-1)/9,1),"000"),"")</f>
        <v/>
      </c>
      <c r="AB103" s="19" t="str">
        <f>IF(INDEX('Shot Map'!$B$6:$V$26,CEILING($A103/5,1),CEILING(AB$2/5,1))=1,INDEX('Serial Reference'!$A$8:$W$8,1,FLOOR(($A103-1)/23,1)+1)&amp;INDEX('Serial Reference'!$A$8:$W$8,1,MOD($A103-1,23)+1)&amp;TEXT(AB$2+FLOOR((AB$2-1)/9,1),"000"),"")</f>
        <v/>
      </c>
      <c r="AC103" s="19" t="str">
        <f>IF(INDEX('Shot Map'!$B$6:$V$26,CEILING($A103/5,1),CEILING(AC$2/5,1))=1,INDEX('Serial Reference'!$A$8:$W$8,1,FLOOR(($A103-1)/23,1)+1)&amp;INDEX('Serial Reference'!$A$8:$W$8,1,MOD($A103-1,23)+1)&amp;TEXT(AC$2+FLOOR((AC$2-1)/9,1),"000"),"")</f>
        <v/>
      </c>
      <c r="AD103" s="19" t="str">
        <f>IF(INDEX('Shot Map'!$B$6:$V$26,CEILING($A103/5,1),CEILING(AD$2/5,1))=1,INDEX('Serial Reference'!$A$8:$W$8,1,FLOOR(($A103-1)/23,1)+1)&amp;INDEX('Serial Reference'!$A$8:$W$8,1,MOD($A103-1,23)+1)&amp;TEXT(AD$2+FLOOR((AD$2-1)/9,1),"000"),"")</f>
        <v/>
      </c>
      <c r="AE103" s="20" t="str">
        <f>IF(INDEX('Shot Map'!$B$6:$V$26,CEILING($A103/5,1),CEILING(AE$2/5,1))=1,INDEX('Serial Reference'!$A$8:$W$8,1,FLOOR(($A103-1)/23,1)+1)&amp;INDEX('Serial Reference'!$A$8:$W$8,1,MOD($A103-1,23)+1)&amp;TEXT(AE$2+FLOOR((AE$2-1)/9,1),"000"),"")</f>
        <v/>
      </c>
      <c r="AF103" s="18" t="str">
        <f>IF(INDEX('Shot Map'!$B$6:$V$26,CEILING($A103/5,1),CEILING(AF$2/5,1))=1,INDEX('Serial Reference'!$A$8:$W$8,1,FLOOR(($A103-1)/23,1)+1)&amp;INDEX('Serial Reference'!$A$8:$W$8,1,MOD($A103-1,23)+1)&amp;TEXT(AF$2+FLOOR((AF$2-1)/9,1),"000"),"")</f>
        <v/>
      </c>
      <c r="AG103" s="19" t="str">
        <f>IF(INDEX('Shot Map'!$B$6:$V$26,CEILING($A103/5,1),CEILING(AG$2/5,1))=1,INDEX('Serial Reference'!$A$8:$W$8,1,FLOOR(($A103-1)/23,1)+1)&amp;INDEX('Serial Reference'!$A$8:$W$8,1,MOD($A103-1,23)+1)&amp;TEXT(AG$2+FLOOR((AG$2-1)/9,1),"000"),"")</f>
        <v/>
      </c>
      <c r="AH103" s="19" t="str">
        <f>IF(INDEX('Shot Map'!$B$6:$V$26,CEILING($A103/5,1),CEILING(AH$2/5,1))=1,INDEX('Serial Reference'!$A$8:$W$8,1,FLOOR(($A103-1)/23,1)+1)&amp;INDEX('Serial Reference'!$A$8:$W$8,1,MOD($A103-1,23)+1)&amp;TEXT(AH$2+FLOOR((AH$2-1)/9,1),"000"),"")</f>
        <v/>
      </c>
      <c r="AI103" s="19" t="str">
        <f>IF(INDEX('Shot Map'!$B$6:$V$26,CEILING($A103/5,1),CEILING(AI$2/5,1))=1,INDEX('Serial Reference'!$A$8:$W$8,1,FLOOR(($A103-1)/23,1)+1)&amp;INDEX('Serial Reference'!$A$8:$W$8,1,MOD($A103-1,23)+1)&amp;TEXT(AI$2+FLOOR((AI$2-1)/9,1),"000"),"")</f>
        <v/>
      </c>
      <c r="AJ103" s="20" t="str">
        <f>IF(INDEX('Shot Map'!$B$6:$V$26,CEILING($A103/5,1),CEILING(AJ$2/5,1))=1,INDEX('Serial Reference'!$A$8:$W$8,1,FLOOR(($A103-1)/23,1)+1)&amp;INDEX('Serial Reference'!$A$8:$W$8,1,MOD($A103-1,23)+1)&amp;TEXT(AJ$2+FLOOR((AJ$2-1)/9,1),"000"),"")</f>
        <v/>
      </c>
      <c r="AK103" s="18" t="str">
        <f>IF(INDEX('Shot Map'!$B$6:$V$26,CEILING($A103/5,1),CEILING(AK$2/5,1))=1,INDEX('Serial Reference'!$A$8:$W$8,1,FLOOR(($A103-1)/23,1)+1)&amp;INDEX('Serial Reference'!$A$8:$W$8,1,MOD($A103-1,23)+1)&amp;TEXT(AK$2+FLOOR((AK$2-1)/9,1),"000"),"")</f>
        <v/>
      </c>
      <c r="AL103" s="19" t="str">
        <f>IF(INDEX('Shot Map'!$B$6:$V$26,CEILING($A103/5,1),CEILING(AL$2/5,1))=1,INDEX('Serial Reference'!$A$8:$W$8,1,FLOOR(($A103-1)/23,1)+1)&amp;INDEX('Serial Reference'!$A$8:$W$8,1,MOD($A103-1,23)+1)&amp;TEXT(AL$2+FLOOR((AL$2-1)/9,1),"000"),"")</f>
        <v/>
      </c>
      <c r="AM103" s="19" t="str">
        <f>IF(INDEX('Shot Map'!$B$6:$V$26,CEILING($A103/5,1),CEILING(AM$2/5,1))=1,INDEX('Serial Reference'!$A$8:$W$8,1,FLOOR(($A103-1)/23,1)+1)&amp;INDEX('Serial Reference'!$A$8:$W$8,1,MOD($A103-1,23)+1)&amp;TEXT(AM$2+FLOOR((AM$2-1)/9,1),"000"),"")</f>
        <v/>
      </c>
      <c r="AN103" s="19" t="str">
        <f>IF(INDEX('Shot Map'!$B$6:$V$26,CEILING($A103/5,1),CEILING(AN$2/5,1))=1,INDEX('Serial Reference'!$A$8:$W$8,1,FLOOR(($A103-1)/23,1)+1)&amp;INDEX('Serial Reference'!$A$8:$W$8,1,MOD($A103-1,23)+1)&amp;TEXT(AN$2+FLOOR((AN$2-1)/9,1),"000"),"")</f>
        <v/>
      </c>
      <c r="AO103" s="20" t="str">
        <f>IF(INDEX('Shot Map'!$B$6:$V$26,CEILING($A103/5,1),CEILING(AO$2/5,1))=1,INDEX('Serial Reference'!$A$8:$W$8,1,FLOOR(($A103-1)/23,1)+1)&amp;INDEX('Serial Reference'!$A$8:$W$8,1,MOD($A103-1,23)+1)&amp;TEXT(AO$2+FLOOR((AO$2-1)/9,1),"000"),"")</f>
        <v/>
      </c>
      <c r="AP103" s="18" t="str">
        <f>IF(INDEX('Shot Map'!$B$6:$V$26,CEILING($A103/5,1),CEILING(AP$2/5,1))=1,INDEX('Serial Reference'!$A$8:$W$8,1,FLOOR(($A103-1)/23,1)+1)&amp;INDEX('Serial Reference'!$A$8:$W$8,1,MOD($A103-1,23)+1)&amp;TEXT(AP$2+FLOOR((AP$2-1)/9,1),"000"),"")</f>
        <v/>
      </c>
      <c r="AQ103" s="19" t="str">
        <f>IF(INDEX('Shot Map'!$B$6:$V$26,CEILING($A103/5,1),CEILING(AQ$2/5,1))=1,INDEX('Serial Reference'!$A$8:$W$8,1,FLOOR(($A103-1)/23,1)+1)&amp;INDEX('Serial Reference'!$A$8:$W$8,1,MOD($A103-1,23)+1)&amp;TEXT(AQ$2+FLOOR((AQ$2-1)/9,1),"000"),"")</f>
        <v/>
      </c>
      <c r="AR103" s="19" t="str">
        <f>IF(INDEX('Shot Map'!$B$6:$V$26,CEILING($A103/5,1),CEILING(AR$2/5,1))=1,INDEX('Serial Reference'!$A$8:$W$8,1,FLOOR(($A103-1)/23,1)+1)&amp;INDEX('Serial Reference'!$A$8:$W$8,1,MOD($A103-1,23)+1)&amp;TEXT(AR$2+FLOOR((AR$2-1)/9,1),"000"),"")</f>
        <v/>
      </c>
      <c r="AS103" s="19" t="str">
        <f>IF(INDEX('Shot Map'!$B$6:$V$26,CEILING($A103/5,1),CEILING(AS$2/5,1))=1,INDEX('Serial Reference'!$A$8:$W$8,1,FLOOR(($A103-1)/23,1)+1)&amp;INDEX('Serial Reference'!$A$8:$W$8,1,MOD($A103-1,23)+1)&amp;TEXT(AS$2+FLOOR((AS$2-1)/9,1),"000"),"")</f>
        <v/>
      </c>
      <c r="AT103" s="20" t="str">
        <f>IF(INDEX('Shot Map'!$B$6:$V$26,CEILING($A103/5,1),CEILING(AT$2/5,1))=1,INDEX('Serial Reference'!$A$8:$W$8,1,FLOOR(($A103-1)/23,1)+1)&amp;INDEX('Serial Reference'!$A$8:$W$8,1,MOD($A103-1,23)+1)&amp;TEXT(AT$2+FLOOR((AT$2-1)/9,1),"000"),"")</f>
        <v/>
      </c>
      <c r="AU103" s="18" t="str">
        <f>IF(INDEX('Shot Map'!$B$6:$V$26,CEILING($A103/5,1),CEILING(AU$2/5,1))=1,INDEX('Serial Reference'!$A$8:$W$8,1,FLOOR(($A103-1)/23,1)+1)&amp;INDEX('Serial Reference'!$A$8:$W$8,1,MOD($A103-1,23)+1)&amp;TEXT(AU$2+FLOOR((AU$2-1)/9,1),"000"),"")</f>
        <v>EJ051</v>
      </c>
      <c r="AV103" s="19" t="str">
        <f>IF(INDEX('Shot Map'!$B$6:$V$26,CEILING($A103/5,1),CEILING(AV$2/5,1))=1,INDEX('Serial Reference'!$A$8:$W$8,1,FLOOR(($A103-1)/23,1)+1)&amp;INDEX('Serial Reference'!$A$8:$W$8,1,MOD($A103-1,23)+1)&amp;TEXT(AV$2+FLOOR((AV$2-1)/9,1),"000"),"")</f>
        <v>EJ052</v>
      </c>
      <c r="AW103" s="19" t="str">
        <f>IF(INDEX('Shot Map'!$B$6:$V$26,CEILING($A103/5,1),CEILING(AW$2/5,1))=1,INDEX('Serial Reference'!$A$8:$W$8,1,FLOOR(($A103-1)/23,1)+1)&amp;INDEX('Serial Reference'!$A$8:$W$8,1,MOD($A103-1,23)+1)&amp;TEXT(AW$2+FLOOR((AW$2-1)/9,1),"000"),"")</f>
        <v>EJ053</v>
      </c>
      <c r="AX103" s="19" t="str">
        <f>IF(INDEX('Shot Map'!$B$6:$V$26,CEILING($A103/5,1),CEILING(AX$2/5,1))=1,INDEX('Serial Reference'!$A$8:$W$8,1,FLOOR(($A103-1)/23,1)+1)&amp;INDEX('Serial Reference'!$A$8:$W$8,1,MOD($A103-1,23)+1)&amp;TEXT(AX$2+FLOOR((AX$2-1)/9,1),"000"),"")</f>
        <v>EJ054</v>
      </c>
      <c r="AY103" s="20" t="str">
        <f>IF(INDEX('Shot Map'!$B$6:$V$26,CEILING($A103/5,1),CEILING(AY$2/5,1))=1,INDEX('Serial Reference'!$A$8:$W$8,1,FLOOR(($A103-1)/23,1)+1)&amp;INDEX('Serial Reference'!$A$8:$W$8,1,MOD($A103-1,23)+1)&amp;TEXT(AY$2+FLOOR((AY$2-1)/9,1),"000"),"")</f>
        <v>EJ055</v>
      </c>
      <c r="AZ103" s="18" t="str">
        <f>IF(INDEX('Shot Map'!$B$6:$V$26,CEILING($A103/5,1),CEILING(AZ$2/5,1))=1,INDEX('Serial Reference'!$A$8:$W$8,1,FLOOR(($A103-1)/23,1)+1)&amp;INDEX('Serial Reference'!$A$8:$W$8,1,MOD($A103-1,23)+1)&amp;TEXT(AZ$2+FLOOR((AZ$2-1)/9,1),"000"),"")</f>
        <v>EJ056</v>
      </c>
      <c r="BA103" s="19" t="str">
        <f>IF(INDEX('Shot Map'!$B$6:$V$26,CEILING($A103/5,1),CEILING(BA$2/5,1))=1,INDEX('Serial Reference'!$A$8:$W$8,1,FLOOR(($A103-1)/23,1)+1)&amp;INDEX('Serial Reference'!$A$8:$W$8,1,MOD($A103-1,23)+1)&amp;TEXT(BA$2+FLOOR((BA$2-1)/9,1),"000"),"")</f>
        <v>EJ057</v>
      </c>
      <c r="BB103" s="19" t="str">
        <f>IF(INDEX('Shot Map'!$B$6:$V$26,CEILING($A103/5,1),CEILING(BB$2/5,1))=1,INDEX('Serial Reference'!$A$8:$W$8,1,FLOOR(($A103-1)/23,1)+1)&amp;INDEX('Serial Reference'!$A$8:$W$8,1,MOD($A103-1,23)+1)&amp;TEXT(BB$2+FLOOR((BB$2-1)/9,1),"000"),"")</f>
        <v>EJ058</v>
      </c>
      <c r="BC103" s="19" t="str">
        <f>IF(INDEX('Shot Map'!$B$6:$V$26,CEILING($A103/5,1),CEILING(BC$2/5,1))=1,INDEX('Serial Reference'!$A$8:$W$8,1,FLOOR(($A103-1)/23,1)+1)&amp;INDEX('Serial Reference'!$A$8:$W$8,1,MOD($A103-1,23)+1)&amp;TEXT(BC$2+FLOOR((BC$2-1)/9,1),"000"),"")</f>
        <v>EJ059</v>
      </c>
      <c r="BD103" s="20" t="str">
        <f>IF(INDEX('Shot Map'!$B$6:$V$26,CEILING($A103/5,1),CEILING(BD$2/5,1))=1,INDEX('Serial Reference'!$A$8:$W$8,1,FLOOR(($A103-1)/23,1)+1)&amp;INDEX('Serial Reference'!$A$8:$W$8,1,MOD($A103-1,23)+1)&amp;TEXT(BD$2+FLOOR((BD$2-1)/9,1),"000"),"")</f>
        <v>EJ061</v>
      </c>
      <c r="BE103" s="18" t="str">
        <f>IF(INDEX('Shot Map'!$B$6:$V$26,CEILING($A103/5,1),CEILING(BE$2/5,1))=1,INDEX('Serial Reference'!$A$8:$W$8,1,FLOOR(($A103-1)/23,1)+1)&amp;INDEX('Serial Reference'!$A$8:$W$8,1,MOD($A103-1,23)+1)&amp;TEXT(BE$2+FLOOR((BE$2-1)/9,1),"000"),"")</f>
        <v>EJ062</v>
      </c>
      <c r="BF103" s="19" t="str">
        <f>IF(INDEX('Shot Map'!$B$6:$V$26,CEILING($A103/5,1),CEILING(BF$2/5,1))=1,INDEX('Serial Reference'!$A$8:$W$8,1,FLOOR(($A103-1)/23,1)+1)&amp;INDEX('Serial Reference'!$A$8:$W$8,1,MOD($A103-1,23)+1)&amp;TEXT(BF$2+FLOOR((BF$2-1)/9,1),"000"),"")</f>
        <v>EJ063</v>
      </c>
      <c r="BG103" s="19" t="str">
        <f>IF(INDEX('Shot Map'!$B$6:$V$26,CEILING($A103/5,1),CEILING(BG$2/5,1))=1,INDEX('Serial Reference'!$A$8:$W$8,1,FLOOR(($A103-1)/23,1)+1)&amp;INDEX('Serial Reference'!$A$8:$W$8,1,MOD($A103-1,23)+1)&amp;TEXT(BG$2+FLOOR((BG$2-1)/9,1),"000"),"")</f>
        <v>EJ064</v>
      </c>
      <c r="BH103" s="19" t="str">
        <f>IF(INDEX('Shot Map'!$B$6:$V$26,CEILING($A103/5,1),CEILING(BH$2/5,1))=1,INDEX('Serial Reference'!$A$8:$W$8,1,FLOOR(($A103-1)/23,1)+1)&amp;INDEX('Serial Reference'!$A$8:$W$8,1,MOD($A103-1,23)+1)&amp;TEXT(BH$2+FLOOR((BH$2-1)/9,1),"000"),"")</f>
        <v>EJ065</v>
      </c>
      <c r="BI103" s="20" t="str">
        <f>IF(INDEX('Shot Map'!$B$6:$V$26,CEILING($A103/5,1),CEILING(BI$2/5,1))=1,INDEX('Serial Reference'!$A$8:$W$8,1,FLOOR(($A103-1)/23,1)+1)&amp;INDEX('Serial Reference'!$A$8:$W$8,1,MOD($A103-1,23)+1)&amp;TEXT(BI$2+FLOOR((BI$2-1)/9,1),"000"),"")</f>
        <v>EJ066</v>
      </c>
      <c r="BJ103" s="18" t="str">
        <f>IF(INDEX('Shot Map'!$B$6:$V$26,CEILING($A103/5,1),CEILING(BJ$2/5,1))=1,INDEX('Serial Reference'!$A$8:$W$8,1,FLOOR(($A103-1)/23,1)+1)&amp;INDEX('Serial Reference'!$A$8:$W$8,1,MOD($A103-1,23)+1)&amp;TEXT(BJ$2+FLOOR((BJ$2-1)/9,1),"000"),"")</f>
        <v/>
      </c>
      <c r="BK103" s="19" t="str">
        <f>IF(INDEX('Shot Map'!$B$6:$V$26,CEILING($A103/5,1),CEILING(BK$2/5,1))=1,INDEX('Serial Reference'!$A$8:$W$8,1,FLOOR(($A103-1)/23,1)+1)&amp;INDEX('Serial Reference'!$A$8:$W$8,1,MOD($A103-1,23)+1)&amp;TEXT(BK$2+FLOOR((BK$2-1)/9,1),"000"),"")</f>
        <v/>
      </c>
      <c r="BL103" s="19" t="str">
        <f>IF(INDEX('Shot Map'!$B$6:$V$26,CEILING($A103/5,1),CEILING(BL$2/5,1))=1,INDEX('Serial Reference'!$A$8:$W$8,1,FLOOR(($A103-1)/23,1)+1)&amp;INDEX('Serial Reference'!$A$8:$W$8,1,MOD($A103-1,23)+1)&amp;TEXT(BL$2+FLOOR((BL$2-1)/9,1),"000"),"")</f>
        <v/>
      </c>
      <c r="BM103" s="19" t="str">
        <f>IF(INDEX('Shot Map'!$B$6:$V$26,CEILING($A103/5,1),CEILING(BM$2/5,1))=1,INDEX('Serial Reference'!$A$8:$W$8,1,FLOOR(($A103-1)/23,1)+1)&amp;INDEX('Serial Reference'!$A$8:$W$8,1,MOD($A103-1,23)+1)&amp;TEXT(BM$2+FLOOR((BM$2-1)/9,1),"000"),"")</f>
        <v/>
      </c>
      <c r="BN103" s="20" t="str">
        <f>IF(INDEX('Shot Map'!$B$6:$V$26,CEILING($A103/5,1),CEILING(BN$2/5,1))=1,INDEX('Serial Reference'!$A$8:$W$8,1,FLOOR(($A103-1)/23,1)+1)&amp;INDEX('Serial Reference'!$A$8:$W$8,1,MOD($A103-1,23)+1)&amp;TEXT(BN$2+FLOOR((BN$2-1)/9,1),"000"),"")</f>
        <v/>
      </c>
      <c r="BO103" s="18" t="str">
        <f>IF(INDEX('Shot Map'!$B$6:$V$26,CEILING($A103/5,1),CEILING(BO$2/5,1))=1,INDEX('Serial Reference'!$A$8:$W$8,1,FLOOR(($A103-1)/23,1)+1)&amp;INDEX('Serial Reference'!$A$8:$W$8,1,MOD($A103-1,23)+1)&amp;TEXT(BO$2+FLOOR((BO$2-1)/9,1),"000"),"")</f>
        <v/>
      </c>
      <c r="BP103" s="19" t="str">
        <f>IF(INDEX('Shot Map'!$B$6:$V$26,CEILING($A103/5,1),CEILING(BP$2/5,1))=1,INDEX('Serial Reference'!$A$8:$W$8,1,FLOOR(($A103-1)/23,1)+1)&amp;INDEX('Serial Reference'!$A$8:$W$8,1,MOD($A103-1,23)+1)&amp;TEXT(BP$2+FLOOR((BP$2-1)/9,1),"000"),"")</f>
        <v/>
      </c>
      <c r="BQ103" s="19" t="str">
        <f>IF(INDEX('Shot Map'!$B$6:$V$26,CEILING($A103/5,1),CEILING(BQ$2/5,1))=1,INDEX('Serial Reference'!$A$8:$W$8,1,FLOOR(($A103-1)/23,1)+1)&amp;INDEX('Serial Reference'!$A$8:$W$8,1,MOD($A103-1,23)+1)&amp;TEXT(BQ$2+FLOOR((BQ$2-1)/9,1),"000"),"")</f>
        <v/>
      </c>
      <c r="BR103" s="19" t="str">
        <f>IF(INDEX('Shot Map'!$B$6:$V$26,CEILING($A103/5,1),CEILING(BR$2/5,1))=1,INDEX('Serial Reference'!$A$8:$W$8,1,FLOOR(($A103-1)/23,1)+1)&amp;INDEX('Serial Reference'!$A$8:$W$8,1,MOD($A103-1,23)+1)&amp;TEXT(BR$2+FLOOR((BR$2-1)/9,1),"000"),"")</f>
        <v/>
      </c>
      <c r="BS103" s="20" t="str">
        <f>IF(INDEX('Shot Map'!$B$6:$V$26,CEILING($A103/5,1),CEILING(BS$2/5,1))=1,INDEX('Serial Reference'!$A$8:$W$8,1,FLOOR(($A103-1)/23,1)+1)&amp;INDEX('Serial Reference'!$A$8:$W$8,1,MOD($A103-1,23)+1)&amp;TEXT(BS$2+FLOOR((BS$2-1)/9,1),"000"),"")</f>
        <v/>
      </c>
      <c r="BT103" s="18" t="str">
        <f>IF(INDEX('Shot Map'!$B$6:$V$26,CEILING($A103/5,1),CEILING(BT$2/5,1))=1,INDEX('Serial Reference'!$A$8:$W$8,1,FLOOR(($A103-1)/23,1)+1)&amp;INDEX('Serial Reference'!$A$8:$W$8,1,MOD($A103-1,23)+1)&amp;TEXT(BT$2+FLOOR((BT$2-1)/9,1),"000"),"")</f>
        <v/>
      </c>
      <c r="BU103" s="19" t="str">
        <f>IF(INDEX('Shot Map'!$B$6:$V$26,CEILING($A103/5,1),CEILING(BU$2/5,1))=1,INDEX('Serial Reference'!$A$8:$W$8,1,FLOOR(($A103-1)/23,1)+1)&amp;INDEX('Serial Reference'!$A$8:$W$8,1,MOD($A103-1,23)+1)&amp;TEXT(BU$2+FLOOR((BU$2-1)/9,1),"000"),"")</f>
        <v/>
      </c>
      <c r="BV103" s="19" t="str">
        <f>IF(INDEX('Shot Map'!$B$6:$V$26,CEILING($A103/5,1),CEILING(BV$2/5,1))=1,INDEX('Serial Reference'!$A$8:$W$8,1,FLOOR(($A103-1)/23,1)+1)&amp;INDEX('Serial Reference'!$A$8:$W$8,1,MOD($A103-1,23)+1)&amp;TEXT(BV$2+FLOOR((BV$2-1)/9,1),"000"),"")</f>
        <v/>
      </c>
      <c r="BW103" s="19" t="str">
        <f>IF(INDEX('Shot Map'!$B$6:$V$26,CEILING($A103/5,1),CEILING(BW$2/5,1))=1,INDEX('Serial Reference'!$A$8:$W$8,1,FLOOR(($A103-1)/23,1)+1)&amp;INDEX('Serial Reference'!$A$8:$W$8,1,MOD($A103-1,23)+1)&amp;TEXT(BW$2+FLOOR((BW$2-1)/9,1),"000"),"")</f>
        <v/>
      </c>
      <c r="BX103" s="20" t="str">
        <f>IF(INDEX('Shot Map'!$B$6:$V$26,CEILING($A103/5,1),CEILING(BX$2/5,1))=1,INDEX('Serial Reference'!$A$8:$W$8,1,FLOOR(($A103-1)/23,1)+1)&amp;INDEX('Serial Reference'!$A$8:$W$8,1,MOD($A103-1,23)+1)&amp;TEXT(BX$2+FLOOR((BX$2-1)/9,1),"000"),"")</f>
        <v/>
      </c>
      <c r="BY103" s="18" t="str">
        <f>IF(INDEX('Shot Map'!$B$6:$V$26,CEILING($A103/5,1),CEILING(BY$2/5,1))=1,INDEX('Serial Reference'!$A$8:$W$8,1,FLOOR(($A103-1)/23,1)+1)&amp;INDEX('Serial Reference'!$A$8:$W$8,1,MOD($A103-1,23)+1)&amp;TEXT(BY$2+FLOOR((BY$2-1)/9,1),"000"),"")</f>
        <v/>
      </c>
      <c r="BZ103" s="19" t="str">
        <f>IF(INDEX('Shot Map'!$B$6:$V$26,CEILING($A103/5,1),CEILING(BZ$2/5,1))=1,INDEX('Serial Reference'!$A$8:$W$8,1,FLOOR(($A103-1)/23,1)+1)&amp;INDEX('Serial Reference'!$A$8:$W$8,1,MOD($A103-1,23)+1)&amp;TEXT(BZ$2+FLOOR((BZ$2-1)/9,1),"000"),"")</f>
        <v/>
      </c>
      <c r="CA103" s="19" t="str">
        <f>IF(INDEX('Shot Map'!$B$6:$V$26,CEILING($A103/5,1),CEILING(CA$2/5,1))=1,INDEX('Serial Reference'!$A$8:$W$8,1,FLOOR(($A103-1)/23,1)+1)&amp;INDEX('Serial Reference'!$A$8:$W$8,1,MOD($A103-1,23)+1)&amp;TEXT(CA$2+FLOOR((CA$2-1)/9,1),"000"),"")</f>
        <v/>
      </c>
      <c r="CB103" s="19" t="str">
        <f>IF(INDEX('Shot Map'!$B$6:$V$26,CEILING($A103/5,1),CEILING(CB$2/5,1))=1,INDEX('Serial Reference'!$A$8:$W$8,1,FLOOR(($A103-1)/23,1)+1)&amp;INDEX('Serial Reference'!$A$8:$W$8,1,MOD($A103-1,23)+1)&amp;TEXT(CB$2+FLOOR((CB$2-1)/9,1),"000"),"")</f>
        <v/>
      </c>
      <c r="CC103" s="20" t="str">
        <f>IF(INDEX('Shot Map'!$B$6:$V$26,CEILING($A103/5,1),CEILING(CC$2/5,1))=1,INDEX('Serial Reference'!$A$8:$W$8,1,FLOOR(($A103-1)/23,1)+1)&amp;INDEX('Serial Reference'!$A$8:$W$8,1,MOD($A103-1,23)+1)&amp;TEXT(CC$2+FLOOR((CC$2-1)/9,1),"000"),"")</f>
        <v/>
      </c>
      <c r="CD103" s="18" t="str">
        <f>IF(INDEX('Shot Map'!$B$6:$V$26,CEILING($A103/5,1),CEILING(CD$2/5,1))=1,INDEX('Serial Reference'!$A$8:$W$8,1,FLOOR(($A103-1)/23,1)+1)&amp;INDEX('Serial Reference'!$A$8:$W$8,1,MOD($A103-1,23)+1)&amp;TEXT(CD$2+FLOOR((CD$2-1)/9,1),"000"),"")</f>
        <v/>
      </c>
      <c r="CE103" s="19" t="str">
        <f>IF(INDEX('Shot Map'!$B$6:$V$26,CEILING($A103/5,1),CEILING(CE$2/5,1))=1,INDEX('Serial Reference'!$A$8:$W$8,1,FLOOR(($A103-1)/23,1)+1)&amp;INDEX('Serial Reference'!$A$8:$W$8,1,MOD($A103-1,23)+1)&amp;TEXT(CE$2+FLOOR((CE$2-1)/9,1),"000"),"")</f>
        <v/>
      </c>
      <c r="CF103" s="19" t="str">
        <f>IF(INDEX('Shot Map'!$B$6:$V$26,CEILING($A103/5,1),CEILING(CF$2/5,1))=1,INDEX('Serial Reference'!$A$8:$W$8,1,FLOOR(($A103-1)/23,1)+1)&amp;INDEX('Serial Reference'!$A$8:$W$8,1,MOD($A103-1,23)+1)&amp;TEXT(CF$2+FLOOR((CF$2-1)/9,1),"000"),"")</f>
        <v/>
      </c>
      <c r="CG103" s="19" t="str">
        <f>IF(INDEX('Shot Map'!$B$6:$V$26,CEILING($A103/5,1),CEILING(CG$2/5,1))=1,INDEX('Serial Reference'!$A$8:$W$8,1,FLOOR(($A103-1)/23,1)+1)&amp;INDEX('Serial Reference'!$A$8:$W$8,1,MOD($A103-1,23)+1)&amp;TEXT(CG$2+FLOOR((CG$2-1)/9,1),"000"),"")</f>
        <v/>
      </c>
      <c r="CH103" s="20" t="str">
        <f>IF(INDEX('Shot Map'!$B$6:$V$26,CEILING($A103/5,1),CEILING(CH$2/5,1))=1,INDEX('Serial Reference'!$A$8:$W$8,1,FLOOR(($A103-1)/23,1)+1)&amp;INDEX('Serial Reference'!$A$8:$W$8,1,MOD($A103-1,23)+1)&amp;TEXT(CH$2+FLOOR((CH$2-1)/9,1),"000"),"")</f>
        <v/>
      </c>
      <c r="CI103" s="18" t="str">
        <f>IF(INDEX('Shot Map'!$B$6:$V$26,CEILING($A103/5,1),CEILING(CI$2/5,1))=1,INDEX('Serial Reference'!$A$8:$W$8,1,FLOOR(($A103-1)/23,1)+1)&amp;INDEX('Serial Reference'!$A$8:$W$8,1,MOD($A103-1,23)+1)&amp;TEXT(CI$2+FLOOR((CI$2-1)/9,1),"000"),"")</f>
        <v/>
      </c>
      <c r="CJ103" s="19" t="str">
        <f>IF(INDEX('Shot Map'!$B$6:$V$26,CEILING($A103/5,1),CEILING(CJ$2/5,1))=1,INDEX('Serial Reference'!$A$8:$W$8,1,FLOOR(($A103-1)/23,1)+1)&amp;INDEX('Serial Reference'!$A$8:$W$8,1,MOD($A103-1,23)+1)&amp;TEXT(CJ$2+FLOOR((CJ$2-1)/9,1),"000"),"")</f>
        <v/>
      </c>
      <c r="CK103" s="19" t="str">
        <f>IF(INDEX('Shot Map'!$B$6:$V$26,CEILING($A103/5,1),CEILING(CK$2/5,1))=1,INDEX('Serial Reference'!$A$8:$W$8,1,FLOOR(($A103-1)/23,1)+1)&amp;INDEX('Serial Reference'!$A$8:$W$8,1,MOD($A103-1,23)+1)&amp;TEXT(CK$2+FLOOR((CK$2-1)/9,1),"000"),"")</f>
        <v/>
      </c>
      <c r="CL103" s="19" t="str">
        <f>IF(INDEX('Shot Map'!$B$6:$V$26,CEILING($A103/5,1),CEILING(CL$2/5,1))=1,INDEX('Serial Reference'!$A$8:$W$8,1,FLOOR(($A103-1)/23,1)+1)&amp;INDEX('Serial Reference'!$A$8:$W$8,1,MOD($A103-1,23)+1)&amp;TEXT(CL$2+FLOOR((CL$2-1)/9,1),"000"),"")</f>
        <v/>
      </c>
      <c r="CM103" s="20" t="str">
        <f>IF(INDEX('Shot Map'!$B$6:$V$26,CEILING($A103/5,1),CEILING(CM$2/5,1))=1,INDEX('Serial Reference'!$A$8:$W$8,1,FLOOR(($A103-1)/23,1)+1)&amp;INDEX('Serial Reference'!$A$8:$W$8,1,MOD($A103-1,23)+1)&amp;TEXT(CM$2+FLOOR((CM$2-1)/9,1),"000"),"")</f>
        <v/>
      </c>
      <c r="CN103" s="18" t="str">
        <f>IF(INDEX('Shot Map'!$B$6:$V$26,CEILING($A103/5,1),CEILING(CN$2/5,1))=1,INDEX('Serial Reference'!$A$8:$W$8,1,FLOOR(($A103-1)/23,1)+1)&amp;INDEX('Serial Reference'!$A$8:$W$8,1,MOD($A103-1,23)+1)&amp;TEXT(CN$2+FLOOR((CN$2-1)/9,1),"000"),"")</f>
        <v/>
      </c>
      <c r="CO103" s="19" t="str">
        <f>IF(INDEX('Shot Map'!$B$6:$V$26,CEILING($A103/5,1),CEILING(CO$2/5,1))=1,INDEX('Serial Reference'!$A$8:$W$8,1,FLOOR(($A103-1)/23,1)+1)&amp;INDEX('Serial Reference'!$A$8:$W$8,1,MOD($A103-1,23)+1)&amp;TEXT(CO$2+FLOOR((CO$2-1)/9,1),"000"),"")</f>
        <v/>
      </c>
      <c r="CP103" s="19" t="str">
        <f>IF(INDEX('Shot Map'!$B$6:$V$26,CEILING($A103/5,1),CEILING(CP$2/5,1))=1,INDEX('Serial Reference'!$A$8:$W$8,1,FLOOR(($A103-1)/23,1)+1)&amp;INDEX('Serial Reference'!$A$8:$W$8,1,MOD($A103-1,23)+1)&amp;TEXT(CP$2+FLOOR((CP$2-1)/9,1),"000"),"")</f>
        <v/>
      </c>
      <c r="CQ103" s="19" t="str">
        <f>IF(INDEX('Shot Map'!$B$6:$V$26,CEILING($A103/5,1),CEILING(CQ$2/5,1))=1,INDEX('Serial Reference'!$A$8:$W$8,1,FLOOR(($A103-1)/23,1)+1)&amp;INDEX('Serial Reference'!$A$8:$W$8,1,MOD($A103-1,23)+1)&amp;TEXT(CQ$2+FLOOR((CQ$2-1)/9,1),"000"),"")</f>
        <v/>
      </c>
      <c r="CR103" s="20" t="str">
        <f>IF(INDEX('Shot Map'!$B$6:$V$26,CEILING($A103/5,1),CEILING(CR$2/5,1))=1,INDEX('Serial Reference'!$A$8:$W$8,1,FLOOR(($A103-1)/23,1)+1)&amp;INDEX('Serial Reference'!$A$8:$W$8,1,MOD($A103-1,23)+1)&amp;TEXT(CR$2+FLOOR((CR$2-1)/9,1),"000"),"")</f>
        <v/>
      </c>
      <c r="CS103" s="18" t="str">
        <f>IF(INDEX('Shot Map'!$B$6:$V$26,CEILING($A103/5,1),CEILING(CS$2/5,1))=1,INDEX('Serial Reference'!$A$8:$W$8,1,FLOOR(($A103-1)/23,1)+1)&amp;INDEX('Serial Reference'!$A$8:$W$8,1,MOD($A103-1,23)+1)&amp;TEXT(CS$2+FLOOR((CS$2-1)/9,1),"000"),"")</f>
        <v/>
      </c>
      <c r="CT103" s="19" t="str">
        <f>IF(INDEX('Shot Map'!$B$6:$V$26,CEILING($A103/5,1),CEILING(CT$2/5,1))=1,INDEX('Serial Reference'!$A$8:$W$8,1,FLOOR(($A103-1)/23,1)+1)&amp;INDEX('Serial Reference'!$A$8:$W$8,1,MOD($A103-1,23)+1)&amp;TEXT(CT$2+FLOOR((CT$2-1)/9,1),"000"),"")</f>
        <v/>
      </c>
      <c r="CU103" s="19" t="str">
        <f>IF(INDEX('Shot Map'!$B$6:$V$26,CEILING($A103/5,1),CEILING(CU$2/5,1))=1,INDEX('Serial Reference'!$A$8:$W$8,1,FLOOR(($A103-1)/23,1)+1)&amp;INDEX('Serial Reference'!$A$8:$W$8,1,MOD($A103-1,23)+1)&amp;TEXT(CU$2+FLOOR((CU$2-1)/9,1),"000"),"")</f>
        <v/>
      </c>
      <c r="CV103" s="19" t="str">
        <f>IF(INDEX('Shot Map'!$B$6:$V$26,CEILING($A103/5,1),CEILING(CV$2/5,1))=1,INDEX('Serial Reference'!$A$8:$W$8,1,FLOOR(($A103-1)/23,1)+1)&amp;INDEX('Serial Reference'!$A$8:$W$8,1,MOD($A103-1,23)+1)&amp;TEXT(CV$2+FLOOR((CV$2-1)/9,1),"000"),"")</f>
        <v/>
      </c>
      <c r="CW103" s="20" t="str">
        <f>IF(INDEX('Shot Map'!$B$6:$V$26,CEILING($A103/5,1),CEILING(CW$2/5,1))=1,INDEX('Serial Reference'!$A$8:$W$8,1,FLOOR(($A103-1)/23,1)+1)&amp;INDEX('Serial Reference'!$A$8:$W$8,1,MOD($A103-1,23)+1)&amp;TEXT(CW$2+FLOOR((CW$2-1)/9,1),"000"),"")</f>
        <v/>
      </c>
      <c r="CX103" s="18" t="str">
        <f>IF(INDEX('Shot Map'!$B$6:$V$26,CEILING($A103/5,1),CEILING(CX$2/5,1))=1,INDEX('Serial Reference'!$A$8:$W$8,1,FLOOR(($A103-1)/23,1)+1)&amp;INDEX('Serial Reference'!$A$8:$W$8,1,MOD($A103-1,23)+1)&amp;TEXT(CX$2+FLOOR((CX$2-1)/9,1),"000"),"")</f>
        <v/>
      </c>
      <c r="CY103" s="19" t="str">
        <f>IF(INDEX('Shot Map'!$B$6:$V$26,CEILING($A103/5,1),CEILING(CY$2/5,1))=1,INDEX('Serial Reference'!$A$8:$W$8,1,FLOOR(($A103-1)/23,1)+1)&amp;INDEX('Serial Reference'!$A$8:$W$8,1,MOD($A103-1,23)+1)&amp;TEXT(CY$2+FLOOR((CY$2-1)/9,1),"000"),"")</f>
        <v/>
      </c>
      <c r="CZ103" s="19" t="str">
        <f>IF(INDEX('Shot Map'!$B$6:$V$26,CEILING($A103/5,1),CEILING(CZ$2/5,1))=1,INDEX('Serial Reference'!$A$8:$W$8,1,FLOOR(($A103-1)/23,1)+1)&amp;INDEX('Serial Reference'!$A$8:$W$8,1,MOD($A103-1,23)+1)&amp;TEXT(CZ$2+FLOOR((CZ$2-1)/9,1),"000"),"")</f>
        <v/>
      </c>
      <c r="DA103" s="19" t="str">
        <f>IF(INDEX('Shot Map'!$B$6:$V$26,CEILING($A103/5,1),CEILING(DA$2/5,1))=1,INDEX('Serial Reference'!$A$8:$W$8,1,FLOOR(($A103-1)/23,1)+1)&amp;INDEX('Serial Reference'!$A$8:$W$8,1,MOD($A103-1,23)+1)&amp;TEXT(DA$2+FLOOR((DA$2-1)/9,1),"000"),"")</f>
        <v/>
      </c>
      <c r="DB103" s="20" t="str">
        <f>IF(INDEX('Shot Map'!$B$6:$V$26,CEILING($A103/5,1),CEILING(DB$2/5,1))=1,INDEX('Serial Reference'!$A$8:$W$8,1,FLOOR(($A103-1)/23,1)+1)&amp;INDEX('Serial Reference'!$A$8:$W$8,1,MOD($A103-1,23)+1)&amp;TEXT(DB$2+FLOOR((DB$2-1)/9,1),"000"),"")</f>
        <v/>
      </c>
    </row>
    <row r="104" spans="1:106" ht="12.75" customHeight="1" x14ac:dyDescent="0.25">
      <c r="A104" s="17">
        <v>102</v>
      </c>
      <c r="B104" s="21" t="str">
        <f>IF(INDEX('Shot Map'!$B$6:$V$26,CEILING($A104/5,1),CEILING(B$2/5,1))=1,INDEX('Serial Reference'!$A$8:$W$8,1,FLOOR(($A104-1)/23,1)+1)&amp;INDEX('Serial Reference'!$A$8:$W$8,1,MOD($A104-1,23)+1)&amp;TEXT(B$2+FLOOR((B$2-1)/9,1),"000"),"")</f>
        <v/>
      </c>
      <c r="C104" s="22" t="str">
        <f>IF(INDEX('Shot Map'!$B$6:$V$26,CEILING($A104/5,1),CEILING(C$2/5,1))=1,INDEX('Serial Reference'!$A$8:$W$8,1,FLOOR(($A104-1)/23,1)+1)&amp;INDEX('Serial Reference'!$A$8:$W$8,1,MOD($A104-1,23)+1)&amp;TEXT(C$2+FLOOR((C$2-1)/9,1),"000"),"")</f>
        <v/>
      </c>
      <c r="D104" s="22" t="str">
        <f>IF(INDEX('Shot Map'!$B$6:$V$26,CEILING($A104/5,1),CEILING(D$2/5,1))=1,INDEX('Serial Reference'!$A$8:$W$8,1,FLOOR(($A104-1)/23,1)+1)&amp;INDEX('Serial Reference'!$A$8:$W$8,1,MOD($A104-1,23)+1)&amp;TEXT(D$2+FLOOR((D$2-1)/9,1),"000"),"")</f>
        <v/>
      </c>
      <c r="E104" s="22" t="str">
        <f>IF(INDEX('Shot Map'!$B$6:$V$26,CEILING($A104/5,1),CEILING(E$2/5,1))=1,INDEX('Serial Reference'!$A$8:$W$8,1,FLOOR(($A104-1)/23,1)+1)&amp;INDEX('Serial Reference'!$A$8:$W$8,1,MOD($A104-1,23)+1)&amp;TEXT(E$2+FLOOR((E$2-1)/9,1),"000"),"")</f>
        <v/>
      </c>
      <c r="F104" s="23" t="str">
        <f>IF(INDEX('Shot Map'!$B$6:$V$26,CEILING($A104/5,1),CEILING(F$2/5,1))=1,INDEX('Serial Reference'!$A$8:$W$8,1,FLOOR(($A104-1)/23,1)+1)&amp;INDEX('Serial Reference'!$A$8:$W$8,1,MOD($A104-1,23)+1)&amp;TEXT(F$2+FLOOR((F$2-1)/9,1),"000"),"")</f>
        <v/>
      </c>
      <c r="G104" s="21" t="str">
        <f>IF(INDEX('Shot Map'!$B$6:$V$26,CEILING($A104/5,1),CEILING(G$2/5,1))=1,INDEX('Serial Reference'!$A$8:$W$8,1,FLOOR(($A104-1)/23,1)+1)&amp;INDEX('Serial Reference'!$A$8:$W$8,1,MOD($A104-1,23)+1)&amp;TEXT(G$2+FLOOR((G$2-1)/9,1),"000"),"")</f>
        <v/>
      </c>
      <c r="H104" s="22" t="str">
        <f>IF(INDEX('Shot Map'!$B$6:$V$26,CEILING($A104/5,1),CEILING(H$2/5,1))=1,INDEX('Serial Reference'!$A$8:$W$8,1,FLOOR(($A104-1)/23,1)+1)&amp;INDEX('Serial Reference'!$A$8:$W$8,1,MOD($A104-1,23)+1)&amp;TEXT(H$2+FLOOR((H$2-1)/9,1),"000"),"")</f>
        <v/>
      </c>
      <c r="I104" s="22" t="str">
        <f>IF(INDEX('Shot Map'!$B$6:$V$26,CEILING($A104/5,1),CEILING(I$2/5,1))=1,INDEX('Serial Reference'!$A$8:$W$8,1,FLOOR(($A104-1)/23,1)+1)&amp;INDEX('Serial Reference'!$A$8:$W$8,1,MOD($A104-1,23)+1)&amp;TEXT(I$2+FLOOR((I$2-1)/9,1),"000"),"")</f>
        <v/>
      </c>
      <c r="J104" s="22" t="str">
        <f>IF(INDEX('Shot Map'!$B$6:$V$26,CEILING($A104/5,1),CEILING(J$2/5,1))=1,INDEX('Serial Reference'!$A$8:$W$8,1,FLOOR(($A104-1)/23,1)+1)&amp;INDEX('Serial Reference'!$A$8:$W$8,1,MOD($A104-1,23)+1)&amp;TEXT(J$2+FLOOR((J$2-1)/9,1),"000"),"")</f>
        <v/>
      </c>
      <c r="K104" s="23" t="str">
        <f>IF(INDEX('Shot Map'!$B$6:$V$26,CEILING($A104/5,1),CEILING(K$2/5,1))=1,INDEX('Serial Reference'!$A$8:$W$8,1,FLOOR(($A104-1)/23,1)+1)&amp;INDEX('Serial Reference'!$A$8:$W$8,1,MOD($A104-1,23)+1)&amp;TEXT(K$2+FLOOR((K$2-1)/9,1),"000"),"")</f>
        <v/>
      </c>
      <c r="L104" s="21" t="str">
        <f>IF(INDEX('Shot Map'!$B$6:$V$26,CEILING($A104/5,1),CEILING(L$2/5,1))=1,INDEX('Serial Reference'!$A$8:$W$8,1,FLOOR(($A104-1)/23,1)+1)&amp;INDEX('Serial Reference'!$A$8:$W$8,1,MOD($A104-1,23)+1)&amp;TEXT(L$2+FLOOR((L$2-1)/9,1),"000"),"")</f>
        <v/>
      </c>
      <c r="M104" s="22" t="str">
        <f>IF(INDEX('Shot Map'!$B$6:$V$26,CEILING($A104/5,1),CEILING(M$2/5,1))=1,INDEX('Serial Reference'!$A$8:$W$8,1,FLOOR(($A104-1)/23,1)+1)&amp;INDEX('Serial Reference'!$A$8:$W$8,1,MOD($A104-1,23)+1)&amp;TEXT(M$2+FLOOR((M$2-1)/9,1),"000"),"")</f>
        <v/>
      </c>
      <c r="N104" s="22" t="str">
        <f>IF(INDEX('Shot Map'!$B$6:$V$26,CEILING($A104/5,1),CEILING(N$2/5,1))=1,INDEX('Serial Reference'!$A$8:$W$8,1,FLOOR(($A104-1)/23,1)+1)&amp;INDEX('Serial Reference'!$A$8:$W$8,1,MOD($A104-1,23)+1)&amp;TEXT(N$2+FLOOR((N$2-1)/9,1),"000"),"")</f>
        <v/>
      </c>
      <c r="O104" s="22" t="str">
        <f>IF(INDEX('Shot Map'!$B$6:$V$26,CEILING($A104/5,1),CEILING(O$2/5,1))=1,INDEX('Serial Reference'!$A$8:$W$8,1,FLOOR(($A104-1)/23,1)+1)&amp;INDEX('Serial Reference'!$A$8:$W$8,1,MOD($A104-1,23)+1)&amp;TEXT(O$2+FLOOR((O$2-1)/9,1),"000"),"")</f>
        <v/>
      </c>
      <c r="P104" s="23" t="str">
        <f>IF(INDEX('Shot Map'!$B$6:$V$26,CEILING($A104/5,1),CEILING(P$2/5,1))=1,INDEX('Serial Reference'!$A$8:$W$8,1,FLOOR(($A104-1)/23,1)+1)&amp;INDEX('Serial Reference'!$A$8:$W$8,1,MOD($A104-1,23)+1)&amp;TEXT(P$2+FLOOR((P$2-1)/9,1),"000"),"")</f>
        <v/>
      </c>
      <c r="Q104" s="21" t="str">
        <f>IF(INDEX('Shot Map'!$B$6:$V$26,CEILING($A104/5,1),CEILING(Q$2/5,1))=1,INDEX('Serial Reference'!$A$8:$W$8,1,FLOOR(($A104-1)/23,1)+1)&amp;INDEX('Serial Reference'!$A$8:$W$8,1,MOD($A104-1,23)+1)&amp;TEXT(Q$2+FLOOR((Q$2-1)/9,1),"000"),"")</f>
        <v/>
      </c>
      <c r="R104" s="22" t="str">
        <f>IF(INDEX('Shot Map'!$B$6:$V$26,CEILING($A104/5,1),CEILING(R$2/5,1))=1,INDEX('Serial Reference'!$A$8:$W$8,1,FLOOR(($A104-1)/23,1)+1)&amp;INDEX('Serial Reference'!$A$8:$W$8,1,MOD($A104-1,23)+1)&amp;TEXT(R$2+FLOOR((R$2-1)/9,1),"000"),"")</f>
        <v/>
      </c>
      <c r="S104" s="22" t="str">
        <f>IF(INDEX('Shot Map'!$B$6:$V$26,CEILING($A104/5,1),CEILING(S$2/5,1))=1,INDEX('Serial Reference'!$A$8:$W$8,1,FLOOR(($A104-1)/23,1)+1)&amp;INDEX('Serial Reference'!$A$8:$W$8,1,MOD($A104-1,23)+1)&amp;TEXT(S$2+FLOOR((S$2-1)/9,1),"000"),"")</f>
        <v/>
      </c>
      <c r="T104" s="22" t="str">
        <f>IF(INDEX('Shot Map'!$B$6:$V$26,CEILING($A104/5,1),CEILING(T$2/5,1))=1,INDEX('Serial Reference'!$A$8:$W$8,1,FLOOR(($A104-1)/23,1)+1)&amp;INDEX('Serial Reference'!$A$8:$W$8,1,MOD($A104-1,23)+1)&amp;TEXT(T$2+FLOOR((T$2-1)/9,1),"000"),"")</f>
        <v/>
      </c>
      <c r="U104" s="23" t="str">
        <f>IF(INDEX('Shot Map'!$B$6:$V$26,CEILING($A104/5,1),CEILING(U$2/5,1))=1,INDEX('Serial Reference'!$A$8:$W$8,1,FLOOR(($A104-1)/23,1)+1)&amp;INDEX('Serial Reference'!$A$8:$W$8,1,MOD($A104-1,23)+1)&amp;TEXT(U$2+FLOOR((U$2-1)/9,1),"000"),"")</f>
        <v/>
      </c>
      <c r="V104" s="21" t="str">
        <f>IF(INDEX('Shot Map'!$B$6:$V$26,CEILING($A104/5,1),CEILING(V$2/5,1))=1,INDEX('Serial Reference'!$A$8:$W$8,1,FLOOR(($A104-1)/23,1)+1)&amp;INDEX('Serial Reference'!$A$8:$W$8,1,MOD($A104-1,23)+1)&amp;TEXT(V$2+FLOOR((V$2-1)/9,1),"000"),"")</f>
        <v/>
      </c>
      <c r="W104" s="22" t="str">
        <f>IF(INDEX('Shot Map'!$B$6:$V$26,CEILING($A104/5,1),CEILING(W$2/5,1))=1,INDEX('Serial Reference'!$A$8:$W$8,1,FLOOR(($A104-1)/23,1)+1)&amp;INDEX('Serial Reference'!$A$8:$W$8,1,MOD($A104-1,23)+1)&amp;TEXT(W$2+FLOOR((W$2-1)/9,1),"000"),"")</f>
        <v/>
      </c>
      <c r="X104" s="22" t="str">
        <f>IF(INDEX('Shot Map'!$B$6:$V$26,CEILING($A104/5,1),CEILING(X$2/5,1))=1,INDEX('Serial Reference'!$A$8:$W$8,1,FLOOR(($A104-1)/23,1)+1)&amp;INDEX('Serial Reference'!$A$8:$W$8,1,MOD($A104-1,23)+1)&amp;TEXT(X$2+FLOOR((X$2-1)/9,1),"000"),"")</f>
        <v/>
      </c>
      <c r="Y104" s="22" t="str">
        <f>IF(INDEX('Shot Map'!$B$6:$V$26,CEILING($A104/5,1),CEILING(Y$2/5,1))=1,INDEX('Serial Reference'!$A$8:$W$8,1,FLOOR(($A104-1)/23,1)+1)&amp;INDEX('Serial Reference'!$A$8:$W$8,1,MOD($A104-1,23)+1)&amp;TEXT(Y$2+FLOOR((Y$2-1)/9,1),"000"),"")</f>
        <v/>
      </c>
      <c r="Z104" s="23" t="str">
        <f>IF(INDEX('Shot Map'!$B$6:$V$26,CEILING($A104/5,1),CEILING(Z$2/5,1))=1,INDEX('Serial Reference'!$A$8:$W$8,1,FLOOR(($A104-1)/23,1)+1)&amp;INDEX('Serial Reference'!$A$8:$W$8,1,MOD($A104-1,23)+1)&amp;TEXT(Z$2+FLOOR((Z$2-1)/9,1),"000"),"")</f>
        <v/>
      </c>
      <c r="AA104" s="21" t="str">
        <f>IF(INDEX('Shot Map'!$B$6:$V$26,CEILING($A104/5,1),CEILING(AA$2/5,1))=1,INDEX('Serial Reference'!$A$8:$W$8,1,FLOOR(($A104-1)/23,1)+1)&amp;INDEX('Serial Reference'!$A$8:$W$8,1,MOD($A104-1,23)+1)&amp;TEXT(AA$2+FLOOR((AA$2-1)/9,1),"000"),"")</f>
        <v/>
      </c>
      <c r="AB104" s="22" t="str">
        <f>IF(INDEX('Shot Map'!$B$6:$V$26,CEILING($A104/5,1),CEILING(AB$2/5,1))=1,INDEX('Serial Reference'!$A$8:$W$8,1,FLOOR(($A104-1)/23,1)+1)&amp;INDEX('Serial Reference'!$A$8:$W$8,1,MOD($A104-1,23)+1)&amp;TEXT(AB$2+FLOOR((AB$2-1)/9,1),"000"),"")</f>
        <v/>
      </c>
      <c r="AC104" s="22" t="str">
        <f>IF(INDEX('Shot Map'!$B$6:$V$26,CEILING($A104/5,1),CEILING(AC$2/5,1))=1,INDEX('Serial Reference'!$A$8:$W$8,1,FLOOR(($A104-1)/23,1)+1)&amp;INDEX('Serial Reference'!$A$8:$W$8,1,MOD($A104-1,23)+1)&amp;TEXT(AC$2+FLOOR((AC$2-1)/9,1),"000"),"")</f>
        <v/>
      </c>
      <c r="AD104" s="22" t="str">
        <f>IF(INDEX('Shot Map'!$B$6:$V$26,CEILING($A104/5,1),CEILING(AD$2/5,1))=1,INDEX('Serial Reference'!$A$8:$W$8,1,FLOOR(($A104-1)/23,1)+1)&amp;INDEX('Serial Reference'!$A$8:$W$8,1,MOD($A104-1,23)+1)&amp;TEXT(AD$2+FLOOR((AD$2-1)/9,1),"000"),"")</f>
        <v/>
      </c>
      <c r="AE104" s="23" t="str">
        <f>IF(INDEX('Shot Map'!$B$6:$V$26,CEILING($A104/5,1),CEILING(AE$2/5,1))=1,INDEX('Serial Reference'!$A$8:$W$8,1,FLOOR(($A104-1)/23,1)+1)&amp;INDEX('Serial Reference'!$A$8:$W$8,1,MOD($A104-1,23)+1)&amp;TEXT(AE$2+FLOOR((AE$2-1)/9,1),"000"),"")</f>
        <v/>
      </c>
      <c r="AF104" s="21" t="str">
        <f>IF(INDEX('Shot Map'!$B$6:$V$26,CEILING($A104/5,1),CEILING(AF$2/5,1))=1,INDEX('Serial Reference'!$A$8:$W$8,1,FLOOR(($A104-1)/23,1)+1)&amp;INDEX('Serial Reference'!$A$8:$W$8,1,MOD($A104-1,23)+1)&amp;TEXT(AF$2+FLOOR((AF$2-1)/9,1),"000"),"")</f>
        <v/>
      </c>
      <c r="AG104" s="22" t="str">
        <f>IF(INDEX('Shot Map'!$B$6:$V$26,CEILING($A104/5,1),CEILING(AG$2/5,1))=1,INDEX('Serial Reference'!$A$8:$W$8,1,FLOOR(($A104-1)/23,1)+1)&amp;INDEX('Serial Reference'!$A$8:$W$8,1,MOD($A104-1,23)+1)&amp;TEXT(AG$2+FLOOR((AG$2-1)/9,1),"000"),"")</f>
        <v/>
      </c>
      <c r="AH104" s="22" t="str">
        <f>IF(INDEX('Shot Map'!$B$6:$V$26,CEILING($A104/5,1),CEILING(AH$2/5,1))=1,INDEX('Serial Reference'!$A$8:$W$8,1,FLOOR(($A104-1)/23,1)+1)&amp;INDEX('Serial Reference'!$A$8:$W$8,1,MOD($A104-1,23)+1)&amp;TEXT(AH$2+FLOOR((AH$2-1)/9,1),"000"),"")</f>
        <v/>
      </c>
      <c r="AI104" s="22" t="str">
        <f>IF(INDEX('Shot Map'!$B$6:$V$26,CEILING($A104/5,1),CEILING(AI$2/5,1))=1,INDEX('Serial Reference'!$A$8:$W$8,1,FLOOR(($A104-1)/23,1)+1)&amp;INDEX('Serial Reference'!$A$8:$W$8,1,MOD($A104-1,23)+1)&amp;TEXT(AI$2+FLOOR((AI$2-1)/9,1),"000"),"")</f>
        <v/>
      </c>
      <c r="AJ104" s="23" t="str">
        <f>IF(INDEX('Shot Map'!$B$6:$V$26,CEILING($A104/5,1),CEILING(AJ$2/5,1))=1,INDEX('Serial Reference'!$A$8:$W$8,1,FLOOR(($A104-1)/23,1)+1)&amp;INDEX('Serial Reference'!$A$8:$W$8,1,MOD($A104-1,23)+1)&amp;TEXT(AJ$2+FLOOR((AJ$2-1)/9,1),"000"),"")</f>
        <v/>
      </c>
      <c r="AK104" s="21" t="str">
        <f>IF(INDEX('Shot Map'!$B$6:$V$26,CEILING($A104/5,1),CEILING(AK$2/5,1))=1,INDEX('Serial Reference'!$A$8:$W$8,1,FLOOR(($A104-1)/23,1)+1)&amp;INDEX('Serial Reference'!$A$8:$W$8,1,MOD($A104-1,23)+1)&amp;TEXT(AK$2+FLOOR((AK$2-1)/9,1),"000"),"")</f>
        <v/>
      </c>
      <c r="AL104" s="22" t="str">
        <f>IF(INDEX('Shot Map'!$B$6:$V$26,CEILING($A104/5,1),CEILING(AL$2/5,1))=1,INDEX('Serial Reference'!$A$8:$W$8,1,FLOOR(($A104-1)/23,1)+1)&amp;INDEX('Serial Reference'!$A$8:$W$8,1,MOD($A104-1,23)+1)&amp;TEXT(AL$2+FLOOR((AL$2-1)/9,1),"000"),"")</f>
        <v/>
      </c>
      <c r="AM104" s="22" t="str">
        <f>IF(INDEX('Shot Map'!$B$6:$V$26,CEILING($A104/5,1),CEILING(AM$2/5,1))=1,INDEX('Serial Reference'!$A$8:$W$8,1,FLOOR(($A104-1)/23,1)+1)&amp;INDEX('Serial Reference'!$A$8:$W$8,1,MOD($A104-1,23)+1)&amp;TEXT(AM$2+FLOOR((AM$2-1)/9,1),"000"),"")</f>
        <v/>
      </c>
      <c r="AN104" s="22" t="str">
        <f>IF(INDEX('Shot Map'!$B$6:$V$26,CEILING($A104/5,1),CEILING(AN$2/5,1))=1,INDEX('Serial Reference'!$A$8:$W$8,1,FLOOR(($A104-1)/23,1)+1)&amp;INDEX('Serial Reference'!$A$8:$W$8,1,MOD($A104-1,23)+1)&amp;TEXT(AN$2+FLOOR((AN$2-1)/9,1),"000"),"")</f>
        <v/>
      </c>
      <c r="AO104" s="23" t="str">
        <f>IF(INDEX('Shot Map'!$B$6:$V$26,CEILING($A104/5,1),CEILING(AO$2/5,1))=1,INDEX('Serial Reference'!$A$8:$W$8,1,FLOOR(($A104-1)/23,1)+1)&amp;INDEX('Serial Reference'!$A$8:$W$8,1,MOD($A104-1,23)+1)&amp;TEXT(AO$2+FLOOR((AO$2-1)/9,1),"000"),"")</f>
        <v/>
      </c>
      <c r="AP104" s="21" t="str">
        <f>IF(INDEX('Shot Map'!$B$6:$V$26,CEILING($A104/5,1),CEILING(AP$2/5,1))=1,INDEX('Serial Reference'!$A$8:$W$8,1,FLOOR(($A104-1)/23,1)+1)&amp;INDEX('Serial Reference'!$A$8:$W$8,1,MOD($A104-1,23)+1)&amp;TEXT(AP$2+FLOOR((AP$2-1)/9,1),"000"),"")</f>
        <v/>
      </c>
      <c r="AQ104" s="22" t="str">
        <f>IF(INDEX('Shot Map'!$B$6:$V$26,CEILING($A104/5,1),CEILING(AQ$2/5,1))=1,INDEX('Serial Reference'!$A$8:$W$8,1,FLOOR(($A104-1)/23,1)+1)&amp;INDEX('Serial Reference'!$A$8:$W$8,1,MOD($A104-1,23)+1)&amp;TEXT(AQ$2+FLOOR((AQ$2-1)/9,1),"000"),"")</f>
        <v/>
      </c>
      <c r="AR104" s="22" t="str">
        <f>IF(INDEX('Shot Map'!$B$6:$V$26,CEILING($A104/5,1),CEILING(AR$2/5,1))=1,INDEX('Serial Reference'!$A$8:$W$8,1,FLOOR(($A104-1)/23,1)+1)&amp;INDEX('Serial Reference'!$A$8:$W$8,1,MOD($A104-1,23)+1)&amp;TEXT(AR$2+FLOOR((AR$2-1)/9,1),"000"),"")</f>
        <v/>
      </c>
      <c r="AS104" s="22" t="str">
        <f>IF(INDEX('Shot Map'!$B$6:$V$26,CEILING($A104/5,1),CEILING(AS$2/5,1))=1,INDEX('Serial Reference'!$A$8:$W$8,1,FLOOR(($A104-1)/23,1)+1)&amp;INDEX('Serial Reference'!$A$8:$W$8,1,MOD($A104-1,23)+1)&amp;TEXT(AS$2+FLOOR((AS$2-1)/9,1),"000"),"")</f>
        <v/>
      </c>
      <c r="AT104" s="23" t="str">
        <f>IF(INDEX('Shot Map'!$B$6:$V$26,CEILING($A104/5,1),CEILING(AT$2/5,1))=1,INDEX('Serial Reference'!$A$8:$W$8,1,FLOOR(($A104-1)/23,1)+1)&amp;INDEX('Serial Reference'!$A$8:$W$8,1,MOD($A104-1,23)+1)&amp;TEXT(AT$2+FLOOR((AT$2-1)/9,1),"000"),"")</f>
        <v/>
      </c>
      <c r="AU104" s="21" t="str">
        <f>IF(INDEX('Shot Map'!$B$6:$V$26,CEILING($A104/5,1),CEILING(AU$2/5,1))=1,INDEX('Serial Reference'!$A$8:$W$8,1,FLOOR(($A104-1)/23,1)+1)&amp;INDEX('Serial Reference'!$A$8:$W$8,1,MOD($A104-1,23)+1)&amp;TEXT(AU$2+FLOOR((AU$2-1)/9,1),"000"),"")</f>
        <v>EK051</v>
      </c>
      <c r="AV104" s="22" t="str">
        <f>IF(INDEX('Shot Map'!$B$6:$V$26,CEILING($A104/5,1),CEILING(AV$2/5,1))=1,INDEX('Serial Reference'!$A$8:$W$8,1,FLOOR(($A104-1)/23,1)+1)&amp;INDEX('Serial Reference'!$A$8:$W$8,1,MOD($A104-1,23)+1)&amp;TEXT(AV$2+FLOOR((AV$2-1)/9,1),"000"),"")</f>
        <v>EK052</v>
      </c>
      <c r="AW104" s="22" t="str">
        <f>IF(INDEX('Shot Map'!$B$6:$V$26,CEILING($A104/5,1),CEILING(AW$2/5,1))=1,INDEX('Serial Reference'!$A$8:$W$8,1,FLOOR(($A104-1)/23,1)+1)&amp;INDEX('Serial Reference'!$A$8:$W$8,1,MOD($A104-1,23)+1)&amp;TEXT(AW$2+FLOOR((AW$2-1)/9,1),"000"),"")</f>
        <v>EK053</v>
      </c>
      <c r="AX104" s="22" t="str">
        <f>IF(INDEX('Shot Map'!$B$6:$V$26,CEILING($A104/5,1),CEILING(AX$2/5,1))=1,INDEX('Serial Reference'!$A$8:$W$8,1,FLOOR(($A104-1)/23,1)+1)&amp;INDEX('Serial Reference'!$A$8:$W$8,1,MOD($A104-1,23)+1)&amp;TEXT(AX$2+FLOOR((AX$2-1)/9,1),"000"),"")</f>
        <v>EK054</v>
      </c>
      <c r="AY104" s="23" t="str">
        <f>IF(INDEX('Shot Map'!$B$6:$V$26,CEILING($A104/5,1),CEILING(AY$2/5,1))=1,INDEX('Serial Reference'!$A$8:$W$8,1,FLOOR(($A104-1)/23,1)+1)&amp;INDEX('Serial Reference'!$A$8:$W$8,1,MOD($A104-1,23)+1)&amp;TEXT(AY$2+FLOOR((AY$2-1)/9,1),"000"),"")</f>
        <v>EK055</v>
      </c>
      <c r="AZ104" s="21" t="str">
        <f>IF(INDEX('Shot Map'!$B$6:$V$26,CEILING($A104/5,1),CEILING(AZ$2/5,1))=1,INDEX('Serial Reference'!$A$8:$W$8,1,FLOOR(($A104-1)/23,1)+1)&amp;INDEX('Serial Reference'!$A$8:$W$8,1,MOD($A104-1,23)+1)&amp;TEXT(AZ$2+FLOOR((AZ$2-1)/9,1),"000"),"")</f>
        <v>EK056</v>
      </c>
      <c r="BA104" s="22" t="str">
        <f>IF(INDEX('Shot Map'!$B$6:$V$26,CEILING($A104/5,1),CEILING(BA$2/5,1))=1,INDEX('Serial Reference'!$A$8:$W$8,1,FLOOR(($A104-1)/23,1)+1)&amp;INDEX('Serial Reference'!$A$8:$W$8,1,MOD($A104-1,23)+1)&amp;TEXT(BA$2+FLOOR((BA$2-1)/9,1),"000"),"")</f>
        <v>EK057</v>
      </c>
      <c r="BB104" s="22" t="str">
        <f>IF(INDEX('Shot Map'!$B$6:$V$26,CEILING($A104/5,1),CEILING(BB$2/5,1))=1,INDEX('Serial Reference'!$A$8:$W$8,1,FLOOR(($A104-1)/23,1)+1)&amp;INDEX('Serial Reference'!$A$8:$W$8,1,MOD($A104-1,23)+1)&amp;TEXT(BB$2+FLOOR((BB$2-1)/9,1),"000"),"")</f>
        <v>EK058</v>
      </c>
      <c r="BC104" s="22" t="str">
        <f>IF(INDEX('Shot Map'!$B$6:$V$26,CEILING($A104/5,1),CEILING(BC$2/5,1))=1,INDEX('Serial Reference'!$A$8:$W$8,1,FLOOR(($A104-1)/23,1)+1)&amp;INDEX('Serial Reference'!$A$8:$W$8,1,MOD($A104-1,23)+1)&amp;TEXT(BC$2+FLOOR((BC$2-1)/9,1),"000"),"")</f>
        <v>EK059</v>
      </c>
      <c r="BD104" s="23" t="str">
        <f>IF(INDEX('Shot Map'!$B$6:$V$26,CEILING($A104/5,1),CEILING(BD$2/5,1))=1,INDEX('Serial Reference'!$A$8:$W$8,1,FLOOR(($A104-1)/23,1)+1)&amp;INDEX('Serial Reference'!$A$8:$W$8,1,MOD($A104-1,23)+1)&amp;TEXT(BD$2+FLOOR((BD$2-1)/9,1),"000"),"")</f>
        <v>EK061</v>
      </c>
      <c r="BE104" s="21" t="str">
        <f>IF(INDEX('Shot Map'!$B$6:$V$26,CEILING($A104/5,1),CEILING(BE$2/5,1))=1,INDEX('Serial Reference'!$A$8:$W$8,1,FLOOR(($A104-1)/23,1)+1)&amp;INDEX('Serial Reference'!$A$8:$W$8,1,MOD($A104-1,23)+1)&amp;TEXT(BE$2+FLOOR((BE$2-1)/9,1),"000"),"")</f>
        <v>EK062</v>
      </c>
      <c r="BF104" s="22" t="str">
        <f>IF(INDEX('Shot Map'!$B$6:$V$26,CEILING($A104/5,1),CEILING(BF$2/5,1))=1,INDEX('Serial Reference'!$A$8:$W$8,1,FLOOR(($A104-1)/23,1)+1)&amp;INDEX('Serial Reference'!$A$8:$W$8,1,MOD($A104-1,23)+1)&amp;TEXT(BF$2+FLOOR((BF$2-1)/9,1),"000"),"")</f>
        <v>EK063</v>
      </c>
      <c r="BG104" s="22" t="str">
        <f>IF(INDEX('Shot Map'!$B$6:$V$26,CEILING($A104/5,1),CEILING(BG$2/5,1))=1,INDEX('Serial Reference'!$A$8:$W$8,1,FLOOR(($A104-1)/23,1)+1)&amp;INDEX('Serial Reference'!$A$8:$W$8,1,MOD($A104-1,23)+1)&amp;TEXT(BG$2+FLOOR((BG$2-1)/9,1),"000"),"")</f>
        <v>EK064</v>
      </c>
      <c r="BH104" s="22" t="str">
        <f>IF(INDEX('Shot Map'!$B$6:$V$26,CEILING($A104/5,1),CEILING(BH$2/5,1))=1,INDEX('Serial Reference'!$A$8:$W$8,1,FLOOR(($A104-1)/23,1)+1)&amp;INDEX('Serial Reference'!$A$8:$W$8,1,MOD($A104-1,23)+1)&amp;TEXT(BH$2+FLOOR((BH$2-1)/9,1),"000"),"")</f>
        <v>EK065</v>
      </c>
      <c r="BI104" s="23" t="str">
        <f>IF(INDEX('Shot Map'!$B$6:$V$26,CEILING($A104/5,1),CEILING(BI$2/5,1))=1,INDEX('Serial Reference'!$A$8:$W$8,1,FLOOR(($A104-1)/23,1)+1)&amp;INDEX('Serial Reference'!$A$8:$W$8,1,MOD($A104-1,23)+1)&amp;TEXT(BI$2+FLOOR((BI$2-1)/9,1),"000"),"")</f>
        <v>EK066</v>
      </c>
      <c r="BJ104" s="21" t="str">
        <f>IF(INDEX('Shot Map'!$B$6:$V$26,CEILING($A104/5,1),CEILING(BJ$2/5,1))=1,INDEX('Serial Reference'!$A$8:$W$8,1,FLOOR(($A104-1)/23,1)+1)&amp;INDEX('Serial Reference'!$A$8:$W$8,1,MOD($A104-1,23)+1)&amp;TEXT(BJ$2+FLOOR((BJ$2-1)/9,1),"000"),"")</f>
        <v/>
      </c>
      <c r="BK104" s="22" t="str">
        <f>IF(INDEX('Shot Map'!$B$6:$V$26,CEILING($A104/5,1),CEILING(BK$2/5,1))=1,INDEX('Serial Reference'!$A$8:$W$8,1,FLOOR(($A104-1)/23,1)+1)&amp;INDEX('Serial Reference'!$A$8:$W$8,1,MOD($A104-1,23)+1)&amp;TEXT(BK$2+FLOOR((BK$2-1)/9,1),"000"),"")</f>
        <v/>
      </c>
      <c r="BL104" s="22" t="str">
        <f>IF(INDEX('Shot Map'!$B$6:$V$26,CEILING($A104/5,1),CEILING(BL$2/5,1))=1,INDEX('Serial Reference'!$A$8:$W$8,1,FLOOR(($A104-1)/23,1)+1)&amp;INDEX('Serial Reference'!$A$8:$W$8,1,MOD($A104-1,23)+1)&amp;TEXT(BL$2+FLOOR((BL$2-1)/9,1),"000"),"")</f>
        <v/>
      </c>
      <c r="BM104" s="22" t="str">
        <f>IF(INDEX('Shot Map'!$B$6:$V$26,CEILING($A104/5,1),CEILING(BM$2/5,1))=1,INDEX('Serial Reference'!$A$8:$W$8,1,FLOOR(($A104-1)/23,1)+1)&amp;INDEX('Serial Reference'!$A$8:$W$8,1,MOD($A104-1,23)+1)&amp;TEXT(BM$2+FLOOR((BM$2-1)/9,1),"000"),"")</f>
        <v/>
      </c>
      <c r="BN104" s="23" t="str">
        <f>IF(INDEX('Shot Map'!$B$6:$V$26,CEILING($A104/5,1),CEILING(BN$2/5,1))=1,INDEX('Serial Reference'!$A$8:$W$8,1,FLOOR(($A104-1)/23,1)+1)&amp;INDEX('Serial Reference'!$A$8:$W$8,1,MOD($A104-1,23)+1)&amp;TEXT(BN$2+FLOOR((BN$2-1)/9,1),"000"),"")</f>
        <v/>
      </c>
      <c r="BO104" s="21" t="str">
        <f>IF(INDEX('Shot Map'!$B$6:$V$26,CEILING($A104/5,1),CEILING(BO$2/5,1))=1,INDEX('Serial Reference'!$A$8:$W$8,1,FLOOR(($A104-1)/23,1)+1)&amp;INDEX('Serial Reference'!$A$8:$W$8,1,MOD($A104-1,23)+1)&amp;TEXT(BO$2+FLOOR((BO$2-1)/9,1),"000"),"")</f>
        <v/>
      </c>
      <c r="BP104" s="22" t="str">
        <f>IF(INDEX('Shot Map'!$B$6:$V$26,CEILING($A104/5,1),CEILING(BP$2/5,1))=1,INDEX('Serial Reference'!$A$8:$W$8,1,FLOOR(($A104-1)/23,1)+1)&amp;INDEX('Serial Reference'!$A$8:$W$8,1,MOD($A104-1,23)+1)&amp;TEXT(BP$2+FLOOR((BP$2-1)/9,1),"000"),"")</f>
        <v/>
      </c>
      <c r="BQ104" s="22" t="str">
        <f>IF(INDEX('Shot Map'!$B$6:$V$26,CEILING($A104/5,1),CEILING(BQ$2/5,1))=1,INDEX('Serial Reference'!$A$8:$W$8,1,FLOOR(($A104-1)/23,1)+1)&amp;INDEX('Serial Reference'!$A$8:$W$8,1,MOD($A104-1,23)+1)&amp;TEXT(BQ$2+FLOOR((BQ$2-1)/9,1),"000"),"")</f>
        <v/>
      </c>
      <c r="BR104" s="22" t="str">
        <f>IF(INDEX('Shot Map'!$B$6:$V$26,CEILING($A104/5,1),CEILING(BR$2/5,1))=1,INDEX('Serial Reference'!$A$8:$W$8,1,FLOOR(($A104-1)/23,1)+1)&amp;INDEX('Serial Reference'!$A$8:$W$8,1,MOD($A104-1,23)+1)&amp;TEXT(BR$2+FLOOR((BR$2-1)/9,1),"000"),"")</f>
        <v/>
      </c>
      <c r="BS104" s="23" t="str">
        <f>IF(INDEX('Shot Map'!$B$6:$V$26,CEILING($A104/5,1),CEILING(BS$2/5,1))=1,INDEX('Serial Reference'!$A$8:$W$8,1,FLOOR(($A104-1)/23,1)+1)&amp;INDEX('Serial Reference'!$A$8:$W$8,1,MOD($A104-1,23)+1)&amp;TEXT(BS$2+FLOOR((BS$2-1)/9,1),"000"),"")</f>
        <v/>
      </c>
      <c r="BT104" s="21" t="str">
        <f>IF(INDEX('Shot Map'!$B$6:$V$26,CEILING($A104/5,1),CEILING(BT$2/5,1))=1,INDEX('Serial Reference'!$A$8:$W$8,1,FLOOR(($A104-1)/23,1)+1)&amp;INDEX('Serial Reference'!$A$8:$W$8,1,MOD($A104-1,23)+1)&amp;TEXT(BT$2+FLOOR((BT$2-1)/9,1),"000"),"")</f>
        <v/>
      </c>
      <c r="BU104" s="22" t="str">
        <f>IF(INDEX('Shot Map'!$B$6:$V$26,CEILING($A104/5,1),CEILING(BU$2/5,1))=1,INDEX('Serial Reference'!$A$8:$W$8,1,FLOOR(($A104-1)/23,1)+1)&amp;INDEX('Serial Reference'!$A$8:$W$8,1,MOD($A104-1,23)+1)&amp;TEXT(BU$2+FLOOR((BU$2-1)/9,1),"000"),"")</f>
        <v/>
      </c>
      <c r="BV104" s="22" t="str">
        <f>IF(INDEX('Shot Map'!$B$6:$V$26,CEILING($A104/5,1),CEILING(BV$2/5,1))=1,INDEX('Serial Reference'!$A$8:$W$8,1,FLOOR(($A104-1)/23,1)+1)&amp;INDEX('Serial Reference'!$A$8:$W$8,1,MOD($A104-1,23)+1)&amp;TEXT(BV$2+FLOOR((BV$2-1)/9,1),"000"),"")</f>
        <v/>
      </c>
      <c r="BW104" s="22" t="str">
        <f>IF(INDEX('Shot Map'!$B$6:$V$26,CEILING($A104/5,1),CEILING(BW$2/5,1))=1,INDEX('Serial Reference'!$A$8:$W$8,1,FLOOR(($A104-1)/23,1)+1)&amp;INDEX('Serial Reference'!$A$8:$W$8,1,MOD($A104-1,23)+1)&amp;TEXT(BW$2+FLOOR((BW$2-1)/9,1),"000"),"")</f>
        <v/>
      </c>
      <c r="BX104" s="23" t="str">
        <f>IF(INDEX('Shot Map'!$B$6:$V$26,CEILING($A104/5,1),CEILING(BX$2/5,1))=1,INDEX('Serial Reference'!$A$8:$W$8,1,FLOOR(($A104-1)/23,1)+1)&amp;INDEX('Serial Reference'!$A$8:$W$8,1,MOD($A104-1,23)+1)&amp;TEXT(BX$2+FLOOR((BX$2-1)/9,1),"000"),"")</f>
        <v/>
      </c>
      <c r="BY104" s="21" t="str">
        <f>IF(INDEX('Shot Map'!$B$6:$V$26,CEILING($A104/5,1),CEILING(BY$2/5,1))=1,INDEX('Serial Reference'!$A$8:$W$8,1,FLOOR(($A104-1)/23,1)+1)&amp;INDEX('Serial Reference'!$A$8:$W$8,1,MOD($A104-1,23)+1)&amp;TEXT(BY$2+FLOOR((BY$2-1)/9,1),"000"),"")</f>
        <v/>
      </c>
      <c r="BZ104" s="22" t="str">
        <f>IF(INDEX('Shot Map'!$B$6:$V$26,CEILING($A104/5,1),CEILING(BZ$2/5,1))=1,INDEX('Serial Reference'!$A$8:$W$8,1,FLOOR(($A104-1)/23,1)+1)&amp;INDEX('Serial Reference'!$A$8:$W$8,1,MOD($A104-1,23)+1)&amp;TEXT(BZ$2+FLOOR((BZ$2-1)/9,1),"000"),"")</f>
        <v/>
      </c>
      <c r="CA104" s="22" t="str">
        <f>IF(INDEX('Shot Map'!$B$6:$V$26,CEILING($A104/5,1),CEILING(CA$2/5,1))=1,INDEX('Serial Reference'!$A$8:$W$8,1,FLOOR(($A104-1)/23,1)+1)&amp;INDEX('Serial Reference'!$A$8:$W$8,1,MOD($A104-1,23)+1)&amp;TEXT(CA$2+FLOOR((CA$2-1)/9,1),"000"),"")</f>
        <v/>
      </c>
      <c r="CB104" s="22" t="str">
        <f>IF(INDEX('Shot Map'!$B$6:$V$26,CEILING($A104/5,1),CEILING(CB$2/5,1))=1,INDEX('Serial Reference'!$A$8:$W$8,1,FLOOR(($A104-1)/23,1)+1)&amp;INDEX('Serial Reference'!$A$8:$W$8,1,MOD($A104-1,23)+1)&amp;TEXT(CB$2+FLOOR((CB$2-1)/9,1),"000"),"")</f>
        <v/>
      </c>
      <c r="CC104" s="23" t="str">
        <f>IF(INDEX('Shot Map'!$B$6:$V$26,CEILING($A104/5,1),CEILING(CC$2/5,1))=1,INDEX('Serial Reference'!$A$8:$W$8,1,FLOOR(($A104-1)/23,1)+1)&amp;INDEX('Serial Reference'!$A$8:$W$8,1,MOD($A104-1,23)+1)&amp;TEXT(CC$2+FLOOR((CC$2-1)/9,1),"000"),"")</f>
        <v/>
      </c>
      <c r="CD104" s="21" t="str">
        <f>IF(INDEX('Shot Map'!$B$6:$V$26,CEILING($A104/5,1),CEILING(CD$2/5,1))=1,INDEX('Serial Reference'!$A$8:$W$8,1,FLOOR(($A104-1)/23,1)+1)&amp;INDEX('Serial Reference'!$A$8:$W$8,1,MOD($A104-1,23)+1)&amp;TEXT(CD$2+FLOOR((CD$2-1)/9,1),"000"),"")</f>
        <v/>
      </c>
      <c r="CE104" s="22" t="str">
        <f>IF(INDEX('Shot Map'!$B$6:$V$26,CEILING($A104/5,1),CEILING(CE$2/5,1))=1,INDEX('Serial Reference'!$A$8:$W$8,1,FLOOR(($A104-1)/23,1)+1)&amp;INDEX('Serial Reference'!$A$8:$W$8,1,MOD($A104-1,23)+1)&amp;TEXT(CE$2+FLOOR((CE$2-1)/9,1),"000"),"")</f>
        <v/>
      </c>
      <c r="CF104" s="22" t="str">
        <f>IF(INDEX('Shot Map'!$B$6:$V$26,CEILING($A104/5,1),CEILING(CF$2/5,1))=1,INDEX('Serial Reference'!$A$8:$W$8,1,FLOOR(($A104-1)/23,1)+1)&amp;INDEX('Serial Reference'!$A$8:$W$8,1,MOD($A104-1,23)+1)&amp;TEXT(CF$2+FLOOR((CF$2-1)/9,1),"000"),"")</f>
        <v/>
      </c>
      <c r="CG104" s="22" t="str">
        <f>IF(INDEX('Shot Map'!$B$6:$V$26,CEILING($A104/5,1),CEILING(CG$2/5,1))=1,INDEX('Serial Reference'!$A$8:$W$8,1,FLOOR(($A104-1)/23,1)+1)&amp;INDEX('Serial Reference'!$A$8:$W$8,1,MOD($A104-1,23)+1)&amp;TEXT(CG$2+FLOOR((CG$2-1)/9,1),"000"),"")</f>
        <v/>
      </c>
      <c r="CH104" s="23" t="str">
        <f>IF(INDEX('Shot Map'!$B$6:$V$26,CEILING($A104/5,1),CEILING(CH$2/5,1))=1,INDEX('Serial Reference'!$A$8:$W$8,1,FLOOR(($A104-1)/23,1)+1)&amp;INDEX('Serial Reference'!$A$8:$W$8,1,MOD($A104-1,23)+1)&amp;TEXT(CH$2+FLOOR((CH$2-1)/9,1),"000"),"")</f>
        <v/>
      </c>
      <c r="CI104" s="21" t="str">
        <f>IF(INDEX('Shot Map'!$B$6:$V$26,CEILING($A104/5,1),CEILING(CI$2/5,1))=1,INDEX('Serial Reference'!$A$8:$W$8,1,FLOOR(($A104-1)/23,1)+1)&amp;INDEX('Serial Reference'!$A$8:$W$8,1,MOD($A104-1,23)+1)&amp;TEXT(CI$2+FLOOR((CI$2-1)/9,1),"000"),"")</f>
        <v/>
      </c>
      <c r="CJ104" s="22" t="str">
        <f>IF(INDEX('Shot Map'!$B$6:$V$26,CEILING($A104/5,1),CEILING(CJ$2/5,1))=1,INDEX('Serial Reference'!$A$8:$W$8,1,FLOOR(($A104-1)/23,1)+1)&amp;INDEX('Serial Reference'!$A$8:$W$8,1,MOD($A104-1,23)+1)&amp;TEXT(CJ$2+FLOOR((CJ$2-1)/9,1),"000"),"")</f>
        <v/>
      </c>
      <c r="CK104" s="22" t="str">
        <f>IF(INDEX('Shot Map'!$B$6:$V$26,CEILING($A104/5,1),CEILING(CK$2/5,1))=1,INDEX('Serial Reference'!$A$8:$W$8,1,FLOOR(($A104-1)/23,1)+1)&amp;INDEX('Serial Reference'!$A$8:$W$8,1,MOD($A104-1,23)+1)&amp;TEXT(CK$2+FLOOR((CK$2-1)/9,1),"000"),"")</f>
        <v/>
      </c>
      <c r="CL104" s="22" t="str">
        <f>IF(INDEX('Shot Map'!$B$6:$V$26,CEILING($A104/5,1),CEILING(CL$2/5,1))=1,INDEX('Serial Reference'!$A$8:$W$8,1,FLOOR(($A104-1)/23,1)+1)&amp;INDEX('Serial Reference'!$A$8:$W$8,1,MOD($A104-1,23)+1)&amp;TEXT(CL$2+FLOOR((CL$2-1)/9,1),"000"),"")</f>
        <v/>
      </c>
      <c r="CM104" s="23" t="str">
        <f>IF(INDEX('Shot Map'!$B$6:$V$26,CEILING($A104/5,1),CEILING(CM$2/5,1))=1,INDEX('Serial Reference'!$A$8:$W$8,1,FLOOR(($A104-1)/23,1)+1)&amp;INDEX('Serial Reference'!$A$8:$W$8,1,MOD($A104-1,23)+1)&amp;TEXT(CM$2+FLOOR((CM$2-1)/9,1),"000"),"")</f>
        <v/>
      </c>
      <c r="CN104" s="21" t="str">
        <f>IF(INDEX('Shot Map'!$B$6:$V$26,CEILING($A104/5,1),CEILING(CN$2/5,1))=1,INDEX('Serial Reference'!$A$8:$W$8,1,FLOOR(($A104-1)/23,1)+1)&amp;INDEX('Serial Reference'!$A$8:$W$8,1,MOD($A104-1,23)+1)&amp;TEXT(CN$2+FLOOR((CN$2-1)/9,1),"000"),"")</f>
        <v/>
      </c>
      <c r="CO104" s="22" t="str">
        <f>IF(INDEX('Shot Map'!$B$6:$V$26,CEILING($A104/5,1),CEILING(CO$2/5,1))=1,INDEX('Serial Reference'!$A$8:$W$8,1,FLOOR(($A104-1)/23,1)+1)&amp;INDEX('Serial Reference'!$A$8:$W$8,1,MOD($A104-1,23)+1)&amp;TEXT(CO$2+FLOOR((CO$2-1)/9,1),"000"),"")</f>
        <v/>
      </c>
      <c r="CP104" s="22" t="str">
        <f>IF(INDEX('Shot Map'!$B$6:$V$26,CEILING($A104/5,1),CEILING(CP$2/5,1))=1,INDEX('Serial Reference'!$A$8:$W$8,1,FLOOR(($A104-1)/23,1)+1)&amp;INDEX('Serial Reference'!$A$8:$W$8,1,MOD($A104-1,23)+1)&amp;TEXT(CP$2+FLOOR((CP$2-1)/9,1),"000"),"")</f>
        <v/>
      </c>
      <c r="CQ104" s="22" t="str">
        <f>IF(INDEX('Shot Map'!$B$6:$V$26,CEILING($A104/5,1),CEILING(CQ$2/5,1))=1,INDEX('Serial Reference'!$A$8:$W$8,1,FLOOR(($A104-1)/23,1)+1)&amp;INDEX('Serial Reference'!$A$8:$W$8,1,MOD($A104-1,23)+1)&amp;TEXT(CQ$2+FLOOR((CQ$2-1)/9,1),"000"),"")</f>
        <v/>
      </c>
      <c r="CR104" s="23" t="str">
        <f>IF(INDEX('Shot Map'!$B$6:$V$26,CEILING($A104/5,1),CEILING(CR$2/5,1))=1,INDEX('Serial Reference'!$A$8:$W$8,1,FLOOR(($A104-1)/23,1)+1)&amp;INDEX('Serial Reference'!$A$8:$W$8,1,MOD($A104-1,23)+1)&amp;TEXT(CR$2+FLOOR((CR$2-1)/9,1),"000"),"")</f>
        <v/>
      </c>
      <c r="CS104" s="21" t="str">
        <f>IF(INDEX('Shot Map'!$B$6:$V$26,CEILING($A104/5,1),CEILING(CS$2/5,1))=1,INDEX('Serial Reference'!$A$8:$W$8,1,FLOOR(($A104-1)/23,1)+1)&amp;INDEX('Serial Reference'!$A$8:$W$8,1,MOD($A104-1,23)+1)&amp;TEXT(CS$2+FLOOR((CS$2-1)/9,1),"000"),"")</f>
        <v/>
      </c>
      <c r="CT104" s="22" t="str">
        <f>IF(INDEX('Shot Map'!$B$6:$V$26,CEILING($A104/5,1),CEILING(CT$2/5,1))=1,INDEX('Serial Reference'!$A$8:$W$8,1,FLOOR(($A104-1)/23,1)+1)&amp;INDEX('Serial Reference'!$A$8:$W$8,1,MOD($A104-1,23)+1)&amp;TEXT(CT$2+FLOOR((CT$2-1)/9,1),"000"),"")</f>
        <v/>
      </c>
      <c r="CU104" s="22" t="str">
        <f>IF(INDEX('Shot Map'!$B$6:$V$26,CEILING($A104/5,1),CEILING(CU$2/5,1))=1,INDEX('Serial Reference'!$A$8:$W$8,1,FLOOR(($A104-1)/23,1)+1)&amp;INDEX('Serial Reference'!$A$8:$W$8,1,MOD($A104-1,23)+1)&amp;TEXT(CU$2+FLOOR((CU$2-1)/9,1),"000"),"")</f>
        <v/>
      </c>
      <c r="CV104" s="22" t="str">
        <f>IF(INDEX('Shot Map'!$B$6:$V$26,CEILING($A104/5,1),CEILING(CV$2/5,1))=1,INDEX('Serial Reference'!$A$8:$W$8,1,FLOOR(($A104-1)/23,1)+1)&amp;INDEX('Serial Reference'!$A$8:$W$8,1,MOD($A104-1,23)+1)&amp;TEXT(CV$2+FLOOR((CV$2-1)/9,1),"000"),"")</f>
        <v/>
      </c>
      <c r="CW104" s="23" t="str">
        <f>IF(INDEX('Shot Map'!$B$6:$V$26,CEILING($A104/5,1),CEILING(CW$2/5,1))=1,INDEX('Serial Reference'!$A$8:$W$8,1,FLOOR(($A104-1)/23,1)+1)&amp;INDEX('Serial Reference'!$A$8:$W$8,1,MOD($A104-1,23)+1)&amp;TEXT(CW$2+FLOOR((CW$2-1)/9,1),"000"),"")</f>
        <v/>
      </c>
      <c r="CX104" s="21" t="str">
        <f>IF(INDEX('Shot Map'!$B$6:$V$26,CEILING($A104/5,1),CEILING(CX$2/5,1))=1,INDEX('Serial Reference'!$A$8:$W$8,1,FLOOR(($A104-1)/23,1)+1)&amp;INDEX('Serial Reference'!$A$8:$W$8,1,MOD($A104-1,23)+1)&amp;TEXT(CX$2+FLOOR((CX$2-1)/9,1),"000"),"")</f>
        <v/>
      </c>
      <c r="CY104" s="22" t="str">
        <f>IF(INDEX('Shot Map'!$B$6:$V$26,CEILING($A104/5,1),CEILING(CY$2/5,1))=1,INDEX('Serial Reference'!$A$8:$W$8,1,FLOOR(($A104-1)/23,1)+1)&amp;INDEX('Serial Reference'!$A$8:$W$8,1,MOD($A104-1,23)+1)&amp;TEXT(CY$2+FLOOR((CY$2-1)/9,1),"000"),"")</f>
        <v/>
      </c>
      <c r="CZ104" s="22" t="str">
        <f>IF(INDEX('Shot Map'!$B$6:$V$26,CEILING($A104/5,1),CEILING(CZ$2/5,1))=1,INDEX('Serial Reference'!$A$8:$W$8,1,FLOOR(($A104-1)/23,1)+1)&amp;INDEX('Serial Reference'!$A$8:$W$8,1,MOD($A104-1,23)+1)&amp;TEXT(CZ$2+FLOOR((CZ$2-1)/9,1),"000"),"")</f>
        <v/>
      </c>
      <c r="DA104" s="22" t="str">
        <f>IF(INDEX('Shot Map'!$B$6:$V$26,CEILING($A104/5,1),CEILING(DA$2/5,1))=1,INDEX('Serial Reference'!$A$8:$W$8,1,FLOOR(($A104-1)/23,1)+1)&amp;INDEX('Serial Reference'!$A$8:$W$8,1,MOD($A104-1,23)+1)&amp;TEXT(DA$2+FLOOR((DA$2-1)/9,1),"000"),"")</f>
        <v/>
      </c>
      <c r="DB104" s="23" t="str">
        <f>IF(INDEX('Shot Map'!$B$6:$V$26,CEILING($A104/5,1),CEILING(DB$2/5,1))=1,INDEX('Serial Reference'!$A$8:$W$8,1,FLOOR(($A104-1)/23,1)+1)&amp;INDEX('Serial Reference'!$A$8:$W$8,1,MOD($A104-1,23)+1)&amp;TEXT(DB$2+FLOOR((DB$2-1)/9,1),"000"),"")</f>
        <v/>
      </c>
    </row>
    <row r="105" spans="1:106" ht="12.75" customHeight="1" x14ac:dyDescent="0.25">
      <c r="A105" s="17">
        <v>103</v>
      </c>
      <c r="B105" s="21" t="str">
        <f>IF(INDEX('Shot Map'!$B$6:$V$26,CEILING($A105/5,1),CEILING(B$2/5,1))=1,INDEX('Serial Reference'!$A$8:$W$8,1,FLOOR(($A105-1)/23,1)+1)&amp;INDEX('Serial Reference'!$A$8:$W$8,1,MOD($A105-1,23)+1)&amp;TEXT(B$2+FLOOR((B$2-1)/9,1),"000"),"")</f>
        <v/>
      </c>
      <c r="C105" s="22" t="str">
        <f>IF(INDEX('Shot Map'!$B$6:$V$26,CEILING($A105/5,1),CEILING(C$2/5,1))=1,INDEX('Serial Reference'!$A$8:$W$8,1,FLOOR(($A105-1)/23,1)+1)&amp;INDEX('Serial Reference'!$A$8:$W$8,1,MOD($A105-1,23)+1)&amp;TEXT(C$2+FLOOR((C$2-1)/9,1),"000"),"")</f>
        <v/>
      </c>
      <c r="D105" s="22" t="str">
        <f>IF(INDEX('Shot Map'!$B$6:$V$26,CEILING($A105/5,1),CEILING(D$2/5,1))=1,INDEX('Serial Reference'!$A$8:$W$8,1,FLOOR(($A105-1)/23,1)+1)&amp;INDEX('Serial Reference'!$A$8:$W$8,1,MOD($A105-1,23)+1)&amp;TEXT(D$2+FLOOR((D$2-1)/9,1),"000"),"")</f>
        <v/>
      </c>
      <c r="E105" s="22" t="str">
        <f>IF(INDEX('Shot Map'!$B$6:$V$26,CEILING($A105/5,1),CEILING(E$2/5,1))=1,INDEX('Serial Reference'!$A$8:$W$8,1,FLOOR(($A105-1)/23,1)+1)&amp;INDEX('Serial Reference'!$A$8:$W$8,1,MOD($A105-1,23)+1)&amp;TEXT(E$2+FLOOR((E$2-1)/9,1),"000"),"")</f>
        <v/>
      </c>
      <c r="F105" s="23" t="str">
        <f>IF(INDEX('Shot Map'!$B$6:$V$26,CEILING($A105/5,1),CEILING(F$2/5,1))=1,INDEX('Serial Reference'!$A$8:$W$8,1,FLOOR(($A105-1)/23,1)+1)&amp;INDEX('Serial Reference'!$A$8:$W$8,1,MOD($A105-1,23)+1)&amp;TEXT(F$2+FLOOR((F$2-1)/9,1),"000"),"")</f>
        <v/>
      </c>
      <c r="G105" s="21" t="str">
        <f>IF(INDEX('Shot Map'!$B$6:$V$26,CEILING($A105/5,1),CEILING(G$2/5,1))=1,INDEX('Serial Reference'!$A$8:$W$8,1,FLOOR(($A105-1)/23,1)+1)&amp;INDEX('Serial Reference'!$A$8:$W$8,1,MOD($A105-1,23)+1)&amp;TEXT(G$2+FLOOR((G$2-1)/9,1),"000"),"")</f>
        <v/>
      </c>
      <c r="H105" s="22" t="str">
        <f>IF(INDEX('Shot Map'!$B$6:$V$26,CEILING($A105/5,1),CEILING(H$2/5,1))=1,INDEX('Serial Reference'!$A$8:$W$8,1,FLOOR(($A105-1)/23,1)+1)&amp;INDEX('Serial Reference'!$A$8:$W$8,1,MOD($A105-1,23)+1)&amp;TEXT(H$2+FLOOR((H$2-1)/9,1),"000"),"")</f>
        <v/>
      </c>
      <c r="I105" s="22" t="str">
        <f>IF(INDEX('Shot Map'!$B$6:$V$26,CEILING($A105/5,1),CEILING(I$2/5,1))=1,INDEX('Serial Reference'!$A$8:$W$8,1,FLOOR(($A105-1)/23,1)+1)&amp;INDEX('Serial Reference'!$A$8:$W$8,1,MOD($A105-1,23)+1)&amp;TEXT(I$2+FLOOR((I$2-1)/9,1),"000"),"")</f>
        <v/>
      </c>
      <c r="J105" s="22" t="str">
        <f>IF(INDEX('Shot Map'!$B$6:$V$26,CEILING($A105/5,1),CEILING(J$2/5,1))=1,INDEX('Serial Reference'!$A$8:$W$8,1,FLOOR(($A105-1)/23,1)+1)&amp;INDEX('Serial Reference'!$A$8:$W$8,1,MOD($A105-1,23)+1)&amp;TEXT(J$2+FLOOR((J$2-1)/9,1),"000"),"")</f>
        <v/>
      </c>
      <c r="K105" s="23" t="str">
        <f>IF(INDEX('Shot Map'!$B$6:$V$26,CEILING($A105/5,1),CEILING(K$2/5,1))=1,INDEX('Serial Reference'!$A$8:$W$8,1,FLOOR(($A105-1)/23,1)+1)&amp;INDEX('Serial Reference'!$A$8:$W$8,1,MOD($A105-1,23)+1)&amp;TEXT(K$2+FLOOR((K$2-1)/9,1),"000"),"")</f>
        <v/>
      </c>
      <c r="L105" s="21" t="str">
        <f>IF(INDEX('Shot Map'!$B$6:$V$26,CEILING($A105/5,1),CEILING(L$2/5,1))=1,INDEX('Serial Reference'!$A$8:$W$8,1,FLOOR(($A105-1)/23,1)+1)&amp;INDEX('Serial Reference'!$A$8:$W$8,1,MOD($A105-1,23)+1)&amp;TEXT(L$2+FLOOR((L$2-1)/9,1),"000"),"")</f>
        <v/>
      </c>
      <c r="M105" s="22" t="str">
        <f>IF(INDEX('Shot Map'!$B$6:$V$26,CEILING($A105/5,1),CEILING(M$2/5,1))=1,INDEX('Serial Reference'!$A$8:$W$8,1,FLOOR(($A105-1)/23,1)+1)&amp;INDEX('Serial Reference'!$A$8:$W$8,1,MOD($A105-1,23)+1)&amp;TEXT(M$2+FLOOR((M$2-1)/9,1),"000"),"")</f>
        <v/>
      </c>
      <c r="N105" s="22" t="str">
        <f>IF(INDEX('Shot Map'!$B$6:$V$26,CEILING($A105/5,1),CEILING(N$2/5,1))=1,INDEX('Serial Reference'!$A$8:$W$8,1,FLOOR(($A105-1)/23,1)+1)&amp;INDEX('Serial Reference'!$A$8:$W$8,1,MOD($A105-1,23)+1)&amp;TEXT(N$2+FLOOR((N$2-1)/9,1),"000"),"")</f>
        <v/>
      </c>
      <c r="O105" s="22" t="str">
        <f>IF(INDEX('Shot Map'!$B$6:$V$26,CEILING($A105/5,1),CEILING(O$2/5,1))=1,INDEX('Serial Reference'!$A$8:$W$8,1,FLOOR(($A105-1)/23,1)+1)&amp;INDEX('Serial Reference'!$A$8:$W$8,1,MOD($A105-1,23)+1)&amp;TEXT(O$2+FLOOR((O$2-1)/9,1),"000"),"")</f>
        <v/>
      </c>
      <c r="P105" s="23" t="str">
        <f>IF(INDEX('Shot Map'!$B$6:$V$26,CEILING($A105/5,1),CEILING(P$2/5,1))=1,INDEX('Serial Reference'!$A$8:$W$8,1,FLOOR(($A105-1)/23,1)+1)&amp;INDEX('Serial Reference'!$A$8:$W$8,1,MOD($A105-1,23)+1)&amp;TEXT(P$2+FLOOR((P$2-1)/9,1),"000"),"")</f>
        <v/>
      </c>
      <c r="Q105" s="21" t="str">
        <f>IF(INDEX('Shot Map'!$B$6:$V$26,CEILING($A105/5,1),CEILING(Q$2/5,1))=1,INDEX('Serial Reference'!$A$8:$W$8,1,FLOOR(($A105-1)/23,1)+1)&amp;INDEX('Serial Reference'!$A$8:$W$8,1,MOD($A105-1,23)+1)&amp;TEXT(Q$2+FLOOR((Q$2-1)/9,1),"000"),"")</f>
        <v/>
      </c>
      <c r="R105" s="22" t="str">
        <f>IF(INDEX('Shot Map'!$B$6:$V$26,CEILING($A105/5,1),CEILING(R$2/5,1))=1,INDEX('Serial Reference'!$A$8:$W$8,1,FLOOR(($A105-1)/23,1)+1)&amp;INDEX('Serial Reference'!$A$8:$W$8,1,MOD($A105-1,23)+1)&amp;TEXT(R$2+FLOOR((R$2-1)/9,1),"000"),"")</f>
        <v/>
      </c>
      <c r="S105" s="22" t="str">
        <f>IF(INDEX('Shot Map'!$B$6:$V$26,CEILING($A105/5,1),CEILING(S$2/5,1))=1,INDEX('Serial Reference'!$A$8:$W$8,1,FLOOR(($A105-1)/23,1)+1)&amp;INDEX('Serial Reference'!$A$8:$W$8,1,MOD($A105-1,23)+1)&amp;TEXT(S$2+FLOOR((S$2-1)/9,1),"000"),"")</f>
        <v/>
      </c>
      <c r="T105" s="22" t="str">
        <f>IF(INDEX('Shot Map'!$B$6:$V$26,CEILING($A105/5,1),CEILING(T$2/5,1))=1,INDEX('Serial Reference'!$A$8:$W$8,1,FLOOR(($A105-1)/23,1)+1)&amp;INDEX('Serial Reference'!$A$8:$W$8,1,MOD($A105-1,23)+1)&amp;TEXT(T$2+FLOOR((T$2-1)/9,1),"000"),"")</f>
        <v/>
      </c>
      <c r="U105" s="23" t="str">
        <f>IF(INDEX('Shot Map'!$B$6:$V$26,CEILING($A105/5,1),CEILING(U$2/5,1))=1,INDEX('Serial Reference'!$A$8:$W$8,1,FLOOR(($A105-1)/23,1)+1)&amp;INDEX('Serial Reference'!$A$8:$W$8,1,MOD($A105-1,23)+1)&amp;TEXT(U$2+FLOOR((U$2-1)/9,1),"000"),"")</f>
        <v/>
      </c>
      <c r="V105" s="21" t="str">
        <f>IF(INDEX('Shot Map'!$B$6:$V$26,CEILING($A105/5,1),CEILING(V$2/5,1))=1,INDEX('Serial Reference'!$A$8:$W$8,1,FLOOR(($A105-1)/23,1)+1)&amp;INDEX('Serial Reference'!$A$8:$W$8,1,MOD($A105-1,23)+1)&amp;TEXT(V$2+FLOOR((V$2-1)/9,1),"000"),"")</f>
        <v/>
      </c>
      <c r="W105" s="22" t="str">
        <f>IF(INDEX('Shot Map'!$B$6:$V$26,CEILING($A105/5,1),CEILING(W$2/5,1))=1,INDEX('Serial Reference'!$A$8:$W$8,1,FLOOR(($A105-1)/23,1)+1)&amp;INDEX('Serial Reference'!$A$8:$W$8,1,MOD($A105-1,23)+1)&amp;TEXT(W$2+FLOOR((W$2-1)/9,1),"000"),"")</f>
        <v/>
      </c>
      <c r="X105" s="22" t="str">
        <f>IF(INDEX('Shot Map'!$B$6:$V$26,CEILING($A105/5,1),CEILING(X$2/5,1))=1,INDEX('Serial Reference'!$A$8:$W$8,1,FLOOR(($A105-1)/23,1)+1)&amp;INDEX('Serial Reference'!$A$8:$W$8,1,MOD($A105-1,23)+1)&amp;TEXT(X$2+FLOOR((X$2-1)/9,1),"000"),"")</f>
        <v/>
      </c>
      <c r="Y105" s="22" t="str">
        <f>IF(INDEX('Shot Map'!$B$6:$V$26,CEILING($A105/5,1),CEILING(Y$2/5,1))=1,INDEX('Serial Reference'!$A$8:$W$8,1,FLOOR(($A105-1)/23,1)+1)&amp;INDEX('Serial Reference'!$A$8:$W$8,1,MOD($A105-1,23)+1)&amp;TEXT(Y$2+FLOOR((Y$2-1)/9,1),"000"),"")</f>
        <v/>
      </c>
      <c r="Z105" s="23" t="str">
        <f>IF(INDEX('Shot Map'!$B$6:$V$26,CEILING($A105/5,1),CEILING(Z$2/5,1))=1,INDEX('Serial Reference'!$A$8:$W$8,1,FLOOR(($A105-1)/23,1)+1)&amp;INDEX('Serial Reference'!$A$8:$W$8,1,MOD($A105-1,23)+1)&amp;TEXT(Z$2+FLOOR((Z$2-1)/9,1),"000"),"")</f>
        <v/>
      </c>
      <c r="AA105" s="21" t="str">
        <f>IF(INDEX('Shot Map'!$B$6:$V$26,CEILING($A105/5,1),CEILING(AA$2/5,1))=1,INDEX('Serial Reference'!$A$8:$W$8,1,FLOOR(($A105-1)/23,1)+1)&amp;INDEX('Serial Reference'!$A$8:$W$8,1,MOD($A105-1,23)+1)&amp;TEXT(AA$2+FLOOR((AA$2-1)/9,1),"000"),"")</f>
        <v/>
      </c>
      <c r="AB105" s="22" t="str">
        <f>IF(INDEX('Shot Map'!$B$6:$V$26,CEILING($A105/5,1),CEILING(AB$2/5,1))=1,INDEX('Serial Reference'!$A$8:$W$8,1,FLOOR(($A105-1)/23,1)+1)&amp;INDEX('Serial Reference'!$A$8:$W$8,1,MOD($A105-1,23)+1)&amp;TEXT(AB$2+FLOOR((AB$2-1)/9,1),"000"),"")</f>
        <v/>
      </c>
      <c r="AC105" s="22" t="str">
        <f>IF(INDEX('Shot Map'!$B$6:$V$26,CEILING($A105/5,1),CEILING(AC$2/5,1))=1,INDEX('Serial Reference'!$A$8:$W$8,1,FLOOR(($A105-1)/23,1)+1)&amp;INDEX('Serial Reference'!$A$8:$W$8,1,MOD($A105-1,23)+1)&amp;TEXT(AC$2+FLOOR((AC$2-1)/9,1),"000"),"")</f>
        <v/>
      </c>
      <c r="AD105" s="22" t="str">
        <f>IF(INDEX('Shot Map'!$B$6:$V$26,CEILING($A105/5,1),CEILING(AD$2/5,1))=1,INDEX('Serial Reference'!$A$8:$W$8,1,FLOOR(($A105-1)/23,1)+1)&amp;INDEX('Serial Reference'!$A$8:$W$8,1,MOD($A105-1,23)+1)&amp;TEXT(AD$2+FLOOR((AD$2-1)/9,1),"000"),"")</f>
        <v/>
      </c>
      <c r="AE105" s="23" t="str">
        <f>IF(INDEX('Shot Map'!$B$6:$V$26,CEILING($A105/5,1),CEILING(AE$2/5,1))=1,INDEX('Serial Reference'!$A$8:$W$8,1,FLOOR(($A105-1)/23,1)+1)&amp;INDEX('Serial Reference'!$A$8:$W$8,1,MOD($A105-1,23)+1)&amp;TEXT(AE$2+FLOOR((AE$2-1)/9,1),"000"),"")</f>
        <v/>
      </c>
      <c r="AF105" s="21" t="str">
        <f>IF(INDEX('Shot Map'!$B$6:$V$26,CEILING($A105/5,1),CEILING(AF$2/5,1))=1,INDEX('Serial Reference'!$A$8:$W$8,1,FLOOR(($A105-1)/23,1)+1)&amp;INDEX('Serial Reference'!$A$8:$W$8,1,MOD($A105-1,23)+1)&amp;TEXT(AF$2+FLOOR((AF$2-1)/9,1),"000"),"")</f>
        <v/>
      </c>
      <c r="AG105" s="22" t="str">
        <f>IF(INDEX('Shot Map'!$B$6:$V$26,CEILING($A105/5,1),CEILING(AG$2/5,1))=1,INDEX('Serial Reference'!$A$8:$W$8,1,FLOOR(($A105-1)/23,1)+1)&amp;INDEX('Serial Reference'!$A$8:$W$8,1,MOD($A105-1,23)+1)&amp;TEXT(AG$2+FLOOR((AG$2-1)/9,1),"000"),"")</f>
        <v/>
      </c>
      <c r="AH105" s="22" t="str">
        <f>IF(INDEX('Shot Map'!$B$6:$V$26,CEILING($A105/5,1),CEILING(AH$2/5,1))=1,INDEX('Serial Reference'!$A$8:$W$8,1,FLOOR(($A105-1)/23,1)+1)&amp;INDEX('Serial Reference'!$A$8:$W$8,1,MOD($A105-1,23)+1)&amp;TEXT(AH$2+FLOOR((AH$2-1)/9,1),"000"),"")</f>
        <v/>
      </c>
      <c r="AI105" s="22" t="str">
        <f>IF(INDEX('Shot Map'!$B$6:$V$26,CEILING($A105/5,1),CEILING(AI$2/5,1))=1,INDEX('Serial Reference'!$A$8:$W$8,1,FLOOR(($A105-1)/23,1)+1)&amp;INDEX('Serial Reference'!$A$8:$W$8,1,MOD($A105-1,23)+1)&amp;TEXT(AI$2+FLOOR((AI$2-1)/9,1),"000"),"")</f>
        <v/>
      </c>
      <c r="AJ105" s="23" t="str">
        <f>IF(INDEX('Shot Map'!$B$6:$V$26,CEILING($A105/5,1),CEILING(AJ$2/5,1))=1,INDEX('Serial Reference'!$A$8:$W$8,1,FLOOR(($A105-1)/23,1)+1)&amp;INDEX('Serial Reference'!$A$8:$W$8,1,MOD($A105-1,23)+1)&amp;TEXT(AJ$2+FLOOR((AJ$2-1)/9,1),"000"),"")</f>
        <v/>
      </c>
      <c r="AK105" s="21" t="str">
        <f>IF(INDEX('Shot Map'!$B$6:$V$26,CEILING($A105/5,1),CEILING(AK$2/5,1))=1,INDEX('Serial Reference'!$A$8:$W$8,1,FLOOR(($A105-1)/23,1)+1)&amp;INDEX('Serial Reference'!$A$8:$W$8,1,MOD($A105-1,23)+1)&amp;TEXT(AK$2+FLOOR((AK$2-1)/9,1),"000"),"")</f>
        <v/>
      </c>
      <c r="AL105" s="22" t="str">
        <f>IF(INDEX('Shot Map'!$B$6:$V$26,CEILING($A105/5,1),CEILING(AL$2/5,1))=1,INDEX('Serial Reference'!$A$8:$W$8,1,FLOOR(($A105-1)/23,1)+1)&amp;INDEX('Serial Reference'!$A$8:$W$8,1,MOD($A105-1,23)+1)&amp;TEXT(AL$2+FLOOR((AL$2-1)/9,1),"000"),"")</f>
        <v/>
      </c>
      <c r="AM105" s="22" t="str">
        <f>IF(INDEX('Shot Map'!$B$6:$V$26,CEILING($A105/5,1),CEILING(AM$2/5,1))=1,INDEX('Serial Reference'!$A$8:$W$8,1,FLOOR(($A105-1)/23,1)+1)&amp;INDEX('Serial Reference'!$A$8:$W$8,1,MOD($A105-1,23)+1)&amp;TEXT(AM$2+FLOOR((AM$2-1)/9,1),"000"),"")</f>
        <v/>
      </c>
      <c r="AN105" s="22" t="str">
        <f>IF(INDEX('Shot Map'!$B$6:$V$26,CEILING($A105/5,1),CEILING(AN$2/5,1))=1,INDEX('Serial Reference'!$A$8:$W$8,1,FLOOR(($A105-1)/23,1)+1)&amp;INDEX('Serial Reference'!$A$8:$W$8,1,MOD($A105-1,23)+1)&amp;TEXT(AN$2+FLOOR((AN$2-1)/9,1),"000"),"")</f>
        <v/>
      </c>
      <c r="AO105" s="23" t="str">
        <f>IF(INDEX('Shot Map'!$B$6:$V$26,CEILING($A105/5,1),CEILING(AO$2/5,1))=1,INDEX('Serial Reference'!$A$8:$W$8,1,FLOOR(($A105-1)/23,1)+1)&amp;INDEX('Serial Reference'!$A$8:$W$8,1,MOD($A105-1,23)+1)&amp;TEXT(AO$2+FLOOR((AO$2-1)/9,1),"000"),"")</f>
        <v/>
      </c>
      <c r="AP105" s="21" t="str">
        <f>IF(INDEX('Shot Map'!$B$6:$V$26,CEILING($A105/5,1),CEILING(AP$2/5,1))=1,INDEX('Serial Reference'!$A$8:$W$8,1,FLOOR(($A105-1)/23,1)+1)&amp;INDEX('Serial Reference'!$A$8:$W$8,1,MOD($A105-1,23)+1)&amp;TEXT(AP$2+FLOOR((AP$2-1)/9,1),"000"),"")</f>
        <v/>
      </c>
      <c r="AQ105" s="22" t="str">
        <f>IF(INDEX('Shot Map'!$B$6:$V$26,CEILING($A105/5,1),CEILING(AQ$2/5,1))=1,INDEX('Serial Reference'!$A$8:$W$8,1,FLOOR(($A105-1)/23,1)+1)&amp;INDEX('Serial Reference'!$A$8:$W$8,1,MOD($A105-1,23)+1)&amp;TEXT(AQ$2+FLOOR((AQ$2-1)/9,1),"000"),"")</f>
        <v/>
      </c>
      <c r="AR105" s="22" t="str">
        <f>IF(INDEX('Shot Map'!$B$6:$V$26,CEILING($A105/5,1),CEILING(AR$2/5,1))=1,INDEX('Serial Reference'!$A$8:$W$8,1,FLOOR(($A105-1)/23,1)+1)&amp;INDEX('Serial Reference'!$A$8:$W$8,1,MOD($A105-1,23)+1)&amp;TEXT(AR$2+FLOOR((AR$2-1)/9,1),"000"),"")</f>
        <v/>
      </c>
      <c r="AS105" s="22" t="str">
        <f>IF(INDEX('Shot Map'!$B$6:$V$26,CEILING($A105/5,1),CEILING(AS$2/5,1))=1,INDEX('Serial Reference'!$A$8:$W$8,1,FLOOR(($A105-1)/23,1)+1)&amp;INDEX('Serial Reference'!$A$8:$W$8,1,MOD($A105-1,23)+1)&amp;TEXT(AS$2+FLOOR((AS$2-1)/9,1),"000"),"")</f>
        <v/>
      </c>
      <c r="AT105" s="23" t="str">
        <f>IF(INDEX('Shot Map'!$B$6:$V$26,CEILING($A105/5,1),CEILING(AT$2/5,1))=1,INDEX('Serial Reference'!$A$8:$W$8,1,FLOOR(($A105-1)/23,1)+1)&amp;INDEX('Serial Reference'!$A$8:$W$8,1,MOD($A105-1,23)+1)&amp;TEXT(AT$2+FLOOR((AT$2-1)/9,1),"000"),"")</f>
        <v/>
      </c>
      <c r="AU105" s="21" t="str">
        <f>IF(INDEX('Shot Map'!$B$6:$V$26,CEILING($A105/5,1),CEILING(AU$2/5,1))=1,INDEX('Serial Reference'!$A$8:$W$8,1,FLOOR(($A105-1)/23,1)+1)&amp;INDEX('Serial Reference'!$A$8:$W$8,1,MOD($A105-1,23)+1)&amp;TEXT(AU$2+FLOOR((AU$2-1)/9,1),"000"),"")</f>
        <v>EL051</v>
      </c>
      <c r="AV105" s="22" t="str">
        <f>IF(INDEX('Shot Map'!$B$6:$V$26,CEILING($A105/5,1),CEILING(AV$2/5,1))=1,INDEX('Serial Reference'!$A$8:$W$8,1,FLOOR(($A105-1)/23,1)+1)&amp;INDEX('Serial Reference'!$A$8:$W$8,1,MOD($A105-1,23)+1)&amp;TEXT(AV$2+FLOOR((AV$2-1)/9,1),"000"),"")</f>
        <v>EL052</v>
      </c>
      <c r="AW105" s="22" t="str">
        <f>IF(INDEX('Shot Map'!$B$6:$V$26,CEILING($A105/5,1),CEILING(AW$2/5,1))=1,INDEX('Serial Reference'!$A$8:$W$8,1,FLOOR(($A105-1)/23,1)+1)&amp;INDEX('Serial Reference'!$A$8:$W$8,1,MOD($A105-1,23)+1)&amp;TEXT(AW$2+FLOOR((AW$2-1)/9,1),"000"),"")</f>
        <v>EL053</v>
      </c>
      <c r="AX105" s="22" t="str">
        <f>IF(INDEX('Shot Map'!$B$6:$V$26,CEILING($A105/5,1),CEILING(AX$2/5,1))=1,INDEX('Serial Reference'!$A$8:$W$8,1,FLOOR(($A105-1)/23,1)+1)&amp;INDEX('Serial Reference'!$A$8:$W$8,1,MOD($A105-1,23)+1)&amp;TEXT(AX$2+FLOOR((AX$2-1)/9,1),"000"),"")</f>
        <v>EL054</v>
      </c>
      <c r="AY105" s="23" t="str">
        <f>IF(INDEX('Shot Map'!$B$6:$V$26,CEILING($A105/5,1),CEILING(AY$2/5,1))=1,INDEX('Serial Reference'!$A$8:$W$8,1,FLOOR(($A105-1)/23,1)+1)&amp;INDEX('Serial Reference'!$A$8:$W$8,1,MOD($A105-1,23)+1)&amp;TEXT(AY$2+FLOOR((AY$2-1)/9,1),"000"),"")</f>
        <v>EL055</v>
      </c>
      <c r="AZ105" s="21" t="str">
        <f>IF(INDEX('Shot Map'!$B$6:$V$26,CEILING($A105/5,1),CEILING(AZ$2/5,1))=1,INDEX('Serial Reference'!$A$8:$W$8,1,FLOOR(($A105-1)/23,1)+1)&amp;INDEX('Serial Reference'!$A$8:$W$8,1,MOD($A105-1,23)+1)&amp;TEXT(AZ$2+FLOOR((AZ$2-1)/9,1),"000"),"")</f>
        <v>EL056</v>
      </c>
      <c r="BA105" s="22" t="str">
        <f>IF(INDEX('Shot Map'!$B$6:$V$26,CEILING($A105/5,1),CEILING(BA$2/5,1))=1,INDEX('Serial Reference'!$A$8:$W$8,1,FLOOR(($A105-1)/23,1)+1)&amp;INDEX('Serial Reference'!$A$8:$W$8,1,MOD($A105-1,23)+1)&amp;TEXT(BA$2+FLOOR((BA$2-1)/9,1),"000"),"")</f>
        <v>EL057</v>
      </c>
      <c r="BB105" s="22" t="str">
        <f>IF(INDEX('Shot Map'!$B$6:$V$26,CEILING($A105/5,1),CEILING(BB$2/5,1))=1,INDEX('Serial Reference'!$A$8:$W$8,1,FLOOR(($A105-1)/23,1)+1)&amp;INDEX('Serial Reference'!$A$8:$W$8,1,MOD($A105-1,23)+1)&amp;TEXT(BB$2+FLOOR((BB$2-1)/9,1),"000"),"")</f>
        <v>EL058</v>
      </c>
      <c r="BC105" s="22" t="str">
        <f>IF(INDEX('Shot Map'!$B$6:$V$26,CEILING($A105/5,1),CEILING(BC$2/5,1))=1,INDEX('Serial Reference'!$A$8:$W$8,1,FLOOR(($A105-1)/23,1)+1)&amp;INDEX('Serial Reference'!$A$8:$W$8,1,MOD($A105-1,23)+1)&amp;TEXT(BC$2+FLOOR((BC$2-1)/9,1),"000"),"")</f>
        <v>EL059</v>
      </c>
      <c r="BD105" s="23" t="str">
        <f>IF(INDEX('Shot Map'!$B$6:$V$26,CEILING($A105/5,1),CEILING(BD$2/5,1))=1,INDEX('Serial Reference'!$A$8:$W$8,1,FLOOR(($A105-1)/23,1)+1)&amp;INDEX('Serial Reference'!$A$8:$W$8,1,MOD($A105-1,23)+1)&amp;TEXT(BD$2+FLOOR((BD$2-1)/9,1),"000"),"")</f>
        <v>EL061</v>
      </c>
      <c r="BE105" s="21" t="str">
        <f>IF(INDEX('Shot Map'!$B$6:$V$26,CEILING($A105/5,1),CEILING(BE$2/5,1))=1,INDEX('Serial Reference'!$A$8:$W$8,1,FLOOR(($A105-1)/23,1)+1)&amp;INDEX('Serial Reference'!$A$8:$W$8,1,MOD($A105-1,23)+1)&amp;TEXT(BE$2+FLOOR((BE$2-1)/9,1),"000"),"")</f>
        <v>EL062</v>
      </c>
      <c r="BF105" s="22" t="str">
        <f>IF(INDEX('Shot Map'!$B$6:$V$26,CEILING($A105/5,1),CEILING(BF$2/5,1))=1,INDEX('Serial Reference'!$A$8:$W$8,1,FLOOR(($A105-1)/23,1)+1)&amp;INDEX('Serial Reference'!$A$8:$W$8,1,MOD($A105-1,23)+1)&amp;TEXT(BF$2+FLOOR((BF$2-1)/9,1),"000"),"")</f>
        <v>EL063</v>
      </c>
      <c r="BG105" s="22" t="str">
        <f>IF(INDEX('Shot Map'!$B$6:$V$26,CEILING($A105/5,1),CEILING(BG$2/5,1))=1,INDEX('Serial Reference'!$A$8:$W$8,1,FLOOR(($A105-1)/23,1)+1)&amp;INDEX('Serial Reference'!$A$8:$W$8,1,MOD($A105-1,23)+1)&amp;TEXT(BG$2+FLOOR((BG$2-1)/9,1),"000"),"")</f>
        <v>EL064</v>
      </c>
      <c r="BH105" s="22" t="str">
        <f>IF(INDEX('Shot Map'!$B$6:$V$26,CEILING($A105/5,1),CEILING(BH$2/5,1))=1,INDEX('Serial Reference'!$A$8:$W$8,1,FLOOR(($A105-1)/23,1)+1)&amp;INDEX('Serial Reference'!$A$8:$W$8,1,MOD($A105-1,23)+1)&amp;TEXT(BH$2+FLOOR((BH$2-1)/9,1),"000"),"")</f>
        <v>EL065</v>
      </c>
      <c r="BI105" s="23" t="str">
        <f>IF(INDEX('Shot Map'!$B$6:$V$26,CEILING($A105/5,1),CEILING(BI$2/5,1))=1,INDEX('Serial Reference'!$A$8:$W$8,1,FLOOR(($A105-1)/23,1)+1)&amp;INDEX('Serial Reference'!$A$8:$W$8,1,MOD($A105-1,23)+1)&amp;TEXT(BI$2+FLOOR((BI$2-1)/9,1),"000"),"")</f>
        <v>EL066</v>
      </c>
      <c r="BJ105" s="21" t="str">
        <f>IF(INDEX('Shot Map'!$B$6:$V$26,CEILING($A105/5,1),CEILING(BJ$2/5,1))=1,INDEX('Serial Reference'!$A$8:$W$8,1,FLOOR(($A105-1)/23,1)+1)&amp;INDEX('Serial Reference'!$A$8:$W$8,1,MOD($A105-1,23)+1)&amp;TEXT(BJ$2+FLOOR((BJ$2-1)/9,1),"000"),"")</f>
        <v/>
      </c>
      <c r="BK105" s="22" t="str">
        <f>IF(INDEX('Shot Map'!$B$6:$V$26,CEILING($A105/5,1),CEILING(BK$2/5,1))=1,INDEX('Serial Reference'!$A$8:$W$8,1,FLOOR(($A105-1)/23,1)+1)&amp;INDEX('Serial Reference'!$A$8:$W$8,1,MOD($A105-1,23)+1)&amp;TEXT(BK$2+FLOOR((BK$2-1)/9,1),"000"),"")</f>
        <v/>
      </c>
      <c r="BL105" s="22" t="str">
        <f>IF(INDEX('Shot Map'!$B$6:$V$26,CEILING($A105/5,1),CEILING(BL$2/5,1))=1,INDEX('Serial Reference'!$A$8:$W$8,1,FLOOR(($A105-1)/23,1)+1)&amp;INDEX('Serial Reference'!$A$8:$W$8,1,MOD($A105-1,23)+1)&amp;TEXT(BL$2+FLOOR((BL$2-1)/9,1),"000"),"")</f>
        <v/>
      </c>
      <c r="BM105" s="22" t="str">
        <f>IF(INDEX('Shot Map'!$B$6:$V$26,CEILING($A105/5,1),CEILING(BM$2/5,1))=1,INDEX('Serial Reference'!$A$8:$W$8,1,FLOOR(($A105-1)/23,1)+1)&amp;INDEX('Serial Reference'!$A$8:$W$8,1,MOD($A105-1,23)+1)&amp;TEXT(BM$2+FLOOR((BM$2-1)/9,1),"000"),"")</f>
        <v/>
      </c>
      <c r="BN105" s="23" t="str">
        <f>IF(INDEX('Shot Map'!$B$6:$V$26,CEILING($A105/5,1),CEILING(BN$2/5,1))=1,INDEX('Serial Reference'!$A$8:$W$8,1,FLOOR(($A105-1)/23,1)+1)&amp;INDEX('Serial Reference'!$A$8:$W$8,1,MOD($A105-1,23)+1)&amp;TEXT(BN$2+FLOOR((BN$2-1)/9,1),"000"),"")</f>
        <v/>
      </c>
      <c r="BO105" s="21" t="str">
        <f>IF(INDEX('Shot Map'!$B$6:$V$26,CEILING($A105/5,1),CEILING(BO$2/5,1))=1,INDEX('Serial Reference'!$A$8:$W$8,1,FLOOR(($A105-1)/23,1)+1)&amp;INDEX('Serial Reference'!$A$8:$W$8,1,MOD($A105-1,23)+1)&amp;TEXT(BO$2+FLOOR((BO$2-1)/9,1),"000"),"")</f>
        <v/>
      </c>
      <c r="BP105" s="22" t="str">
        <f>IF(INDEX('Shot Map'!$B$6:$V$26,CEILING($A105/5,1),CEILING(BP$2/5,1))=1,INDEX('Serial Reference'!$A$8:$W$8,1,FLOOR(($A105-1)/23,1)+1)&amp;INDEX('Serial Reference'!$A$8:$W$8,1,MOD($A105-1,23)+1)&amp;TEXT(BP$2+FLOOR((BP$2-1)/9,1),"000"),"")</f>
        <v/>
      </c>
      <c r="BQ105" s="22" t="str">
        <f>IF(INDEX('Shot Map'!$B$6:$V$26,CEILING($A105/5,1),CEILING(BQ$2/5,1))=1,INDEX('Serial Reference'!$A$8:$W$8,1,FLOOR(($A105-1)/23,1)+1)&amp;INDEX('Serial Reference'!$A$8:$W$8,1,MOD($A105-1,23)+1)&amp;TEXT(BQ$2+FLOOR((BQ$2-1)/9,1),"000"),"")</f>
        <v/>
      </c>
      <c r="BR105" s="22" t="str">
        <f>IF(INDEX('Shot Map'!$B$6:$V$26,CEILING($A105/5,1),CEILING(BR$2/5,1))=1,INDEX('Serial Reference'!$A$8:$W$8,1,FLOOR(($A105-1)/23,1)+1)&amp;INDEX('Serial Reference'!$A$8:$W$8,1,MOD($A105-1,23)+1)&amp;TEXT(BR$2+FLOOR((BR$2-1)/9,1),"000"),"")</f>
        <v/>
      </c>
      <c r="BS105" s="23" t="str">
        <f>IF(INDEX('Shot Map'!$B$6:$V$26,CEILING($A105/5,1),CEILING(BS$2/5,1))=1,INDEX('Serial Reference'!$A$8:$W$8,1,FLOOR(($A105-1)/23,1)+1)&amp;INDEX('Serial Reference'!$A$8:$W$8,1,MOD($A105-1,23)+1)&amp;TEXT(BS$2+FLOOR((BS$2-1)/9,1),"000"),"")</f>
        <v/>
      </c>
      <c r="BT105" s="21" t="str">
        <f>IF(INDEX('Shot Map'!$B$6:$V$26,CEILING($A105/5,1),CEILING(BT$2/5,1))=1,INDEX('Serial Reference'!$A$8:$W$8,1,FLOOR(($A105-1)/23,1)+1)&amp;INDEX('Serial Reference'!$A$8:$W$8,1,MOD($A105-1,23)+1)&amp;TEXT(BT$2+FLOOR((BT$2-1)/9,1),"000"),"")</f>
        <v/>
      </c>
      <c r="BU105" s="22" t="str">
        <f>IF(INDEX('Shot Map'!$B$6:$V$26,CEILING($A105/5,1),CEILING(BU$2/5,1))=1,INDEX('Serial Reference'!$A$8:$W$8,1,FLOOR(($A105-1)/23,1)+1)&amp;INDEX('Serial Reference'!$A$8:$W$8,1,MOD($A105-1,23)+1)&amp;TEXT(BU$2+FLOOR((BU$2-1)/9,1),"000"),"")</f>
        <v/>
      </c>
      <c r="BV105" s="22" t="str">
        <f>IF(INDEX('Shot Map'!$B$6:$V$26,CEILING($A105/5,1),CEILING(BV$2/5,1))=1,INDEX('Serial Reference'!$A$8:$W$8,1,FLOOR(($A105-1)/23,1)+1)&amp;INDEX('Serial Reference'!$A$8:$W$8,1,MOD($A105-1,23)+1)&amp;TEXT(BV$2+FLOOR((BV$2-1)/9,1),"000"),"")</f>
        <v/>
      </c>
      <c r="BW105" s="22" t="str">
        <f>IF(INDEX('Shot Map'!$B$6:$V$26,CEILING($A105/5,1),CEILING(BW$2/5,1))=1,INDEX('Serial Reference'!$A$8:$W$8,1,FLOOR(($A105-1)/23,1)+1)&amp;INDEX('Serial Reference'!$A$8:$W$8,1,MOD($A105-1,23)+1)&amp;TEXT(BW$2+FLOOR((BW$2-1)/9,1),"000"),"")</f>
        <v/>
      </c>
      <c r="BX105" s="23" t="str">
        <f>IF(INDEX('Shot Map'!$B$6:$V$26,CEILING($A105/5,1),CEILING(BX$2/5,1))=1,INDEX('Serial Reference'!$A$8:$W$8,1,FLOOR(($A105-1)/23,1)+1)&amp;INDEX('Serial Reference'!$A$8:$W$8,1,MOD($A105-1,23)+1)&amp;TEXT(BX$2+FLOOR((BX$2-1)/9,1),"000"),"")</f>
        <v/>
      </c>
      <c r="BY105" s="21" t="str">
        <f>IF(INDEX('Shot Map'!$B$6:$V$26,CEILING($A105/5,1),CEILING(BY$2/5,1))=1,INDEX('Serial Reference'!$A$8:$W$8,1,FLOOR(($A105-1)/23,1)+1)&amp;INDEX('Serial Reference'!$A$8:$W$8,1,MOD($A105-1,23)+1)&amp;TEXT(BY$2+FLOOR((BY$2-1)/9,1),"000"),"")</f>
        <v/>
      </c>
      <c r="BZ105" s="22" t="str">
        <f>IF(INDEX('Shot Map'!$B$6:$V$26,CEILING($A105/5,1),CEILING(BZ$2/5,1))=1,INDEX('Serial Reference'!$A$8:$W$8,1,FLOOR(($A105-1)/23,1)+1)&amp;INDEX('Serial Reference'!$A$8:$W$8,1,MOD($A105-1,23)+1)&amp;TEXT(BZ$2+FLOOR((BZ$2-1)/9,1),"000"),"")</f>
        <v/>
      </c>
      <c r="CA105" s="22" t="str">
        <f>IF(INDEX('Shot Map'!$B$6:$V$26,CEILING($A105/5,1),CEILING(CA$2/5,1))=1,INDEX('Serial Reference'!$A$8:$W$8,1,FLOOR(($A105-1)/23,1)+1)&amp;INDEX('Serial Reference'!$A$8:$W$8,1,MOD($A105-1,23)+1)&amp;TEXT(CA$2+FLOOR((CA$2-1)/9,1),"000"),"")</f>
        <v/>
      </c>
      <c r="CB105" s="22" t="str">
        <f>IF(INDEX('Shot Map'!$B$6:$V$26,CEILING($A105/5,1),CEILING(CB$2/5,1))=1,INDEX('Serial Reference'!$A$8:$W$8,1,FLOOR(($A105-1)/23,1)+1)&amp;INDEX('Serial Reference'!$A$8:$W$8,1,MOD($A105-1,23)+1)&amp;TEXT(CB$2+FLOOR((CB$2-1)/9,1),"000"),"")</f>
        <v/>
      </c>
      <c r="CC105" s="23" t="str">
        <f>IF(INDEX('Shot Map'!$B$6:$V$26,CEILING($A105/5,1),CEILING(CC$2/5,1))=1,INDEX('Serial Reference'!$A$8:$W$8,1,FLOOR(($A105-1)/23,1)+1)&amp;INDEX('Serial Reference'!$A$8:$W$8,1,MOD($A105-1,23)+1)&amp;TEXT(CC$2+FLOOR((CC$2-1)/9,1),"000"),"")</f>
        <v/>
      </c>
      <c r="CD105" s="21" t="str">
        <f>IF(INDEX('Shot Map'!$B$6:$V$26,CEILING($A105/5,1),CEILING(CD$2/5,1))=1,INDEX('Serial Reference'!$A$8:$W$8,1,FLOOR(($A105-1)/23,1)+1)&amp;INDEX('Serial Reference'!$A$8:$W$8,1,MOD($A105-1,23)+1)&amp;TEXT(CD$2+FLOOR((CD$2-1)/9,1),"000"),"")</f>
        <v/>
      </c>
      <c r="CE105" s="22" t="str">
        <f>IF(INDEX('Shot Map'!$B$6:$V$26,CEILING($A105/5,1),CEILING(CE$2/5,1))=1,INDEX('Serial Reference'!$A$8:$W$8,1,FLOOR(($A105-1)/23,1)+1)&amp;INDEX('Serial Reference'!$A$8:$W$8,1,MOD($A105-1,23)+1)&amp;TEXT(CE$2+FLOOR((CE$2-1)/9,1),"000"),"")</f>
        <v/>
      </c>
      <c r="CF105" s="22" t="str">
        <f>IF(INDEX('Shot Map'!$B$6:$V$26,CEILING($A105/5,1),CEILING(CF$2/5,1))=1,INDEX('Serial Reference'!$A$8:$W$8,1,FLOOR(($A105-1)/23,1)+1)&amp;INDEX('Serial Reference'!$A$8:$W$8,1,MOD($A105-1,23)+1)&amp;TEXT(CF$2+FLOOR((CF$2-1)/9,1),"000"),"")</f>
        <v/>
      </c>
      <c r="CG105" s="22" t="str">
        <f>IF(INDEX('Shot Map'!$B$6:$V$26,CEILING($A105/5,1),CEILING(CG$2/5,1))=1,INDEX('Serial Reference'!$A$8:$W$8,1,FLOOR(($A105-1)/23,1)+1)&amp;INDEX('Serial Reference'!$A$8:$W$8,1,MOD($A105-1,23)+1)&amp;TEXT(CG$2+FLOOR((CG$2-1)/9,1),"000"),"")</f>
        <v/>
      </c>
      <c r="CH105" s="23" t="str">
        <f>IF(INDEX('Shot Map'!$B$6:$V$26,CEILING($A105/5,1),CEILING(CH$2/5,1))=1,INDEX('Serial Reference'!$A$8:$W$8,1,FLOOR(($A105-1)/23,1)+1)&amp;INDEX('Serial Reference'!$A$8:$W$8,1,MOD($A105-1,23)+1)&amp;TEXT(CH$2+FLOOR((CH$2-1)/9,1),"000"),"")</f>
        <v/>
      </c>
      <c r="CI105" s="21" t="str">
        <f>IF(INDEX('Shot Map'!$B$6:$V$26,CEILING($A105/5,1),CEILING(CI$2/5,1))=1,INDEX('Serial Reference'!$A$8:$W$8,1,FLOOR(($A105-1)/23,1)+1)&amp;INDEX('Serial Reference'!$A$8:$W$8,1,MOD($A105-1,23)+1)&amp;TEXT(CI$2+FLOOR((CI$2-1)/9,1),"000"),"")</f>
        <v/>
      </c>
      <c r="CJ105" s="22" t="str">
        <f>IF(INDEX('Shot Map'!$B$6:$V$26,CEILING($A105/5,1),CEILING(CJ$2/5,1))=1,INDEX('Serial Reference'!$A$8:$W$8,1,FLOOR(($A105-1)/23,1)+1)&amp;INDEX('Serial Reference'!$A$8:$W$8,1,MOD($A105-1,23)+1)&amp;TEXT(CJ$2+FLOOR((CJ$2-1)/9,1),"000"),"")</f>
        <v/>
      </c>
      <c r="CK105" s="22" t="str">
        <f>IF(INDEX('Shot Map'!$B$6:$V$26,CEILING($A105/5,1),CEILING(CK$2/5,1))=1,INDEX('Serial Reference'!$A$8:$W$8,1,FLOOR(($A105-1)/23,1)+1)&amp;INDEX('Serial Reference'!$A$8:$W$8,1,MOD($A105-1,23)+1)&amp;TEXT(CK$2+FLOOR((CK$2-1)/9,1),"000"),"")</f>
        <v/>
      </c>
      <c r="CL105" s="22" t="str">
        <f>IF(INDEX('Shot Map'!$B$6:$V$26,CEILING($A105/5,1),CEILING(CL$2/5,1))=1,INDEX('Serial Reference'!$A$8:$W$8,1,FLOOR(($A105-1)/23,1)+1)&amp;INDEX('Serial Reference'!$A$8:$W$8,1,MOD($A105-1,23)+1)&amp;TEXT(CL$2+FLOOR((CL$2-1)/9,1),"000"),"")</f>
        <v/>
      </c>
      <c r="CM105" s="23" t="str">
        <f>IF(INDEX('Shot Map'!$B$6:$V$26,CEILING($A105/5,1),CEILING(CM$2/5,1))=1,INDEX('Serial Reference'!$A$8:$W$8,1,FLOOR(($A105-1)/23,1)+1)&amp;INDEX('Serial Reference'!$A$8:$W$8,1,MOD($A105-1,23)+1)&amp;TEXT(CM$2+FLOOR((CM$2-1)/9,1),"000"),"")</f>
        <v/>
      </c>
      <c r="CN105" s="21" t="str">
        <f>IF(INDEX('Shot Map'!$B$6:$V$26,CEILING($A105/5,1),CEILING(CN$2/5,1))=1,INDEX('Serial Reference'!$A$8:$W$8,1,FLOOR(($A105-1)/23,1)+1)&amp;INDEX('Serial Reference'!$A$8:$W$8,1,MOD($A105-1,23)+1)&amp;TEXT(CN$2+FLOOR((CN$2-1)/9,1),"000"),"")</f>
        <v/>
      </c>
      <c r="CO105" s="22" t="str">
        <f>IF(INDEX('Shot Map'!$B$6:$V$26,CEILING($A105/5,1),CEILING(CO$2/5,1))=1,INDEX('Serial Reference'!$A$8:$W$8,1,FLOOR(($A105-1)/23,1)+1)&amp;INDEX('Serial Reference'!$A$8:$W$8,1,MOD($A105-1,23)+1)&amp;TEXT(CO$2+FLOOR((CO$2-1)/9,1),"000"),"")</f>
        <v/>
      </c>
      <c r="CP105" s="22" t="str">
        <f>IF(INDEX('Shot Map'!$B$6:$V$26,CEILING($A105/5,1),CEILING(CP$2/5,1))=1,INDEX('Serial Reference'!$A$8:$W$8,1,FLOOR(($A105-1)/23,1)+1)&amp;INDEX('Serial Reference'!$A$8:$W$8,1,MOD($A105-1,23)+1)&amp;TEXT(CP$2+FLOOR((CP$2-1)/9,1),"000"),"")</f>
        <v/>
      </c>
      <c r="CQ105" s="22" t="str">
        <f>IF(INDEX('Shot Map'!$B$6:$V$26,CEILING($A105/5,1),CEILING(CQ$2/5,1))=1,INDEX('Serial Reference'!$A$8:$W$8,1,FLOOR(($A105-1)/23,1)+1)&amp;INDEX('Serial Reference'!$A$8:$W$8,1,MOD($A105-1,23)+1)&amp;TEXT(CQ$2+FLOOR((CQ$2-1)/9,1),"000"),"")</f>
        <v/>
      </c>
      <c r="CR105" s="23" t="str">
        <f>IF(INDEX('Shot Map'!$B$6:$V$26,CEILING($A105/5,1),CEILING(CR$2/5,1))=1,INDEX('Serial Reference'!$A$8:$W$8,1,FLOOR(($A105-1)/23,1)+1)&amp;INDEX('Serial Reference'!$A$8:$W$8,1,MOD($A105-1,23)+1)&amp;TEXT(CR$2+FLOOR((CR$2-1)/9,1),"000"),"")</f>
        <v/>
      </c>
      <c r="CS105" s="21" t="str">
        <f>IF(INDEX('Shot Map'!$B$6:$V$26,CEILING($A105/5,1),CEILING(CS$2/5,1))=1,INDEX('Serial Reference'!$A$8:$W$8,1,FLOOR(($A105-1)/23,1)+1)&amp;INDEX('Serial Reference'!$A$8:$W$8,1,MOD($A105-1,23)+1)&amp;TEXT(CS$2+FLOOR((CS$2-1)/9,1),"000"),"")</f>
        <v/>
      </c>
      <c r="CT105" s="22" t="str">
        <f>IF(INDEX('Shot Map'!$B$6:$V$26,CEILING($A105/5,1),CEILING(CT$2/5,1))=1,INDEX('Serial Reference'!$A$8:$W$8,1,FLOOR(($A105-1)/23,1)+1)&amp;INDEX('Serial Reference'!$A$8:$W$8,1,MOD($A105-1,23)+1)&amp;TEXT(CT$2+FLOOR((CT$2-1)/9,1),"000"),"")</f>
        <v/>
      </c>
      <c r="CU105" s="22" t="str">
        <f>IF(INDEX('Shot Map'!$B$6:$V$26,CEILING($A105/5,1),CEILING(CU$2/5,1))=1,INDEX('Serial Reference'!$A$8:$W$8,1,FLOOR(($A105-1)/23,1)+1)&amp;INDEX('Serial Reference'!$A$8:$W$8,1,MOD($A105-1,23)+1)&amp;TEXT(CU$2+FLOOR((CU$2-1)/9,1),"000"),"")</f>
        <v/>
      </c>
      <c r="CV105" s="22" t="str">
        <f>IF(INDEX('Shot Map'!$B$6:$V$26,CEILING($A105/5,1),CEILING(CV$2/5,1))=1,INDEX('Serial Reference'!$A$8:$W$8,1,FLOOR(($A105-1)/23,1)+1)&amp;INDEX('Serial Reference'!$A$8:$W$8,1,MOD($A105-1,23)+1)&amp;TEXT(CV$2+FLOOR((CV$2-1)/9,1),"000"),"")</f>
        <v/>
      </c>
      <c r="CW105" s="23" t="str">
        <f>IF(INDEX('Shot Map'!$B$6:$V$26,CEILING($A105/5,1),CEILING(CW$2/5,1))=1,INDEX('Serial Reference'!$A$8:$W$8,1,FLOOR(($A105-1)/23,1)+1)&amp;INDEX('Serial Reference'!$A$8:$W$8,1,MOD($A105-1,23)+1)&amp;TEXT(CW$2+FLOOR((CW$2-1)/9,1),"000"),"")</f>
        <v/>
      </c>
      <c r="CX105" s="21" t="str">
        <f>IF(INDEX('Shot Map'!$B$6:$V$26,CEILING($A105/5,1),CEILING(CX$2/5,1))=1,INDEX('Serial Reference'!$A$8:$W$8,1,FLOOR(($A105-1)/23,1)+1)&amp;INDEX('Serial Reference'!$A$8:$W$8,1,MOD($A105-1,23)+1)&amp;TEXT(CX$2+FLOOR((CX$2-1)/9,1),"000"),"")</f>
        <v/>
      </c>
      <c r="CY105" s="22" t="str">
        <f>IF(INDEX('Shot Map'!$B$6:$V$26,CEILING($A105/5,1),CEILING(CY$2/5,1))=1,INDEX('Serial Reference'!$A$8:$W$8,1,FLOOR(($A105-1)/23,1)+1)&amp;INDEX('Serial Reference'!$A$8:$W$8,1,MOD($A105-1,23)+1)&amp;TEXT(CY$2+FLOOR((CY$2-1)/9,1),"000"),"")</f>
        <v/>
      </c>
      <c r="CZ105" s="22" t="str">
        <f>IF(INDEX('Shot Map'!$B$6:$V$26,CEILING($A105/5,1),CEILING(CZ$2/5,1))=1,INDEX('Serial Reference'!$A$8:$W$8,1,FLOOR(($A105-1)/23,1)+1)&amp;INDEX('Serial Reference'!$A$8:$W$8,1,MOD($A105-1,23)+1)&amp;TEXT(CZ$2+FLOOR((CZ$2-1)/9,1),"000"),"")</f>
        <v/>
      </c>
      <c r="DA105" s="22" t="str">
        <f>IF(INDEX('Shot Map'!$B$6:$V$26,CEILING($A105/5,1),CEILING(DA$2/5,1))=1,INDEX('Serial Reference'!$A$8:$W$8,1,FLOOR(($A105-1)/23,1)+1)&amp;INDEX('Serial Reference'!$A$8:$W$8,1,MOD($A105-1,23)+1)&amp;TEXT(DA$2+FLOOR((DA$2-1)/9,1),"000"),"")</f>
        <v/>
      </c>
      <c r="DB105" s="23" t="str">
        <f>IF(INDEX('Shot Map'!$B$6:$V$26,CEILING($A105/5,1),CEILING(DB$2/5,1))=1,INDEX('Serial Reference'!$A$8:$W$8,1,FLOOR(($A105-1)/23,1)+1)&amp;INDEX('Serial Reference'!$A$8:$W$8,1,MOD($A105-1,23)+1)&amp;TEXT(DB$2+FLOOR((DB$2-1)/9,1),"000"),"")</f>
        <v/>
      </c>
    </row>
    <row r="106" spans="1:106" ht="12.75" customHeight="1" x14ac:dyDescent="0.25">
      <c r="A106" s="17">
        <v>104</v>
      </c>
      <c r="B106" s="21" t="str">
        <f>IF(INDEX('Shot Map'!$B$6:$V$26,CEILING($A106/5,1),CEILING(B$2/5,1))=1,INDEX('Serial Reference'!$A$8:$W$8,1,FLOOR(($A106-1)/23,1)+1)&amp;INDEX('Serial Reference'!$A$8:$W$8,1,MOD($A106-1,23)+1)&amp;TEXT(B$2+FLOOR((B$2-1)/9,1),"000"),"")</f>
        <v/>
      </c>
      <c r="C106" s="22" t="str">
        <f>IF(INDEX('Shot Map'!$B$6:$V$26,CEILING($A106/5,1),CEILING(C$2/5,1))=1,INDEX('Serial Reference'!$A$8:$W$8,1,FLOOR(($A106-1)/23,1)+1)&amp;INDEX('Serial Reference'!$A$8:$W$8,1,MOD($A106-1,23)+1)&amp;TEXT(C$2+FLOOR((C$2-1)/9,1),"000"),"")</f>
        <v/>
      </c>
      <c r="D106" s="22" t="str">
        <f>IF(INDEX('Shot Map'!$B$6:$V$26,CEILING($A106/5,1),CEILING(D$2/5,1))=1,INDEX('Serial Reference'!$A$8:$W$8,1,FLOOR(($A106-1)/23,1)+1)&amp;INDEX('Serial Reference'!$A$8:$W$8,1,MOD($A106-1,23)+1)&amp;TEXT(D$2+FLOOR((D$2-1)/9,1),"000"),"")</f>
        <v/>
      </c>
      <c r="E106" s="22" t="str">
        <f>IF(INDEX('Shot Map'!$B$6:$V$26,CEILING($A106/5,1),CEILING(E$2/5,1))=1,INDEX('Serial Reference'!$A$8:$W$8,1,FLOOR(($A106-1)/23,1)+1)&amp;INDEX('Serial Reference'!$A$8:$W$8,1,MOD($A106-1,23)+1)&amp;TEXT(E$2+FLOOR((E$2-1)/9,1),"000"),"")</f>
        <v/>
      </c>
      <c r="F106" s="23" t="str">
        <f>IF(INDEX('Shot Map'!$B$6:$V$26,CEILING($A106/5,1),CEILING(F$2/5,1))=1,INDEX('Serial Reference'!$A$8:$W$8,1,FLOOR(($A106-1)/23,1)+1)&amp;INDEX('Serial Reference'!$A$8:$W$8,1,MOD($A106-1,23)+1)&amp;TEXT(F$2+FLOOR((F$2-1)/9,1),"000"),"")</f>
        <v/>
      </c>
      <c r="G106" s="21" t="str">
        <f>IF(INDEX('Shot Map'!$B$6:$V$26,CEILING($A106/5,1),CEILING(G$2/5,1))=1,INDEX('Serial Reference'!$A$8:$W$8,1,FLOOR(($A106-1)/23,1)+1)&amp;INDEX('Serial Reference'!$A$8:$W$8,1,MOD($A106-1,23)+1)&amp;TEXT(G$2+FLOOR((G$2-1)/9,1),"000"),"")</f>
        <v/>
      </c>
      <c r="H106" s="22" t="str">
        <f>IF(INDEX('Shot Map'!$B$6:$V$26,CEILING($A106/5,1),CEILING(H$2/5,1))=1,INDEX('Serial Reference'!$A$8:$W$8,1,FLOOR(($A106-1)/23,1)+1)&amp;INDEX('Serial Reference'!$A$8:$W$8,1,MOD($A106-1,23)+1)&amp;TEXT(H$2+FLOOR((H$2-1)/9,1),"000"),"")</f>
        <v/>
      </c>
      <c r="I106" s="22" t="str">
        <f>IF(INDEX('Shot Map'!$B$6:$V$26,CEILING($A106/5,1),CEILING(I$2/5,1))=1,INDEX('Serial Reference'!$A$8:$W$8,1,FLOOR(($A106-1)/23,1)+1)&amp;INDEX('Serial Reference'!$A$8:$W$8,1,MOD($A106-1,23)+1)&amp;TEXT(I$2+FLOOR((I$2-1)/9,1),"000"),"")</f>
        <v/>
      </c>
      <c r="J106" s="22" t="str">
        <f>IF(INDEX('Shot Map'!$B$6:$V$26,CEILING($A106/5,1),CEILING(J$2/5,1))=1,INDEX('Serial Reference'!$A$8:$W$8,1,FLOOR(($A106-1)/23,1)+1)&amp;INDEX('Serial Reference'!$A$8:$W$8,1,MOD($A106-1,23)+1)&amp;TEXT(J$2+FLOOR((J$2-1)/9,1),"000"),"")</f>
        <v/>
      </c>
      <c r="K106" s="23" t="str">
        <f>IF(INDEX('Shot Map'!$B$6:$V$26,CEILING($A106/5,1),CEILING(K$2/5,1))=1,INDEX('Serial Reference'!$A$8:$W$8,1,FLOOR(($A106-1)/23,1)+1)&amp;INDEX('Serial Reference'!$A$8:$W$8,1,MOD($A106-1,23)+1)&amp;TEXT(K$2+FLOOR((K$2-1)/9,1),"000"),"")</f>
        <v/>
      </c>
      <c r="L106" s="21" t="str">
        <f>IF(INDEX('Shot Map'!$B$6:$V$26,CEILING($A106/5,1),CEILING(L$2/5,1))=1,INDEX('Serial Reference'!$A$8:$W$8,1,FLOOR(($A106-1)/23,1)+1)&amp;INDEX('Serial Reference'!$A$8:$W$8,1,MOD($A106-1,23)+1)&amp;TEXT(L$2+FLOOR((L$2-1)/9,1),"000"),"")</f>
        <v/>
      </c>
      <c r="M106" s="22" t="str">
        <f>IF(INDEX('Shot Map'!$B$6:$V$26,CEILING($A106/5,1),CEILING(M$2/5,1))=1,INDEX('Serial Reference'!$A$8:$W$8,1,FLOOR(($A106-1)/23,1)+1)&amp;INDEX('Serial Reference'!$A$8:$W$8,1,MOD($A106-1,23)+1)&amp;TEXT(M$2+FLOOR((M$2-1)/9,1),"000"),"")</f>
        <v/>
      </c>
      <c r="N106" s="22" t="str">
        <f>IF(INDEX('Shot Map'!$B$6:$V$26,CEILING($A106/5,1),CEILING(N$2/5,1))=1,INDEX('Serial Reference'!$A$8:$W$8,1,FLOOR(($A106-1)/23,1)+1)&amp;INDEX('Serial Reference'!$A$8:$W$8,1,MOD($A106-1,23)+1)&amp;TEXT(N$2+FLOOR((N$2-1)/9,1),"000"),"")</f>
        <v/>
      </c>
      <c r="O106" s="22" t="str">
        <f>IF(INDEX('Shot Map'!$B$6:$V$26,CEILING($A106/5,1),CEILING(O$2/5,1))=1,INDEX('Serial Reference'!$A$8:$W$8,1,FLOOR(($A106-1)/23,1)+1)&amp;INDEX('Serial Reference'!$A$8:$W$8,1,MOD($A106-1,23)+1)&amp;TEXT(O$2+FLOOR((O$2-1)/9,1),"000"),"")</f>
        <v/>
      </c>
      <c r="P106" s="23" t="str">
        <f>IF(INDEX('Shot Map'!$B$6:$V$26,CEILING($A106/5,1),CEILING(P$2/5,1))=1,INDEX('Serial Reference'!$A$8:$W$8,1,FLOOR(($A106-1)/23,1)+1)&amp;INDEX('Serial Reference'!$A$8:$W$8,1,MOD($A106-1,23)+1)&amp;TEXT(P$2+FLOOR((P$2-1)/9,1),"000"),"")</f>
        <v/>
      </c>
      <c r="Q106" s="21" t="str">
        <f>IF(INDEX('Shot Map'!$B$6:$V$26,CEILING($A106/5,1),CEILING(Q$2/5,1))=1,INDEX('Serial Reference'!$A$8:$W$8,1,FLOOR(($A106-1)/23,1)+1)&amp;INDEX('Serial Reference'!$A$8:$W$8,1,MOD($A106-1,23)+1)&amp;TEXT(Q$2+FLOOR((Q$2-1)/9,1),"000"),"")</f>
        <v/>
      </c>
      <c r="R106" s="22" t="str">
        <f>IF(INDEX('Shot Map'!$B$6:$V$26,CEILING($A106/5,1),CEILING(R$2/5,1))=1,INDEX('Serial Reference'!$A$8:$W$8,1,FLOOR(($A106-1)/23,1)+1)&amp;INDEX('Serial Reference'!$A$8:$W$8,1,MOD($A106-1,23)+1)&amp;TEXT(R$2+FLOOR((R$2-1)/9,1),"000"),"")</f>
        <v/>
      </c>
      <c r="S106" s="22" t="str">
        <f>IF(INDEX('Shot Map'!$B$6:$V$26,CEILING($A106/5,1),CEILING(S$2/5,1))=1,INDEX('Serial Reference'!$A$8:$W$8,1,FLOOR(($A106-1)/23,1)+1)&amp;INDEX('Serial Reference'!$A$8:$W$8,1,MOD($A106-1,23)+1)&amp;TEXT(S$2+FLOOR((S$2-1)/9,1),"000"),"")</f>
        <v/>
      </c>
      <c r="T106" s="22" t="str">
        <f>IF(INDEX('Shot Map'!$B$6:$V$26,CEILING($A106/5,1),CEILING(T$2/5,1))=1,INDEX('Serial Reference'!$A$8:$W$8,1,FLOOR(($A106-1)/23,1)+1)&amp;INDEX('Serial Reference'!$A$8:$W$8,1,MOD($A106-1,23)+1)&amp;TEXT(T$2+FLOOR((T$2-1)/9,1),"000"),"")</f>
        <v/>
      </c>
      <c r="U106" s="23" t="str">
        <f>IF(INDEX('Shot Map'!$B$6:$V$26,CEILING($A106/5,1),CEILING(U$2/5,1))=1,INDEX('Serial Reference'!$A$8:$W$8,1,FLOOR(($A106-1)/23,1)+1)&amp;INDEX('Serial Reference'!$A$8:$W$8,1,MOD($A106-1,23)+1)&amp;TEXT(U$2+FLOOR((U$2-1)/9,1),"000"),"")</f>
        <v/>
      </c>
      <c r="V106" s="21" t="str">
        <f>IF(INDEX('Shot Map'!$B$6:$V$26,CEILING($A106/5,1),CEILING(V$2/5,1))=1,INDEX('Serial Reference'!$A$8:$W$8,1,FLOOR(($A106-1)/23,1)+1)&amp;INDEX('Serial Reference'!$A$8:$W$8,1,MOD($A106-1,23)+1)&amp;TEXT(V$2+FLOOR((V$2-1)/9,1),"000"),"")</f>
        <v/>
      </c>
      <c r="W106" s="22" t="str">
        <f>IF(INDEX('Shot Map'!$B$6:$V$26,CEILING($A106/5,1),CEILING(W$2/5,1))=1,INDEX('Serial Reference'!$A$8:$W$8,1,FLOOR(($A106-1)/23,1)+1)&amp;INDEX('Serial Reference'!$A$8:$W$8,1,MOD($A106-1,23)+1)&amp;TEXT(W$2+FLOOR((W$2-1)/9,1),"000"),"")</f>
        <v/>
      </c>
      <c r="X106" s="22" t="str">
        <f>IF(INDEX('Shot Map'!$B$6:$V$26,CEILING($A106/5,1),CEILING(X$2/5,1))=1,INDEX('Serial Reference'!$A$8:$W$8,1,FLOOR(($A106-1)/23,1)+1)&amp;INDEX('Serial Reference'!$A$8:$W$8,1,MOD($A106-1,23)+1)&amp;TEXT(X$2+FLOOR((X$2-1)/9,1),"000"),"")</f>
        <v/>
      </c>
      <c r="Y106" s="22" t="str">
        <f>IF(INDEX('Shot Map'!$B$6:$V$26,CEILING($A106/5,1),CEILING(Y$2/5,1))=1,INDEX('Serial Reference'!$A$8:$W$8,1,FLOOR(($A106-1)/23,1)+1)&amp;INDEX('Serial Reference'!$A$8:$W$8,1,MOD($A106-1,23)+1)&amp;TEXT(Y$2+FLOOR((Y$2-1)/9,1),"000"),"")</f>
        <v/>
      </c>
      <c r="Z106" s="23" t="str">
        <f>IF(INDEX('Shot Map'!$B$6:$V$26,CEILING($A106/5,1),CEILING(Z$2/5,1))=1,INDEX('Serial Reference'!$A$8:$W$8,1,FLOOR(($A106-1)/23,1)+1)&amp;INDEX('Serial Reference'!$A$8:$W$8,1,MOD($A106-1,23)+1)&amp;TEXT(Z$2+FLOOR((Z$2-1)/9,1),"000"),"")</f>
        <v/>
      </c>
      <c r="AA106" s="21" t="str">
        <f>IF(INDEX('Shot Map'!$B$6:$V$26,CEILING($A106/5,1),CEILING(AA$2/5,1))=1,INDEX('Serial Reference'!$A$8:$W$8,1,FLOOR(($A106-1)/23,1)+1)&amp;INDEX('Serial Reference'!$A$8:$W$8,1,MOD($A106-1,23)+1)&amp;TEXT(AA$2+FLOOR((AA$2-1)/9,1),"000"),"")</f>
        <v/>
      </c>
      <c r="AB106" s="22" t="str">
        <f>IF(INDEX('Shot Map'!$B$6:$V$26,CEILING($A106/5,1),CEILING(AB$2/5,1))=1,INDEX('Serial Reference'!$A$8:$W$8,1,FLOOR(($A106-1)/23,1)+1)&amp;INDEX('Serial Reference'!$A$8:$W$8,1,MOD($A106-1,23)+1)&amp;TEXT(AB$2+FLOOR((AB$2-1)/9,1),"000"),"")</f>
        <v/>
      </c>
      <c r="AC106" s="22" t="str">
        <f>IF(INDEX('Shot Map'!$B$6:$V$26,CEILING($A106/5,1),CEILING(AC$2/5,1))=1,INDEX('Serial Reference'!$A$8:$W$8,1,FLOOR(($A106-1)/23,1)+1)&amp;INDEX('Serial Reference'!$A$8:$W$8,1,MOD($A106-1,23)+1)&amp;TEXT(AC$2+FLOOR((AC$2-1)/9,1),"000"),"")</f>
        <v/>
      </c>
      <c r="AD106" s="22" t="str">
        <f>IF(INDEX('Shot Map'!$B$6:$V$26,CEILING($A106/5,1),CEILING(AD$2/5,1))=1,INDEX('Serial Reference'!$A$8:$W$8,1,FLOOR(($A106-1)/23,1)+1)&amp;INDEX('Serial Reference'!$A$8:$W$8,1,MOD($A106-1,23)+1)&amp;TEXT(AD$2+FLOOR((AD$2-1)/9,1),"000"),"")</f>
        <v/>
      </c>
      <c r="AE106" s="23" t="str">
        <f>IF(INDEX('Shot Map'!$B$6:$V$26,CEILING($A106/5,1),CEILING(AE$2/5,1))=1,INDEX('Serial Reference'!$A$8:$W$8,1,FLOOR(($A106-1)/23,1)+1)&amp;INDEX('Serial Reference'!$A$8:$W$8,1,MOD($A106-1,23)+1)&amp;TEXT(AE$2+FLOOR((AE$2-1)/9,1),"000"),"")</f>
        <v/>
      </c>
      <c r="AF106" s="21" t="str">
        <f>IF(INDEX('Shot Map'!$B$6:$V$26,CEILING($A106/5,1),CEILING(AF$2/5,1))=1,INDEX('Serial Reference'!$A$8:$W$8,1,FLOOR(($A106-1)/23,1)+1)&amp;INDEX('Serial Reference'!$A$8:$W$8,1,MOD($A106-1,23)+1)&amp;TEXT(AF$2+FLOOR((AF$2-1)/9,1),"000"),"")</f>
        <v/>
      </c>
      <c r="AG106" s="22" t="str">
        <f>IF(INDEX('Shot Map'!$B$6:$V$26,CEILING($A106/5,1),CEILING(AG$2/5,1))=1,INDEX('Serial Reference'!$A$8:$W$8,1,FLOOR(($A106-1)/23,1)+1)&amp;INDEX('Serial Reference'!$A$8:$W$8,1,MOD($A106-1,23)+1)&amp;TEXT(AG$2+FLOOR((AG$2-1)/9,1),"000"),"")</f>
        <v/>
      </c>
      <c r="AH106" s="22" t="str">
        <f>IF(INDEX('Shot Map'!$B$6:$V$26,CEILING($A106/5,1),CEILING(AH$2/5,1))=1,INDEX('Serial Reference'!$A$8:$W$8,1,FLOOR(($A106-1)/23,1)+1)&amp;INDEX('Serial Reference'!$A$8:$W$8,1,MOD($A106-1,23)+1)&amp;TEXT(AH$2+FLOOR((AH$2-1)/9,1),"000"),"")</f>
        <v/>
      </c>
      <c r="AI106" s="22" t="str">
        <f>IF(INDEX('Shot Map'!$B$6:$V$26,CEILING($A106/5,1),CEILING(AI$2/5,1))=1,INDEX('Serial Reference'!$A$8:$W$8,1,FLOOR(($A106-1)/23,1)+1)&amp;INDEX('Serial Reference'!$A$8:$W$8,1,MOD($A106-1,23)+1)&amp;TEXT(AI$2+FLOOR((AI$2-1)/9,1),"000"),"")</f>
        <v/>
      </c>
      <c r="AJ106" s="23" t="str">
        <f>IF(INDEX('Shot Map'!$B$6:$V$26,CEILING($A106/5,1),CEILING(AJ$2/5,1))=1,INDEX('Serial Reference'!$A$8:$W$8,1,FLOOR(($A106-1)/23,1)+1)&amp;INDEX('Serial Reference'!$A$8:$W$8,1,MOD($A106-1,23)+1)&amp;TEXT(AJ$2+FLOOR((AJ$2-1)/9,1),"000"),"")</f>
        <v/>
      </c>
      <c r="AK106" s="21" t="str">
        <f>IF(INDEX('Shot Map'!$B$6:$V$26,CEILING($A106/5,1),CEILING(AK$2/5,1))=1,INDEX('Serial Reference'!$A$8:$W$8,1,FLOOR(($A106-1)/23,1)+1)&amp;INDEX('Serial Reference'!$A$8:$W$8,1,MOD($A106-1,23)+1)&amp;TEXT(AK$2+FLOOR((AK$2-1)/9,1),"000"),"")</f>
        <v/>
      </c>
      <c r="AL106" s="22" t="str">
        <f>IF(INDEX('Shot Map'!$B$6:$V$26,CEILING($A106/5,1),CEILING(AL$2/5,1))=1,INDEX('Serial Reference'!$A$8:$W$8,1,FLOOR(($A106-1)/23,1)+1)&amp;INDEX('Serial Reference'!$A$8:$W$8,1,MOD($A106-1,23)+1)&amp;TEXT(AL$2+FLOOR((AL$2-1)/9,1),"000"),"")</f>
        <v/>
      </c>
      <c r="AM106" s="22" t="str">
        <f>IF(INDEX('Shot Map'!$B$6:$V$26,CEILING($A106/5,1),CEILING(AM$2/5,1))=1,INDEX('Serial Reference'!$A$8:$W$8,1,FLOOR(($A106-1)/23,1)+1)&amp;INDEX('Serial Reference'!$A$8:$W$8,1,MOD($A106-1,23)+1)&amp;TEXT(AM$2+FLOOR((AM$2-1)/9,1),"000"),"")</f>
        <v/>
      </c>
      <c r="AN106" s="22" t="str">
        <f>IF(INDEX('Shot Map'!$B$6:$V$26,CEILING($A106/5,1),CEILING(AN$2/5,1))=1,INDEX('Serial Reference'!$A$8:$W$8,1,FLOOR(($A106-1)/23,1)+1)&amp;INDEX('Serial Reference'!$A$8:$W$8,1,MOD($A106-1,23)+1)&amp;TEXT(AN$2+FLOOR((AN$2-1)/9,1),"000"),"")</f>
        <v/>
      </c>
      <c r="AO106" s="23" t="str">
        <f>IF(INDEX('Shot Map'!$B$6:$V$26,CEILING($A106/5,1),CEILING(AO$2/5,1))=1,INDEX('Serial Reference'!$A$8:$W$8,1,FLOOR(($A106-1)/23,1)+1)&amp;INDEX('Serial Reference'!$A$8:$W$8,1,MOD($A106-1,23)+1)&amp;TEXT(AO$2+FLOOR((AO$2-1)/9,1),"000"),"")</f>
        <v/>
      </c>
      <c r="AP106" s="21" t="str">
        <f>IF(INDEX('Shot Map'!$B$6:$V$26,CEILING($A106/5,1),CEILING(AP$2/5,1))=1,INDEX('Serial Reference'!$A$8:$W$8,1,FLOOR(($A106-1)/23,1)+1)&amp;INDEX('Serial Reference'!$A$8:$W$8,1,MOD($A106-1,23)+1)&amp;TEXT(AP$2+FLOOR((AP$2-1)/9,1),"000"),"")</f>
        <v/>
      </c>
      <c r="AQ106" s="22" t="str">
        <f>IF(INDEX('Shot Map'!$B$6:$V$26,CEILING($A106/5,1),CEILING(AQ$2/5,1))=1,INDEX('Serial Reference'!$A$8:$W$8,1,FLOOR(($A106-1)/23,1)+1)&amp;INDEX('Serial Reference'!$A$8:$W$8,1,MOD($A106-1,23)+1)&amp;TEXT(AQ$2+FLOOR((AQ$2-1)/9,1),"000"),"")</f>
        <v/>
      </c>
      <c r="AR106" s="22" t="str">
        <f>IF(INDEX('Shot Map'!$B$6:$V$26,CEILING($A106/5,1),CEILING(AR$2/5,1))=1,INDEX('Serial Reference'!$A$8:$W$8,1,FLOOR(($A106-1)/23,1)+1)&amp;INDEX('Serial Reference'!$A$8:$W$8,1,MOD($A106-1,23)+1)&amp;TEXT(AR$2+FLOOR((AR$2-1)/9,1),"000"),"")</f>
        <v/>
      </c>
      <c r="AS106" s="22" t="str">
        <f>IF(INDEX('Shot Map'!$B$6:$V$26,CEILING($A106/5,1),CEILING(AS$2/5,1))=1,INDEX('Serial Reference'!$A$8:$W$8,1,FLOOR(($A106-1)/23,1)+1)&amp;INDEX('Serial Reference'!$A$8:$W$8,1,MOD($A106-1,23)+1)&amp;TEXT(AS$2+FLOOR((AS$2-1)/9,1),"000"),"")</f>
        <v/>
      </c>
      <c r="AT106" s="23" t="str">
        <f>IF(INDEX('Shot Map'!$B$6:$V$26,CEILING($A106/5,1),CEILING(AT$2/5,1))=1,INDEX('Serial Reference'!$A$8:$W$8,1,FLOOR(($A106-1)/23,1)+1)&amp;INDEX('Serial Reference'!$A$8:$W$8,1,MOD($A106-1,23)+1)&amp;TEXT(AT$2+FLOOR((AT$2-1)/9,1),"000"),"")</f>
        <v/>
      </c>
      <c r="AU106" s="21" t="str">
        <f>IF(INDEX('Shot Map'!$B$6:$V$26,CEILING($A106/5,1),CEILING(AU$2/5,1))=1,INDEX('Serial Reference'!$A$8:$W$8,1,FLOOR(($A106-1)/23,1)+1)&amp;INDEX('Serial Reference'!$A$8:$W$8,1,MOD($A106-1,23)+1)&amp;TEXT(AU$2+FLOOR((AU$2-1)/9,1),"000"),"")</f>
        <v>EM051</v>
      </c>
      <c r="AV106" s="22" t="str">
        <f>IF(INDEX('Shot Map'!$B$6:$V$26,CEILING($A106/5,1),CEILING(AV$2/5,1))=1,INDEX('Serial Reference'!$A$8:$W$8,1,FLOOR(($A106-1)/23,1)+1)&amp;INDEX('Serial Reference'!$A$8:$W$8,1,MOD($A106-1,23)+1)&amp;TEXT(AV$2+FLOOR((AV$2-1)/9,1),"000"),"")</f>
        <v>EM052</v>
      </c>
      <c r="AW106" s="22" t="str">
        <f>IF(INDEX('Shot Map'!$B$6:$V$26,CEILING($A106/5,1),CEILING(AW$2/5,1))=1,INDEX('Serial Reference'!$A$8:$W$8,1,FLOOR(($A106-1)/23,1)+1)&amp;INDEX('Serial Reference'!$A$8:$W$8,1,MOD($A106-1,23)+1)&amp;TEXT(AW$2+FLOOR((AW$2-1)/9,1),"000"),"")</f>
        <v>EM053</v>
      </c>
      <c r="AX106" s="22" t="str">
        <f>IF(INDEX('Shot Map'!$B$6:$V$26,CEILING($A106/5,1),CEILING(AX$2/5,1))=1,INDEX('Serial Reference'!$A$8:$W$8,1,FLOOR(($A106-1)/23,1)+1)&amp;INDEX('Serial Reference'!$A$8:$W$8,1,MOD($A106-1,23)+1)&amp;TEXT(AX$2+FLOOR((AX$2-1)/9,1),"000"),"")</f>
        <v>EM054</v>
      </c>
      <c r="AY106" s="23" t="str">
        <f>IF(INDEX('Shot Map'!$B$6:$V$26,CEILING($A106/5,1),CEILING(AY$2/5,1))=1,INDEX('Serial Reference'!$A$8:$W$8,1,FLOOR(($A106-1)/23,1)+1)&amp;INDEX('Serial Reference'!$A$8:$W$8,1,MOD($A106-1,23)+1)&amp;TEXT(AY$2+FLOOR((AY$2-1)/9,1),"000"),"")</f>
        <v>EM055</v>
      </c>
      <c r="AZ106" s="21" t="str">
        <f>IF(INDEX('Shot Map'!$B$6:$V$26,CEILING($A106/5,1),CEILING(AZ$2/5,1))=1,INDEX('Serial Reference'!$A$8:$W$8,1,FLOOR(($A106-1)/23,1)+1)&amp;INDEX('Serial Reference'!$A$8:$W$8,1,MOD($A106-1,23)+1)&amp;TEXT(AZ$2+FLOOR((AZ$2-1)/9,1),"000"),"")</f>
        <v>EM056</v>
      </c>
      <c r="BA106" s="22" t="str">
        <f>IF(INDEX('Shot Map'!$B$6:$V$26,CEILING($A106/5,1),CEILING(BA$2/5,1))=1,INDEX('Serial Reference'!$A$8:$W$8,1,FLOOR(($A106-1)/23,1)+1)&amp;INDEX('Serial Reference'!$A$8:$W$8,1,MOD($A106-1,23)+1)&amp;TEXT(BA$2+FLOOR((BA$2-1)/9,1),"000"),"")</f>
        <v>EM057</v>
      </c>
      <c r="BB106" s="22" t="str">
        <f>IF(INDEX('Shot Map'!$B$6:$V$26,CEILING($A106/5,1),CEILING(BB$2/5,1))=1,INDEX('Serial Reference'!$A$8:$W$8,1,FLOOR(($A106-1)/23,1)+1)&amp;INDEX('Serial Reference'!$A$8:$W$8,1,MOD($A106-1,23)+1)&amp;TEXT(BB$2+FLOOR((BB$2-1)/9,1),"000"),"")</f>
        <v>EM058</v>
      </c>
      <c r="BC106" s="22" t="str">
        <f>IF(INDEX('Shot Map'!$B$6:$V$26,CEILING($A106/5,1),CEILING(BC$2/5,1))=1,INDEX('Serial Reference'!$A$8:$W$8,1,FLOOR(($A106-1)/23,1)+1)&amp;INDEX('Serial Reference'!$A$8:$W$8,1,MOD($A106-1,23)+1)&amp;TEXT(BC$2+FLOOR((BC$2-1)/9,1),"000"),"")</f>
        <v>EM059</v>
      </c>
      <c r="BD106" s="23" t="str">
        <f>IF(INDEX('Shot Map'!$B$6:$V$26,CEILING($A106/5,1),CEILING(BD$2/5,1))=1,INDEX('Serial Reference'!$A$8:$W$8,1,FLOOR(($A106-1)/23,1)+1)&amp;INDEX('Serial Reference'!$A$8:$W$8,1,MOD($A106-1,23)+1)&amp;TEXT(BD$2+FLOOR((BD$2-1)/9,1),"000"),"")</f>
        <v>EM061</v>
      </c>
      <c r="BE106" s="21" t="str">
        <f>IF(INDEX('Shot Map'!$B$6:$V$26,CEILING($A106/5,1),CEILING(BE$2/5,1))=1,INDEX('Serial Reference'!$A$8:$W$8,1,FLOOR(($A106-1)/23,1)+1)&amp;INDEX('Serial Reference'!$A$8:$W$8,1,MOD($A106-1,23)+1)&amp;TEXT(BE$2+FLOOR((BE$2-1)/9,1),"000"),"")</f>
        <v>EM062</v>
      </c>
      <c r="BF106" s="22" t="str">
        <f>IF(INDEX('Shot Map'!$B$6:$V$26,CEILING($A106/5,1),CEILING(BF$2/5,1))=1,INDEX('Serial Reference'!$A$8:$W$8,1,FLOOR(($A106-1)/23,1)+1)&amp;INDEX('Serial Reference'!$A$8:$W$8,1,MOD($A106-1,23)+1)&amp;TEXT(BF$2+FLOOR((BF$2-1)/9,1),"000"),"")</f>
        <v>EM063</v>
      </c>
      <c r="BG106" s="22" t="str">
        <f>IF(INDEX('Shot Map'!$B$6:$V$26,CEILING($A106/5,1),CEILING(BG$2/5,1))=1,INDEX('Serial Reference'!$A$8:$W$8,1,FLOOR(($A106-1)/23,1)+1)&amp;INDEX('Serial Reference'!$A$8:$W$8,1,MOD($A106-1,23)+1)&amp;TEXT(BG$2+FLOOR((BG$2-1)/9,1),"000"),"")</f>
        <v>EM064</v>
      </c>
      <c r="BH106" s="22" t="str">
        <f>IF(INDEX('Shot Map'!$B$6:$V$26,CEILING($A106/5,1),CEILING(BH$2/5,1))=1,INDEX('Serial Reference'!$A$8:$W$8,1,FLOOR(($A106-1)/23,1)+1)&amp;INDEX('Serial Reference'!$A$8:$W$8,1,MOD($A106-1,23)+1)&amp;TEXT(BH$2+FLOOR((BH$2-1)/9,1),"000"),"")</f>
        <v>EM065</v>
      </c>
      <c r="BI106" s="23" t="str">
        <f>IF(INDEX('Shot Map'!$B$6:$V$26,CEILING($A106/5,1),CEILING(BI$2/5,1))=1,INDEX('Serial Reference'!$A$8:$W$8,1,FLOOR(($A106-1)/23,1)+1)&amp;INDEX('Serial Reference'!$A$8:$W$8,1,MOD($A106-1,23)+1)&amp;TEXT(BI$2+FLOOR((BI$2-1)/9,1),"000"),"")</f>
        <v>EM066</v>
      </c>
      <c r="BJ106" s="21" t="str">
        <f>IF(INDEX('Shot Map'!$B$6:$V$26,CEILING($A106/5,1),CEILING(BJ$2/5,1))=1,INDEX('Serial Reference'!$A$8:$W$8,1,FLOOR(($A106-1)/23,1)+1)&amp;INDEX('Serial Reference'!$A$8:$W$8,1,MOD($A106-1,23)+1)&amp;TEXT(BJ$2+FLOOR((BJ$2-1)/9,1),"000"),"")</f>
        <v/>
      </c>
      <c r="BK106" s="22" t="str">
        <f>IF(INDEX('Shot Map'!$B$6:$V$26,CEILING($A106/5,1),CEILING(BK$2/5,1))=1,INDEX('Serial Reference'!$A$8:$W$8,1,FLOOR(($A106-1)/23,1)+1)&amp;INDEX('Serial Reference'!$A$8:$W$8,1,MOD($A106-1,23)+1)&amp;TEXT(BK$2+FLOOR((BK$2-1)/9,1),"000"),"")</f>
        <v/>
      </c>
      <c r="BL106" s="22" t="str">
        <f>IF(INDEX('Shot Map'!$B$6:$V$26,CEILING($A106/5,1),CEILING(BL$2/5,1))=1,INDEX('Serial Reference'!$A$8:$W$8,1,FLOOR(($A106-1)/23,1)+1)&amp;INDEX('Serial Reference'!$A$8:$W$8,1,MOD($A106-1,23)+1)&amp;TEXT(BL$2+FLOOR((BL$2-1)/9,1),"000"),"")</f>
        <v/>
      </c>
      <c r="BM106" s="22" t="str">
        <f>IF(INDEX('Shot Map'!$B$6:$V$26,CEILING($A106/5,1),CEILING(BM$2/5,1))=1,INDEX('Serial Reference'!$A$8:$W$8,1,FLOOR(($A106-1)/23,1)+1)&amp;INDEX('Serial Reference'!$A$8:$W$8,1,MOD($A106-1,23)+1)&amp;TEXT(BM$2+FLOOR((BM$2-1)/9,1),"000"),"")</f>
        <v/>
      </c>
      <c r="BN106" s="23" t="str">
        <f>IF(INDEX('Shot Map'!$B$6:$V$26,CEILING($A106/5,1),CEILING(BN$2/5,1))=1,INDEX('Serial Reference'!$A$8:$W$8,1,FLOOR(($A106-1)/23,1)+1)&amp;INDEX('Serial Reference'!$A$8:$W$8,1,MOD($A106-1,23)+1)&amp;TEXT(BN$2+FLOOR((BN$2-1)/9,1),"000"),"")</f>
        <v/>
      </c>
      <c r="BO106" s="21" t="str">
        <f>IF(INDEX('Shot Map'!$B$6:$V$26,CEILING($A106/5,1),CEILING(BO$2/5,1))=1,INDEX('Serial Reference'!$A$8:$W$8,1,FLOOR(($A106-1)/23,1)+1)&amp;INDEX('Serial Reference'!$A$8:$W$8,1,MOD($A106-1,23)+1)&amp;TEXT(BO$2+FLOOR((BO$2-1)/9,1),"000"),"")</f>
        <v/>
      </c>
      <c r="BP106" s="22" t="str">
        <f>IF(INDEX('Shot Map'!$B$6:$V$26,CEILING($A106/5,1),CEILING(BP$2/5,1))=1,INDEX('Serial Reference'!$A$8:$W$8,1,FLOOR(($A106-1)/23,1)+1)&amp;INDEX('Serial Reference'!$A$8:$W$8,1,MOD($A106-1,23)+1)&amp;TEXT(BP$2+FLOOR((BP$2-1)/9,1),"000"),"")</f>
        <v/>
      </c>
      <c r="BQ106" s="22" t="str">
        <f>IF(INDEX('Shot Map'!$B$6:$V$26,CEILING($A106/5,1),CEILING(BQ$2/5,1))=1,INDEX('Serial Reference'!$A$8:$W$8,1,FLOOR(($A106-1)/23,1)+1)&amp;INDEX('Serial Reference'!$A$8:$W$8,1,MOD($A106-1,23)+1)&amp;TEXT(BQ$2+FLOOR((BQ$2-1)/9,1),"000"),"")</f>
        <v/>
      </c>
      <c r="BR106" s="22" t="str">
        <f>IF(INDEX('Shot Map'!$B$6:$V$26,CEILING($A106/5,1),CEILING(BR$2/5,1))=1,INDEX('Serial Reference'!$A$8:$W$8,1,FLOOR(($A106-1)/23,1)+1)&amp;INDEX('Serial Reference'!$A$8:$W$8,1,MOD($A106-1,23)+1)&amp;TEXT(BR$2+FLOOR((BR$2-1)/9,1),"000"),"")</f>
        <v/>
      </c>
      <c r="BS106" s="23" t="str">
        <f>IF(INDEX('Shot Map'!$B$6:$V$26,CEILING($A106/5,1),CEILING(BS$2/5,1))=1,INDEX('Serial Reference'!$A$8:$W$8,1,FLOOR(($A106-1)/23,1)+1)&amp;INDEX('Serial Reference'!$A$8:$W$8,1,MOD($A106-1,23)+1)&amp;TEXT(BS$2+FLOOR((BS$2-1)/9,1),"000"),"")</f>
        <v/>
      </c>
      <c r="BT106" s="21" t="str">
        <f>IF(INDEX('Shot Map'!$B$6:$V$26,CEILING($A106/5,1),CEILING(BT$2/5,1))=1,INDEX('Serial Reference'!$A$8:$W$8,1,FLOOR(($A106-1)/23,1)+1)&amp;INDEX('Serial Reference'!$A$8:$W$8,1,MOD($A106-1,23)+1)&amp;TEXT(BT$2+FLOOR((BT$2-1)/9,1),"000"),"")</f>
        <v/>
      </c>
      <c r="BU106" s="22" t="str">
        <f>IF(INDEX('Shot Map'!$B$6:$V$26,CEILING($A106/5,1),CEILING(BU$2/5,1))=1,INDEX('Serial Reference'!$A$8:$W$8,1,FLOOR(($A106-1)/23,1)+1)&amp;INDEX('Serial Reference'!$A$8:$W$8,1,MOD($A106-1,23)+1)&amp;TEXT(BU$2+FLOOR((BU$2-1)/9,1),"000"),"")</f>
        <v/>
      </c>
      <c r="BV106" s="22" t="str">
        <f>IF(INDEX('Shot Map'!$B$6:$V$26,CEILING($A106/5,1),CEILING(BV$2/5,1))=1,INDEX('Serial Reference'!$A$8:$W$8,1,FLOOR(($A106-1)/23,1)+1)&amp;INDEX('Serial Reference'!$A$8:$W$8,1,MOD($A106-1,23)+1)&amp;TEXT(BV$2+FLOOR((BV$2-1)/9,1),"000"),"")</f>
        <v/>
      </c>
      <c r="BW106" s="22" t="str">
        <f>IF(INDEX('Shot Map'!$B$6:$V$26,CEILING($A106/5,1),CEILING(BW$2/5,1))=1,INDEX('Serial Reference'!$A$8:$W$8,1,FLOOR(($A106-1)/23,1)+1)&amp;INDEX('Serial Reference'!$A$8:$W$8,1,MOD($A106-1,23)+1)&amp;TEXT(BW$2+FLOOR((BW$2-1)/9,1),"000"),"")</f>
        <v/>
      </c>
      <c r="BX106" s="23" t="str">
        <f>IF(INDEX('Shot Map'!$B$6:$V$26,CEILING($A106/5,1),CEILING(BX$2/5,1))=1,INDEX('Serial Reference'!$A$8:$W$8,1,FLOOR(($A106-1)/23,1)+1)&amp;INDEX('Serial Reference'!$A$8:$W$8,1,MOD($A106-1,23)+1)&amp;TEXT(BX$2+FLOOR((BX$2-1)/9,1),"000"),"")</f>
        <v/>
      </c>
      <c r="BY106" s="21" t="str">
        <f>IF(INDEX('Shot Map'!$B$6:$V$26,CEILING($A106/5,1),CEILING(BY$2/5,1))=1,INDEX('Serial Reference'!$A$8:$W$8,1,FLOOR(($A106-1)/23,1)+1)&amp;INDEX('Serial Reference'!$A$8:$W$8,1,MOD($A106-1,23)+1)&amp;TEXT(BY$2+FLOOR((BY$2-1)/9,1),"000"),"")</f>
        <v/>
      </c>
      <c r="BZ106" s="22" t="str">
        <f>IF(INDEX('Shot Map'!$B$6:$V$26,CEILING($A106/5,1),CEILING(BZ$2/5,1))=1,INDEX('Serial Reference'!$A$8:$W$8,1,FLOOR(($A106-1)/23,1)+1)&amp;INDEX('Serial Reference'!$A$8:$W$8,1,MOD($A106-1,23)+1)&amp;TEXT(BZ$2+FLOOR((BZ$2-1)/9,1),"000"),"")</f>
        <v/>
      </c>
      <c r="CA106" s="22" t="str">
        <f>IF(INDEX('Shot Map'!$B$6:$V$26,CEILING($A106/5,1),CEILING(CA$2/5,1))=1,INDEX('Serial Reference'!$A$8:$W$8,1,FLOOR(($A106-1)/23,1)+1)&amp;INDEX('Serial Reference'!$A$8:$W$8,1,MOD($A106-1,23)+1)&amp;TEXT(CA$2+FLOOR((CA$2-1)/9,1),"000"),"")</f>
        <v/>
      </c>
      <c r="CB106" s="22" t="str">
        <f>IF(INDEX('Shot Map'!$B$6:$V$26,CEILING($A106/5,1),CEILING(CB$2/5,1))=1,INDEX('Serial Reference'!$A$8:$W$8,1,FLOOR(($A106-1)/23,1)+1)&amp;INDEX('Serial Reference'!$A$8:$W$8,1,MOD($A106-1,23)+1)&amp;TEXT(CB$2+FLOOR((CB$2-1)/9,1),"000"),"")</f>
        <v/>
      </c>
      <c r="CC106" s="23" t="str">
        <f>IF(INDEX('Shot Map'!$B$6:$V$26,CEILING($A106/5,1),CEILING(CC$2/5,1))=1,INDEX('Serial Reference'!$A$8:$W$8,1,FLOOR(($A106-1)/23,1)+1)&amp;INDEX('Serial Reference'!$A$8:$W$8,1,MOD($A106-1,23)+1)&amp;TEXT(CC$2+FLOOR((CC$2-1)/9,1),"000"),"")</f>
        <v/>
      </c>
      <c r="CD106" s="21" t="str">
        <f>IF(INDEX('Shot Map'!$B$6:$V$26,CEILING($A106/5,1),CEILING(CD$2/5,1))=1,INDEX('Serial Reference'!$A$8:$W$8,1,FLOOR(($A106-1)/23,1)+1)&amp;INDEX('Serial Reference'!$A$8:$W$8,1,MOD($A106-1,23)+1)&amp;TEXT(CD$2+FLOOR((CD$2-1)/9,1),"000"),"")</f>
        <v/>
      </c>
      <c r="CE106" s="22" t="str">
        <f>IF(INDEX('Shot Map'!$B$6:$V$26,CEILING($A106/5,1),CEILING(CE$2/5,1))=1,INDEX('Serial Reference'!$A$8:$W$8,1,FLOOR(($A106-1)/23,1)+1)&amp;INDEX('Serial Reference'!$A$8:$W$8,1,MOD($A106-1,23)+1)&amp;TEXT(CE$2+FLOOR((CE$2-1)/9,1),"000"),"")</f>
        <v/>
      </c>
      <c r="CF106" s="22" t="str">
        <f>IF(INDEX('Shot Map'!$B$6:$V$26,CEILING($A106/5,1),CEILING(CF$2/5,1))=1,INDEX('Serial Reference'!$A$8:$W$8,1,FLOOR(($A106-1)/23,1)+1)&amp;INDEX('Serial Reference'!$A$8:$W$8,1,MOD($A106-1,23)+1)&amp;TEXT(CF$2+FLOOR((CF$2-1)/9,1),"000"),"")</f>
        <v/>
      </c>
      <c r="CG106" s="22" t="str">
        <f>IF(INDEX('Shot Map'!$B$6:$V$26,CEILING($A106/5,1),CEILING(CG$2/5,1))=1,INDEX('Serial Reference'!$A$8:$W$8,1,FLOOR(($A106-1)/23,1)+1)&amp;INDEX('Serial Reference'!$A$8:$W$8,1,MOD($A106-1,23)+1)&amp;TEXT(CG$2+FLOOR((CG$2-1)/9,1),"000"),"")</f>
        <v/>
      </c>
      <c r="CH106" s="23" t="str">
        <f>IF(INDEX('Shot Map'!$B$6:$V$26,CEILING($A106/5,1),CEILING(CH$2/5,1))=1,INDEX('Serial Reference'!$A$8:$W$8,1,FLOOR(($A106-1)/23,1)+1)&amp;INDEX('Serial Reference'!$A$8:$W$8,1,MOD($A106-1,23)+1)&amp;TEXT(CH$2+FLOOR((CH$2-1)/9,1),"000"),"")</f>
        <v/>
      </c>
      <c r="CI106" s="21" t="str">
        <f>IF(INDEX('Shot Map'!$B$6:$V$26,CEILING($A106/5,1),CEILING(CI$2/5,1))=1,INDEX('Serial Reference'!$A$8:$W$8,1,FLOOR(($A106-1)/23,1)+1)&amp;INDEX('Serial Reference'!$A$8:$W$8,1,MOD($A106-1,23)+1)&amp;TEXT(CI$2+FLOOR((CI$2-1)/9,1),"000"),"")</f>
        <v/>
      </c>
      <c r="CJ106" s="22" t="str">
        <f>IF(INDEX('Shot Map'!$B$6:$V$26,CEILING($A106/5,1),CEILING(CJ$2/5,1))=1,INDEX('Serial Reference'!$A$8:$W$8,1,FLOOR(($A106-1)/23,1)+1)&amp;INDEX('Serial Reference'!$A$8:$W$8,1,MOD($A106-1,23)+1)&amp;TEXT(CJ$2+FLOOR((CJ$2-1)/9,1),"000"),"")</f>
        <v/>
      </c>
      <c r="CK106" s="22" t="str">
        <f>IF(INDEX('Shot Map'!$B$6:$V$26,CEILING($A106/5,1),CEILING(CK$2/5,1))=1,INDEX('Serial Reference'!$A$8:$W$8,1,FLOOR(($A106-1)/23,1)+1)&amp;INDEX('Serial Reference'!$A$8:$W$8,1,MOD($A106-1,23)+1)&amp;TEXT(CK$2+FLOOR((CK$2-1)/9,1),"000"),"")</f>
        <v/>
      </c>
      <c r="CL106" s="22" t="str">
        <f>IF(INDEX('Shot Map'!$B$6:$V$26,CEILING($A106/5,1),CEILING(CL$2/5,1))=1,INDEX('Serial Reference'!$A$8:$W$8,1,FLOOR(($A106-1)/23,1)+1)&amp;INDEX('Serial Reference'!$A$8:$W$8,1,MOD($A106-1,23)+1)&amp;TEXT(CL$2+FLOOR((CL$2-1)/9,1),"000"),"")</f>
        <v/>
      </c>
      <c r="CM106" s="23" t="str">
        <f>IF(INDEX('Shot Map'!$B$6:$V$26,CEILING($A106/5,1),CEILING(CM$2/5,1))=1,INDEX('Serial Reference'!$A$8:$W$8,1,FLOOR(($A106-1)/23,1)+1)&amp;INDEX('Serial Reference'!$A$8:$W$8,1,MOD($A106-1,23)+1)&amp;TEXT(CM$2+FLOOR((CM$2-1)/9,1),"000"),"")</f>
        <v/>
      </c>
      <c r="CN106" s="21" t="str">
        <f>IF(INDEX('Shot Map'!$B$6:$V$26,CEILING($A106/5,1),CEILING(CN$2/5,1))=1,INDEX('Serial Reference'!$A$8:$W$8,1,FLOOR(($A106-1)/23,1)+1)&amp;INDEX('Serial Reference'!$A$8:$W$8,1,MOD($A106-1,23)+1)&amp;TEXT(CN$2+FLOOR((CN$2-1)/9,1),"000"),"")</f>
        <v/>
      </c>
      <c r="CO106" s="22" t="str">
        <f>IF(INDEX('Shot Map'!$B$6:$V$26,CEILING($A106/5,1),CEILING(CO$2/5,1))=1,INDEX('Serial Reference'!$A$8:$W$8,1,FLOOR(($A106-1)/23,1)+1)&amp;INDEX('Serial Reference'!$A$8:$W$8,1,MOD($A106-1,23)+1)&amp;TEXT(CO$2+FLOOR((CO$2-1)/9,1),"000"),"")</f>
        <v/>
      </c>
      <c r="CP106" s="22" t="str">
        <f>IF(INDEX('Shot Map'!$B$6:$V$26,CEILING($A106/5,1),CEILING(CP$2/5,1))=1,INDEX('Serial Reference'!$A$8:$W$8,1,FLOOR(($A106-1)/23,1)+1)&amp;INDEX('Serial Reference'!$A$8:$W$8,1,MOD($A106-1,23)+1)&amp;TEXT(CP$2+FLOOR((CP$2-1)/9,1),"000"),"")</f>
        <v/>
      </c>
      <c r="CQ106" s="22" t="str">
        <f>IF(INDEX('Shot Map'!$B$6:$V$26,CEILING($A106/5,1),CEILING(CQ$2/5,1))=1,INDEX('Serial Reference'!$A$8:$W$8,1,FLOOR(($A106-1)/23,1)+1)&amp;INDEX('Serial Reference'!$A$8:$W$8,1,MOD($A106-1,23)+1)&amp;TEXT(CQ$2+FLOOR((CQ$2-1)/9,1),"000"),"")</f>
        <v/>
      </c>
      <c r="CR106" s="23" t="str">
        <f>IF(INDEX('Shot Map'!$B$6:$V$26,CEILING($A106/5,1),CEILING(CR$2/5,1))=1,INDEX('Serial Reference'!$A$8:$W$8,1,FLOOR(($A106-1)/23,1)+1)&amp;INDEX('Serial Reference'!$A$8:$W$8,1,MOD($A106-1,23)+1)&amp;TEXT(CR$2+FLOOR((CR$2-1)/9,1),"000"),"")</f>
        <v/>
      </c>
      <c r="CS106" s="21" t="str">
        <f>IF(INDEX('Shot Map'!$B$6:$V$26,CEILING($A106/5,1),CEILING(CS$2/5,1))=1,INDEX('Serial Reference'!$A$8:$W$8,1,FLOOR(($A106-1)/23,1)+1)&amp;INDEX('Serial Reference'!$A$8:$W$8,1,MOD($A106-1,23)+1)&amp;TEXT(CS$2+FLOOR((CS$2-1)/9,1),"000"),"")</f>
        <v/>
      </c>
      <c r="CT106" s="22" t="str">
        <f>IF(INDEX('Shot Map'!$B$6:$V$26,CEILING($A106/5,1),CEILING(CT$2/5,1))=1,INDEX('Serial Reference'!$A$8:$W$8,1,FLOOR(($A106-1)/23,1)+1)&amp;INDEX('Serial Reference'!$A$8:$W$8,1,MOD($A106-1,23)+1)&amp;TEXT(CT$2+FLOOR((CT$2-1)/9,1),"000"),"")</f>
        <v/>
      </c>
      <c r="CU106" s="22" t="str">
        <f>IF(INDEX('Shot Map'!$B$6:$V$26,CEILING($A106/5,1),CEILING(CU$2/5,1))=1,INDEX('Serial Reference'!$A$8:$W$8,1,FLOOR(($A106-1)/23,1)+1)&amp;INDEX('Serial Reference'!$A$8:$W$8,1,MOD($A106-1,23)+1)&amp;TEXT(CU$2+FLOOR((CU$2-1)/9,1),"000"),"")</f>
        <v/>
      </c>
      <c r="CV106" s="22" t="str">
        <f>IF(INDEX('Shot Map'!$B$6:$V$26,CEILING($A106/5,1),CEILING(CV$2/5,1))=1,INDEX('Serial Reference'!$A$8:$W$8,1,FLOOR(($A106-1)/23,1)+1)&amp;INDEX('Serial Reference'!$A$8:$W$8,1,MOD($A106-1,23)+1)&amp;TEXT(CV$2+FLOOR((CV$2-1)/9,1),"000"),"")</f>
        <v/>
      </c>
      <c r="CW106" s="23" t="str">
        <f>IF(INDEX('Shot Map'!$B$6:$V$26,CEILING($A106/5,1),CEILING(CW$2/5,1))=1,INDEX('Serial Reference'!$A$8:$W$8,1,FLOOR(($A106-1)/23,1)+1)&amp;INDEX('Serial Reference'!$A$8:$W$8,1,MOD($A106-1,23)+1)&amp;TEXT(CW$2+FLOOR((CW$2-1)/9,1),"000"),"")</f>
        <v/>
      </c>
      <c r="CX106" s="21" t="str">
        <f>IF(INDEX('Shot Map'!$B$6:$V$26,CEILING($A106/5,1),CEILING(CX$2/5,1))=1,INDEX('Serial Reference'!$A$8:$W$8,1,FLOOR(($A106-1)/23,1)+1)&amp;INDEX('Serial Reference'!$A$8:$W$8,1,MOD($A106-1,23)+1)&amp;TEXT(CX$2+FLOOR((CX$2-1)/9,1),"000"),"")</f>
        <v/>
      </c>
      <c r="CY106" s="22" t="str">
        <f>IF(INDEX('Shot Map'!$B$6:$V$26,CEILING($A106/5,1),CEILING(CY$2/5,1))=1,INDEX('Serial Reference'!$A$8:$W$8,1,FLOOR(($A106-1)/23,1)+1)&amp;INDEX('Serial Reference'!$A$8:$W$8,1,MOD($A106-1,23)+1)&amp;TEXT(CY$2+FLOOR((CY$2-1)/9,1),"000"),"")</f>
        <v/>
      </c>
      <c r="CZ106" s="22" t="str">
        <f>IF(INDEX('Shot Map'!$B$6:$V$26,CEILING($A106/5,1),CEILING(CZ$2/5,1))=1,INDEX('Serial Reference'!$A$8:$W$8,1,FLOOR(($A106-1)/23,1)+1)&amp;INDEX('Serial Reference'!$A$8:$W$8,1,MOD($A106-1,23)+1)&amp;TEXT(CZ$2+FLOOR((CZ$2-1)/9,1),"000"),"")</f>
        <v/>
      </c>
      <c r="DA106" s="22" t="str">
        <f>IF(INDEX('Shot Map'!$B$6:$V$26,CEILING($A106/5,1),CEILING(DA$2/5,1))=1,INDEX('Serial Reference'!$A$8:$W$8,1,FLOOR(($A106-1)/23,1)+1)&amp;INDEX('Serial Reference'!$A$8:$W$8,1,MOD($A106-1,23)+1)&amp;TEXT(DA$2+FLOOR((DA$2-1)/9,1),"000"),"")</f>
        <v/>
      </c>
      <c r="DB106" s="23" t="str">
        <f>IF(INDEX('Shot Map'!$B$6:$V$26,CEILING($A106/5,1),CEILING(DB$2/5,1))=1,INDEX('Serial Reference'!$A$8:$W$8,1,FLOOR(($A106-1)/23,1)+1)&amp;INDEX('Serial Reference'!$A$8:$W$8,1,MOD($A106-1,23)+1)&amp;TEXT(DB$2+FLOOR((DB$2-1)/9,1),"000"),"")</f>
        <v/>
      </c>
    </row>
    <row r="107" spans="1:106" ht="12.75" customHeight="1" x14ac:dyDescent="0.25">
      <c r="A107" s="17">
        <v>105</v>
      </c>
      <c r="B107" s="24" t="str">
        <f>IF(INDEX('Shot Map'!$B$6:$V$26,CEILING($A107/5,1),CEILING(B$2/5,1))=1,INDEX('Serial Reference'!$A$8:$W$8,1,FLOOR(($A107-1)/23,1)+1)&amp;INDEX('Serial Reference'!$A$8:$W$8,1,MOD($A107-1,23)+1)&amp;TEXT(B$2+FLOOR((B$2-1)/9,1),"000"),"")</f>
        <v/>
      </c>
      <c r="C107" s="25" t="str">
        <f>IF(INDEX('Shot Map'!$B$6:$V$26,CEILING($A107/5,1),CEILING(C$2/5,1))=1,INDEX('Serial Reference'!$A$8:$W$8,1,FLOOR(($A107-1)/23,1)+1)&amp;INDEX('Serial Reference'!$A$8:$W$8,1,MOD($A107-1,23)+1)&amp;TEXT(C$2+FLOOR((C$2-1)/9,1),"000"),"")</f>
        <v/>
      </c>
      <c r="D107" s="25" t="str">
        <f>IF(INDEX('Shot Map'!$B$6:$V$26,CEILING($A107/5,1),CEILING(D$2/5,1))=1,INDEX('Serial Reference'!$A$8:$W$8,1,FLOOR(($A107-1)/23,1)+1)&amp;INDEX('Serial Reference'!$A$8:$W$8,1,MOD($A107-1,23)+1)&amp;TEXT(D$2+FLOOR((D$2-1)/9,1),"000"),"")</f>
        <v/>
      </c>
      <c r="E107" s="25" t="str">
        <f>IF(INDEX('Shot Map'!$B$6:$V$26,CEILING($A107/5,1),CEILING(E$2/5,1))=1,INDEX('Serial Reference'!$A$8:$W$8,1,FLOOR(($A107-1)/23,1)+1)&amp;INDEX('Serial Reference'!$A$8:$W$8,1,MOD($A107-1,23)+1)&amp;TEXT(E$2+FLOOR((E$2-1)/9,1),"000"),"")</f>
        <v/>
      </c>
      <c r="F107" s="26" t="str">
        <f>IF(INDEX('Shot Map'!$B$6:$V$26,CEILING($A107/5,1),CEILING(F$2/5,1))=1,INDEX('Serial Reference'!$A$8:$W$8,1,FLOOR(($A107-1)/23,1)+1)&amp;INDEX('Serial Reference'!$A$8:$W$8,1,MOD($A107-1,23)+1)&amp;TEXT(F$2+FLOOR((F$2-1)/9,1),"000"),"")</f>
        <v/>
      </c>
      <c r="G107" s="24" t="str">
        <f>IF(INDEX('Shot Map'!$B$6:$V$26,CEILING($A107/5,1),CEILING(G$2/5,1))=1,INDEX('Serial Reference'!$A$8:$W$8,1,FLOOR(($A107-1)/23,1)+1)&amp;INDEX('Serial Reference'!$A$8:$W$8,1,MOD($A107-1,23)+1)&amp;TEXT(G$2+FLOOR((G$2-1)/9,1),"000"),"")</f>
        <v/>
      </c>
      <c r="H107" s="25" t="str">
        <f>IF(INDEX('Shot Map'!$B$6:$V$26,CEILING($A107/5,1),CEILING(H$2/5,1))=1,INDEX('Serial Reference'!$A$8:$W$8,1,FLOOR(($A107-1)/23,1)+1)&amp;INDEX('Serial Reference'!$A$8:$W$8,1,MOD($A107-1,23)+1)&amp;TEXT(H$2+FLOOR((H$2-1)/9,1),"000"),"")</f>
        <v/>
      </c>
      <c r="I107" s="25" t="str">
        <f>IF(INDEX('Shot Map'!$B$6:$V$26,CEILING($A107/5,1),CEILING(I$2/5,1))=1,INDEX('Serial Reference'!$A$8:$W$8,1,FLOOR(($A107-1)/23,1)+1)&amp;INDEX('Serial Reference'!$A$8:$W$8,1,MOD($A107-1,23)+1)&amp;TEXT(I$2+FLOOR((I$2-1)/9,1),"000"),"")</f>
        <v/>
      </c>
      <c r="J107" s="25" t="str">
        <f>IF(INDEX('Shot Map'!$B$6:$V$26,CEILING($A107/5,1),CEILING(J$2/5,1))=1,INDEX('Serial Reference'!$A$8:$W$8,1,FLOOR(($A107-1)/23,1)+1)&amp;INDEX('Serial Reference'!$A$8:$W$8,1,MOD($A107-1,23)+1)&amp;TEXT(J$2+FLOOR((J$2-1)/9,1),"000"),"")</f>
        <v/>
      </c>
      <c r="K107" s="26" t="str">
        <f>IF(INDEX('Shot Map'!$B$6:$V$26,CEILING($A107/5,1),CEILING(K$2/5,1))=1,INDEX('Serial Reference'!$A$8:$W$8,1,FLOOR(($A107-1)/23,1)+1)&amp;INDEX('Serial Reference'!$A$8:$W$8,1,MOD($A107-1,23)+1)&amp;TEXT(K$2+FLOOR((K$2-1)/9,1),"000"),"")</f>
        <v/>
      </c>
      <c r="L107" s="24" t="str">
        <f>IF(INDEX('Shot Map'!$B$6:$V$26,CEILING($A107/5,1),CEILING(L$2/5,1))=1,INDEX('Serial Reference'!$A$8:$W$8,1,FLOOR(($A107-1)/23,1)+1)&amp;INDEX('Serial Reference'!$A$8:$W$8,1,MOD($A107-1,23)+1)&amp;TEXT(L$2+FLOOR((L$2-1)/9,1),"000"),"")</f>
        <v/>
      </c>
      <c r="M107" s="25" t="str">
        <f>IF(INDEX('Shot Map'!$B$6:$V$26,CEILING($A107/5,1),CEILING(M$2/5,1))=1,INDEX('Serial Reference'!$A$8:$W$8,1,FLOOR(($A107-1)/23,1)+1)&amp;INDEX('Serial Reference'!$A$8:$W$8,1,MOD($A107-1,23)+1)&amp;TEXT(M$2+FLOOR((M$2-1)/9,1),"000"),"")</f>
        <v/>
      </c>
      <c r="N107" s="25" t="str">
        <f>IF(INDEX('Shot Map'!$B$6:$V$26,CEILING($A107/5,1),CEILING(N$2/5,1))=1,INDEX('Serial Reference'!$A$8:$W$8,1,FLOOR(($A107-1)/23,1)+1)&amp;INDEX('Serial Reference'!$A$8:$W$8,1,MOD($A107-1,23)+1)&amp;TEXT(N$2+FLOOR((N$2-1)/9,1),"000"),"")</f>
        <v/>
      </c>
      <c r="O107" s="25" t="str">
        <f>IF(INDEX('Shot Map'!$B$6:$V$26,CEILING($A107/5,1),CEILING(O$2/5,1))=1,INDEX('Serial Reference'!$A$8:$W$8,1,FLOOR(($A107-1)/23,1)+1)&amp;INDEX('Serial Reference'!$A$8:$W$8,1,MOD($A107-1,23)+1)&amp;TEXT(O$2+FLOOR((O$2-1)/9,1),"000"),"")</f>
        <v/>
      </c>
      <c r="P107" s="26" t="str">
        <f>IF(INDEX('Shot Map'!$B$6:$V$26,CEILING($A107/5,1),CEILING(P$2/5,1))=1,INDEX('Serial Reference'!$A$8:$W$8,1,FLOOR(($A107-1)/23,1)+1)&amp;INDEX('Serial Reference'!$A$8:$W$8,1,MOD($A107-1,23)+1)&amp;TEXT(P$2+FLOOR((P$2-1)/9,1),"000"),"")</f>
        <v/>
      </c>
      <c r="Q107" s="24" t="str">
        <f>IF(INDEX('Shot Map'!$B$6:$V$26,CEILING($A107/5,1),CEILING(Q$2/5,1))=1,INDEX('Serial Reference'!$A$8:$W$8,1,FLOOR(($A107-1)/23,1)+1)&amp;INDEX('Serial Reference'!$A$8:$W$8,1,MOD($A107-1,23)+1)&amp;TEXT(Q$2+FLOOR((Q$2-1)/9,1),"000"),"")</f>
        <v/>
      </c>
      <c r="R107" s="25" t="str">
        <f>IF(INDEX('Shot Map'!$B$6:$V$26,CEILING($A107/5,1),CEILING(R$2/5,1))=1,INDEX('Serial Reference'!$A$8:$W$8,1,FLOOR(($A107-1)/23,1)+1)&amp;INDEX('Serial Reference'!$A$8:$W$8,1,MOD($A107-1,23)+1)&amp;TEXT(R$2+FLOOR((R$2-1)/9,1),"000"),"")</f>
        <v/>
      </c>
      <c r="S107" s="25" t="str">
        <f>IF(INDEX('Shot Map'!$B$6:$V$26,CEILING($A107/5,1),CEILING(S$2/5,1))=1,INDEX('Serial Reference'!$A$8:$W$8,1,FLOOR(($A107-1)/23,1)+1)&amp;INDEX('Serial Reference'!$A$8:$W$8,1,MOD($A107-1,23)+1)&amp;TEXT(S$2+FLOOR((S$2-1)/9,1),"000"),"")</f>
        <v/>
      </c>
      <c r="T107" s="25" t="str">
        <f>IF(INDEX('Shot Map'!$B$6:$V$26,CEILING($A107/5,1),CEILING(T$2/5,1))=1,INDEX('Serial Reference'!$A$8:$W$8,1,FLOOR(($A107-1)/23,1)+1)&amp;INDEX('Serial Reference'!$A$8:$W$8,1,MOD($A107-1,23)+1)&amp;TEXT(T$2+FLOOR((T$2-1)/9,1),"000"),"")</f>
        <v/>
      </c>
      <c r="U107" s="26" t="str">
        <f>IF(INDEX('Shot Map'!$B$6:$V$26,CEILING($A107/5,1),CEILING(U$2/5,1))=1,INDEX('Serial Reference'!$A$8:$W$8,1,FLOOR(($A107-1)/23,1)+1)&amp;INDEX('Serial Reference'!$A$8:$W$8,1,MOD($A107-1,23)+1)&amp;TEXT(U$2+FLOOR((U$2-1)/9,1),"000"),"")</f>
        <v/>
      </c>
      <c r="V107" s="24" t="str">
        <f>IF(INDEX('Shot Map'!$B$6:$V$26,CEILING($A107/5,1),CEILING(V$2/5,1))=1,INDEX('Serial Reference'!$A$8:$W$8,1,FLOOR(($A107-1)/23,1)+1)&amp;INDEX('Serial Reference'!$A$8:$W$8,1,MOD($A107-1,23)+1)&amp;TEXT(V$2+FLOOR((V$2-1)/9,1),"000"),"")</f>
        <v/>
      </c>
      <c r="W107" s="25" t="str">
        <f>IF(INDEX('Shot Map'!$B$6:$V$26,CEILING($A107/5,1),CEILING(W$2/5,1))=1,INDEX('Serial Reference'!$A$8:$W$8,1,FLOOR(($A107-1)/23,1)+1)&amp;INDEX('Serial Reference'!$A$8:$W$8,1,MOD($A107-1,23)+1)&amp;TEXT(W$2+FLOOR((W$2-1)/9,1),"000"),"")</f>
        <v/>
      </c>
      <c r="X107" s="25" t="str">
        <f>IF(INDEX('Shot Map'!$B$6:$V$26,CEILING($A107/5,1),CEILING(X$2/5,1))=1,INDEX('Serial Reference'!$A$8:$W$8,1,FLOOR(($A107-1)/23,1)+1)&amp;INDEX('Serial Reference'!$A$8:$W$8,1,MOD($A107-1,23)+1)&amp;TEXT(X$2+FLOOR((X$2-1)/9,1),"000"),"")</f>
        <v/>
      </c>
      <c r="Y107" s="25" t="str">
        <f>IF(INDEX('Shot Map'!$B$6:$V$26,CEILING($A107/5,1),CEILING(Y$2/5,1))=1,INDEX('Serial Reference'!$A$8:$W$8,1,FLOOR(($A107-1)/23,1)+1)&amp;INDEX('Serial Reference'!$A$8:$W$8,1,MOD($A107-1,23)+1)&amp;TEXT(Y$2+FLOOR((Y$2-1)/9,1),"000"),"")</f>
        <v/>
      </c>
      <c r="Z107" s="26" t="str">
        <f>IF(INDEX('Shot Map'!$B$6:$V$26,CEILING($A107/5,1),CEILING(Z$2/5,1))=1,INDEX('Serial Reference'!$A$8:$W$8,1,FLOOR(($A107-1)/23,1)+1)&amp;INDEX('Serial Reference'!$A$8:$W$8,1,MOD($A107-1,23)+1)&amp;TEXT(Z$2+FLOOR((Z$2-1)/9,1),"000"),"")</f>
        <v/>
      </c>
      <c r="AA107" s="24" t="str">
        <f>IF(INDEX('Shot Map'!$B$6:$V$26,CEILING($A107/5,1),CEILING(AA$2/5,1))=1,INDEX('Serial Reference'!$A$8:$W$8,1,FLOOR(($A107-1)/23,1)+1)&amp;INDEX('Serial Reference'!$A$8:$W$8,1,MOD($A107-1,23)+1)&amp;TEXT(AA$2+FLOOR((AA$2-1)/9,1),"000"),"")</f>
        <v/>
      </c>
      <c r="AB107" s="25" t="str">
        <f>IF(INDEX('Shot Map'!$B$6:$V$26,CEILING($A107/5,1),CEILING(AB$2/5,1))=1,INDEX('Serial Reference'!$A$8:$W$8,1,FLOOR(($A107-1)/23,1)+1)&amp;INDEX('Serial Reference'!$A$8:$W$8,1,MOD($A107-1,23)+1)&amp;TEXT(AB$2+FLOOR((AB$2-1)/9,1),"000"),"")</f>
        <v/>
      </c>
      <c r="AC107" s="25" t="str">
        <f>IF(INDEX('Shot Map'!$B$6:$V$26,CEILING($A107/5,1),CEILING(AC$2/5,1))=1,INDEX('Serial Reference'!$A$8:$W$8,1,FLOOR(($A107-1)/23,1)+1)&amp;INDEX('Serial Reference'!$A$8:$W$8,1,MOD($A107-1,23)+1)&amp;TEXT(AC$2+FLOOR((AC$2-1)/9,1),"000"),"")</f>
        <v/>
      </c>
      <c r="AD107" s="25" t="str">
        <f>IF(INDEX('Shot Map'!$B$6:$V$26,CEILING($A107/5,1),CEILING(AD$2/5,1))=1,INDEX('Serial Reference'!$A$8:$W$8,1,FLOOR(($A107-1)/23,1)+1)&amp;INDEX('Serial Reference'!$A$8:$W$8,1,MOD($A107-1,23)+1)&amp;TEXT(AD$2+FLOOR((AD$2-1)/9,1),"000"),"")</f>
        <v/>
      </c>
      <c r="AE107" s="26" t="str">
        <f>IF(INDEX('Shot Map'!$B$6:$V$26,CEILING($A107/5,1),CEILING(AE$2/5,1))=1,INDEX('Serial Reference'!$A$8:$W$8,1,FLOOR(($A107-1)/23,1)+1)&amp;INDEX('Serial Reference'!$A$8:$W$8,1,MOD($A107-1,23)+1)&amp;TEXT(AE$2+FLOOR((AE$2-1)/9,1),"000"),"")</f>
        <v/>
      </c>
      <c r="AF107" s="24" t="str">
        <f>IF(INDEX('Shot Map'!$B$6:$V$26,CEILING($A107/5,1),CEILING(AF$2/5,1))=1,INDEX('Serial Reference'!$A$8:$W$8,1,FLOOR(($A107-1)/23,1)+1)&amp;INDEX('Serial Reference'!$A$8:$W$8,1,MOD($A107-1,23)+1)&amp;TEXT(AF$2+FLOOR((AF$2-1)/9,1),"000"),"")</f>
        <v/>
      </c>
      <c r="AG107" s="25" t="str">
        <f>IF(INDEX('Shot Map'!$B$6:$V$26,CEILING($A107/5,1),CEILING(AG$2/5,1))=1,INDEX('Serial Reference'!$A$8:$W$8,1,FLOOR(($A107-1)/23,1)+1)&amp;INDEX('Serial Reference'!$A$8:$W$8,1,MOD($A107-1,23)+1)&amp;TEXT(AG$2+FLOOR((AG$2-1)/9,1),"000"),"")</f>
        <v/>
      </c>
      <c r="AH107" s="25" t="str">
        <f>IF(INDEX('Shot Map'!$B$6:$V$26,CEILING($A107/5,1),CEILING(AH$2/5,1))=1,INDEX('Serial Reference'!$A$8:$W$8,1,FLOOR(($A107-1)/23,1)+1)&amp;INDEX('Serial Reference'!$A$8:$W$8,1,MOD($A107-1,23)+1)&amp;TEXT(AH$2+FLOOR((AH$2-1)/9,1),"000"),"")</f>
        <v/>
      </c>
      <c r="AI107" s="25" t="str">
        <f>IF(INDEX('Shot Map'!$B$6:$V$26,CEILING($A107/5,1),CEILING(AI$2/5,1))=1,INDEX('Serial Reference'!$A$8:$W$8,1,FLOOR(($A107-1)/23,1)+1)&amp;INDEX('Serial Reference'!$A$8:$W$8,1,MOD($A107-1,23)+1)&amp;TEXT(AI$2+FLOOR((AI$2-1)/9,1),"000"),"")</f>
        <v/>
      </c>
      <c r="AJ107" s="26" t="str">
        <f>IF(INDEX('Shot Map'!$B$6:$V$26,CEILING($A107/5,1),CEILING(AJ$2/5,1))=1,INDEX('Serial Reference'!$A$8:$W$8,1,FLOOR(($A107-1)/23,1)+1)&amp;INDEX('Serial Reference'!$A$8:$W$8,1,MOD($A107-1,23)+1)&amp;TEXT(AJ$2+FLOOR((AJ$2-1)/9,1),"000"),"")</f>
        <v/>
      </c>
      <c r="AK107" s="24" t="str">
        <f>IF(INDEX('Shot Map'!$B$6:$V$26,CEILING($A107/5,1),CEILING(AK$2/5,1))=1,INDEX('Serial Reference'!$A$8:$W$8,1,FLOOR(($A107-1)/23,1)+1)&amp;INDEX('Serial Reference'!$A$8:$W$8,1,MOD($A107-1,23)+1)&amp;TEXT(AK$2+FLOOR((AK$2-1)/9,1),"000"),"")</f>
        <v/>
      </c>
      <c r="AL107" s="25" t="str">
        <f>IF(INDEX('Shot Map'!$B$6:$V$26,CEILING($A107/5,1),CEILING(AL$2/5,1))=1,INDEX('Serial Reference'!$A$8:$W$8,1,FLOOR(($A107-1)/23,1)+1)&amp;INDEX('Serial Reference'!$A$8:$W$8,1,MOD($A107-1,23)+1)&amp;TEXT(AL$2+FLOOR((AL$2-1)/9,1),"000"),"")</f>
        <v/>
      </c>
      <c r="AM107" s="25" t="str">
        <f>IF(INDEX('Shot Map'!$B$6:$V$26,CEILING($A107/5,1),CEILING(AM$2/5,1))=1,INDEX('Serial Reference'!$A$8:$W$8,1,FLOOR(($A107-1)/23,1)+1)&amp;INDEX('Serial Reference'!$A$8:$W$8,1,MOD($A107-1,23)+1)&amp;TEXT(AM$2+FLOOR((AM$2-1)/9,1),"000"),"")</f>
        <v/>
      </c>
      <c r="AN107" s="25" t="str">
        <f>IF(INDEX('Shot Map'!$B$6:$V$26,CEILING($A107/5,1),CEILING(AN$2/5,1))=1,INDEX('Serial Reference'!$A$8:$W$8,1,FLOOR(($A107-1)/23,1)+1)&amp;INDEX('Serial Reference'!$A$8:$W$8,1,MOD($A107-1,23)+1)&amp;TEXT(AN$2+FLOOR((AN$2-1)/9,1),"000"),"")</f>
        <v/>
      </c>
      <c r="AO107" s="26" t="str">
        <f>IF(INDEX('Shot Map'!$B$6:$V$26,CEILING($A107/5,1),CEILING(AO$2/5,1))=1,INDEX('Serial Reference'!$A$8:$W$8,1,FLOOR(($A107-1)/23,1)+1)&amp;INDEX('Serial Reference'!$A$8:$W$8,1,MOD($A107-1,23)+1)&amp;TEXT(AO$2+FLOOR((AO$2-1)/9,1),"000"),"")</f>
        <v/>
      </c>
      <c r="AP107" s="24" t="str">
        <f>IF(INDEX('Shot Map'!$B$6:$V$26,CEILING($A107/5,1),CEILING(AP$2/5,1))=1,INDEX('Serial Reference'!$A$8:$W$8,1,FLOOR(($A107-1)/23,1)+1)&amp;INDEX('Serial Reference'!$A$8:$W$8,1,MOD($A107-1,23)+1)&amp;TEXT(AP$2+FLOOR((AP$2-1)/9,1),"000"),"")</f>
        <v/>
      </c>
      <c r="AQ107" s="25" t="str">
        <f>IF(INDEX('Shot Map'!$B$6:$V$26,CEILING($A107/5,1),CEILING(AQ$2/5,1))=1,INDEX('Serial Reference'!$A$8:$W$8,1,FLOOR(($A107-1)/23,1)+1)&amp;INDEX('Serial Reference'!$A$8:$W$8,1,MOD($A107-1,23)+1)&amp;TEXT(AQ$2+FLOOR((AQ$2-1)/9,1),"000"),"")</f>
        <v/>
      </c>
      <c r="AR107" s="25" t="str">
        <f>IF(INDEX('Shot Map'!$B$6:$V$26,CEILING($A107/5,1),CEILING(AR$2/5,1))=1,INDEX('Serial Reference'!$A$8:$W$8,1,FLOOR(($A107-1)/23,1)+1)&amp;INDEX('Serial Reference'!$A$8:$W$8,1,MOD($A107-1,23)+1)&amp;TEXT(AR$2+FLOOR((AR$2-1)/9,1),"000"),"")</f>
        <v/>
      </c>
      <c r="AS107" s="25" t="str">
        <f>IF(INDEX('Shot Map'!$B$6:$V$26,CEILING($A107/5,1),CEILING(AS$2/5,1))=1,INDEX('Serial Reference'!$A$8:$W$8,1,FLOOR(($A107-1)/23,1)+1)&amp;INDEX('Serial Reference'!$A$8:$W$8,1,MOD($A107-1,23)+1)&amp;TEXT(AS$2+FLOOR((AS$2-1)/9,1),"000"),"")</f>
        <v/>
      </c>
      <c r="AT107" s="26" t="str">
        <f>IF(INDEX('Shot Map'!$B$6:$V$26,CEILING($A107/5,1),CEILING(AT$2/5,1))=1,INDEX('Serial Reference'!$A$8:$W$8,1,FLOOR(($A107-1)/23,1)+1)&amp;INDEX('Serial Reference'!$A$8:$W$8,1,MOD($A107-1,23)+1)&amp;TEXT(AT$2+FLOOR((AT$2-1)/9,1),"000"),"")</f>
        <v/>
      </c>
      <c r="AU107" s="24" t="str">
        <f>IF(INDEX('Shot Map'!$B$6:$V$26,CEILING($A107/5,1),CEILING(AU$2/5,1))=1,INDEX('Serial Reference'!$A$8:$W$8,1,FLOOR(($A107-1)/23,1)+1)&amp;INDEX('Serial Reference'!$A$8:$W$8,1,MOD($A107-1,23)+1)&amp;TEXT(AU$2+FLOOR((AU$2-1)/9,1),"000"),"")</f>
        <v>EN051</v>
      </c>
      <c r="AV107" s="25" t="str">
        <f>IF(INDEX('Shot Map'!$B$6:$V$26,CEILING($A107/5,1),CEILING(AV$2/5,1))=1,INDEX('Serial Reference'!$A$8:$W$8,1,FLOOR(($A107-1)/23,1)+1)&amp;INDEX('Serial Reference'!$A$8:$W$8,1,MOD($A107-1,23)+1)&amp;TEXT(AV$2+FLOOR((AV$2-1)/9,1),"000"),"")</f>
        <v>EN052</v>
      </c>
      <c r="AW107" s="25" t="str">
        <f>IF(INDEX('Shot Map'!$B$6:$V$26,CEILING($A107/5,1),CEILING(AW$2/5,1))=1,INDEX('Serial Reference'!$A$8:$W$8,1,FLOOR(($A107-1)/23,1)+1)&amp;INDEX('Serial Reference'!$A$8:$W$8,1,MOD($A107-1,23)+1)&amp;TEXT(AW$2+FLOOR((AW$2-1)/9,1),"000"),"")</f>
        <v>EN053</v>
      </c>
      <c r="AX107" s="25" t="str">
        <f>IF(INDEX('Shot Map'!$B$6:$V$26,CEILING($A107/5,1),CEILING(AX$2/5,1))=1,INDEX('Serial Reference'!$A$8:$W$8,1,FLOOR(($A107-1)/23,1)+1)&amp;INDEX('Serial Reference'!$A$8:$W$8,1,MOD($A107-1,23)+1)&amp;TEXT(AX$2+FLOOR((AX$2-1)/9,1),"000"),"")</f>
        <v>EN054</v>
      </c>
      <c r="AY107" s="26" t="str">
        <f>IF(INDEX('Shot Map'!$B$6:$V$26,CEILING($A107/5,1),CEILING(AY$2/5,1))=1,INDEX('Serial Reference'!$A$8:$W$8,1,FLOOR(($A107-1)/23,1)+1)&amp;INDEX('Serial Reference'!$A$8:$W$8,1,MOD($A107-1,23)+1)&amp;TEXT(AY$2+FLOOR((AY$2-1)/9,1),"000"),"")</f>
        <v>EN055</v>
      </c>
      <c r="AZ107" s="24" t="str">
        <f>IF(INDEX('Shot Map'!$B$6:$V$26,CEILING($A107/5,1),CEILING(AZ$2/5,1))=1,INDEX('Serial Reference'!$A$8:$W$8,1,FLOOR(($A107-1)/23,1)+1)&amp;INDEX('Serial Reference'!$A$8:$W$8,1,MOD($A107-1,23)+1)&amp;TEXT(AZ$2+FLOOR((AZ$2-1)/9,1),"000"),"")</f>
        <v>EN056</v>
      </c>
      <c r="BA107" s="25" t="str">
        <f>IF(INDEX('Shot Map'!$B$6:$V$26,CEILING($A107/5,1),CEILING(BA$2/5,1))=1,INDEX('Serial Reference'!$A$8:$W$8,1,FLOOR(($A107-1)/23,1)+1)&amp;INDEX('Serial Reference'!$A$8:$W$8,1,MOD($A107-1,23)+1)&amp;TEXT(BA$2+FLOOR((BA$2-1)/9,1),"000"),"")</f>
        <v>EN057</v>
      </c>
      <c r="BB107" s="25" t="str">
        <f>IF(INDEX('Shot Map'!$B$6:$V$26,CEILING($A107/5,1),CEILING(BB$2/5,1))=1,INDEX('Serial Reference'!$A$8:$W$8,1,FLOOR(($A107-1)/23,1)+1)&amp;INDEX('Serial Reference'!$A$8:$W$8,1,MOD($A107-1,23)+1)&amp;TEXT(BB$2+FLOOR((BB$2-1)/9,1),"000"),"")</f>
        <v>EN058</v>
      </c>
      <c r="BC107" s="25" t="str">
        <f>IF(INDEX('Shot Map'!$B$6:$V$26,CEILING($A107/5,1),CEILING(BC$2/5,1))=1,INDEX('Serial Reference'!$A$8:$W$8,1,FLOOR(($A107-1)/23,1)+1)&amp;INDEX('Serial Reference'!$A$8:$W$8,1,MOD($A107-1,23)+1)&amp;TEXT(BC$2+FLOOR((BC$2-1)/9,1),"000"),"")</f>
        <v>EN059</v>
      </c>
      <c r="BD107" s="26" t="str">
        <f>IF(INDEX('Shot Map'!$B$6:$V$26,CEILING($A107/5,1),CEILING(BD$2/5,1))=1,INDEX('Serial Reference'!$A$8:$W$8,1,FLOOR(($A107-1)/23,1)+1)&amp;INDEX('Serial Reference'!$A$8:$W$8,1,MOD($A107-1,23)+1)&amp;TEXT(BD$2+FLOOR((BD$2-1)/9,1),"000"),"")</f>
        <v>EN061</v>
      </c>
      <c r="BE107" s="24" t="str">
        <f>IF(INDEX('Shot Map'!$B$6:$V$26,CEILING($A107/5,1),CEILING(BE$2/5,1))=1,INDEX('Serial Reference'!$A$8:$W$8,1,FLOOR(($A107-1)/23,1)+1)&amp;INDEX('Serial Reference'!$A$8:$W$8,1,MOD($A107-1,23)+1)&amp;TEXT(BE$2+FLOOR((BE$2-1)/9,1),"000"),"")</f>
        <v>EN062</v>
      </c>
      <c r="BF107" s="25" t="str">
        <f>IF(INDEX('Shot Map'!$B$6:$V$26,CEILING($A107/5,1),CEILING(BF$2/5,1))=1,INDEX('Serial Reference'!$A$8:$W$8,1,FLOOR(($A107-1)/23,1)+1)&amp;INDEX('Serial Reference'!$A$8:$W$8,1,MOD($A107-1,23)+1)&amp;TEXT(BF$2+FLOOR((BF$2-1)/9,1),"000"),"")</f>
        <v>EN063</v>
      </c>
      <c r="BG107" s="25" t="str">
        <f>IF(INDEX('Shot Map'!$B$6:$V$26,CEILING($A107/5,1),CEILING(BG$2/5,1))=1,INDEX('Serial Reference'!$A$8:$W$8,1,FLOOR(($A107-1)/23,1)+1)&amp;INDEX('Serial Reference'!$A$8:$W$8,1,MOD($A107-1,23)+1)&amp;TEXT(BG$2+FLOOR((BG$2-1)/9,1),"000"),"")</f>
        <v>EN064</v>
      </c>
      <c r="BH107" s="25" t="str">
        <f>IF(INDEX('Shot Map'!$B$6:$V$26,CEILING($A107/5,1),CEILING(BH$2/5,1))=1,INDEX('Serial Reference'!$A$8:$W$8,1,FLOOR(($A107-1)/23,1)+1)&amp;INDEX('Serial Reference'!$A$8:$W$8,1,MOD($A107-1,23)+1)&amp;TEXT(BH$2+FLOOR((BH$2-1)/9,1),"000"),"")</f>
        <v>EN065</v>
      </c>
      <c r="BI107" s="26" t="str">
        <f>IF(INDEX('Shot Map'!$B$6:$V$26,CEILING($A107/5,1),CEILING(BI$2/5,1))=1,INDEX('Serial Reference'!$A$8:$W$8,1,FLOOR(($A107-1)/23,1)+1)&amp;INDEX('Serial Reference'!$A$8:$W$8,1,MOD($A107-1,23)+1)&amp;TEXT(BI$2+FLOOR((BI$2-1)/9,1),"000"),"")</f>
        <v>EN066</v>
      </c>
      <c r="BJ107" s="24" t="str">
        <f>IF(INDEX('Shot Map'!$B$6:$V$26,CEILING($A107/5,1),CEILING(BJ$2/5,1))=1,INDEX('Serial Reference'!$A$8:$W$8,1,FLOOR(($A107-1)/23,1)+1)&amp;INDEX('Serial Reference'!$A$8:$W$8,1,MOD($A107-1,23)+1)&amp;TEXT(BJ$2+FLOOR((BJ$2-1)/9,1),"000"),"")</f>
        <v/>
      </c>
      <c r="BK107" s="25" t="str">
        <f>IF(INDEX('Shot Map'!$B$6:$V$26,CEILING($A107/5,1),CEILING(BK$2/5,1))=1,INDEX('Serial Reference'!$A$8:$W$8,1,FLOOR(($A107-1)/23,1)+1)&amp;INDEX('Serial Reference'!$A$8:$W$8,1,MOD($A107-1,23)+1)&amp;TEXT(BK$2+FLOOR((BK$2-1)/9,1),"000"),"")</f>
        <v/>
      </c>
      <c r="BL107" s="25" t="str">
        <f>IF(INDEX('Shot Map'!$B$6:$V$26,CEILING($A107/5,1),CEILING(BL$2/5,1))=1,INDEX('Serial Reference'!$A$8:$W$8,1,FLOOR(($A107-1)/23,1)+1)&amp;INDEX('Serial Reference'!$A$8:$W$8,1,MOD($A107-1,23)+1)&amp;TEXT(BL$2+FLOOR((BL$2-1)/9,1),"000"),"")</f>
        <v/>
      </c>
      <c r="BM107" s="25" t="str">
        <f>IF(INDEX('Shot Map'!$B$6:$V$26,CEILING($A107/5,1),CEILING(BM$2/5,1))=1,INDEX('Serial Reference'!$A$8:$W$8,1,FLOOR(($A107-1)/23,1)+1)&amp;INDEX('Serial Reference'!$A$8:$W$8,1,MOD($A107-1,23)+1)&amp;TEXT(BM$2+FLOOR((BM$2-1)/9,1),"000"),"")</f>
        <v/>
      </c>
      <c r="BN107" s="26" t="str">
        <f>IF(INDEX('Shot Map'!$B$6:$V$26,CEILING($A107/5,1),CEILING(BN$2/5,1))=1,INDEX('Serial Reference'!$A$8:$W$8,1,FLOOR(($A107-1)/23,1)+1)&amp;INDEX('Serial Reference'!$A$8:$W$8,1,MOD($A107-1,23)+1)&amp;TEXT(BN$2+FLOOR((BN$2-1)/9,1),"000"),"")</f>
        <v/>
      </c>
      <c r="BO107" s="24" t="str">
        <f>IF(INDEX('Shot Map'!$B$6:$V$26,CEILING($A107/5,1),CEILING(BO$2/5,1))=1,INDEX('Serial Reference'!$A$8:$W$8,1,FLOOR(($A107-1)/23,1)+1)&amp;INDEX('Serial Reference'!$A$8:$W$8,1,MOD($A107-1,23)+1)&amp;TEXT(BO$2+FLOOR((BO$2-1)/9,1),"000"),"")</f>
        <v/>
      </c>
      <c r="BP107" s="25" t="str">
        <f>IF(INDEX('Shot Map'!$B$6:$V$26,CEILING($A107/5,1),CEILING(BP$2/5,1))=1,INDEX('Serial Reference'!$A$8:$W$8,1,FLOOR(($A107-1)/23,1)+1)&amp;INDEX('Serial Reference'!$A$8:$W$8,1,MOD($A107-1,23)+1)&amp;TEXT(BP$2+FLOOR((BP$2-1)/9,1),"000"),"")</f>
        <v/>
      </c>
      <c r="BQ107" s="25" t="str">
        <f>IF(INDEX('Shot Map'!$B$6:$V$26,CEILING($A107/5,1),CEILING(BQ$2/5,1))=1,INDEX('Serial Reference'!$A$8:$W$8,1,FLOOR(($A107-1)/23,1)+1)&amp;INDEX('Serial Reference'!$A$8:$W$8,1,MOD($A107-1,23)+1)&amp;TEXT(BQ$2+FLOOR((BQ$2-1)/9,1),"000"),"")</f>
        <v/>
      </c>
      <c r="BR107" s="25" t="str">
        <f>IF(INDEX('Shot Map'!$B$6:$V$26,CEILING($A107/5,1),CEILING(BR$2/5,1))=1,INDEX('Serial Reference'!$A$8:$W$8,1,FLOOR(($A107-1)/23,1)+1)&amp;INDEX('Serial Reference'!$A$8:$W$8,1,MOD($A107-1,23)+1)&amp;TEXT(BR$2+FLOOR((BR$2-1)/9,1),"000"),"")</f>
        <v/>
      </c>
      <c r="BS107" s="26" t="str">
        <f>IF(INDEX('Shot Map'!$B$6:$V$26,CEILING($A107/5,1),CEILING(BS$2/5,1))=1,INDEX('Serial Reference'!$A$8:$W$8,1,FLOOR(($A107-1)/23,1)+1)&amp;INDEX('Serial Reference'!$A$8:$W$8,1,MOD($A107-1,23)+1)&amp;TEXT(BS$2+FLOOR((BS$2-1)/9,1),"000"),"")</f>
        <v/>
      </c>
      <c r="BT107" s="24" t="str">
        <f>IF(INDEX('Shot Map'!$B$6:$V$26,CEILING($A107/5,1),CEILING(BT$2/5,1))=1,INDEX('Serial Reference'!$A$8:$W$8,1,FLOOR(($A107-1)/23,1)+1)&amp;INDEX('Serial Reference'!$A$8:$W$8,1,MOD($A107-1,23)+1)&amp;TEXT(BT$2+FLOOR((BT$2-1)/9,1),"000"),"")</f>
        <v/>
      </c>
      <c r="BU107" s="25" t="str">
        <f>IF(INDEX('Shot Map'!$B$6:$V$26,CEILING($A107/5,1),CEILING(BU$2/5,1))=1,INDEX('Serial Reference'!$A$8:$W$8,1,FLOOR(($A107-1)/23,1)+1)&amp;INDEX('Serial Reference'!$A$8:$W$8,1,MOD($A107-1,23)+1)&amp;TEXT(BU$2+FLOOR((BU$2-1)/9,1),"000"),"")</f>
        <v/>
      </c>
      <c r="BV107" s="25" t="str">
        <f>IF(INDEX('Shot Map'!$B$6:$V$26,CEILING($A107/5,1),CEILING(BV$2/5,1))=1,INDEX('Serial Reference'!$A$8:$W$8,1,FLOOR(($A107-1)/23,1)+1)&amp;INDEX('Serial Reference'!$A$8:$W$8,1,MOD($A107-1,23)+1)&amp;TEXT(BV$2+FLOOR((BV$2-1)/9,1),"000"),"")</f>
        <v/>
      </c>
      <c r="BW107" s="25" t="str">
        <f>IF(INDEX('Shot Map'!$B$6:$V$26,CEILING($A107/5,1),CEILING(BW$2/5,1))=1,INDEX('Serial Reference'!$A$8:$W$8,1,FLOOR(($A107-1)/23,1)+1)&amp;INDEX('Serial Reference'!$A$8:$W$8,1,MOD($A107-1,23)+1)&amp;TEXT(BW$2+FLOOR((BW$2-1)/9,1),"000"),"")</f>
        <v/>
      </c>
      <c r="BX107" s="26" t="str">
        <f>IF(INDEX('Shot Map'!$B$6:$V$26,CEILING($A107/5,1),CEILING(BX$2/5,1))=1,INDEX('Serial Reference'!$A$8:$W$8,1,FLOOR(($A107-1)/23,1)+1)&amp;INDEX('Serial Reference'!$A$8:$W$8,1,MOD($A107-1,23)+1)&amp;TEXT(BX$2+FLOOR((BX$2-1)/9,1),"000"),"")</f>
        <v/>
      </c>
      <c r="BY107" s="24" t="str">
        <f>IF(INDEX('Shot Map'!$B$6:$V$26,CEILING($A107/5,1),CEILING(BY$2/5,1))=1,INDEX('Serial Reference'!$A$8:$W$8,1,FLOOR(($A107-1)/23,1)+1)&amp;INDEX('Serial Reference'!$A$8:$W$8,1,MOD($A107-1,23)+1)&amp;TEXT(BY$2+FLOOR((BY$2-1)/9,1),"000"),"")</f>
        <v/>
      </c>
      <c r="BZ107" s="25" t="str">
        <f>IF(INDEX('Shot Map'!$B$6:$V$26,CEILING($A107/5,1),CEILING(BZ$2/5,1))=1,INDEX('Serial Reference'!$A$8:$W$8,1,FLOOR(($A107-1)/23,1)+1)&amp;INDEX('Serial Reference'!$A$8:$W$8,1,MOD($A107-1,23)+1)&amp;TEXT(BZ$2+FLOOR((BZ$2-1)/9,1),"000"),"")</f>
        <v/>
      </c>
      <c r="CA107" s="25" t="str">
        <f>IF(INDEX('Shot Map'!$B$6:$V$26,CEILING($A107/5,1),CEILING(CA$2/5,1))=1,INDEX('Serial Reference'!$A$8:$W$8,1,FLOOR(($A107-1)/23,1)+1)&amp;INDEX('Serial Reference'!$A$8:$W$8,1,MOD($A107-1,23)+1)&amp;TEXT(CA$2+FLOOR((CA$2-1)/9,1),"000"),"")</f>
        <v/>
      </c>
      <c r="CB107" s="25" t="str">
        <f>IF(INDEX('Shot Map'!$B$6:$V$26,CEILING($A107/5,1),CEILING(CB$2/5,1))=1,INDEX('Serial Reference'!$A$8:$W$8,1,FLOOR(($A107-1)/23,1)+1)&amp;INDEX('Serial Reference'!$A$8:$W$8,1,MOD($A107-1,23)+1)&amp;TEXT(CB$2+FLOOR((CB$2-1)/9,1),"000"),"")</f>
        <v/>
      </c>
      <c r="CC107" s="26" t="str">
        <f>IF(INDEX('Shot Map'!$B$6:$V$26,CEILING($A107/5,1),CEILING(CC$2/5,1))=1,INDEX('Serial Reference'!$A$8:$W$8,1,FLOOR(($A107-1)/23,1)+1)&amp;INDEX('Serial Reference'!$A$8:$W$8,1,MOD($A107-1,23)+1)&amp;TEXT(CC$2+FLOOR((CC$2-1)/9,1),"000"),"")</f>
        <v/>
      </c>
      <c r="CD107" s="24" t="str">
        <f>IF(INDEX('Shot Map'!$B$6:$V$26,CEILING($A107/5,1),CEILING(CD$2/5,1))=1,INDEX('Serial Reference'!$A$8:$W$8,1,FLOOR(($A107-1)/23,1)+1)&amp;INDEX('Serial Reference'!$A$8:$W$8,1,MOD($A107-1,23)+1)&amp;TEXT(CD$2+FLOOR((CD$2-1)/9,1),"000"),"")</f>
        <v/>
      </c>
      <c r="CE107" s="25" t="str">
        <f>IF(INDEX('Shot Map'!$B$6:$V$26,CEILING($A107/5,1),CEILING(CE$2/5,1))=1,INDEX('Serial Reference'!$A$8:$W$8,1,FLOOR(($A107-1)/23,1)+1)&amp;INDEX('Serial Reference'!$A$8:$W$8,1,MOD($A107-1,23)+1)&amp;TEXT(CE$2+FLOOR((CE$2-1)/9,1),"000"),"")</f>
        <v/>
      </c>
      <c r="CF107" s="25" t="str">
        <f>IF(INDEX('Shot Map'!$B$6:$V$26,CEILING($A107/5,1),CEILING(CF$2/5,1))=1,INDEX('Serial Reference'!$A$8:$W$8,1,FLOOR(($A107-1)/23,1)+1)&amp;INDEX('Serial Reference'!$A$8:$W$8,1,MOD($A107-1,23)+1)&amp;TEXT(CF$2+FLOOR((CF$2-1)/9,1),"000"),"")</f>
        <v/>
      </c>
      <c r="CG107" s="25" t="str">
        <f>IF(INDEX('Shot Map'!$B$6:$V$26,CEILING($A107/5,1),CEILING(CG$2/5,1))=1,INDEX('Serial Reference'!$A$8:$W$8,1,FLOOR(($A107-1)/23,1)+1)&amp;INDEX('Serial Reference'!$A$8:$W$8,1,MOD($A107-1,23)+1)&amp;TEXT(CG$2+FLOOR((CG$2-1)/9,1),"000"),"")</f>
        <v/>
      </c>
      <c r="CH107" s="26" t="str">
        <f>IF(INDEX('Shot Map'!$B$6:$V$26,CEILING($A107/5,1),CEILING(CH$2/5,1))=1,INDEX('Serial Reference'!$A$8:$W$8,1,FLOOR(($A107-1)/23,1)+1)&amp;INDEX('Serial Reference'!$A$8:$W$8,1,MOD($A107-1,23)+1)&amp;TEXT(CH$2+FLOOR((CH$2-1)/9,1),"000"),"")</f>
        <v/>
      </c>
      <c r="CI107" s="24" t="str">
        <f>IF(INDEX('Shot Map'!$B$6:$V$26,CEILING($A107/5,1),CEILING(CI$2/5,1))=1,INDEX('Serial Reference'!$A$8:$W$8,1,FLOOR(($A107-1)/23,1)+1)&amp;INDEX('Serial Reference'!$A$8:$W$8,1,MOD($A107-1,23)+1)&amp;TEXT(CI$2+FLOOR((CI$2-1)/9,1),"000"),"")</f>
        <v/>
      </c>
      <c r="CJ107" s="25" t="str">
        <f>IF(INDEX('Shot Map'!$B$6:$V$26,CEILING($A107/5,1),CEILING(CJ$2/5,1))=1,INDEX('Serial Reference'!$A$8:$W$8,1,FLOOR(($A107-1)/23,1)+1)&amp;INDEX('Serial Reference'!$A$8:$W$8,1,MOD($A107-1,23)+1)&amp;TEXT(CJ$2+FLOOR((CJ$2-1)/9,1),"000"),"")</f>
        <v/>
      </c>
      <c r="CK107" s="25" t="str">
        <f>IF(INDEX('Shot Map'!$B$6:$V$26,CEILING($A107/5,1),CEILING(CK$2/5,1))=1,INDEX('Serial Reference'!$A$8:$W$8,1,FLOOR(($A107-1)/23,1)+1)&amp;INDEX('Serial Reference'!$A$8:$W$8,1,MOD($A107-1,23)+1)&amp;TEXT(CK$2+FLOOR((CK$2-1)/9,1),"000"),"")</f>
        <v/>
      </c>
      <c r="CL107" s="25" t="str">
        <f>IF(INDEX('Shot Map'!$B$6:$V$26,CEILING($A107/5,1),CEILING(CL$2/5,1))=1,INDEX('Serial Reference'!$A$8:$W$8,1,FLOOR(($A107-1)/23,1)+1)&amp;INDEX('Serial Reference'!$A$8:$W$8,1,MOD($A107-1,23)+1)&amp;TEXT(CL$2+FLOOR((CL$2-1)/9,1),"000"),"")</f>
        <v/>
      </c>
      <c r="CM107" s="26" t="str">
        <f>IF(INDEX('Shot Map'!$B$6:$V$26,CEILING($A107/5,1),CEILING(CM$2/5,1))=1,INDEX('Serial Reference'!$A$8:$W$8,1,FLOOR(($A107-1)/23,1)+1)&amp;INDEX('Serial Reference'!$A$8:$W$8,1,MOD($A107-1,23)+1)&amp;TEXT(CM$2+FLOOR((CM$2-1)/9,1),"000"),"")</f>
        <v/>
      </c>
      <c r="CN107" s="24" t="str">
        <f>IF(INDEX('Shot Map'!$B$6:$V$26,CEILING($A107/5,1),CEILING(CN$2/5,1))=1,INDEX('Serial Reference'!$A$8:$W$8,1,FLOOR(($A107-1)/23,1)+1)&amp;INDEX('Serial Reference'!$A$8:$W$8,1,MOD($A107-1,23)+1)&amp;TEXT(CN$2+FLOOR((CN$2-1)/9,1),"000"),"")</f>
        <v/>
      </c>
      <c r="CO107" s="25" t="str">
        <f>IF(INDEX('Shot Map'!$B$6:$V$26,CEILING($A107/5,1),CEILING(CO$2/5,1))=1,INDEX('Serial Reference'!$A$8:$W$8,1,FLOOR(($A107-1)/23,1)+1)&amp;INDEX('Serial Reference'!$A$8:$W$8,1,MOD($A107-1,23)+1)&amp;TEXT(CO$2+FLOOR((CO$2-1)/9,1),"000"),"")</f>
        <v/>
      </c>
      <c r="CP107" s="25" t="str">
        <f>IF(INDEX('Shot Map'!$B$6:$V$26,CEILING($A107/5,1),CEILING(CP$2/5,1))=1,INDEX('Serial Reference'!$A$8:$W$8,1,FLOOR(($A107-1)/23,1)+1)&amp;INDEX('Serial Reference'!$A$8:$W$8,1,MOD($A107-1,23)+1)&amp;TEXT(CP$2+FLOOR((CP$2-1)/9,1),"000"),"")</f>
        <v/>
      </c>
      <c r="CQ107" s="25" t="str">
        <f>IF(INDEX('Shot Map'!$B$6:$V$26,CEILING($A107/5,1),CEILING(CQ$2/5,1))=1,INDEX('Serial Reference'!$A$8:$W$8,1,FLOOR(($A107-1)/23,1)+1)&amp;INDEX('Serial Reference'!$A$8:$W$8,1,MOD($A107-1,23)+1)&amp;TEXT(CQ$2+FLOOR((CQ$2-1)/9,1),"000"),"")</f>
        <v/>
      </c>
      <c r="CR107" s="26" t="str">
        <f>IF(INDEX('Shot Map'!$B$6:$V$26,CEILING($A107/5,1),CEILING(CR$2/5,1))=1,INDEX('Serial Reference'!$A$8:$W$8,1,FLOOR(($A107-1)/23,1)+1)&amp;INDEX('Serial Reference'!$A$8:$W$8,1,MOD($A107-1,23)+1)&amp;TEXT(CR$2+FLOOR((CR$2-1)/9,1),"000"),"")</f>
        <v/>
      </c>
      <c r="CS107" s="24" t="str">
        <f>IF(INDEX('Shot Map'!$B$6:$V$26,CEILING($A107/5,1),CEILING(CS$2/5,1))=1,INDEX('Serial Reference'!$A$8:$W$8,1,FLOOR(($A107-1)/23,1)+1)&amp;INDEX('Serial Reference'!$A$8:$W$8,1,MOD($A107-1,23)+1)&amp;TEXT(CS$2+FLOOR((CS$2-1)/9,1),"000"),"")</f>
        <v/>
      </c>
      <c r="CT107" s="25" t="str">
        <f>IF(INDEX('Shot Map'!$B$6:$V$26,CEILING($A107/5,1),CEILING(CT$2/5,1))=1,INDEX('Serial Reference'!$A$8:$W$8,1,FLOOR(($A107-1)/23,1)+1)&amp;INDEX('Serial Reference'!$A$8:$W$8,1,MOD($A107-1,23)+1)&amp;TEXT(CT$2+FLOOR((CT$2-1)/9,1),"000"),"")</f>
        <v/>
      </c>
      <c r="CU107" s="25" t="str">
        <f>IF(INDEX('Shot Map'!$B$6:$V$26,CEILING($A107/5,1),CEILING(CU$2/5,1))=1,INDEX('Serial Reference'!$A$8:$W$8,1,FLOOR(($A107-1)/23,1)+1)&amp;INDEX('Serial Reference'!$A$8:$W$8,1,MOD($A107-1,23)+1)&amp;TEXT(CU$2+FLOOR((CU$2-1)/9,1),"000"),"")</f>
        <v/>
      </c>
      <c r="CV107" s="25" t="str">
        <f>IF(INDEX('Shot Map'!$B$6:$V$26,CEILING($A107/5,1),CEILING(CV$2/5,1))=1,INDEX('Serial Reference'!$A$8:$W$8,1,FLOOR(($A107-1)/23,1)+1)&amp;INDEX('Serial Reference'!$A$8:$W$8,1,MOD($A107-1,23)+1)&amp;TEXT(CV$2+FLOOR((CV$2-1)/9,1),"000"),"")</f>
        <v/>
      </c>
      <c r="CW107" s="26" t="str">
        <f>IF(INDEX('Shot Map'!$B$6:$V$26,CEILING($A107/5,1),CEILING(CW$2/5,1))=1,INDEX('Serial Reference'!$A$8:$W$8,1,FLOOR(($A107-1)/23,1)+1)&amp;INDEX('Serial Reference'!$A$8:$W$8,1,MOD($A107-1,23)+1)&amp;TEXT(CW$2+FLOOR((CW$2-1)/9,1),"000"),"")</f>
        <v/>
      </c>
      <c r="CX107" s="24" t="str">
        <f>IF(INDEX('Shot Map'!$B$6:$V$26,CEILING($A107/5,1),CEILING(CX$2/5,1))=1,INDEX('Serial Reference'!$A$8:$W$8,1,FLOOR(($A107-1)/23,1)+1)&amp;INDEX('Serial Reference'!$A$8:$W$8,1,MOD($A107-1,23)+1)&amp;TEXT(CX$2+FLOOR((CX$2-1)/9,1),"000"),"")</f>
        <v/>
      </c>
      <c r="CY107" s="25" t="str">
        <f>IF(INDEX('Shot Map'!$B$6:$V$26,CEILING($A107/5,1),CEILING(CY$2/5,1))=1,INDEX('Serial Reference'!$A$8:$W$8,1,FLOOR(($A107-1)/23,1)+1)&amp;INDEX('Serial Reference'!$A$8:$W$8,1,MOD($A107-1,23)+1)&amp;TEXT(CY$2+FLOOR((CY$2-1)/9,1),"000"),"")</f>
        <v/>
      </c>
      <c r="CZ107" s="25" t="str">
        <f>IF(INDEX('Shot Map'!$B$6:$V$26,CEILING($A107/5,1),CEILING(CZ$2/5,1))=1,INDEX('Serial Reference'!$A$8:$W$8,1,FLOOR(($A107-1)/23,1)+1)&amp;INDEX('Serial Reference'!$A$8:$W$8,1,MOD($A107-1,23)+1)&amp;TEXT(CZ$2+FLOOR((CZ$2-1)/9,1),"000"),"")</f>
        <v/>
      </c>
      <c r="DA107" s="25" t="str">
        <f>IF(INDEX('Shot Map'!$B$6:$V$26,CEILING($A107/5,1),CEILING(DA$2/5,1))=1,INDEX('Serial Reference'!$A$8:$W$8,1,FLOOR(($A107-1)/23,1)+1)&amp;INDEX('Serial Reference'!$A$8:$W$8,1,MOD($A107-1,23)+1)&amp;TEXT(DA$2+FLOOR((DA$2-1)/9,1),"000"),"")</f>
        <v/>
      </c>
      <c r="DB107" s="26" t="str">
        <f>IF(INDEX('Shot Map'!$B$6:$V$26,CEILING($A107/5,1),CEILING(DB$2/5,1))=1,INDEX('Serial Reference'!$A$8:$W$8,1,FLOOR(($A107-1)/23,1)+1)&amp;INDEX('Serial Reference'!$A$8:$W$8,1,MOD($A107-1,23)+1)&amp;TEXT(DB$2+FLOOR((DB$2-1)/9,1),"000"),"")</f>
        <v/>
      </c>
    </row>
  </sheetData>
  <pageMargins left="0.75" right="0.75" top="1" bottom="1" header="0.511811023622047" footer="0.511811023622047"/>
  <pageSetup paperSize="9" orientation="portrait" horizontalDpi="300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000000-000E-0000-0400-000002000000}">
            <xm:f>AND(COUNTIFS('Reference Dies'!$D$12:$D$22,CEILING($A3/5,1),'Reference Dies'!$E$12:$E$22,CEILING(B$2/5,1))&gt;0,OR(($A3-(CEILING($A3/5,1)-1)*5)&lt;=2,AND(($A3-(CEILING($A3/5,1)-1)*5)=3,(B$2-(CEILING(B$2/5,1)-1)*5)=1),AND(($A3-(CEILING($A3/5,1)-1)*5)=4,(B$2-(CEILING(B$2/5,1)-1)*5)&lt;=2)))</xm:f>
            <x14:dxf>
              <font>
                <b/>
                <sz val="6"/>
                <color rgb="FFFFFFFF"/>
                <name val="Arial"/>
                <charset val="1"/>
              </font>
              <fill>
                <patternFill>
                  <bgColor rgb="FFC00000"/>
                </patternFill>
              </fill>
            </x14:dxf>
          </x14:cfRule>
          <x14:cfRule type="expression" priority="3" id="{00000000-000E-0000-0400-000003000000}">
            <xm:f>INDEX('Shot Map'!$B$6:$V$26,CEILING($A3/5,1),CEILING(B$2/5,1))=1</xm:f>
            <x14:dxf>
              <fill>
                <patternFill>
                  <bgColor rgb="FFA9D18E"/>
                </patternFill>
              </fill>
            </x14:dxf>
          </x14:cfRule>
          <x14:cfRule type="expression" priority="4" id="{00000000-000E-0000-0400-000004000000}">
            <xm:f>INDEX('Shot Map'!$B$6:$V$26,CEILING($A3/5,1),CEILING(B$2/5,1))=0</xm:f>
            <x14:dxf>
              <fill>
                <patternFill>
                  <bgColor rgb="FFD9D9D9"/>
                </patternFill>
              </fill>
            </x14:dxf>
          </x14:cfRule>
          <xm:sqref>B3:DB107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DB107"/>
  <sheetViews>
    <sheetView showGridLines="0" tabSelected="1" zoomScale="82" zoomScaleNormal="82" workbookViewId="0">
      <pane xSplit="1" ySplit="2" topLeftCell="B44" activePane="bottomRight" state="frozen"/>
      <selection activeCell="AA33" sqref="AA33"/>
      <selection pane="topRight" activeCell="AA33" sqref="AA33"/>
      <selection pane="bottomLeft" activeCell="AA33" sqref="AA33"/>
      <selection pane="bottomRight" activeCell="AA33" sqref="AA33"/>
    </sheetView>
  </sheetViews>
  <sheetFormatPr defaultColWidth="8.7109375" defaultRowHeight="15" x14ac:dyDescent="0.25"/>
  <cols>
    <col min="2" max="106" width="5.5703125" customWidth="1"/>
  </cols>
  <sheetData>
    <row r="1" spans="1:106" ht="15.75" x14ac:dyDescent="0.25">
      <c r="A1" s="9" t="s">
        <v>102</v>
      </c>
    </row>
    <row r="2" spans="1:106" x14ac:dyDescent="0.25">
      <c r="A2" s="4" t="s">
        <v>78</v>
      </c>
      <c r="B2" s="16">
        <v>1</v>
      </c>
      <c r="C2" s="16">
        <v>2</v>
      </c>
      <c r="D2" s="16">
        <v>3</v>
      </c>
      <c r="E2" s="16">
        <v>4</v>
      </c>
      <c r="F2" s="16">
        <v>5</v>
      </c>
      <c r="G2" s="16">
        <v>6</v>
      </c>
      <c r="H2" s="16">
        <v>7</v>
      </c>
      <c r="I2" s="16">
        <v>8</v>
      </c>
      <c r="J2" s="16">
        <v>9</v>
      </c>
      <c r="K2" s="16">
        <v>10</v>
      </c>
      <c r="L2" s="16">
        <v>11</v>
      </c>
      <c r="M2" s="16">
        <v>12</v>
      </c>
      <c r="N2" s="16">
        <v>13</v>
      </c>
      <c r="O2" s="16">
        <v>14</v>
      </c>
      <c r="P2" s="16">
        <v>15</v>
      </c>
      <c r="Q2" s="16">
        <v>16</v>
      </c>
      <c r="R2" s="16">
        <v>17</v>
      </c>
      <c r="S2" s="16">
        <v>18</v>
      </c>
      <c r="T2" s="16">
        <v>19</v>
      </c>
      <c r="U2" s="16">
        <v>20</v>
      </c>
      <c r="V2" s="16">
        <v>21</v>
      </c>
      <c r="W2" s="16">
        <v>22</v>
      </c>
      <c r="X2" s="16">
        <v>23</v>
      </c>
      <c r="Y2" s="16">
        <v>24</v>
      </c>
      <c r="Z2" s="16">
        <v>25</v>
      </c>
      <c r="AA2" s="16">
        <v>26</v>
      </c>
      <c r="AB2" s="16">
        <v>27</v>
      </c>
      <c r="AC2" s="16">
        <v>28</v>
      </c>
      <c r="AD2" s="16">
        <v>29</v>
      </c>
      <c r="AE2" s="16">
        <v>30</v>
      </c>
      <c r="AF2" s="16">
        <v>31</v>
      </c>
      <c r="AG2" s="16">
        <v>32</v>
      </c>
      <c r="AH2" s="16">
        <v>33</v>
      </c>
      <c r="AI2" s="16">
        <v>34</v>
      </c>
      <c r="AJ2" s="16">
        <v>35</v>
      </c>
      <c r="AK2" s="16">
        <v>36</v>
      </c>
      <c r="AL2" s="16">
        <v>37</v>
      </c>
      <c r="AM2" s="16">
        <v>38</v>
      </c>
      <c r="AN2" s="16">
        <v>39</v>
      </c>
      <c r="AO2" s="16">
        <v>40</v>
      </c>
      <c r="AP2" s="16">
        <v>41</v>
      </c>
      <c r="AQ2" s="16">
        <v>42</v>
      </c>
      <c r="AR2" s="16">
        <v>43</v>
      </c>
      <c r="AS2" s="16">
        <v>44</v>
      </c>
      <c r="AT2" s="16">
        <v>45</v>
      </c>
      <c r="AU2" s="16">
        <v>46</v>
      </c>
      <c r="AV2" s="16">
        <v>47</v>
      </c>
      <c r="AW2" s="16">
        <v>48</v>
      </c>
      <c r="AX2" s="16">
        <v>49</v>
      </c>
      <c r="AY2" s="16">
        <v>50</v>
      </c>
      <c r="AZ2" s="16">
        <v>51</v>
      </c>
      <c r="BA2" s="16">
        <v>52</v>
      </c>
      <c r="BB2" s="16">
        <v>53</v>
      </c>
      <c r="BC2" s="16">
        <v>54</v>
      </c>
      <c r="BD2" s="16">
        <v>55</v>
      </c>
      <c r="BE2" s="16">
        <v>56</v>
      </c>
      <c r="BF2" s="16">
        <v>57</v>
      </c>
      <c r="BG2" s="16">
        <v>58</v>
      </c>
      <c r="BH2" s="16">
        <v>59</v>
      </c>
      <c r="BI2" s="16">
        <v>60</v>
      </c>
      <c r="BJ2" s="16">
        <v>61</v>
      </c>
      <c r="BK2" s="16">
        <v>62</v>
      </c>
      <c r="BL2" s="16">
        <v>63</v>
      </c>
      <c r="BM2" s="16">
        <v>64</v>
      </c>
      <c r="BN2" s="16">
        <v>65</v>
      </c>
      <c r="BO2" s="16">
        <v>66</v>
      </c>
      <c r="BP2" s="16">
        <v>67</v>
      </c>
      <c r="BQ2" s="16">
        <v>68</v>
      </c>
      <c r="BR2" s="16">
        <v>69</v>
      </c>
      <c r="BS2" s="16">
        <v>70</v>
      </c>
      <c r="BT2" s="16">
        <v>71</v>
      </c>
      <c r="BU2" s="16">
        <v>72</v>
      </c>
      <c r="BV2" s="16">
        <v>73</v>
      </c>
      <c r="BW2" s="16">
        <v>74</v>
      </c>
      <c r="BX2" s="16">
        <v>75</v>
      </c>
      <c r="BY2" s="16">
        <v>76</v>
      </c>
      <c r="BZ2" s="16">
        <v>77</v>
      </c>
      <c r="CA2" s="16">
        <v>78</v>
      </c>
      <c r="CB2" s="16">
        <v>79</v>
      </c>
      <c r="CC2" s="16">
        <v>80</v>
      </c>
      <c r="CD2" s="16">
        <v>81</v>
      </c>
      <c r="CE2" s="16">
        <v>82</v>
      </c>
      <c r="CF2" s="16">
        <v>83</v>
      </c>
      <c r="CG2" s="16">
        <v>84</v>
      </c>
      <c r="CH2" s="16">
        <v>85</v>
      </c>
      <c r="CI2" s="16">
        <v>86</v>
      </c>
      <c r="CJ2" s="16">
        <v>87</v>
      </c>
      <c r="CK2" s="16">
        <v>88</v>
      </c>
      <c r="CL2" s="16">
        <v>89</v>
      </c>
      <c r="CM2" s="16">
        <v>90</v>
      </c>
      <c r="CN2" s="16">
        <v>91</v>
      </c>
      <c r="CO2" s="16">
        <v>92</v>
      </c>
      <c r="CP2" s="16">
        <v>93</v>
      </c>
      <c r="CQ2" s="16">
        <v>94</v>
      </c>
      <c r="CR2" s="16">
        <v>95</v>
      </c>
      <c r="CS2" s="16">
        <v>96</v>
      </c>
      <c r="CT2" s="16">
        <v>97</v>
      </c>
      <c r="CU2" s="16">
        <v>98</v>
      </c>
      <c r="CV2" s="16">
        <v>99</v>
      </c>
      <c r="CW2" s="16">
        <v>100</v>
      </c>
      <c r="CX2" s="16">
        <v>101</v>
      </c>
      <c r="CY2" s="16">
        <v>102</v>
      </c>
      <c r="CZ2" s="16">
        <v>103</v>
      </c>
      <c r="DA2" s="16">
        <v>104</v>
      </c>
      <c r="DB2" s="16">
        <v>105</v>
      </c>
    </row>
    <row r="3" spans="1:106" ht="12.75" customHeight="1" x14ac:dyDescent="0.25">
      <c r="A3" s="17">
        <v>1</v>
      </c>
      <c r="B3" s="18" t="str">
        <f>'Die Map'!B3</f>
        <v/>
      </c>
      <c r="C3" s="19" t="str">
        <f>'Die Map'!C3</f>
        <v/>
      </c>
      <c r="D3" s="19" t="str">
        <f>'Die Map'!D3</f>
        <v/>
      </c>
      <c r="E3" s="19" t="str">
        <f>'Die Map'!E3</f>
        <v/>
      </c>
      <c r="F3" s="20" t="str">
        <f>'Die Map'!F3</f>
        <v/>
      </c>
      <c r="G3" s="18" t="str">
        <f>'Die Map'!G3</f>
        <v/>
      </c>
      <c r="H3" s="19" t="str">
        <f>'Die Map'!H3</f>
        <v/>
      </c>
      <c r="I3" s="19" t="str">
        <f>'Die Map'!I3</f>
        <v/>
      </c>
      <c r="J3" s="19" t="str">
        <f>'Die Map'!J3</f>
        <v/>
      </c>
      <c r="K3" s="20" t="str">
        <f>'Die Map'!K3</f>
        <v/>
      </c>
      <c r="L3" s="18" t="str">
        <f>'Die Map'!L3</f>
        <v/>
      </c>
      <c r="M3" s="19" t="str">
        <f>'Die Map'!M3</f>
        <v/>
      </c>
      <c r="N3" s="19" t="str">
        <f>'Die Map'!N3</f>
        <v/>
      </c>
      <c r="O3" s="19" t="str">
        <f>'Die Map'!O3</f>
        <v/>
      </c>
      <c r="P3" s="20" t="str">
        <f>'Die Map'!P3</f>
        <v/>
      </c>
      <c r="Q3" s="18" t="str">
        <f>'Die Map'!Q3</f>
        <v/>
      </c>
      <c r="R3" s="19" t="str">
        <f>'Die Map'!R3</f>
        <v/>
      </c>
      <c r="S3" s="19" t="str">
        <f>'Die Map'!S3</f>
        <v/>
      </c>
      <c r="T3" s="19" t="str">
        <f>'Die Map'!T3</f>
        <v/>
      </c>
      <c r="U3" s="20" t="str">
        <f>'Die Map'!U3</f>
        <v/>
      </c>
      <c r="V3" s="18" t="str">
        <f>'Die Map'!V3</f>
        <v/>
      </c>
      <c r="W3" s="19" t="str">
        <f>'Die Map'!W3</f>
        <v/>
      </c>
      <c r="X3" s="19" t="str">
        <f>'Die Map'!X3</f>
        <v/>
      </c>
      <c r="Y3" s="19" t="str">
        <f>'Die Map'!Y3</f>
        <v/>
      </c>
      <c r="Z3" s="20" t="str">
        <f>'Die Map'!Z3</f>
        <v/>
      </c>
      <c r="AA3" s="18" t="str">
        <f>'Die Map'!AA3</f>
        <v/>
      </c>
      <c r="AB3" s="19" t="str">
        <f>'Die Map'!AB3</f>
        <v/>
      </c>
      <c r="AC3" s="19" t="str">
        <f>'Die Map'!AC3</f>
        <v/>
      </c>
      <c r="AD3" s="19" t="str">
        <f>'Die Map'!AD3</f>
        <v/>
      </c>
      <c r="AE3" s="20" t="str">
        <f>'Die Map'!AE3</f>
        <v/>
      </c>
      <c r="AF3" s="18" t="str">
        <f>'Die Map'!AF3</f>
        <v/>
      </c>
      <c r="AG3" s="19" t="str">
        <f>'Die Map'!AG3</f>
        <v/>
      </c>
      <c r="AH3" s="19" t="str">
        <f>'Die Map'!AH3</f>
        <v/>
      </c>
      <c r="AI3" s="19" t="str">
        <f>'Die Map'!AI3</f>
        <v/>
      </c>
      <c r="AJ3" s="20" t="str">
        <f>'Die Map'!AJ3</f>
        <v/>
      </c>
      <c r="AK3" s="18" t="str">
        <f>'Die Map'!AK3</f>
        <v/>
      </c>
      <c r="AL3" s="19" t="str">
        <f>'Die Map'!AL3</f>
        <v/>
      </c>
      <c r="AM3" s="19" t="str">
        <f>'Die Map'!AM3</f>
        <v/>
      </c>
      <c r="AN3" s="19" t="str">
        <f>'Die Map'!AN3</f>
        <v/>
      </c>
      <c r="AO3" s="20" t="str">
        <f>'Die Map'!AO3</f>
        <v/>
      </c>
      <c r="AP3" s="18" t="str">
        <f>'Die Map'!AP3</f>
        <v/>
      </c>
      <c r="AQ3" s="19" t="str">
        <f>'Die Map'!AQ3</f>
        <v/>
      </c>
      <c r="AR3" s="19" t="str">
        <f>'Die Map'!AR3</f>
        <v/>
      </c>
      <c r="AS3" s="19" t="str">
        <f>'Die Map'!AS3</f>
        <v/>
      </c>
      <c r="AT3" s="20" t="str">
        <f>'Die Map'!AT3</f>
        <v/>
      </c>
      <c r="AU3" s="18" t="str">
        <f>'Die Map'!AU3</f>
        <v>AA051</v>
      </c>
      <c r="AV3" s="19" t="str">
        <f>'Die Map'!AV3</f>
        <v>AA052</v>
      </c>
      <c r="AW3" s="19" t="str">
        <f>'Die Map'!AW3</f>
        <v>AA053</v>
      </c>
      <c r="AX3" s="19" t="str">
        <f>'Die Map'!AX3</f>
        <v>AA054</v>
      </c>
      <c r="AY3" s="20" t="str">
        <f>'Die Map'!AY3</f>
        <v>AA055</v>
      </c>
      <c r="AZ3" s="18" t="str">
        <f>'Die Map'!AZ3</f>
        <v>AA056</v>
      </c>
      <c r="BA3" s="19" t="str">
        <f>'Die Map'!BA3</f>
        <v>AA057</v>
      </c>
      <c r="BB3" s="19" t="str">
        <f>'Die Map'!BB3</f>
        <v>AA058</v>
      </c>
      <c r="BC3" s="19" t="str">
        <f>'Die Map'!BC3</f>
        <v>AA059</v>
      </c>
      <c r="BD3" s="20" t="str">
        <f>'Die Map'!BD3</f>
        <v>AA061</v>
      </c>
      <c r="BE3" s="18" t="str">
        <f>'Die Map'!BE3</f>
        <v>AA062</v>
      </c>
      <c r="BF3" s="19" t="str">
        <f>'Die Map'!BF3</f>
        <v>AA063</v>
      </c>
      <c r="BG3" s="19" t="str">
        <f>'Die Map'!BG3</f>
        <v>AA064</v>
      </c>
      <c r="BH3" s="19" t="str">
        <f>'Die Map'!BH3</f>
        <v>AA065</v>
      </c>
      <c r="BI3" s="20" t="str">
        <f>'Die Map'!BI3</f>
        <v>AA066</v>
      </c>
      <c r="BJ3" s="18" t="str">
        <f>'Die Map'!BJ3</f>
        <v/>
      </c>
      <c r="BK3" s="19" t="str">
        <f>'Die Map'!BK3</f>
        <v/>
      </c>
      <c r="BL3" s="19" t="str">
        <f>'Die Map'!BL3</f>
        <v/>
      </c>
      <c r="BM3" s="19" t="str">
        <f>'Die Map'!BM3</f>
        <v/>
      </c>
      <c r="BN3" s="20" t="str">
        <f>'Die Map'!BN3</f>
        <v/>
      </c>
      <c r="BO3" s="18" t="str">
        <f>'Die Map'!BO3</f>
        <v/>
      </c>
      <c r="BP3" s="19" t="str">
        <f>'Die Map'!BP3</f>
        <v/>
      </c>
      <c r="BQ3" s="19" t="str">
        <f>'Die Map'!BQ3</f>
        <v/>
      </c>
      <c r="BR3" s="19" t="str">
        <f>'Die Map'!BR3</f>
        <v/>
      </c>
      <c r="BS3" s="20" t="str">
        <f>'Die Map'!BS3</f>
        <v/>
      </c>
      <c r="BT3" s="18" t="str">
        <f>'Die Map'!BT3</f>
        <v/>
      </c>
      <c r="BU3" s="19" t="str">
        <f>'Die Map'!BU3</f>
        <v/>
      </c>
      <c r="BV3" s="19" t="str">
        <f>'Die Map'!BV3</f>
        <v/>
      </c>
      <c r="BW3" s="19" t="str">
        <f>'Die Map'!BW3</f>
        <v/>
      </c>
      <c r="BX3" s="20" t="str">
        <f>'Die Map'!BX3</f>
        <v/>
      </c>
      <c r="BY3" s="18" t="str">
        <f>'Die Map'!BY3</f>
        <v/>
      </c>
      <c r="BZ3" s="19" t="str">
        <f>'Die Map'!BZ3</f>
        <v/>
      </c>
      <c r="CA3" s="19" t="str">
        <f>'Die Map'!CA3</f>
        <v/>
      </c>
      <c r="CB3" s="19" t="str">
        <f>'Die Map'!CB3</f>
        <v/>
      </c>
      <c r="CC3" s="20" t="str">
        <f>'Die Map'!CC3</f>
        <v/>
      </c>
      <c r="CD3" s="18" t="str">
        <f>'Die Map'!CD3</f>
        <v/>
      </c>
      <c r="CE3" s="19" t="str">
        <f>'Die Map'!CE3</f>
        <v/>
      </c>
      <c r="CF3" s="19" t="str">
        <f>'Die Map'!CF3</f>
        <v/>
      </c>
      <c r="CG3" s="19" t="str">
        <f>'Die Map'!CG3</f>
        <v/>
      </c>
      <c r="CH3" s="20" t="str">
        <f>'Die Map'!CH3</f>
        <v/>
      </c>
      <c r="CI3" s="18" t="str">
        <f>'Die Map'!CI3</f>
        <v/>
      </c>
      <c r="CJ3" s="19" t="str">
        <f>'Die Map'!CJ3</f>
        <v/>
      </c>
      <c r="CK3" s="19" t="str">
        <f>'Die Map'!CK3</f>
        <v/>
      </c>
      <c r="CL3" s="19" t="str">
        <f>'Die Map'!CL3</f>
        <v/>
      </c>
      <c r="CM3" s="20" t="str">
        <f>'Die Map'!CM3</f>
        <v/>
      </c>
      <c r="CN3" s="18" t="str">
        <f>'Die Map'!CN3</f>
        <v/>
      </c>
      <c r="CO3" s="19" t="str">
        <f>'Die Map'!CO3</f>
        <v/>
      </c>
      <c r="CP3" s="19" t="str">
        <f>'Die Map'!CP3</f>
        <v/>
      </c>
      <c r="CQ3" s="19" t="str">
        <f>'Die Map'!CQ3</f>
        <v/>
      </c>
      <c r="CR3" s="20" t="str">
        <f>'Die Map'!CR3</f>
        <v/>
      </c>
      <c r="CS3" s="18" t="str">
        <f>'Die Map'!CS3</f>
        <v/>
      </c>
      <c r="CT3" s="19" t="str">
        <f>'Die Map'!CT3</f>
        <v/>
      </c>
      <c r="CU3" s="19" t="str">
        <f>'Die Map'!CU3</f>
        <v/>
      </c>
      <c r="CV3" s="19" t="str">
        <f>'Die Map'!CV3</f>
        <v/>
      </c>
      <c r="CW3" s="20" t="str">
        <f>'Die Map'!CW3</f>
        <v/>
      </c>
      <c r="CX3" s="18" t="str">
        <f>'Die Map'!CX3</f>
        <v/>
      </c>
      <c r="CY3" s="19" t="str">
        <f>'Die Map'!CY3</f>
        <v/>
      </c>
      <c r="CZ3" s="19" t="str">
        <f>'Die Map'!CZ3</f>
        <v/>
      </c>
      <c r="DA3" s="19" t="str">
        <f>'Die Map'!DA3</f>
        <v/>
      </c>
      <c r="DB3" s="20" t="str">
        <f>'Die Map'!DB3</f>
        <v/>
      </c>
    </row>
    <row r="4" spans="1:106" ht="12.75" customHeight="1" x14ac:dyDescent="0.25">
      <c r="A4" s="17">
        <v>2</v>
      </c>
      <c r="B4" s="21" t="str">
        <f>'Die Map'!B4</f>
        <v/>
      </c>
      <c r="C4" s="22" t="str">
        <f>'Die Map'!C4</f>
        <v/>
      </c>
      <c r="D4" s="22" t="str">
        <f>'Die Map'!D4</f>
        <v/>
      </c>
      <c r="E4" s="22" t="str">
        <f>'Die Map'!E4</f>
        <v/>
      </c>
      <c r="F4" s="23" t="str">
        <f>'Die Map'!F4</f>
        <v/>
      </c>
      <c r="G4" s="21" t="str">
        <f>'Die Map'!G4</f>
        <v/>
      </c>
      <c r="H4" s="22" t="str">
        <f>'Die Map'!H4</f>
        <v/>
      </c>
      <c r="I4" s="22" t="str">
        <f>'Die Map'!I4</f>
        <v/>
      </c>
      <c r="J4" s="22" t="str">
        <f>'Die Map'!J4</f>
        <v/>
      </c>
      <c r="K4" s="23" t="str">
        <f>'Die Map'!K4</f>
        <v/>
      </c>
      <c r="L4" s="21" t="str">
        <f>'Die Map'!L4</f>
        <v/>
      </c>
      <c r="M4" s="22" t="str">
        <f>'Die Map'!M4</f>
        <v/>
      </c>
      <c r="N4" s="22" t="str">
        <f>'Die Map'!N4</f>
        <v/>
      </c>
      <c r="O4" s="22" t="str">
        <f>'Die Map'!O4</f>
        <v/>
      </c>
      <c r="P4" s="23" t="str">
        <f>'Die Map'!P4</f>
        <v/>
      </c>
      <c r="Q4" s="21" t="str">
        <f>'Die Map'!Q4</f>
        <v/>
      </c>
      <c r="R4" s="22" t="str">
        <f>'Die Map'!R4</f>
        <v/>
      </c>
      <c r="S4" s="22" t="str">
        <f>'Die Map'!S4</f>
        <v/>
      </c>
      <c r="T4" s="22" t="str">
        <f>'Die Map'!T4</f>
        <v/>
      </c>
      <c r="U4" s="23" t="str">
        <f>'Die Map'!U4</f>
        <v/>
      </c>
      <c r="V4" s="21" t="str">
        <f>'Die Map'!V4</f>
        <v/>
      </c>
      <c r="W4" s="22" t="str">
        <f>'Die Map'!W4</f>
        <v/>
      </c>
      <c r="X4" s="22" t="str">
        <f>'Die Map'!X4</f>
        <v/>
      </c>
      <c r="Y4" s="22" t="str">
        <f>'Die Map'!Y4</f>
        <v/>
      </c>
      <c r="Z4" s="23" t="str">
        <f>'Die Map'!Z4</f>
        <v/>
      </c>
      <c r="AA4" s="21" t="str">
        <f>'Die Map'!AA4</f>
        <v/>
      </c>
      <c r="AB4" s="22" t="str">
        <f>'Die Map'!AB4</f>
        <v/>
      </c>
      <c r="AC4" s="22" t="str">
        <f>'Die Map'!AC4</f>
        <v/>
      </c>
      <c r="AD4" s="22" t="str">
        <f>'Die Map'!AD4</f>
        <v/>
      </c>
      <c r="AE4" s="23" t="str">
        <f>'Die Map'!AE4</f>
        <v/>
      </c>
      <c r="AF4" s="21" t="str">
        <f>'Die Map'!AF4</f>
        <v/>
      </c>
      <c r="AG4" s="22" t="str">
        <f>'Die Map'!AG4</f>
        <v/>
      </c>
      <c r="AH4" s="22" t="str">
        <f>'Die Map'!AH4</f>
        <v/>
      </c>
      <c r="AI4" s="22" t="str">
        <f>'Die Map'!AI4</f>
        <v/>
      </c>
      <c r="AJ4" s="23" t="str">
        <f>'Die Map'!AJ4</f>
        <v/>
      </c>
      <c r="AK4" s="21" t="str">
        <f>'Die Map'!AK4</f>
        <v/>
      </c>
      <c r="AL4" s="22" t="str">
        <f>'Die Map'!AL4</f>
        <v/>
      </c>
      <c r="AM4" s="22" t="str">
        <f>'Die Map'!AM4</f>
        <v/>
      </c>
      <c r="AN4" s="22" t="str">
        <f>'Die Map'!AN4</f>
        <v/>
      </c>
      <c r="AO4" s="23" t="str">
        <f>'Die Map'!AO4</f>
        <v/>
      </c>
      <c r="AP4" s="21" t="str">
        <f>'Die Map'!AP4</f>
        <v/>
      </c>
      <c r="AQ4" s="22" t="str">
        <f>'Die Map'!AQ4</f>
        <v/>
      </c>
      <c r="AR4" s="22" t="str">
        <f>'Die Map'!AR4</f>
        <v/>
      </c>
      <c r="AS4" s="22" t="str">
        <f>'Die Map'!AS4</f>
        <v/>
      </c>
      <c r="AT4" s="23" t="str">
        <f>'Die Map'!AT4</f>
        <v/>
      </c>
      <c r="AU4" s="21" t="str">
        <f>'Die Map'!AU4</f>
        <v>AB051</v>
      </c>
      <c r="AV4" s="22" t="str">
        <f>'Die Map'!AV4</f>
        <v>AB052</v>
      </c>
      <c r="AW4" s="22" t="str">
        <f>'Die Map'!AW4</f>
        <v>AB053</v>
      </c>
      <c r="AX4" s="22" t="str">
        <f>'Die Map'!AX4</f>
        <v>AB054</v>
      </c>
      <c r="AY4" s="23" t="str">
        <f>'Die Map'!AY4</f>
        <v>AB055</v>
      </c>
      <c r="AZ4" s="21" t="str">
        <f>'Die Map'!AZ4</f>
        <v>AB056</v>
      </c>
      <c r="BA4" s="22" t="str">
        <f>'Die Map'!BA4</f>
        <v>AB057</v>
      </c>
      <c r="BB4" s="22" t="str">
        <f>'Die Map'!BB4</f>
        <v>AB058</v>
      </c>
      <c r="BC4" s="22" t="str">
        <f>'Die Map'!BC4</f>
        <v>AB059</v>
      </c>
      <c r="BD4" s="23" t="str">
        <f>'Die Map'!BD4</f>
        <v>AB061</v>
      </c>
      <c r="BE4" s="21" t="str">
        <f>'Die Map'!BE4</f>
        <v>AB062</v>
      </c>
      <c r="BF4" s="22" t="str">
        <f>'Die Map'!BF4</f>
        <v>AB063</v>
      </c>
      <c r="BG4" s="22" t="str">
        <f>'Die Map'!BG4</f>
        <v>AB064</v>
      </c>
      <c r="BH4" s="22" t="str">
        <f>'Die Map'!BH4</f>
        <v>AB065</v>
      </c>
      <c r="BI4" s="23" t="str">
        <f>'Die Map'!BI4</f>
        <v>AB066</v>
      </c>
      <c r="BJ4" s="21" t="str">
        <f>'Die Map'!BJ4</f>
        <v/>
      </c>
      <c r="BK4" s="22" t="str">
        <f>'Die Map'!BK4</f>
        <v/>
      </c>
      <c r="BL4" s="22" t="str">
        <f>'Die Map'!BL4</f>
        <v/>
      </c>
      <c r="BM4" s="22" t="str">
        <f>'Die Map'!BM4</f>
        <v/>
      </c>
      <c r="BN4" s="23" t="str">
        <f>'Die Map'!BN4</f>
        <v/>
      </c>
      <c r="BO4" s="21" t="str">
        <f>'Die Map'!BO4</f>
        <v/>
      </c>
      <c r="BP4" s="22" t="str">
        <f>'Die Map'!BP4</f>
        <v/>
      </c>
      <c r="BQ4" s="22" t="str">
        <f>'Die Map'!BQ4</f>
        <v/>
      </c>
      <c r="BR4" s="22" t="str">
        <f>'Die Map'!BR4</f>
        <v/>
      </c>
      <c r="BS4" s="23" t="str">
        <f>'Die Map'!BS4</f>
        <v/>
      </c>
      <c r="BT4" s="21" t="str">
        <f>'Die Map'!BT4</f>
        <v/>
      </c>
      <c r="BU4" s="22" t="str">
        <f>'Die Map'!BU4</f>
        <v/>
      </c>
      <c r="BV4" s="22" t="str">
        <f>'Die Map'!BV4</f>
        <v/>
      </c>
      <c r="BW4" s="22" t="str">
        <f>'Die Map'!BW4</f>
        <v/>
      </c>
      <c r="BX4" s="23" t="str">
        <f>'Die Map'!BX4</f>
        <v/>
      </c>
      <c r="BY4" s="21" t="str">
        <f>'Die Map'!BY4</f>
        <v/>
      </c>
      <c r="BZ4" s="22" t="str">
        <f>'Die Map'!BZ4</f>
        <v/>
      </c>
      <c r="CA4" s="22" t="str">
        <f>'Die Map'!CA4</f>
        <v/>
      </c>
      <c r="CB4" s="22" t="str">
        <f>'Die Map'!CB4</f>
        <v/>
      </c>
      <c r="CC4" s="23" t="str">
        <f>'Die Map'!CC4</f>
        <v/>
      </c>
      <c r="CD4" s="21" t="str">
        <f>'Die Map'!CD4</f>
        <v/>
      </c>
      <c r="CE4" s="22" t="str">
        <f>'Die Map'!CE4</f>
        <v/>
      </c>
      <c r="CF4" s="22" t="str">
        <f>'Die Map'!CF4</f>
        <v/>
      </c>
      <c r="CG4" s="22" t="str">
        <f>'Die Map'!CG4</f>
        <v/>
      </c>
      <c r="CH4" s="23" t="str">
        <f>'Die Map'!CH4</f>
        <v/>
      </c>
      <c r="CI4" s="21" t="str">
        <f>'Die Map'!CI4</f>
        <v/>
      </c>
      <c r="CJ4" s="22" t="str">
        <f>'Die Map'!CJ4</f>
        <v/>
      </c>
      <c r="CK4" s="22" t="str">
        <f>'Die Map'!CK4</f>
        <v/>
      </c>
      <c r="CL4" s="22" t="str">
        <f>'Die Map'!CL4</f>
        <v/>
      </c>
      <c r="CM4" s="23" t="str">
        <f>'Die Map'!CM4</f>
        <v/>
      </c>
      <c r="CN4" s="21" t="str">
        <f>'Die Map'!CN4</f>
        <v/>
      </c>
      <c r="CO4" s="22" t="str">
        <f>'Die Map'!CO4</f>
        <v/>
      </c>
      <c r="CP4" s="22" t="str">
        <f>'Die Map'!CP4</f>
        <v/>
      </c>
      <c r="CQ4" s="22" t="str">
        <f>'Die Map'!CQ4</f>
        <v/>
      </c>
      <c r="CR4" s="23" t="str">
        <f>'Die Map'!CR4</f>
        <v/>
      </c>
      <c r="CS4" s="21" t="str">
        <f>'Die Map'!CS4</f>
        <v/>
      </c>
      <c r="CT4" s="22" t="str">
        <f>'Die Map'!CT4</f>
        <v/>
      </c>
      <c r="CU4" s="22" t="str">
        <f>'Die Map'!CU4</f>
        <v/>
      </c>
      <c r="CV4" s="22" t="str">
        <f>'Die Map'!CV4</f>
        <v/>
      </c>
      <c r="CW4" s="23" t="str">
        <f>'Die Map'!CW4</f>
        <v/>
      </c>
      <c r="CX4" s="21" t="str">
        <f>'Die Map'!CX4</f>
        <v/>
      </c>
      <c r="CY4" s="22" t="str">
        <f>'Die Map'!CY4</f>
        <v/>
      </c>
      <c r="CZ4" s="22" t="str">
        <f>'Die Map'!CZ4</f>
        <v/>
      </c>
      <c r="DA4" s="22" t="str">
        <f>'Die Map'!DA4</f>
        <v/>
      </c>
      <c r="DB4" s="23" t="str">
        <f>'Die Map'!DB4</f>
        <v/>
      </c>
    </row>
    <row r="5" spans="1:106" ht="12.75" customHeight="1" x14ac:dyDescent="0.25">
      <c r="A5" s="17">
        <v>3</v>
      </c>
      <c r="B5" s="21" t="str">
        <f>'Die Map'!B5</f>
        <v/>
      </c>
      <c r="C5" s="22" t="str">
        <f>'Die Map'!C5</f>
        <v/>
      </c>
      <c r="D5" s="22" t="str">
        <f>'Die Map'!D5</f>
        <v/>
      </c>
      <c r="E5" s="22" t="str">
        <f>'Die Map'!E5</f>
        <v/>
      </c>
      <c r="F5" s="23" t="str">
        <f>'Die Map'!F5</f>
        <v/>
      </c>
      <c r="G5" s="21" t="str">
        <f>'Die Map'!G5</f>
        <v/>
      </c>
      <c r="H5" s="22" t="str">
        <f>'Die Map'!H5</f>
        <v/>
      </c>
      <c r="I5" s="22" t="str">
        <f>'Die Map'!I5</f>
        <v/>
      </c>
      <c r="J5" s="22" t="str">
        <f>'Die Map'!J5</f>
        <v/>
      </c>
      <c r="K5" s="23" t="str">
        <f>'Die Map'!K5</f>
        <v/>
      </c>
      <c r="L5" s="21" t="str">
        <f>'Die Map'!L5</f>
        <v/>
      </c>
      <c r="M5" s="22" t="str">
        <f>'Die Map'!M5</f>
        <v/>
      </c>
      <c r="N5" s="22" t="str">
        <f>'Die Map'!N5</f>
        <v/>
      </c>
      <c r="O5" s="22" t="str">
        <f>'Die Map'!O5</f>
        <v/>
      </c>
      <c r="P5" s="23" t="str">
        <f>'Die Map'!P5</f>
        <v/>
      </c>
      <c r="Q5" s="21" t="str">
        <f>'Die Map'!Q5</f>
        <v/>
      </c>
      <c r="R5" s="22" t="str">
        <f>'Die Map'!R5</f>
        <v/>
      </c>
      <c r="S5" s="22" t="str">
        <f>'Die Map'!S5</f>
        <v/>
      </c>
      <c r="T5" s="22" t="str">
        <f>'Die Map'!T5</f>
        <v/>
      </c>
      <c r="U5" s="23" t="str">
        <f>'Die Map'!U5</f>
        <v/>
      </c>
      <c r="V5" s="21" t="str">
        <f>'Die Map'!V5</f>
        <v/>
      </c>
      <c r="W5" s="22" t="str">
        <f>'Die Map'!W5</f>
        <v/>
      </c>
      <c r="X5" s="22" t="str">
        <f>'Die Map'!X5</f>
        <v/>
      </c>
      <c r="Y5" s="22" t="str">
        <f>'Die Map'!Y5</f>
        <v/>
      </c>
      <c r="Z5" s="23" t="str">
        <f>'Die Map'!Z5</f>
        <v/>
      </c>
      <c r="AA5" s="21" t="str">
        <f>'Die Map'!AA5</f>
        <v/>
      </c>
      <c r="AB5" s="22" t="str">
        <f>'Die Map'!AB5</f>
        <v/>
      </c>
      <c r="AC5" s="22" t="str">
        <f>'Die Map'!AC5</f>
        <v/>
      </c>
      <c r="AD5" s="22" t="str">
        <f>'Die Map'!AD5</f>
        <v/>
      </c>
      <c r="AE5" s="23" t="str">
        <f>'Die Map'!AE5</f>
        <v/>
      </c>
      <c r="AF5" s="21" t="str">
        <f>'Die Map'!AF5</f>
        <v/>
      </c>
      <c r="AG5" s="22" t="str">
        <f>'Die Map'!AG5</f>
        <v/>
      </c>
      <c r="AH5" s="22" t="str">
        <f>'Die Map'!AH5</f>
        <v/>
      </c>
      <c r="AI5" s="22" t="str">
        <f>'Die Map'!AI5</f>
        <v/>
      </c>
      <c r="AJ5" s="23" t="str">
        <f>'Die Map'!AJ5</f>
        <v/>
      </c>
      <c r="AK5" s="21" t="str">
        <f>'Die Map'!AK5</f>
        <v/>
      </c>
      <c r="AL5" s="22" t="str">
        <f>'Die Map'!AL5</f>
        <v/>
      </c>
      <c r="AM5" s="22" t="str">
        <f>'Die Map'!AM5</f>
        <v/>
      </c>
      <c r="AN5" s="22" t="str">
        <f>'Die Map'!AN5</f>
        <v/>
      </c>
      <c r="AO5" s="23" t="str">
        <f>'Die Map'!AO5</f>
        <v/>
      </c>
      <c r="AP5" s="21" t="str">
        <f>'Die Map'!AP5</f>
        <v/>
      </c>
      <c r="AQ5" s="22" t="str">
        <f>'Die Map'!AQ5</f>
        <v/>
      </c>
      <c r="AR5" s="22" t="str">
        <f>'Die Map'!AR5</f>
        <v/>
      </c>
      <c r="AS5" s="22" t="str">
        <f>'Die Map'!AS5</f>
        <v/>
      </c>
      <c r="AT5" s="23" t="str">
        <f>'Die Map'!AT5</f>
        <v/>
      </c>
      <c r="AU5" s="21" t="str">
        <f>'Die Map'!AU5</f>
        <v>AC051</v>
      </c>
      <c r="AV5" s="22" t="str">
        <f>'Die Map'!AV5</f>
        <v>AC052</v>
      </c>
      <c r="AW5" s="22" t="str">
        <f>'Die Map'!AW5</f>
        <v>AC053</v>
      </c>
      <c r="AX5" s="22" t="str">
        <f>'Die Map'!AX5</f>
        <v>AC054</v>
      </c>
      <c r="AY5" s="23" t="str">
        <f>'Die Map'!AY5</f>
        <v>AC055</v>
      </c>
      <c r="AZ5" s="21" t="str">
        <f>'Die Map'!AZ5</f>
        <v>AC056</v>
      </c>
      <c r="BA5" s="22" t="str">
        <f>'Die Map'!BA5</f>
        <v>AC057</v>
      </c>
      <c r="BB5" s="22" t="str">
        <f>'Die Map'!BB5</f>
        <v>AC058</v>
      </c>
      <c r="BC5" s="22" t="str">
        <f>'Die Map'!BC5</f>
        <v>AC059</v>
      </c>
      <c r="BD5" s="23" t="str">
        <f>'Die Map'!BD5</f>
        <v>AC061</v>
      </c>
      <c r="BE5" s="21" t="str">
        <f>'Die Map'!BE5</f>
        <v>AC062</v>
      </c>
      <c r="BF5" s="22" t="str">
        <f>'Die Map'!BF5</f>
        <v>AC063</v>
      </c>
      <c r="BG5" s="22" t="str">
        <f>'Die Map'!BG5</f>
        <v>AC064</v>
      </c>
      <c r="BH5" s="22" t="str">
        <f>'Die Map'!BH5</f>
        <v>AC065</v>
      </c>
      <c r="BI5" s="23" t="str">
        <f>'Die Map'!BI5</f>
        <v>AC066</v>
      </c>
      <c r="BJ5" s="21" t="str">
        <f>'Die Map'!BJ5</f>
        <v/>
      </c>
      <c r="BK5" s="22" t="str">
        <f>'Die Map'!BK5</f>
        <v/>
      </c>
      <c r="BL5" s="22" t="str">
        <f>'Die Map'!BL5</f>
        <v/>
      </c>
      <c r="BM5" s="22" t="str">
        <f>'Die Map'!BM5</f>
        <v/>
      </c>
      <c r="BN5" s="23" t="str">
        <f>'Die Map'!BN5</f>
        <v/>
      </c>
      <c r="BO5" s="21" t="str">
        <f>'Die Map'!BO5</f>
        <v/>
      </c>
      <c r="BP5" s="22" t="str">
        <f>'Die Map'!BP5</f>
        <v/>
      </c>
      <c r="BQ5" s="22" t="str">
        <f>'Die Map'!BQ5</f>
        <v/>
      </c>
      <c r="BR5" s="22" t="str">
        <f>'Die Map'!BR5</f>
        <v/>
      </c>
      <c r="BS5" s="23" t="str">
        <f>'Die Map'!BS5</f>
        <v/>
      </c>
      <c r="BT5" s="21" t="str">
        <f>'Die Map'!BT5</f>
        <v/>
      </c>
      <c r="BU5" s="22" t="str">
        <f>'Die Map'!BU5</f>
        <v/>
      </c>
      <c r="BV5" s="22" t="str">
        <f>'Die Map'!BV5</f>
        <v/>
      </c>
      <c r="BW5" s="22" t="str">
        <f>'Die Map'!BW5</f>
        <v/>
      </c>
      <c r="BX5" s="23" t="str">
        <f>'Die Map'!BX5</f>
        <v/>
      </c>
      <c r="BY5" s="21" t="str">
        <f>'Die Map'!BY5</f>
        <v/>
      </c>
      <c r="BZ5" s="22" t="str">
        <f>'Die Map'!BZ5</f>
        <v/>
      </c>
      <c r="CA5" s="22" t="str">
        <f>'Die Map'!CA5</f>
        <v/>
      </c>
      <c r="CB5" s="22" t="str">
        <f>'Die Map'!CB5</f>
        <v/>
      </c>
      <c r="CC5" s="23" t="str">
        <f>'Die Map'!CC5</f>
        <v/>
      </c>
      <c r="CD5" s="21" t="str">
        <f>'Die Map'!CD5</f>
        <v/>
      </c>
      <c r="CE5" s="22" t="str">
        <f>'Die Map'!CE5</f>
        <v/>
      </c>
      <c r="CF5" s="22" t="str">
        <f>'Die Map'!CF5</f>
        <v/>
      </c>
      <c r="CG5" s="22" t="str">
        <f>'Die Map'!CG5</f>
        <v/>
      </c>
      <c r="CH5" s="23" t="str">
        <f>'Die Map'!CH5</f>
        <v/>
      </c>
      <c r="CI5" s="21" t="str">
        <f>'Die Map'!CI5</f>
        <v/>
      </c>
      <c r="CJ5" s="22" t="str">
        <f>'Die Map'!CJ5</f>
        <v/>
      </c>
      <c r="CK5" s="22" t="str">
        <f>'Die Map'!CK5</f>
        <v/>
      </c>
      <c r="CL5" s="22" t="str">
        <f>'Die Map'!CL5</f>
        <v/>
      </c>
      <c r="CM5" s="23" t="str">
        <f>'Die Map'!CM5</f>
        <v/>
      </c>
      <c r="CN5" s="21" t="str">
        <f>'Die Map'!CN5</f>
        <v/>
      </c>
      <c r="CO5" s="22" t="str">
        <f>'Die Map'!CO5</f>
        <v/>
      </c>
      <c r="CP5" s="22" t="str">
        <f>'Die Map'!CP5</f>
        <v/>
      </c>
      <c r="CQ5" s="22" t="str">
        <f>'Die Map'!CQ5</f>
        <v/>
      </c>
      <c r="CR5" s="23" t="str">
        <f>'Die Map'!CR5</f>
        <v/>
      </c>
      <c r="CS5" s="21" t="str">
        <f>'Die Map'!CS5</f>
        <v/>
      </c>
      <c r="CT5" s="22" t="str">
        <f>'Die Map'!CT5</f>
        <v/>
      </c>
      <c r="CU5" s="22" t="str">
        <f>'Die Map'!CU5</f>
        <v/>
      </c>
      <c r="CV5" s="22" t="str">
        <f>'Die Map'!CV5</f>
        <v/>
      </c>
      <c r="CW5" s="23" t="str">
        <f>'Die Map'!CW5</f>
        <v/>
      </c>
      <c r="CX5" s="21" t="str">
        <f>'Die Map'!CX5</f>
        <v/>
      </c>
      <c r="CY5" s="22" t="str">
        <f>'Die Map'!CY5</f>
        <v/>
      </c>
      <c r="CZ5" s="22" t="str">
        <f>'Die Map'!CZ5</f>
        <v/>
      </c>
      <c r="DA5" s="22" t="str">
        <f>'Die Map'!DA5</f>
        <v/>
      </c>
      <c r="DB5" s="23" t="str">
        <f>'Die Map'!DB5</f>
        <v/>
      </c>
    </row>
    <row r="6" spans="1:106" ht="12.75" customHeight="1" x14ac:dyDescent="0.25">
      <c r="A6" s="17">
        <v>4</v>
      </c>
      <c r="B6" s="21" t="str">
        <f>'Die Map'!B6</f>
        <v/>
      </c>
      <c r="C6" s="22" t="str">
        <f>'Die Map'!C6</f>
        <v/>
      </c>
      <c r="D6" s="22" t="str">
        <f>'Die Map'!D6</f>
        <v/>
      </c>
      <c r="E6" s="22" t="str">
        <f>'Die Map'!E6</f>
        <v/>
      </c>
      <c r="F6" s="23" t="str">
        <f>'Die Map'!F6</f>
        <v/>
      </c>
      <c r="G6" s="21" t="str">
        <f>'Die Map'!G6</f>
        <v/>
      </c>
      <c r="H6" s="22" t="str">
        <f>'Die Map'!H6</f>
        <v/>
      </c>
      <c r="I6" s="22" t="str">
        <f>'Die Map'!I6</f>
        <v/>
      </c>
      <c r="J6" s="22" t="str">
        <f>'Die Map'!J6</f>
        <v/>
      </c>
      <c r="K6" s="23" t="str">
        <f>'Die Map'!K6</f>
        <v/>
      </c>
      <c r="L6" s="21" t="str">
        <f>'Die Map'!L6</f>
        <v/>
      </c>
      <c r="M6" s="22" t="str">
        <f>'Die Map'!M6</f>
        <v/>
      </c>
      <c r="N6" s="22" t="str">
        <f>'Die Map'!N6</f>
        <v/>
      </c>
      <c r="O6" s="22" t="str">
        <f>'Die Map'!O6</f>
        <v/>
      </c>
      <c r="P6" s="23" t="str">
        <f>'Die Map'!P6</f>
        <v/>
      </c>
      <c r="Q6" s="21" t="str">
        <f>'Die Map'!Q6</f>
        <v/>
      </c>
      <c r="R6" s="22" t="str">
        <f>'Die Map'!R6</f>
        <v/>
      </c>
      <c r="S6" s="22" t="str">
        <f>'Die Map'!S6</f>
        <v/>
      </c>
      <c r="T6" s="22" t="str">
        <f>'Die Map'!T6</f>
        <v/>
      </c>
      <c r="U6" s="23" t="str">
        <f>'Die Map'!U6</f>
        <v/>
      </c>
      <c r="V6" s="21" t="str">
        <f>'Die Map'!V6</f>
        <v/>
      </c>
      <c r="W6" s="22" t="str">
        <f>'Die Map'!W6</f>
        <v/>
      </c>
      <c r="X6" s="22" t="str">
        <f>'Die Map'!X6</f>
        <v/>
      </c>
      <c r="Y6" s="22" t="str">
        <f>'Die Map'!Y6</f>
        <v/>
      </c>
      <c r="Z6" s="23" t="str">
        <f>'Die Map'!Z6</f>
        <v/>
      </c>
      <c r="AA6" s="21" t="str">
        <f>'Die Map'!AA6</f>
        <v/>
      </c>
      <c r="AB6" s="22" t="str">
        <f>'Die Map'!AB6</f>
        <v/>
      </c>
      <c r="AC6" s="22" t="str">
        <f>'Die Map'!AC6</f>
        <v/>
      </c>
      <c r="AD6" s="22" t="str">
        <f>'Die Map'!AD6</f>
        <v/>
      </c>
      <c r="AE6" s="23" t="str">
        <f>'Die Map'!AE6</f>
        <v/>
      </c>
      <c r="AF6" s="21" t="str">
        <f>'Die Map'!AF6</f>
        <v/>
      </c>
      <c r="AG6" s="22" t="str">
        <f>'Die Map'!AG6</f>
        <v/>
      </c>
      <c r="AH6" s="22" t="str">
        <f>'Die Map'!AH6</f>
        <v/>
      </c>
      <c r="AI6" s="22" t="str">
        <f>'Die Map'!AI6</f>
        <v/>
      </c>
      <c r="AJ6" s="23" t="str">
        <f>'Die Map'!AJ6</f>
        <v/>
      </c>
      <c r="AK6" s="21" t="str">
        <f>'Die Map'!AK6</f>
        <v/>
      </c>
      <c r="AL6" s="22" t="str">
        <f>'Die Map'!AL6</f>
        <v/>
      </c>
      <c r="AM6" s="22" t="str">
        <f>'Die Map'!AM6</f>
        <v/>
      </c>
      <c r="AN6" s="22" t="str">
        <f>'Die Map'!AN6</f>
        <v/>
      </c>
      <c r="AO6" s="23" t="str">
        <f>'Die Map'!AO6</f>
        <v/>
      </c>
      <c r="AP6" s="21" t="str">
        <f>'Die Map'!AP6</f>
        <v/>
      </c>
      <c r="AQ6" s="22" t="str">
        <f>'Die Map'!AQ6</f>
        <v/>
      </c>
      <c r="AR6" s="22" t="str">
        <f>'Die Map'!AR6</f>
        <v/>
      </c>
      <c r="AS6" s="22" t="str">
        <f>'Die Map'!AS6</f>
        <v/>
      </c>
      <c r="AT6" s="23" t="str">
        <f>'Die Map'!AT6</f>
        <v/>
      </c>
      <c r="AU6" s="21" t="str">
        <f>'Die Map'!AU6</f>
        <v>AD051</v>
      </c>
      <c r="AV6" s="22" t="str">
        <f>'Die Map'!AV6</f>
        <v>AD052</v>
      </c>
      <c r="AW6" s="22" t="str">
        <f>'Die Map'!AW6</f>
        <v>AD053</v>
      </c>
      <c r="AX6" s="22" t="str">
        <f>'Die Map'!AX6</f>
        <v>AD054</v>
      </c>
      <c r="AY6" s="23" t="str">
        <f>'Die Map'!AY6</f>
        <v>AD055</v>
      </c>
      <c r="AZ6" s="21" t="str">
        <f>'Die Map'!AZ6</f>
        <v>AD056</v>
      </c>
      <c r="BA6" s="22" t="str">
        <f>'Die Map'!BA6</f>
        <v>AD057</v>
      </c>
      <c r="BB6" s="22" t="str">
        <f>'Die Map'!BB6</f>
        <v>AD058</v>
      </c>
      <c r="BC6" s="22" t="str">
        <f>'Die Map'!BC6</f>
        <v>AD059</v>
      </c>
      <c r="BD6" s="23" t="str">
        <f>'Die Map'!BD6</f>
        <v>AD061</v>
      </c>
      <c r="BE6" s="21" t="str">
        <f>'Die Map'!BE6</f>
        <v>AD062</v>
      </c>
      <c r="BF6" s="22" t="str">
        <f>'Die Map'!BF6</f>
        <v>AD063</v>
      </c>
      <c r="BG6" s="22" t="str">
        <f>'Die Map'!BG6</f>
        <v>AD064</v>
      </c>
      <c r="BH6" s="22" t="str">
        <f>'Die Map'!BH6</f>
        <v>AD065</v>
      </c>
      <c r="BI6" s="23" t="str">
        <f>'Die Map'!BI6</f>
        <v>AD066</v>
      </c>
      <c r="BJ6" s="21" t="str">
        <f>'Die Map'!BJ6</f>
        <v/>
      </c>
      <c r="BK6" s="22" t="str">
        <f>'Die Map'!BK6</f>
        <v/>
      </c>
      <c r="BL6" s="22" t="str">
        <f>'Die Map'!BL6</f>
        <v/>
      </c>
      <c r="BM6" s="22" t="str">
        <f>'Die Map'!BM6</f>
        <v/>
      </c>
      <c r="BN6" s="23" t="str">
        <f>'Die Map'!BN6</f>
        <v/>
      </c>
      <c r="BO6" s="21" t="str">
        <f>'Die Map'!BO6</f>
        <v/>
      </c>
      <c r="BP6" s="22" t="str">
        <f>'Die Map'!BP6</f>
        <v/>
      </c>
      <c r="BQ6" s="22" t="str">
        <f>'Die Map'!BQ6</f>
        <v/>
      </c>
      <c r="BR6" s="22" t="str">
        <f>'Die Map'!BR6</f>
        <v/>
      </c>
      <c r="BS6" s="23" t="str">
        <f>'Die Map'!BS6</f>
        <v/>
      </c>
      <c r="BT6" s="21" t="str">
        <f>'Die Map'!BT6</f>
        <v/>
      </c>
      <c r="BU6" s="22" t="str">
        <f>'Die Map'!BU6</f>
        <v/>
      </c>
      <c r="BV6" s="22" t="str">
        <f>'Die Map'!BV6</f>
        <v/>
      </c>
      <c r="BW6" s="22" t="str">
        <f>'Die Map'!BW6</f>
        <v/>
      </c>
      <c r="BX6" s="23" t="str">
        <f>'Die Map'!BX6</f>
        <v/>
      </c>
      <c r="BY6" s="21" t="str">
        <f>'Die Map'!BY6</f>
        <v/>
      </c>
      <c r="BZ6" s="22" t="str">
        <f>'Die Map'!BZ6</f>
        <v/>
      </c>
      <c r="CA6" s="22" t="str">
        <f>'Die Map'!CA6</f>
        <v/>
      </c>
      <c r="CB6" s="22" t="str">
        <f>'Die Map'!CB6</f>
        <v/>
      </c>
      <c r="CC6" s="23" t="str">
        <f>'Die Map'!CC6</f>
        <v/>
      </c>
      <c r="CD6" s="21" t="str">
        <f>'Die Map'!CD6</f>
        <v/>
      </c>
      <c r="CE6" s="22" t="str">
        <f>'Die Map'!CE6</f>
        <v/>
      </c>
      <c r="CF6" s="22" t="str">
        <f>'Die Map'!CF6</f>
        <v/>
      </c>
      <c r="CG6" s="22" t="str">
        <f>'Die Map'!CG6</f>
        <v/>
      </c>
      <c r="CH6" s="23" t="str">
        <f>'Die Map'!CH6</f>
        <v/>
      </c>
      <c r="CI6" s="21" t="str">
        <f>'Die Map'!CI6</f>
        <v/>
      </c>
      <c r="CJ6" s="22" t="str">
        <f>'Die Map'!CJ6</f>
        <v/>
      </c>
      <c r="CK6" s="22" t="str">
        <f>'Die Map'!CK6</f>
        <v/>
      </c>
      <c r="CL6" s="22" t="str">
        <f>'Die Map'!CL6</f>
        <v/>
      </c>
      <c r="CM6" s="23" t="str">
        <f>'Die Map'!CM6</f>
        <v/>
      </c>
      <c r="CN6" s="21" t="str">
        <f>'Die Map'!CN6</f>
        <v/>
      </c>
      <c r="CO6" s="22" t="str">
        <f>'Die Map'!CO6</f>
        <v/>
      </c>
      <c r="CP6" s="22" t="str">
        <f>'Die Map'!CP6</f>
        <v/>
      </c>
      <c r="CQ6" s="22" t="str">
        <f>'Die Map'!CQ6</f>
        <v/>
      </c>
      <c r="CR6" s="23" t="str">
        <f>'Die Map'!CR6</f>
        <v/>
      </c>
      <c r="CS6" s="21" t="str">
        <f>'Die Map'!CS6</f>
        <v/>
      </c>
      <c r="CT6" s="22" t="str">
        <f>'Die Map'!CT6</f>
        <v/>
      </c>
      <c r="CU6" s="22" t="str">
        <f>'Die Map'!CU6</f>
        <v/>
      </c>
      <c r="CV6" s="22" t="str">
        <f>'Die Map'!CV6</f>
        <v/>
      </c>
      <c r="CW6" s="23" t="str">
        <f>'Die Map'!CW6</f>
        <v/>
      </c>
      <c r="CX6" s="21" t="str">
        <f>'Die Map'!CX6</f>
        <v/>
      </c>
      <c r="CY6" s="22" t="str">
        <f>'Die Map'!CY6</f>
        <v/>
      </c>
      <c r="CZ6" s="22" t="str">
        <f>'Die Map'!CZ6</f>
        <v/>
      </c>
      <c r="DA6" s="22" t="str">
        <f>'Die Map'!DA6</f>
        <v/>
      </c>
      <c r="DB6" s="23" t="str">
        <f>'Die Map'!DB6</f>
        <v/>
      </c>
    </row>
    <row r="7" spans="1:106" ht="12.75" customHeight="1" x14ac:dyDescent="0.25">
      <c r="A7" s="17">
        <v>5</v>
      </c>
      <c r="B7" s="24" t="str">
        <f>'Die Map'!B7</f>
        <v/>
      </c>
      <c r="C7" s="25" t="str">
        <f>'Die Map'!C7</f>
        <v/>
      </c>
      <c r="D7" s="25" t="str">
        <f>'Die Map'!D7</f>
        <v/>
      </c>
      <c r="E7" s="25" t="str">
        <f>'Die Map'!E7</f>
        <v/>
      </c>
      <c r="F7" s="26" t="str">
        <f>'Die Map'!F7</f>
        <v/>
      </c>
      <c r="G7" s="24" t="str">
        <f>'Die Map'!G7</f>
        <v/>
      </c>
      <c r="H7" s="25" t="str">
        <f>'Die Map'!H7</f>
        <v/>
      </c>
      <c r="I7" s="25" t="str">
        <f>'Die Map'!I7</f>
        <v/>
      </c>
      <c r="J7" s="25" t="str">
        <f>'Die Map'!J7</f>
        <v/>
      </c>
      <c r="K7" s="26" t="str">
        <f>'Die Map'!K7</f>
        <v/>
      </c>
      <c r="L7" s="24" t="str">
        <f>'Die Map'!L7</f>
        <v/>
      </c>
      <c r="M7" s="25" t="str">
        <f>'Die Map'!M7</f>
        <v/>
      </c>
      <c r="N7" s="25" t="str">
        <f>'Die Map'!N7</f>
        <v/>
      </c>
      <c r="O7" s="25" t="str">
        <f>'Die Map'!O7</f>
        <v/>
      </c>
      <c r="P7" s="26" t="str">
        <f>'Die Map'!P7</f>
        <v/>
      </c>
      <c r="Q7" s="24" t="str">
        <f>'Die Map'!Q7</f>
        <v/>
      </c>
      <c r="R7" s="25" t="str">
        <f>'Die Map'!R7</f>
        <v/>
      </c>
      <c r="S7" s="25" t="str">
        <f>'Die Map'!S7</f>
        <v/>
      </c>
      <c r="T7" s="25" t="str">
        <f>'Die Map'!T7</f>
        <v/>
      </c>
      <c r="U7" s="26" t="str">
        <f>'Die Map'!U7</f>
        <v/>
      </c>
      <c r="V7" s="24" t="str">
        <f>'Die Map'!V7</f>
        <v/>
      </c>
      <c r="W7" s="25" t="str">
        <f>'Die Map'!W7</f>
        <v/>
      </c>
      <c r="X7" s="25" t="str">
        <f>'Die Map'!X7</f>
        <v/>
      </c>
      <c r="Y7" s="25" t="str">
        <f>'Die Map'!Y7</f>
        <v/>
      </c>
      <c r="Z7" s="26" t="str">
        <f>'Die Map'!Z7</f>
        <v/>
      </c>
      <c r="AA7" s="24" t="str">
        <f>'Die Map'!AA7</f>
        <v/>
      </c>
      <c r="AB7" s="25" t="str">
        <f>'Die Map'!AB7</f>
        <v/>
      </c>
      <c r="AC7" s="25" t="str">
        <f>'Die Map'!AC7</f>
        <v/>
      </c>
      <c r="AD7" s="25" t="str">
        <f>'Die Map'!AD7</f>
        <v/>
      </c>
      <c r="AE7" s="26" t="str">
        <f>'Die Map'!AE7</f>
        <v/>
      </c>
      <c r="AF7" s="24" t="str">
        <f>'Die Map'!AF7</f>
        <v/>
      </c>
      <c r="AG7" s="25" t="str">
        <f>'Die Map'!AG7</f>
        <v/>
      </c>
      <c r="AH7" s="25" t="str">
        <f>'Die Map'!AH7</f>
        <v/>
      </c>
      <c r="AI7" s="25" t="str">
        <f>'Die Map'!AI7</f>
        <v/>
      </c>
      <c r="AJ7" s="26" t="str">
        <f>'Die Map'!AJ7</f>
        <v/>
      </c>
      <c r="AK7" s="24" t="str">
        <f>'Die Map'!AK7</f>
        <v/>
      </c>
      <c r="AL7" s="25" t="str">
        <f>'Die Map'!AL7</f>
        <v/>
      </c>
      <c r="AM7" s="25" t="str">
        <f>'Die Map'!AM7</f>
        <v/>
      </c>
      <c r="AN7" s="25" t="str">
        <f>'Die Map'!AN7</f>
        <v/>
      </c>
      <c r="AO7" s="26" t="str">
        <f>'Die Map'!AO7</f>
        <v/>
      </c>
      <c r="AP7" s="24" t="str">
        <f>'Die Map'!AP7</f>
        <v/>
      </c>
      <c r="AQ7" s="25" t="str">
        <f>'Die Map'!AQ7</f>
        <v/>
      </c>
      <c r="AR7" s="25" t="str">
        <f>'Die Map'!AR7</f>
        <v/>
      </c>
      <c r="AS7" s="25" t="str">
        <f>'Die Map'!AS7</f>
        <v/>
      </c>
      <c r="AT7" s="26" t="str">
        <f>'Die Map'!AT7</f>
        <v/>
      </c>
      <c r="AU7" s="24" t="str">
        <f>'Die Map'!AU7</f>
        <v>AE051</v>
      </c>
      <c r="AV7" s="25" t="str">
        <f>'Die Map'!AV7</f>
        <v>AE052</v>
      </c>
      <c r="AW7" s="25" t="str">
        <f>'Die Map'!AW7</f>
        <v>AE053</v>
      </c>
      <c r="AX7" s="25" t="str">
        <f>'Die Map'!AX7</f>
        <v>AE054</v>
      </c>
      <c r="AY7" s="26" t="str">
        <f>'Die Map'!AY7</f>
        <v>AE055</v>
      </c>
      <c r="AZ7" s="24" t="str">
        <f>'Die Map'!AZ7</f>
        <v>AE056</v>
      </c>
      <c r="BA7" s="25" t="str">
        <f>'Die Map'!BA7</f>
        <v>AE057</v>
      </c>
      <c r="BB7" s="25" t="str">
        <f>'Die Map'!BB7</f>
        <v>AE058</v>
      </c>
      <c r="BC7" s="25" t="str">
        <f>'Die Map'!BC7</f>
        <v>AE059</v>
      </c>
      <c r="BD7" s="26" t="str">
        <f>'Die Map'!BD7</f>
        <v>AE061</v>
      </c>
      <c r="BE7" s="24" t="str">
        <f>'Die Map'!BE7</f>
        <v>AE062</v>
      </c>
      <c r="BF7" s="25" t="str">
        <f>'Die Map'!BF7</f>
        <v>AE063</v>
      </c>
      <c r="BG7" s="25" t="str">
        <f>'Die Map'!BG7</f>
        <v>AE064</v>
      </c>
      <c r="BH7" s="25" t="str">
        <f>'Die Map'!BH7</f>
        <v>AE065</v>
      </c>
      <c r="BI7" s="26" t="str">
        <f>'Die Map'!BI7</f>
        <v>AE066</v>
      </c>
      <c r="BJ7" s="24" t="str">
        <f>'Die Map'!BJ7</f>
        <v/>
      </c>
      <c r="BK7" s="25" t="str">
        <f>'Die Map'!BK7</f>
        <v/>
      </c>
      <c r="BL7" s="25" t="str">
        <f>'Die Map'!BL7</f>
        <v/>
      </c>
      <c r="BM7" s="25" t="str">
        <f>'Die Map'!BM7</f>
        <v/>
      </c>
      <c r="BN7" s="26" t="str">
        <f>'Die Map'!BN7</f>
        <v/>
      </c>
      <c r="BO7" s="24" t="str">
        <f>'Die Map'!BO7</f>
        <v/>
      </c>
      <c r="BP7" s="25" t="str">
        <f>'Die Map'!BP7</f>
        <v/>
      </c>
      <c r="BQ7" s="25" t="str">
        <f>'Die Map'!BQ7</f>
        <v/>
      </c>
      <c r="BR7" s="25" t="str">
        <f>'Die Map'!BR7</f>
        <v/>
      </c>
      <c r="BS7" s="26" t="str">
        <f>'Die Map'!BS7</f>
        <v/>
      </c>
      <c r="BT7" s="24" t="str">
        <f>'Die Map'!BT7</f>
        <v/>
      </c>
      <c r="BU7" s="25" t="str">
        <f>'Die Map'!BU7</f>
        <v/>
      </c>
      <c r="BV7" s="25" t="str">
        <f>'Die Map'!BV7</f>
        <v/>
      </c>
      <c r="BW7" s="25" t="str">
        <f>'Die Map'!BW7</f>
        <v/>
      </c>
      <c r="BX7" s="26" t="str">
        <f>'Die Map'!BX7</f>
        <v/>
      </c>
      <c r="BY7" s="24" t="str">
        <f>'Die Map'!BY7</f>
        <v/>
      </c>
      <c r="BZ7" s="25" t="str">
        <f>'Die Map'!BZ7</f>
        <v/>
      </c>
      <c r="CA7" s="25" t="str">
        <f>'Die Map'!CA7</f>
        <v/>
      </c>
      <c r="CB7" s="25" t="str">
        <f>'Die Map'!CB7</f>
        <v/>
      </c>
      <c r="CC7" s="26" t="str">
        <f>'Die Map'!CC7</f>
        <v/>
      </c>
      <c r="CD7" s="24" t="str">
        <f>'Die Map'!CD7</f>
        <v/>
      </c>
      <c r="CE7" s="25" t="str">
        <f>'Die Map'!CE7</f>
        <v/>
      </c>
      <c r="CF7" s="25" t="str">
        <f>'Die Map'!CF7</f>
        <v/>
      </c>
      <c r="CG7" s="25" t="str">
        <f>'Die Map'!CG7</f>
        <v/>
      </c>
      <c r="CH7" s="26" t="str">
        <f>'Die Map'!CH7</f>
        <v/>
      </c>
      <c r="CI7" s="24" t="str">
        <f>'Die Map'!CI7</f>
        <v/>
      </c>
      <c r="CJ7" s="25" t="str">
        <f>'Die Map'!CJ7</f>
        <v/>
      </c>
      <c r="CK7" s="25" t="str">
        <f>'Die Map'!CK7</f>
        <v/>
      </c>
      <c r="CL7" s="25" t="str">
        <f>'Die Map'!CL7</f>
        <v/>
      </c>
      <c r="CM7" s="26" t="str">
        <f>'Die Map'!CM7</f>
        <v/>
      </c>
      <c r="CN7" s="24" t="str">
        <f>'Die Map'!CN7</f>
        <v/>
      </c>
      <c r="CO7" s="25" t="str">
        <f>'Die Map'!CO7</f>
        <v/>
      </c>
      <c r="CP7" s="25" t="str">
        <f>'Die Map'!CP7</f>
        <v/>
      </c>
      <c r="CQ7" s="25" t="str">
        <f>'Die Map'!CQ7</f>
        <v/>
      </c>
      <c r="CR7" s="26" t="str">
        <f>'Die Map'!CR7</f>
        <v/>
      </c>
      <c r="CS7" s="24" t="str">
        <f>'Die Map'!CS7</f>
        <v/>
      </c>
      <c r="CT7" s="25" t="str">
        <f>'Die Map'!CT7</f>
        <v/>
      </c>
      <c r="CU7" s="25" t="str">
        <f>'Die Map'!CU7</f>
        <v/>
      </c>
      <c r="CV7" s="25" t="str">
        <f>'Die Map'!CV7</f>
        <v/>
      </c>
      <c r="CW7" s="26" t="str">
        <f>'Die Map'!CW7</f>
        <v/>
      </c>
      <c r="CX7" s="24" t="str">
        <f>'Die Map'!CX7</f>
        <v/>
      </c>
      <c r="CY7" s="25" t="str">
        <f>'Die Map'!CY7</f>
        <v/>
      </c>
      <c r="CZ7" s="25" t="str">
        <f>'Die Map'!CZ7</f>
        <v/>
      </c>
      <c r="DA7" s="25" t="str">
        <f>'Die Map'!DA7</f>
        <v/>
      </c>
      <c r="DB7" s="26" t="str">
        <f>'Die Map'!DB7</f>
        <v/>
      </c>
    </row>
    <row r="8" spans="1:106" ht="12.75" customHeight="1" x14ac:dyDescent="0.25">
      <c r="A8" s="17">
        <v>6</v>
      </c>
      <c r="B8" s="18" t="str">
        <f>'Die Map'!B8</f>
        <v/>
      </c>
      <c r="C8" s="19" t="str">
        <f>'Die Map'!C8</f>
        <v/>
      </c>
      <c r="D8" s="19" t="str">
        <f>'Die Map'!D8</f>
        <v/>
      </c>
      <c r="E8" s="19" t="str">
        <f>'Die Map'!E8</f>
        <v/>
      </c>
      <c r="F8" s="20" t="str">
        <f>'Die Map'!F8</f>
        <v/>
      </c>
      <c r="G8" s="18" t="str">
        <f>'Die Map'!G8</f>
        <v/>
      </c>
      <c r="H8" s="19" t="str">
        <f>'Die Map'!H8</f>
        <v/>
      </c>
      <c r="I8" s="19" t="str">
        <f>'Die Map'!I8</f>
        <v/>
      </c>
      <c r="J8" s="19" t="str">
        <f>'Die Map'!J8</f>
        <v/>
      </c>
      <c r="K8" s="20" t="str">
        <f>'Die Map'!K8</f>
        <v/>
      </c>
      <c r="L8" s="18" t="str">
        <f>'Die Map'!L8</f>
        <v/>
      </c>
      <c r="M8" s="19" t="str">
        <f>'Die Map'!M8</f>
        <v/>
      </c>
      <c r="N8" s="19" t="str">
        <f>'Die Map'!N8</f>
        <v/>
      </c>
      <c r="O8" s="19" t="str">
        <f>'Die Map'!O8</f>
        <v/>
      </c>
      <c r="P8" s="20" t="str">
        <f>'Die Map'!P8</f>
        <v/>
      </c>
      <c r="Q8" s="18" t="str">
        <f>'Die Map'!Q8</f>
        <v/>
      </c>
      <c r="R8" s="19" t="str">
        <f>'Die Map'!R8</f>
        <v/>
      </c>
      <c r="S8" s="19" t="str">
        <f>'Die Map'!S8</f>
        <v/>
      </c>
      <c r="T8" s="19" t="str">
        <f>'Die Map'!T8</f>
        <v/>
      </c>
      <c r="U8" s="20" t="str">
        <f>'Die Map'!U8</f>
        <v/>
      </c>
      <c r="V8" s="18" t="str">
        <f>'Die Map'!V8</f>
        <v/>
      </c>
      <c r="W8" s="19" t="str">
        <f>'Die Map'!W8</f>
        <v/>
      </c>
      <c r="X8" s="19" t="str">
        <f>'Die Map'!X8</f>
        <v/>
      </c>
      <c r="Y8" s="19" t="str">
        <f>'Die Map'!Y8</f>
        <v/>
      </c>
      <c r="Z8" s="20" t="str">
        <f>'Die Map'!Z8</f>
        <v/>
      </c>
      <c r="AA8" s="18" t="str">
        <f>'Die Map'!AA8</f>
        <v/>
      </c>
      <c r="AB8" s="19" t="str">
        <f>'Die Map'!AB8</f>
        <v/>
      </c>
      <c r="AC8" s="19" t="str">
        <f>'Die Map'!AC8</f>
        <v/>
      </c>
      <c r="AD8" s="19" t="str">
        <f>'Die Map'!AD8</f>
        <v/>
      </c>
      <c r="AE8" s="20" t="str">
        <f>'Die Map'!AE8</f>
        <v/>
      </c>
      <c r="AF8" s="18" t="str">
        <f>'Die Map'!AF8</f>
        <v>AF034</v>
      </c>
      <c r="AG8" s="19" t="str">
        <f>'Die Map'!AG8</f>
        <v>AF035</v>
      </c>
      <c r="AH8" s="19" t="str">
        <f>'Die Map'!AH8</f>
        <v>AF036</v>
      </c>
      <c r="AI8" s="19" t="str">
        <f>'Die Map'!AI8</f>
        <v>AF037</v>
      </c>
      <c r="AJ8" s="20" t="str">
        <f>'Die Map'!AJ8</f>
        <v>AF038</v>
      </c>
      <c r="AK8" s="18" t="str">
        <f>'Die Map'!AK8</f>
        <v>AF039</v>
      </c>
      <c r="AL8" s="19" t="str">
        <f>'Die Map'!AL8</f>
        <v>AF041</v>
      </c>
      <c r="AM8" s="19" t="str">
        <f>'Die Map'!AM8</f>
        <v>AF042</v>
      </c>
      <c r="AN8" s="19" t="str">
        <f>'Die Map'!AN8</f>
        <v>AF043</v>
      </c>
      <c r="AO8" s="20" t="str">
        <f>'Die Map'!AO8</f>
        <v>AF044</v>
      </c>
      <c r="AP8" s="18" t="str">
        <f>'Die Map'!AP8</f>
        <v>AF045</v>
      </c>
      <c r="AQ8" s="19" t="str">
        <f>'Die Map'!AQ8</f>
        <v>AF046</v>
      </c>
      <c r="AR8" s="19" t="str">
        <f>'Die Map'!AR8</f>
        <v>AF047</v>
      </c>
      <c r="AS8" s="19" t="str">
        <f>'Die Map'!AS8</f>
        <v>AF048</v>
      </c>
      <c r="AT8" s="20" t="str">
        <f>'Die Map'!AT8</f>
        <v>AF049</v>
      </c>
      <c r="AU8" s="18" t="str">
        <f>'Die Map'!AU8</f>
        <v>AF051</v>
      </c>
      <c r="AV8" s="19" t="str">
        <f>'Die Map'!AV8</f>
        <v>AF052</v>
      </c>
      <c r="AW8" s="19" t="str">
        <f>'Die Map'!AW8</f>
        <v>AF053</v>
      </c>
      <c r="AX8" s="19" t="str">
        <f>'Die Map'!AX8</f>
        <v>AF054</v>
      </c>
      <c r="AY8" s="20" t="str">
        <f>'Die Map'!AY8</f>
        <v>AF055</v>
      </c>
      <c r="AZ8" s="18" t="str">
        <f>'Die Map'!AZ8</f>
        <v>AF056</v>
      </c>
      <c r="BA8" s="19" t="str">
        <f>'Die Map'!BA8</f>
        <v>AF057</v>
      </c>
      <c r="BB8" s="19" t="str">
        <f>'Die Map'!BB8</f>
        <v>AF058</v>
      </c>
      <c r="BC8" s="19" t="str">
        <f>'Die Map'!BC8</f>
        <v>AF059</v>
      </c>
      <c r="BD8" s="20" t="str">
        <f>'Die Map'!BD8</f>
        <v>AF061</v>
      </c>
      <c r="BE8" s="18" t="str">
        <f>'Die Map'!BE8</f>
        <v>AF062</v>
      </c>
      <c r="BF8" s="19" t="str">
        <f>'Die Map'!BF8</f>
        <v>AF063</v>
      </c>
      <c r="BG8" s="19" t="str">
        <f>'Die Map'!BG8</f>
        <v>AF064</v>
      </c>
      <c r="BH8" s="19" t="str">
        <f>'Die Map'!BH8</f>
        <v>AF065</v>
      </c>
      <c r="BI8" s="20" t="str">
        <f>'Die Map'!BI8</f>
        <v>AF066</v>
      </c>
      <c r="BJ8" s="18" t="str">
        <f>'Die Map'!BJ8</f>
        <v>AF067</v>
      </c>
      <c r="BK8" s="19" t="str">
        <f>'Die Map'!BK8</f>
        <v>AF068</v>
      </c>
      <c r="BL8" s="19" t="str">
        <f>'Die Map'!BL8</f>
        <v>AF069</v>
      </c>
      <c r="BM8" s="19" t="str">
        <f>'Die Map'!BM8</f>
        <v>AF071</v>
      </c>
      <c r="BN8" s="20" t="str">
        <f>'Die Map'!BN8</f>
        <v>AF072</v>
      </c>
      <c r="BO8" s="18" t="str">
        <f>'Die Map'!BO8</f>
        <v>AF073</v>
      </c>
      <c r="BP8" s="19" t="str">
        <f>'Die Map'!BP8</f>
        <v>AF074</v>
      </c>
      <c r="BQ8" s="19" t="str">
        <f>'Die Map'!BQ8</f>
        <v>AF075</v>
      </c>
      <c r="BR8" s="19" t="str">
        <f>'Die Map'!BR8</f>
        <v>AF076</v>
      </c>
      <c r="BS8" s="20" t="str">
        <f>'Die Map'!BS8</f>
        <v>AF077</v>
      </c>
      <c r="BT8" s="18" t="str">
        <f>'Die Map'!BT8</f>
        <v>AF078</v>
      </c>
      <c r="BU8" s="19" t="str">
        <f>'Die Map'!BU8</f>
        <v>AF079</v>
      </c>
      <c r="BV8" s="19" t="str">
        <f>'Die Map'!BV8</f>
        <v>AF081</v>
      </c>
      <c r="BW8" s="19" t="str">
        <f>'Die Map'!BW8</f>
        <v>AF082</v>
      </c>
      <c r="BX8" s="20" t="str">
        <f>'Die Map'!BX8</f>
        <v>AF083</v>
      </c>
      <c r="BY8" s="18" t="str">
        <f>'Die Map'!BY8</f>
        <v/>
      </c>
      <c r="BZ8" s="19" t="str">
        <f>'Die Map'!BZ8</f>
        <v/>
      </c>
      <c r="CA8" s="19" t="str">
        <f>'Die Map'!CA8</f>
        <v/>
      </c>
      <c r="CB8" s="19" t="str">
        <f>'Die Map'!CB8</f>
        <v/>
      </c>
      <c r="CC8" s="20" t="str">
        <f>'Die Map'!CC8</f>
        <v/>
      </c>
      <c r="CD8" s="18" t="str">
        <f>'Die Map'!CD8</f>
        <v/>
      </c>
      <c r="CE8" s="19" t="str">
        <f>'Die Map'!CE8</f>
        <v/>
      </c>
      <c r="CF8" s="19" t="str">
        <f>'Die Map'!CF8</f>
        <v/>
      </c>
      <c r="CG8" s="19" t="str">
        <f>'Die Map'!CG8</f>
        <v/>
      </c>
      <c r="CH8" s="20" t="str">
        <f>'Die Map'!CH8</f>
        <v/>
      </c>
      <c r="CI8" s="18" t="str">
        <f>'Die Map'!CI8</f>
        <v/>
      </c>
      <c r="CJ8" s="19" t="str">
        <f>'Die Map'!CJ8</f>
        <v/>
      </c>
      <c r="CK8" s="19" t="str">
        <f>'Die Map'!CK8</f>
        <v/>
      </c>
      <c r="CL8" s="19" t="str">
        <f>'Die Map'!CL8</f>
        <v/>
      </c>
      <c r="CM8" s="20" t="str">
        <f>'Die Map'!CM8</f>
        <v/>
      </c>
      <c r="CN8" s="18" t="str">
        <f>'Die Map'!CN8</f>
        <v/>
      </c>
      <c r="CO8" s="19" t="str">
        <f>'Die Map'!CO8</f>
        <v/>
      </c>
      <c r="CP8" s="19" t="str">
        <f>'Die Map'!CP8</f>
        <v/>
      </c>
      <c r="CQ8" s="19" t="str">
        <f>'Die Map'!CQ8</f>
        <v/>
      </c>
      <c r="CR8" s="20" t="str">
        <f>'Die Map'!CR8</f>
        <v/>
      </c>
      <c r="CS8" s="18" t="str">
        <f>'Die Map'!CS8</f>
        <v/>
      </c>
      <c r="CT8" s="19" t="str">
        <f>'Die Map'!CT8</f>
        <v/>
      </c>
      <c r="CU8" s="19" t="str">
        <f>'Die Map'!CU8</f>
        <v/>
      </c>
      <c r="CV8" s="19" t="str">
        <f>'Die Map'!CV8</f>
        <v/>
      </c>
      <c r="CW8" s="20" t="str">
        <f>'Die Map'!CW8</f>
        <v/>
      </c>
      <c r="CX8" s="18" t="str">
        <f>'Die Map'!CX8</f>
        <v/>
      </c>
      <c r="CY8" s="19" t="str">
        <f>'Die Map'!CY8</f>
        <v/>
      </c>
      <c r="CZ8" s="19" t="str">
        <f>'Die Map'!CZ8</f>
        <v/>
      </c>
      <c r="DA8" s="19" t="str">
        <f>'Die Map'!DA8</f>
        <v/>
      </c>
      <c r="DB8" s="20" t="str">
        <f>'Die Map'!DB8</f>
        <v/>
      </c>
    </row>
    <row r="9" spans="1:106" ht="12.75" customHeight="1" x14ac:dyDescent="0.25">
      <c r="A9" s="17">
        <v>7</v>
      </c>
      <c r="B9" s="21" t="str">
        <f>'Die Map'!B9</f>
        <v/>
      </c>
      <c r="C9" s="22" t="str">
        <f>'Die Map'!C9</f>
        <v/>
      </c>
      <c r="D9" s="22" t="str">
        <f>'Die Map'!D9</f>
        <v/>
      </c>
      <c r="E9" s="22" t="str">
        <f>'Die Map'!E9</f>
        <v/>
      </c>
      <c r="F9" s="23" t="str">
        <f>'Die Map'!F9</f>
        <v/>
      </c>
      <c r="G9" s="21" t="str">
        <f>'Die Map'!G9</f>
        <v/>
      </c>
      <c r="H9" s="22" t="str">
        <f>'Die Map'!H9</f>
        <v/>
      </c>
      <c r="I9" s="22" t="str">
        <f>'Die Map'!I9</f>
        <v/>
      </c>
      <c r="J9" s="22" t="str">
        <f>'Die Map'!J9</f>
        <v/>
      </c>
      <c r="K9" s="23" t="str">
        <f>'Die Map'!K9</f>
        <v/>
      </c>
      <c r="L9" s="21" t="str">
        <f>'Die Map'!L9</f>
        <v/>
      </c>
      <c r="M9" s="22" t="str">
        <f>'Die Map'!M9</f>
        <v/>
      </c>
      <c r="N9" s="22" t="str">
        <f>'Die Map'!N9</f>
        <v/>
      </c>
      <c r="O9" s="22" t="str">
        <f>'Die Map'!O9</f>
        <v/>
      </c>
      <c r="P9" s="23" t="str">
        <f>'Die Map'!P9</f>
        <v/>
      </c>
      <c r="Q9" s="21" t="str">
        <f>'Die Map'!Q9</f>
        <v/>
      </c>
      <c r="R9" s="22" t="str">
        <f>'Die Map'!R9</f>
        <v/>
      </c>
      <c r="S9" s="22" t="str">
        <f>'Die Map'!S9</f>
        <v/>
      </c>
      <c r="T9" s="22" t="str">
        <f>'Die Map'!T9</f>
        <v/>
      </c>
      <c r="U9" s="23" t="str">
        <f>'Die Map'!U9</f>
        <v/>
      </c>
      <c r="V9" s="21" t="str">
        <f>'Die Map'!V9</f>
        <v/>
      </c>
      <c r="W9" s="22" t="str">
        <f>'Die Map'!W9</f>
        <v/>
      </c>
      <c r="X9" s="22" t="str">
        <f>'Die Map'!X9</f>
        <v/>
      </c>
      <c r="Y9" s="22" t="str">
        <f>'Die Map'!Y9</f>
        <v/>
      </c>
      <c r="Z9" s="23" t="str">
        <f>'Die Map'!Z9</f>
        <v/>
      </c>
      <c r="AA9" s="21" t="str">
        <f>'Die Map'!AA9</f>
        <v/>
      </c>
      <c r="AB9" s="22" t="str">
        <f>'Die Map'!AB9</f>
        <v/>
      </c>
      <c r="AC9" s="22" t="str">
        <f>'Die Map'!AC9</f>
        <v/>
      </c>
      <c r="AD9" s="22" t="str">
        <f>'Die Map'!AD9</f>
        <v/>
      </c>
      <c r="AE9" s="23" t="str">
        <f>'Die Map'!AE9</f>
        <v/>
      </c>
      <c r="AF9" s="21" t="str">
        <f>'Die Map'!AF9</f>
        <v>AG034</v>
      </c>
      <c r="AG9" s="22" t="str">
        <f>'Die Map'!AG9</f>
        <v>AG035</v>
      </c>
      <c r="AH9" s="22" t="str">
        <f>'Die Map'!AH9</f>
        <v>AG036</v>
      </c>
      <c r="AI9" s="22" t="str">
        <f>'Die Map'!AI9</f>
        <v>AG037</v>
      </c>
      <c r="AJ9" s="23" t="str">
        <f>'Die Map'!AJ9</f>
        <v>AG038</v>
      </c>
      <c r="AK9" s="21" t="str">
        <f>'Die Map'!AK9</f>
        <v>AG039</v>
      </c>
      <c r="AL9" s="22" t="str">
        <f>'Die Map'!AL9</f>
        <v>AG041</v>
      </c>
      <c r="AM9" s="22" t="str">
        <f>'Die Map'!AM9</f>
        <v>AG042</v>
      </c>
      <c r="AN9" s="22" t="str">
        <f>'Die Map'!AN9</f>
        <v>AG043</v>
      </c>
      <c r="AO9" s="23" t="str">
        <f>'Die Map'!AO9</f>
        <v>AG044</v>
      </c>
      <c r="AP9" s="21" t="str">
        <f>'Die Map'!AP9</f>
        <v>AG045</v>
      </c>
      <c r="AQ9" s="22" t="str">
        <f>'Die Map'!AQ9</f>
        <v>AG046</v>
      </c>
      <c r="AR9" s="22" t="str">
        <f>'Die Map'!AR9</f>
        <v>AG047</v>
      </c>
      <c r="AS9" s="22" t="str">
        <f>'Die Map'!AS9</f>
        <v>AG048</v>
      </c>
      <c r="AT9" s="23" t="str">
        <f>'Die Map'!AT9</f>
        <v>AG049</v>
      </c>
      <c r="AU9" s="21" t="str">
        <f>'Die Map'!AU9</f>
        <v>AG051</v>
      </c>
      <c r="AV9" s="22" t="str">
        <f>'Die Map'!AV9</f>
        <v>AG052</v>
      </c>
      <c r="AW9" s="22" t="str">
        <f>'Die Map'!AW9</f>
        <v>AG053</v>
      </c>
      <c r="AX9" s="22" t="str">
        <f>'Die Map'!AX9</f>
        <v>AG054</v>
      </c>
      <c r="AY9" s="23" t="str">
        <f>'Die Map'!AY9</f>
        <v>AG055</v>
      </c>
      <c r="AZ9" s="21" t="str">
        <f>'Die Map'!AZ9</f>
        <v>AG056</v>
      </c>
      <c r="BA9" s="22" t="str">
        <f>'Die Map'!BA9</f>
        <v>AG057</v>
      </c>
      <c r="BB9" s="22" t="str">
        <f>'Die Map'!BB9</f>
        <v>AG058</v>
      </c>
      <c r="BC9" s="22" t="str">
        <f>'Die Map'!BC9</f>
        <v>AG059</v>
      </c>
      <c r="BD9" s="23" t="str">
        <f>'Die Map'!BD9</f>
        <v>AG061</v>
      </c>
      <c r="BE9" s="21" t="str">
        <f>'Die Map'!BE9</f>
        <v>AG062</v>
      </c>
      <c r="BF9" s="22" t="str">
        <f>'Die Map'!BF9</f>
        <v>AG063</v>
      </c>
      <c r="BG9" s="22" t="str">
        <f>'Die Map'!BG9</f>
        <v>AG064</v>
      </c>
      <c r="BH9" s="22" t="str">
        <f>'Die Map'!BH9</f>
        <v>AG065</v>
      </c>
      <c r="BI9" s="23" t="str">
        <f>'Die Map'!BI9</f>
        <v>AG066</v>
      </c>
      <c r="BJ9" s="21" t="str">
        <f>'Die Map'!BJ9</f>
        <v>AG067</v>
      </c>
      <c r="BK9" s="22" t="str">
        <f>'Die Map'!BK9</f>
        <v>AG068</v>
      </c>
      <c r="BL9" s="22" t="str">
        <f>'Die Map'!BL9</f>
        <v>AG069</v>
      </c>
      <c r="BM9" s="22" t="str">
        <f>'Die Map'!BM9</f>
        <v>AG071</v>
      </c>
      <c r="BN9" s="23" t="str">
        <f>'Die Map'!BN9</f>
        <v>AG072</v>
      </c>
      <c r="BO9" s="21" t="str">
        <f>'Die Map'!BO9</f>
        <v>AG073</v>
      </c>
      <c r="BP9" s="22" t="str">
        <f>'Die Map'!BP9</f>
        <v>AG074</v>
      </c>
      <c r="BQ9" s="22" t="str">
        <f>'Die Map'!BQ9</f>
        <v>AG075</v>
      </c>
      <c r="BR9" s="22" t="str">
        <f>'Die Map'!BR9</f>
        <v>AG076</v>
      </c>
      <c r="BS9" s="23" t="str">
        <f>'Die Map'!BS9</f>
        <v>AG077</v>
      </c>
      <c r="BT9" s="21" t="str">
        <f>'Die Map'!BT9</f>
        <v>AG078</v>
      </c>
      <c r="BU9" s="22" t="str">
        <f>'Die Map'!BU9</f>
        <v>AG079</v>
      </c>
      <c r="BV9" s="22" t="str">
        <f>'Die Map'!BV9</f>
        <v>AG081</v>
      </c>
      <c r="BW9" s="22" t="str">
        <f>'Die Map'!BW9</f>
        <v>AG082</v>
      </c>
      <c r="BX9" s="23" t="str">
        <f>'Die Map'!BX9</f>
        <v>AG083</v>
      </c>
      <c r="BY9" s="21" t="str">
        <f>'Die Map'!BY9</f>
        <v/>
      </c>
      <c r="BZ9" s="22" t="str">
        <f>'Die Map'!BZ9</f>
        <v/>
      </c>
      <c r="CA9" s="22" t="str">
        <f>'Die Map'!CA9</f>
        <v/>
      </c>
      <c r="CB9" s="22" t="str">
        <f>'Die Map'!CB9</f>
        <v/>
      </c>
      <c r="CC9" s="23" t="str">
        <f>'Die Map'!CC9</f>
        <v/>
      </c>
      <c r="CD9" s="21" t="str">
        <f>'Die Map'!CD9</f>
        <v/>
      </c>
      <c r="CE9" s="22" t="str">
        <f>'Die Map'!CE9</f>
        <v/>
      </c>
      <c r="CF9" s="22" t="str">
        <f>'Die Map'!CF9</f>
        <v/>
      </c>
      <c r="CG9" s="22" t="str">
        <f>'Die Map'!CG9</f>
        <v/>
      </c>
      <c r="CH9" s="23" t="str">
        <f>'Die Map'!CH9</f>
        <v/>
      </c>
      <c r="CI9" s="21" t="str">
        <f>'Die Map'!CI9</f>
        <v/>
      </c>
      <c r="CJ9" s="22" t="str">
        <f>'Die Map'!CJ9</f>
        <v/>
      </c>
      <c r="CK9" s="22" t="str">
        <f>'Die Map'!CK9</f>
        <v/>
      </c>
      <c r="CL9" s="22" t="str">
        <f>'Die Map'!CL9</f>
        <v/>
      </c>
      <c r="CM9" s="23" t="str">
        <f>'Die Map'!CM9</f>
        <v/>
      </c>
      <c r="CN9" s="21" t="str">
        <f>'Die Map'!CN9</f>
        <v/>
      </c>
      <c r="CO9" s="22" t="str">
        <f>'Die Map'!CO9</f>
        <v/>
      </c>
      <c r="CP9" s="22" t="str">
        <f>'Die Map'!CP9</f>
        <v/>
      </c>
      <c r="CQ9" s="22" t="str">
        <f>'Die Map'!CQ9</f>
        <v/>
      </c>
      <c r="CR9" s="23" t="str">
        <f>'Die Map'!CR9</f>
        <v/>
      </c>
      <c r="CS9" s="21" t="str">
        <f>'Die Map'!CS9</f>
        <v/>
      </c>
      <c r="CT9" s="22" t="str">
        <f>'Die Map'!CT9</f>
        <v/>
      </c>
      <c r="CU9" s="22" t="str">
        <f>'Die Map'!CU9</f>
        <v/>
      </c>
      <c r="CV9" s="22" t="str">
        <f>'Die Map'!CV9</f>
        <v/>
      </c>
      <c r="CW9" s="23" t="str">
        <f>'Die Map'!CW9</f>
        <v/>
      </c>
      <c r="CX9" s="21" t="str">
        <f>'Die Map'!CX9</f>
        <v/>
      </c>
      <c r="CY9" s="22" t="str">
        <f>'Die Map'!CY9</f>
        <v/>
      </c>
      <c r="CZ9" s="22" t="str">
        <f>'Die Map'!CZ9</f>
        <v/>
      </c>
      <c r="DA9" s="22" t="str">
        <f>'Die Map'!DA9</f>
        <v/>
      </c>
      <c r="DB9" s="23" t="str">
        <f>'Die Map'!DB9</f>
        <v/>
      </c>
    </row>
    <row r="10" spans="1:106" ht="12.75" customHeight="1" x14ac:dyDescent="0.25">
      <c r="A10" s="17">
        <v>8</v>
      </c>
      <c r="B10" s="21" t="str">
        <f>'Die Map'!B10</f>
        <v/>
      </c>
      <c r="C10" s="22" t="str">
        <f>'Die Map'!C10</f>
        <v/>
      </c>
      <c r="D10" s="22" t="str">
        <f>'Die Map'!D10</f>
        <v/>
      </c>
      <c r="E10" s="22" t="str">
        <f>'Die Map'!E10</f>
        <v/>
      </c>
      <c r="F10" s="23" t="str">
        <f>'Die Map'!F10</f>
        <v/>
      </c>
      <c r="G10" s="21" t="str">
        <f>'Die Map'!G10</f>
        <v/>
      </c>
      <c r="H10" s="22" t="str">
        <f>'Die Map'!H10</f>
        <v/>
      </c>
      <c r="I10" s="22" t="str">
        <f>'Die Map'!I10</f>
        <v/>
      </c>
      <c r="J10" s="22" t="str">
        <f>'Die Map'!J10</f>
        <v/>
      </c>
      <c r="K10" s="23" t="str">
        <f>'Die Map'!K10</f>
        <v/>
      </c>
      <c r="L10" s="21" t="str">
        <f>'Die Map'!L10</f>
        <v/>
      </c>
      <c r="M10" s="22" t="str">
        <f>'Die Map'!M10</f>
        <v/>
      </c>
      <c r="N10" s="22" t="str">
        <f>'Die Map'!N10</f>
        <v/>
      </c>
      <c r="O10" s="22" t="str">
        <f>'Die Map'!O10</f>
        <v/>
      </c>
      <c r="P10" s="23" t="str">
        <f>'Die Map'!P10</f>
        <v/>
      </c>
      <c r="Q10" s="21" t="str">
        <f>'Die Map'!Q10</f>
        <v/>
      </c>
      <c r="R10" s="22" t="str">
        <f>'Die Map'!R10</f>
        <v/>
      </c>
      <c r="S10" s="22" t="str">
        <f>'Die Map'!S10</f>
        <v/>
      </c>
      <c r="T10" s="22" t="str">
        <f>'Die Map'!T10</f>
        <v/>
      </c>
      <c r="U10" s="23" t="str">
        <f>'Die Map'!U10</f>
        <v/>
      </c>
      <c r="V10" s="21" t="str">
        <f>'Die Map'!V10</f>
        <v/>
      </c>
      <c r="W10" s="22" t="str">
        <f>'Die Map'!W10</f>
        <v/>
      </c>
      <c r="X10" s="22" t="str">
        <f>'Die Map'!X10</f>
        <v/>
      </c>
      <c r="Y10" s="22" t="str">
        <f>'Die Map'!Y10</f>
        <v/>
      </c>
      <c r="Z10" s="23" t="str">
        <f>'Die Map'!Z10</f>
        <v/>
      </c>
      <c r="AA10" s="21" t="str">
        <f>'Die Map'!AA10</f>
        <v/>
      </c>
      <c r="AB10" s="22" t="str">
        <f>'Die Map'!AB10</f>
        <v/>
      </c>
      <c r="AC10" s="22" t="str">
        <f>'Die Map'!AC10</f>
        <v/>
      </c>
      <c r="AD10" s="22" t="str">
        <f>'Die Map'!AD10</f>
        <v/>
      </c>
      <c r="AE10" s="23" t="str">
        <f>'Die Map'!AE10</f>
        <v/>
      </c>
      <c r="AF10" s="21" t="str">
        <f>'Die Map'!AF10</f>
        <v>AH034</v>
      </c>
      <c r="AG10" s="22" t="str">
        <f>'Die Map'!AG10</f>
        <v>AH035</v>
      </c>
      <c r="AH10" s="22" t="str">
        <f>'Die Map'!AH10</f>
        <v>AH036</v>
      </c>
      <c r="AI10" s="22" t="str">
        <f>'Die Map'!AI10</f>
        <v>AH037</v>
      </c>
      <c r="AJ10" s="23" t="str">
        <f>'Die Map'!AJ10</f>
        <v>AH038</v>
      </c>
      <c r="AK10" s="21" t="str">
        <f>'Die Map'!AK10</f>
        <v>AH039</v>
      </c>
      <c r="AL10" s="22" t="str">
        <f>'Die Map'!AL10</f>
        <v>AH041</v>
      </c>
      <c r="AM10" s="22" t="str">
        <f>'Die Map'!AM10</f>
        <v>AH042</v>
      </c>
      <c r="AN10" s="22" t="str">
        <f>'Die Map'!AN10</f>
        <v>AH043</v>
      </c>
      <c r="AO10" s="23" t="str">
        <f>'Die Map'!AO10</f>
        <v>AH044</v>
      </c>
      <c r="AP10" s="21" t="str">
        <f>'Die Map'!AP10</f>
        <v>AH045</v>
      </c>
      <c r="AQ10" s="22" t="str">
        <f>'Die Map'!AQ10</f>
        <v>AH046</v>
      </c>
      <c r="AR10" s="22" t="str">
        <f>'Die Map'!AR10</f>
        <v>AH047</v>
      </c>
      <c r="AS10" s="22" t="str">
        <f>'Die Map'!AS10</f>
        <v>AH048</v>
      </c>
      <c r="AT10" s="23" t="str">
        <f>'Die Map'!AT10</f>
        <v>AH049</v>
      </c>
      <c r="AU10" s="21" t="str">
        <f>'Die Map'!AU10</f>
        <v>AH051</v>
      </c>
      <c r="AV10" s="22" t="str">
        <f>'Die Map'!AV10</f>
        <v>AH052</v>
      </c>
      <c r="AW10" s="22" t="str">
        <f>'Die Map'!AW10</f>
        <v>AH053</v>
      </c>
      <c r="AX10" s="22" t="str">
        <f>'Die Map'!AX10</f>
        <v>AH054</v>
      </c>
      <c r="AY10" s="23" t="str">
        <f>'Die Map'!AY10</f>
        <v>AH055</v>
      </c>
      <c r="AZ10" s="21" t="str">
        <f>'Die Map'!AZ10</f>
        <v>AH056</v>
      </c>
      <c r="BA10" s="22" t="str">
        <f>'Die Map'!BA10</f>
        <v>AH057</v>
      </c>
      <c r="BB10" s="22" t="str">
        <f>'Die Map'!BB10</f>
        <v>AH058</v>
      </c>
      <c r="BC10" s="22" t="str">
        <f>'Die Map'!BC10</f>
        <v>AH059</v>
      </c>
      <c r="BD10" s="23" t="str">
        <f>'Die Map'!BD10</f>
        <v>AH061</v>
      </c>
      <c r="BE10" s="21" t="str">
        <f>'Die Map'!BE10</f>
        <v>AH062</v>
      </c>
      <c r="BF10" s="22" t="str">
        <f>'Die Map'!BF10</f>
        <v>AH063</v>
      </c>
      <c r="BG10" s="22" t="str">
        <f>'Die Map'!BG10</f>
        <v>AH064</v>
      </c>
      <c r="BH10" s="22" t="str">
        <f>'Die Map'!BH10</f>
        <v>AH065</v>
      </c>
      <c r="BI10" s="23" t="str">
        <f>'Die Map'!BI10</f>
        <v>AH066</v>
      </c>
      <c r="BJ10" s="21" t="str">
        <f>'Die Map'!BJ10</f>
        <v>AH067</v>
      </c>
      <c r="BK10" s="22" t="str">
        <f>'Die Map'!BK10</f>
        <v>AH068</v>
      </c>
      <c r="BL10" s="22" t="str">
        <f>'Die Map'!BL10</f>
        <v>AH069</v>
      </c>
      <c r="BM10" s="22" t="str">
        <f>'Die Map'!BM10</f>
        <v>AH071</v>
      </c>
      <c r="BN10" s="23" t="str">
        <f>'Die Map'!BN10</f>
        <v>AH072</v>
      </c>
      <c r="BO10" s="21" t="str">
        <f>'Die Map'!BO10</f>
        <v>AH073</v>
      </c>
      <c r="BP10" s="22" t="str">
        <f>'Die Map'!BP10</f>
        <v>AH074</v>
      </c>
      <c r="BQ10" s="22" t="str">
        <f>'Die Map'!BQ10</f>
        <v>AH075</v>
      </c>
      <c r="BR10" s="22" t="str">
        <f>'Die Map'!BR10</f>
        <v>AH076</v>
      </c>
      <c r="BS10" s="23" t="str">
        <f>'Die Map'!BS10</f>
        <v>AH077</v>
      </c>
      <c r="BT10" s="21" t="str">
        <f>'Die Map'!BT10</f>
        <v>AH078</v>
      </c>
      <c r="BU10" s="22" t="str">
        <f>'Die Map'!BU10</f>
        <v>AH079</v>
      </c>
      <c r="BV10" s="22" t="str">
        <f>'Die Map'!BV10</f>
        <v>AH081</v>
      </c>
      <c r="BW10" s="22" t="str">
        <f>'Die Map'!BW10</f>
        <v>AH082</v>
      </c>
      <c r="BX10" s="23" t="str">
        <f>'Die Map'!BX10</f>
        <v>AH083</v>
      </c>
      <c r="BY10" s="21" t="str">
        <f>'Die Map'!BY10</f>
        <v/>
      </c>
      <c r="BZ10" s="22" t="str">
        <f>'Die Map'!BZ10</f>
        <v/>
      </c>
      <c r="CA10" s="22" t="str">
        <f>'Die Map'!CA10</f>
        <v/>
      </c>
      <c r="CB10" s="22" t="str">
        <f>'Die Map'!CB10</f>
        <v/>
      </c>
      <c r="CC10" s="23" t="str">
        <f>'Die Map'!CC10</f>
        <v/>
      </c>
      <c r="CD10" s="21" t="str">
        <f>'Die Map'!CD10</f>
        <v/>
      </c>
      <c r="CE10" s="22" t="str">
        <f>'Die Map'!CE10</f>
        <v/>
      </c>
      <c r="CF10" s="22" t="str">
        <f>'Die Map'!CF10</f>
        <v/>
      </c>
      <c r="CG10" s="22" t="str">
        <f>'Die Map'!CG10</f>
        <v/>
      </c>
      <c r="CH10" s="23" t="str">
        <f>'Die Map'!CH10</f>
        <v/>
      </c>
      <c r="CI10" s="21" t="str">
        <f>'Die Map'!CI10</f>
        <v/>
      </c>
      <c r="CJ10" s="22" t="str">
        <f>'Die Map'!CJ10</f>
        <v/>
      </c>
      <c r="CK10" s="22" t="str">
        <f>'Die Map'!CK10</f>
        <v/>
      </c>
      <c r="CL10" s="22" t="str">
        <f>'Die Map'!CL10</f>
        <v/>
      </c>
      <c r="CM10" s="23" t="str">
        <f>'Die Map'!CM10</f>
        <v/>
      </c>
      <c r="CN10" s="21" t="str">
        <f>'Die Map'!CN10</f>
        <v/>
      </c>
      <c r="CO10" s="22" t="str">
        <f>'Die Map'!CO10</f>
        <v/>
      </c>
      <c r="CP10" s="22" t="str">
        <f>'Die Map'!CP10</f>
        <v/>
      </c>
      <c r="CQ10" s="22" t="str">
        <f>'Die Map'!CQ10</f>
        <v/>
      </c>
      <c r="CR10" s="23" t="str">
        <f>'Die Map'!CR10</f>
        <v/>
      </c>
      <c r="CS10" s="21" t="str">
        <f>'Die Map'!CS10</f>
        <v/>
      </c>
      <c r="CT10" s="22" t="str">
        <f>'Die Map'!CT10</f>
        <v/>
      </c>
      <c r="CU10" s="22" t="str">
        <f>'Die Map'!CU10</f>
        <v/>
      </c>
      <c r="CV10" s="22" t="str">
        <f>'Die Map'!CV10</f>
        <v/>
      </c>
      <c r="CW10" s="23" t="str">
        <f>'Die Map'!CW10</f>
        <v/>
      </c>
      <c r="CX10" s="21" t="str">
        <f>'Die Map'!CX10</f>
        <v/>
      </c>
      <c r="CY10" s="22" t="str">
        <f>'Die Map'!CY10</f>
        <v/>
      </c>
      <c r="CZ10" s="22" t="str">
        <f>'Die Map'!CZ10</f>
        <v/>
      </c>
      <c r="DA10" s="22" t="str">
        <f>'Die Map'!DA10</f>
        <v/>
      </c>
      <c r="DB10" s="23" t="str">
        <f>'Die Map'!DB10</f>
        <v/>
      </c>
    </row>
    <row r="11" spans="1:106" ht="12.75" customHeight="1" x14ac:dyDescent="0.25">
      <c r="A11" s="17">
        <v>9</v>
      </c>
      <c r="B11" s="21" t="str">
        <f>'Die Map'!B11</f>
        <v/>
      </c>
      <c r="C11" s="22" t="str">
        <f>'Die Map'!C11</f>
        <v/>
      </c>
      <c r="D11" s="22" t="str">
        <f>'Die Map'!D11</f>
        <v/>
      </c>
      <c r="E11" s="22" t="str">
        <f>'Die Map'!E11</f>
        <v/>
      </c>
      <c r="F11" s="23" t="str">
        <f>'Die Map'!F11</f>
        <v/>
      </c>
      <c r="G11" s="21" t="str">
        <f>'Die Map'!G11</f>
        <v/>
      </c>
      <c r="H11" s="22" t="str">
        <f>'Die Map'!H11</f>
        <v/>
      </c>
      <c r="I11" s="22" t="str">
        <f>'Die Map'!I11</f>
        <v/>
      </c>
      <c r="J11" s="22" t="str">
        <f>'Die Map'!J11</f>
        <v/>
      </c>
      <c r="K11" s="23" t="str">
        <f>'Die Map'!K11</f>
        <v/>
      </c>
      <c r="L11" s="21" t="str">
        <f>'Die Map'!L11</f>
        <v/>
      </c>
      <c r="M11" s="22" t="str">
        <f>'Die Map'!M11</f>
        <v/>
      </c>
      <c r="N11" s="22" t="str">
        <f>'Die Map'!N11</f>
        <v/>
      </c>
      <c r="O11" s="22" t="str">
        <f>'Die Map'!O11</f>
        <v/>
      </c>
      <c r="P11" s="23" t="str">
        <f>'Die Map'!P11</f>
        <v/>
      </c>
      <c r="Q11" s="21" t="str">
        <f>'Die Map'!Q11</f>
        <v/>
      </c>
      <c r="R11" s="22" t="str">
        <f>'Die Map'!R11</f>
        <v/>
      </c>
      <c r="S11" s="22" t="str">
        <f>'Die Map'!S11</f>
        <v/>
      </c>
      <c r="T11" s="22" t="str">
        <f>'Die Map'!T11</f>
        <v/>
      </c>
      <c r="U11" s="23" t="str">
        <f>'Die Map'!U11</f>
        <v/>
      </c>
      <c r="V11" s="21" t="str">
        <f>'Die Map'!V11</f>
        <v/>
      </c>
      <c r="W11" s="22" t="str">
        <f>'Die Map'!W11</f>
        <v/>
      </c>
      <c r="X11" s="22" t="str">
        <f>'Die Map'!X11</f>
        <v/>
      </c>
      <c r="Y11" s="22" t="str">
        <f>'Die Map'!Y11</f>
        <v/>
      </c>
      <c r="Z11" s="23" t="str">
        <f>'Die Map'!Z11</f>
        <v/>
      </c>
      <c r="AA11" s="21" t="str">
        <f>'Die Map'!AA11</f>
        <v/>
      </c>
      <c r="AB11" s="22" t="str">
        <f>'Die Map'!AB11</f>
        <v/>
      </c>
      <c r="AC11" s="22" t="str">
        <f>'Die Map'!AC11</f>
        <v/>
      </c>
      <c r="AD11" s="22" t="str">
        <f>'Die Map'!AD11</f>
        <v/>
      </c>
      <c r="AE11" s="23" t="str">
        <f>'Die Map'!AE11</f>
        <v/>
      </c>
      <c r="AF11" s="21" t="str">
        <f>'Die Map'!AF11</f>
        <v>AJ034</v>
      </c>
      <c r="AG11" s="22" t="str">
        <f>'Die Map'!AG11</f>
        <v>AJ035</v>
      </c>
      <c r="AH11" s="22" t="str">
        <f>'Die Map'!AH11</f>
        <v>AJ036</v>
      </c>
      <c r="AI11" s="22" t="str">
        <f>'Die Map'!AI11</f>
        <v>AJ037</v>
      </c>
      <c r="AJ11" s="23" t="str">
        <f>'Die Map'!AJ11</f>
        <v>AJ038</v>
      </c>
      <c r="AK11" s="21" t="str">
        <f>'Die Map'!AK11</f>
        <v>AJ039</v>
      </c>
      <c r="AL11" s="22" t="str">
        <f>'Die Map'!AL11</f>
        <v>AJ041</v>
      </c>
      <c r="AM11" s="22" t="str">
        <f>'Die Map'!AM11</f>
        <v>AJ042</v>
      </c>
      <c r="AN11" s="22" t="str">
        <f>'Die Map'!AN11</f>
        <v>AJ043</v>
      </c>
      <c r="AO11" s="23" t="str">
        <f>'Die Map'!AO11</f>
        <v>AJ044</v>
      </c>
      <c r="AP11" s="21" t="str">
        <f>'Die Map'!AP11</f>
        <v>AJ045</v>
      </c>
      <c r="AQ11" s="22" t="str">
        <f>'Die Map'!AQ11</f>
        <v>AJ046</v>
      </c>
      <c r="AR11" s="22" t="str">
        <f>'Die Map'!AR11</f>
        <v>AJ047</v>
      </c>
      <c r="AS11" s="22" t="str">
        <f>'Die Map'!AS11</f>
        <v>AJ048</v>
      </c>
      <c r="AT11" s="23" t="str">
        <f>'Die Map'!AT11</f>
        <v>AJ049</v>
      </c>
      <c r="AU11" s="21" t="str">
        <f>'Die Map'!AU11</f>
        <v>AJ051</v>
      </c>
      <c r="AV11" s="22" t="str">
        <f>'Die Map'!AV11</f>
        <v>AJ052</v>
      </c>
      <c r="AW11" s="22" t="str">
        <f>'Die Map'!AW11</f>
        <v>AJ053</v>
      </c>
      <c r="AX11" s="22" t="str">
        <f>'Die Map'!AX11</f>
        <v>AJ054</v>
      </c>
      <c r="AY11" s="23" t="str">
        <f>'Die Map'!AY11</f>
        <v>AJ055</v>
      </c>
      <c r="AZ11" s="21" t="str">
        <f>'Die Map'!AZ11</f>
        <v>AJ056</v>
      </c>
      <c r="BA11" s="22" t="str">
        <f>'Die Map'!BA11</f>
        <v>AJ057</v>
      </c>
      <c r="BB11" s="22" t="str">
        <f>'Die Map'!BB11</f>
        <v>AJ058</v>
      </c>
      <c r="BC11" s="22" t="str">
        <f>'Die Map'!BC11</f>
        <v>AJ059</v>
      </c>
      <c r="BD11" s="23" t="str">
        <f>'Die Map'!BD11</f>
        <v>AJ061</v>
      </c>
      <c r="BE11" s="21" t="str">
        <f>'Die Map'!BE11</f>
        <v>AJ062</v>
      </c>
      <c r="BF11" s="22" t="str">
        <f>'Die Map'!BF11</f>
        <v>AJ063</v>
      </c>
      <c r="BG11" s="22" t="str">
        <f>'Die Map'!BG11</f>
        <v>AJ064</v>
      </c>
      <c r="BH11" s="22" t="str">
        <f>'Die Map'!BH11</f>
        <v>AJ065</v>
      </c>
      <c r="BI11" s="23" t="str">
        <f>'Die Map'!BI11</f>
        <v>AJ066</v>
      </c>
      <c r="BJ11" s="21" t="str">
        <f>'Die Map'!BJ11</f>
        <v>AJ067</v>
      </c>
      <c r="BK11" s="22" t="str">
        <f>'Die Map'!BK11</f>
        <v>AJ068</v>
      </c>
      <c r="BL11" s="22" t="str">
        <f>'Die Map'!BL11</f>
        <v>AJ069</v>
      </c>
      <c r="BM11" s="22" t="str">
        <f>'Die Map'!BM11</f>
        <v>AJ071</v>
      </c>
      <c r="BN11" s="23" t="str">
        <f>'Die Map'!BN11</f>
        <v>AJ072</v>
      </c>
      <c r="BO11" s="21" t="str">
        <f>'Die Map'!BO11</f>
        <v>AJ073</v>
      </c>
      <c r="BP11" s="22" t="str">
        <f>'Die Map'!BP11</f>
        <v>AJ074</v>
      </c>
      <c r="BQ11" s="22" t="str">
        <f>'Die Map'!BQ11</f>
        <v>AJ075</v>
      </c>
      <c r="BR11" s="22" t="str">
        <f>'Die Map'!BR11</f>
        <v>AJ076</v>
      </c>
      <c r="BS11" s="23" t="str">
        <f>'Die Map'!BS11</f>
        <v>AJ077</v>
      </c>
      <c r="BT11" s="21" t="str">
        <f>'Die Map'!BT11</f>
        <v>AJ078</v>
      </c>
      <c r="BU11" s="22" t="str">
        <f>'Die Map'!BU11</f>
        <v>AJ079</v>
      </c>
      <c r="BV11" s="22" t="str">
        <f>'Die Map'!BV11</f>
        <v>AJ081</v>
      </c>
      <c r="BW11" s="22" t="str">
        <f>'Die Map'!BW11</f>
        <v>AJ082</v>
      </c>
      <c r="BX11" s="23" t="str">
        <f>'Die Map'!BX11</f>
        <v>AJ083</v>
      </c>
      <c r="BY11" s="21" t="str">
        <f>'Die Map'!BY11</f>
        <v/>
      </c>
      <c r="BZ11" s="22" t="str">
        <f>'Die Map'!BZ11</f>
        <v/>
      </c>
      <c r="CA11" s="22" t="str">
        <f>'Die Map'!CA11</f>
        <v/>
      </c>
      <c r="CB11" s="22" t="str">
        <f>'Die Map'!CB11</f>
        <v/>
      </c>
      <c r="CC11" s="23" t="str">
        <f>'Die Map'!CC11</f>
        <v/>
      </c>
      <c r="CD11" s="21" t="str">
        <f>'Die Map'!CD11</f>
        <v/>
      </c>
      <c r="CE11" s="22" t="str">
        <f>'Die Map'!CE11</f>
        <v/>
      </c>
      <c r="CF11" s="22" t="str">
        <f>'Die Map'!CF11</f>
        <v/>
      </c>
      <c r="CG11" s="22" t="str">
        <f>'Die Map'!CG11</f>
        <v/>
      </c>
      <c r="CH11" s="23" t="str">
        <f>'Die Map'!CH11</f>
        <v/>
      </c>
      <c r="CI11" s="21" t="str">
        <f>'Die Map'!CI11</f>
        <v/>
      </c>
      <c r="CJ11" s="22" t="str">
        <f>'Die Map'!CJ11</f>
        <v/>
      </c>
      <c r="CK11" s="22" t="str">
        <f>'Die Map'!CK11</f>
        <v/>
      </c>
      <c r="CL11" s="22" t="str">
        <f>'Die Map'!CL11</f>
        <v/>
      </c>
      <c r="CM11" s="23" t="str">
        <f>'Die Map'!CM11</f>
        <v/>
      </c>
      <c r="CN11" s="21" t="str">
        <f>'Die Map'!CN11</f>
        <v/>
      </c>
      <c r="CO11" s="22" t="str">
        <f>'Die Map'!CO11</f>
        <v/>
      </c>
      <c r="CP11" s="22" t="str">
        <f>'Die Map'!CP11</f>
        <v/>
      </c>
      <c r="CQ11" s="22" t="str">
        <f>'Die Map'!CQ11</f>
        <v/>
      </c>
      <c r="CR11" s="23" t="str">
        <f>'Die Map'!CR11</f>
        <v/>
      </c>
      <c r="CS11" s="21" t="str">
        <f>'Die Map'!CS11</f>
        <v/>
      </c>
      <c r="CT11" s="22" t="str">
        <f>'Die Map'!CT11</f>
        <v/>
      </c>
      <c r="CU11" s="22" t="str">
        <f>'Die Map'!CU11</f>
        <v/>
      </c>
      <c r="CV11" s="22" t="str">
        <f>'Die Map'!CV11</f>
        <v/>
      </c>
      <c r="CW11" s="23" t="str">
        <f>'Die Map'!CW11</f>
        <v/>
      </c>
      <c r="CX11" s="21" t="str">
        <f>'Die Map'!CX11</f>
        <v/>
      </c>
      <c r="CY11" s="22" t="str">
        <f>'Die Map'!CY11</f>
        <v/>
      </c>
      <c r="CZ11" s="22" t="str">
        <f>'Die Map'!CZ11</f>
        <v/>
      </c>
      <c r="DA11" s="22" t="str">
        <f>'Die Map'!DA11</f>
        <v/>
      </c>
      <c r="DB11" s="23" t="str">
        <f>'Die Map'!DB11</f>
        <v/>
      </c>
    </row>
    <row r="12" spans="1:106" ht="12.75" customHeight="1" x14ac:dyDescent="0.25">
      <c r="A12" s="17">
        <v>10</v>
      </c>
      <c r="B12" s="24" t="str">
        <f>'Die Map'!B12</f>
        <v/>
      </c>
      <c r="C12" s="25" t="str">
        <f>'Die Map'!C12</f>
        <v/>
      </c>
      <c r="D12" s="25" t="str">
        <f>'Die Map'!D12</f>
        <v/>
      </c>
      <c r="E12" s="25" t="str">
        <f>'Die Map'!E12</f>
        <v/>
      </c>
      <c r="F12" s="26" t="str">
        <f>'Die Map'!F12</f>
        <v/>
      </c>
      <c r="G12" s="24" t="str">
        <f>'Die Map'!G12</f>
        <v/>
      </c>
      <c r="H12" s="25" t="str">
        <f>'Die Map'!H12</f>
        <v/>
      </c>
      <c r="I12" s="25" t="str">
        <f>'Die Map'!I12</f>
        <v/>
      </c>
      <c r="J12" s="25" t="str">
        <f>'Die Map'!J12</f>
        <v/>
      </c>
      <c r="K12" s="26" t="str">
        <f>'Die Map'!K12</f>
        <v/>
      </c>
      <c r="L12" s="24" t="str">
        <f>'Die Map'!L12</f>
        <v/>
      </c>
      <c r="M12" s="25" t="str">
        <f>'Die Map'!M12</f>
        <v/>
      </c>
      <c r="N12" s="25" t="str">
        <f>'Die Map'!N12</f>
        <v/>
      </c>
      <c r="O12" s="25" t="str">
        <f>'Die Map'!O12</f>
        <v/>
      </c>
      <c r="P12" s="26" t="str">
        <f>'Die Map'!P12</f>
        <v/>
      </c>
      <c r="Q12" s="24" t="str">
        <f>'Die Map'!Q12</f>
        <v/>
      </c>
      <c r="R12" s="25" t="str">
        <f>'Die Map'!R12</f>
        <v/>
      </c>
      <c r="S12" s="25" t="str">
        <f>'Die Map'!S12</f>
        <v/>
      </c>
      <c r="T12" s="25" t="str">
        <f>'Die Map'!T12</f>
        <v/>
      </c>
      <c r="U12" s="26" t="str">
        <f>'Die Map'!U12</f>
        <v/>
      </c>
      <c r="V12" s="24" t="str">
        <f>'Die Map'!V12</f>
        <v/>
      </c>
      <c r="W12" s="25" t="str">
        <f>'Die Map'!W12</f>
        <v/>
      </c>
      <c r="X12" s="25" t="str">
        <f>'Die Map'!X12</f>
        <v/>
      </c>
      <c r="Y12" s="25" t="str">
        <f>'Die Map'!Y12</f>
        <v/>
      </c>
      <c r="Z12" s="26" t="str">
        <f>'Die Map'!Z12</f>
        <v/>
      </c>
      <c r="AA12" s="24" t="str">
        <f>'Die Map'!AA12</f>
        <v/>
      </c>
      <c r="AB12" s="25" t="str">
        <f>'Die Map'!AB12</f>
        <v/>
      </c>
      <c r="AC12" s="25" t="str">
        <f>'Die Map'!AC12</f>
        <v/>
      </c>
      <c r="AD12" s="25" t="str">
        <f>'Die Map'!AD12</f>
        <v/>
      </c>
      <c r="AE12" s="26" t="str">
        <f>'Die Map'!AE12</f>
        <v/>
      </c>
      <c r="AF12" s="24" t="str">
        <f>'Die Map'!AF12</f>
        <v>AK034</v>
      </c>
      <c r="AG12" s="25" t="str">
        <f>'Die Map'!AG12</f>
        <v>AK035</v>
      </c>
      <c r="AH12" s="25" t="str">
        <f>'Die Map'!AH12</f>
        <v>AK036</v>
      </c>
      <c r="AI12" s="25" t="str">
        <f>'Die Map'!AI12</f>
        <v>AK037</v>
      </c>
      <c r="AJ12" s="26" t="str">
        <f>'Die Map'!AJ12</f>
        <v>AK038</v>
      </c>
      <c r="AK12" s="24" t="str">
        <f>'Die Map'!AK12</f>
        <v>AK039</v>
      </c>
      <c r="AL12" s="25" t="str">
        <f>'Die Map'!AL12</f>
        <v>AK041</v>
      </c>
      <c r="AM12" s="25" t="str">
        <f>'Die Map'!AM12</f>
        <v>AK042</v>
      </c>
      <c r="AN12" s="25" t="str">
        <f>'Die Map'!AN12</f>
        <v>AK043</v>
      </c>
      <c r="AO12" s="26" t="str">
        <f>'Die Map'!AO12</f>
        <v>AK044</v>
      </c>
      <c r="AP12" s="24" t="str">
        <f>'Die Map'!AP12</f>
        <v>AK045</v>
      </c>
      <c r="AQ12" s="25" t="str">
        <f>'Die Map'!AQ12</f>
        <v>AK046</v>
      </c>
      <c r="AR12" s="25" t="str">
        <f>'Die Map'!AR12</f>
        <v>AK047</v>
      </c>
      <c r="AS12" s="25" t="str">
        <f>'Die Map'!AS12</f>
        <v>AK048</v>
      </c>
      <c r="AT12" s="26" t="str">
        <f>'Die Map'!AT12</f>
        <v>AK049</v>
      </c>
      <c r="AU12" s="24" t="str">
        <f>'Die Map'!AU12</f>
        <v>AK051</v>
      </c>
      <c r="AV12" s="25" t="str">
        <f>'Die Map'!AV12</f>
        <v>AK052</v>
      </c>
      <c r="AW12" s="25" t="str">
        <f>'Die Map'!AW12</f>
        <v>AK053</v>
      </c>
      <c r="AX12" s="25" t="str">
        <f>'Die Map'!AX12</f>
        <v>AK054</v>
      </c>
      <c r="AY12" s="26" t="str">
        <f>'Die Map'!AY12</f>
        <v>AK055</v>
      </c>
      <c r="AZ12" s="24" t="str">
        <f>'Die Map'!AZ12</f>
        <v>AK056</v>
      </c>
      <c r="BA12" s="25" t="str">
        <f>'Die Map'!BA12</f>
        <v>AK057</v>
      </c>
      <c r="BB12" s="25" t="str">
        <f>'Die Map'!BB12</f>
        <v>AK058</v>
      </c>
      <c r="BC12" s="25" t="str">
        <f>'Die Map'!BC12</f>
        <v>AK059</v>
      </c>
      <c r="BD12" s="26" t="str">
        <f>'Die Map'!BD12</f>
        <v>AK061</v>
      </c>
      <c r="BE12" s="24" t="str">
        <f>'Die Map'!BE12</f>
        <v>AK062</v>
      </c>
      <c r="BF12" s="25" t="str">
        <f>'Die Map'!BF12</f>
        <v>AK063</v>
      </c>
      <c r="BG12" s="25" t="str">
        <f>'Die Map'!BG12</f>
        <v>AK064</v>
      </c>
      <c r="BH12" s="25" t="str">
        <f>'Die Map'!BH12</f>
        <v>AK065</v>
      </c>
      <c r="BI12" s="26" t="str">
        <f>'Die Map'!BI12</f>
        <v>AK066</v>
      </c>
      <c r="BJ12" s="24" t="str">
        <f>'Die Map'!BJ12</f>
        <v>AK067</v>
      </c>
      <c r="BK12" s="25" t="str">
        <f>'Die Map'!BK12</f>
        <v>AK068</v>
      </c>
      <c r="BL12" s="25" t="str">
        <f>'Die Map'!BL12</f>
        <v>AK069</v>
      </c>
      <c r="BM12" s="25" t="str">
        <f>'Die Map'!BM12</f>
        <v>AK071</v>
      </c>
      <c r="BN12" s="26" t="str">
        <f>'Die Map'!BN12</f>
        <v>AK072</v>
      </c>
      <c r="BO12" s="24" t="str">
        <f>'Die Map'!BO12</f>
        <v>AK073</v>
      </c>
      <c r="BP12" s="25" t="str">
        <f>'Die Map'!BP12</f>
        <v>AK074</v>
      </c>
      <c r="BQ12" s="25" t="str">
        <f>'Die Map'!BQ12</f>
        <v>AK075</v>
      </c>
      <c r="BR12" s="25" t="str">
        <f>'Die Map'!BR12</f>
        <v>AK076</v>
      </c>
      <c r="BS12" s="26" t="str">
        <f>'Die Map'!BS12</f>
        <v>AK077</v>
      </c>
      <c r="BT12" s="24" t="str">
        <f>'Die Map'!BT12</f>
        <v>AK078</v>
      </c>
      <c r="BU12" s="25" t="str">
        <f>'Die Map'!BU12</f>
        <v>AK079</v>
      </c>
      <c r="BV12" s="25" t="str">
        <f>'Die Map'!BV12</f>
        <v>AK081</v>
      </c>
      <c r="BW12" s="25" t="str">
        <f>'Die Map'!BW12</f>
        <v>AK082</v>
      </c>
      <c r="BX12" s="26" t="str">
        <f>'Die Map'!BX12</f>
        <v>AK083</v>
      </c>
      <c r="BY12" s="24" t="str">
        <f>'Die Map'!BY12</f>
        <v/>
      </c>
      <c r="BZ12" s="25" t="str">
        <f>'Die Map'!BZ12</f>
        <v/>
      </c>
      <c r="CA12" s="25" t="str">
        <f>'Die Map'!CA12</f>
        <v/>
      </c>
      <c r="CB12" s="25" t="str">
        <f>'Die Map'!CB12</f>
        <v/>
      </c>
      <c r="CC12" s="26" t="str">
        <f>'Die Map'!CC12</f>
        <v/>
      </c>
      <c r="CD12" s="24" t="str">
        <f>'Die Map'!CD12</f>
        <v/>
      </c>
      <c r="CE12" s="25" t="str">
        <f>'Die Map'!CE12</f>
        <v/>
      </c>
      <c r="CF12" s="25" t="str">
        <f>'Die Map'!CF12</f>
        <v/>
      </c>
      <c r="CG12" s="25" t="str">
        <f>'Die Map'!CG12</f>
        <v/>
      </c>
      <c r="CH12" s="26" t="str">
        <f>'Die Map'!CH12</f>
        <v/>
      </c>
      <c r="CI12" s="24" t="str">
        <f>'Die Map'!CI12</f>
        <v/>
      </c>
      <c r="CJ12" s="25" t="str">
        <f>'Die Map'!CJ12</f>
        <v/>
      </c>
      <c r="CK12" s="25" t="str">
        <f>'Die Map'!CK12</f>
        <v/>
      </c>
      <c r="CL12" s="25" t="str">
        <f>'Die Map'!CL12</f>
        <v/>
      </c>
      <c r="CM12" s="26" t="str">
        <f>'Die Map'!CM12</f>
        <v/>
      </c>
      <c r="CN12" s="24" t="str">
        <f>'Die Map'!CN12</f>
        <v/>
      </c>
      <c r="CO12" s="25" t="str">
        <f>'Die Map'!CO12</f>
        <v/>
      </c>
      <c r="CP12" s="25" t="str">
        <f>'Die Map'!CP12</f>
        <v/>
      </c>
      <c r="CQ12" s="25" t="str">
        <f>'Die Map'!CQ12</f>
        <v/>
      </c>
      <c r="CR12" s="26" t="str">
        <f>'Die Map'!CR12</f>
        <v/>
      </c>
      <c r="CS12" s="24" t="str">
        <f>'Die Map'!CS12</f>
        <v/>
      </c>
      <c r="CT12" s="25" t="str">
        <f>'Die Map'!CT12</f>
        <v/>
      </c>
      <c r="CU12" s="25" t="str">
        <f>'Die Map'!CU12</f>
        <v/>
      </c>
      <c r="CV12" s="25" t="str">
        <f>'Die Map'!CV12</f>
        <v/>
      </c>
      <c r="CW12" s="26" t="str">
        <f>'Die Map'!CW12</f>
        <v/>
      </c>
      <c r="CX12" s="24" t="str">
        <f>'Die Map'!CX12</f>
        <v/>
      </c>
      <c r="CY12" s="25" t="str">
        <f>'Die Map'!CY12</f>
        <v/>
      </c>
      <c r="CZ12" s="25" t="str">
        <f>'Die Map'!CZ12</f>
        <v/>
      </c>
      <c r="DA12" s="25" t="str">
        <f>'Die Map'!DA12</f>
        <v/>
      </c>
      <c r="DB12" s="26" t="str">
        <f>'Die Map'!DB12</f>
        <v/>
      </c>
    </row>
    <row r="13" spans="1:106" ht="12.75" customHeight="1" x14ac:dyDescent="0.25">
      <c r="A13" s="17">
        <v>11</v>
      </c>
      <c r="B13" s="18" t="str">
        <f>'Die Map'!B13</f>
        <v/>
      </c>
      <c r="C13" s="19" t="str">
        <f>'Die Map'!C13</f>
        <v/>
      </c>
      <c r="D13" s="19" t="str">
        <f>'Die Map'!D13</f>
        <v/>
      </c>
      <c r="E13" s="19" t="str">
        <f>'Die Map'!E13</f>
        <v/>
      </c>
      <c r="F13" s="20" t="str">
        <f>'Die Map'!F13</f>
        <v/>
      </c>
      <c r="G13" s="18" t="str">
        <f>'Die Map'!G13</f>
        <v/>
      </c>
      <c r="H13" s="19" t="str">
        <f>'Die Map'!H13</f>
        <v/>
      </c>
      <c r="I13" s="19" t="str">
        <f>'Die Map'!I13</f>
        <v/>
      </c>
      <c r="J13" s="19" t="str">
        <f>'Die Map'!J13</f>
        <v/>
      </c>
      <c r="K13" s="20" t="str">
        <f>'Die Map'!K13</f>
        <v/>
      </c>
      <c r="L13" s="18" t="str">
        <f>'Die Map'!L13</f>
        <v/>
      </c>
      <c r="M13" s="19" t="str">
        <f>'Die Map'!M13</f>
        <v/>
      </c>
      <c r="N13" s="19" t="str">
        <f>'Die Map'!N13</f>
        <v/>
      </c>
      <c r="O13" s="19" t="str">
        <f>'Die Map'!O13</f>
        <v/>
      </c>
      <c r="P13" s="20" t="str">
        <f>'Die Map'!P13</f>
        <v/>
      </c>
      <c r="Q13" s="18" t="str">
        <f>'Die Map'!Q13</f>
        <v/>
      </c>
      <c r="R13" s="19" t="str">
        <f>'Die Map'!R13</f>
        <v/>
      </c>
      <c r="S13" s="19" t="str">
        <f>'Die Map'!S13</f>
        <v/>
      </c>
      <c r="T13" s="19" t="str">
        <f>'Die Map'!T13</f>
        <v/>
      </c>
      <c r="U13" s="20" t="str">
        <f>'Die Map'!U13</f>
        <v/>
      </c>
      <c r="V13" s="18" t="str">
        <f>'Die Map'!V13</f>
        <v>AL023</v>
      </c>
      <c r="W13" s="19" t="str">
        <f>'Die Map'!W13</f>
        <v>AL024</v>
      </c>
      <c r="X13" s="19" t="str">
        <f>'Die Map'!X13</f>
        <v>AL025</v>
      </c>
      <c r="Y13" s="19" t="str">
        <f>'Die Map'!Y13</f>
        <v>AL026</v>
      </c>
      <c r="Z13" s="20" t="str">
        <f>'Die Map'!Z13</f>
        <v>AL027</v>
      </c>
      <c r="AA13" s="18" t="str">
        <f>'Die Map'!AA13</f>
        <v>AL028</v>
      </c>
      <c r="AB13" s="19" t="str">
        <f>'Die Map'!AB13</f>
        <v>AL029</v>
      </c>
      <c r="AC13" s="19" t="str">
        <f>'Die Map'!AC13</f>
        <v>AL031</v>
      </c>
      <c r="AD13" s="19" t="str">
        <f>'Die Map'!AD13</f>
        <v>AL032</v>
      </c>
      <c r="AE13" s="20" t="str">
        <f>'Die Map'!AE13</f>
        <v>AL033</v>
      </c>
      <c r="AF13" s="18" t="str">
        <f>'Die Map'!AF13</f>
        <v>AL034</v>
      </c>
      <c r="AG13" s="19" t="str">
        <f>'Die Map'!AG13</f>
        <v>AL035</v>
      </c>
      <c r="AH13" s="19" t="str">
        <f>'Die Map'!AH13</f>
        <v>AL036</v>
      </c>
      <c r="AI13" s="19" t="str">
        <f>'Die Map'!AI13</f>
        <v>AL037</v>
      </c>
      <c r="AJ13" s="20" t="str">
        <f>'Die Map'!AJ13</f>
        <v>AL038</v>
      </c>
      <c r="AK13" s="18" t="str">
        <f>'Die Map'!AK13</f>
        <v>AL039</v>
      </c>
      <c r="AL13" s="19" t="str">
        <f>'Die Map'!AL13</f>
        <v>AL041</v>
      </c>
      <c r="AM13" s="19" t="str">
        <f>'Die Map'!AM13</f>
        <v>AL042</v>
      </c>
      <c r="AN13" s="19" t="str">
        <f>'Die Map'!AN13</f>
        <v>AL043</v>
      </c>
      <c r="AO13" s="20" t="str">
        <f>'Die Map'!AO13</f>
        <v>AL044</v>
      </c>
      <c r="AP13" s="18" t="str">
        <f>'Die Map'!AP13</f>
        <v>AL045</v>
      </c>
      <c r="AQ13" s="19" t="str">
        <f>'Die Map'!AQ13</f>
        <v>AL046</v>
      </c>
      <c r="AR13" s="19" t="str">
        <f>'Die Map'!AR13</f>
        <v>AL047</v>
      </c>
      <c r="AS13" s="19" t="str">
        <f>'Die Map'!AS13</f>
        <v>AL048</v>
      </c>
      <c r="AT13" s="20" t="str">
        <f>'Die Map'!AT13</f>
        <v>AL049</v>
      </c>
      <c r="AU13" s="18" t="str">
        <f>'Die Map'!AU13</f>
        <v>AL051</v>
      </c>
      <c r="AV13" s="19" t="str">
        <f>'Die Map'!AV13</f>
        <v>AL052</v>
      </c>
      <c r="AW13" s="19" t="str">
        <f>'Die Map'!AW13</f>
        <v>AL053</v>
      </c>
      <c r="AX13" s="19" t="str">
        <f>'Die Map'!AX13</f>
        <v>AL054</v>
      </c>
      <c r="AY13" s="20" t="str">
        <f>'Die Map'!AY13</f>
        <v>AL055</v>
      </c>
      <c r="AZ13" s="18" t="str">
        <f>'Die Map'!AZ13</f>
        <v>AL056</v>
      </c>
      <c r="BA13" s="19" t="str">
        <f>'Die Map'!BA13</f>
        <v>AL057</v>
      </c>
      <c r="BB13" s="19" t="str">
        <f>'Die Map'!BB13</f>
        <v>AL058</v>
      </c>
      <c r="BC13" s="19" t="str">
        <f>'Die Map'!BC13</f>
        <v>AL059</v>
      </c>
      <c r="BD13" s="20" t="str">
        <f>'Die Map'!BD13</f>
        <v>AL061</v>
      </c>
      <c r="BE13" s="18" t="str">
        <f>'Die Map'!BE13</f>
        <v>AL062</v>
      </c>
      <c r="BF13" s="19" t="str">
        <f>'Die Map'!BF13</f>
        <v>AL063</v>
      </c>
      <c r="BG13" s="19" t="str">
        <f>'Die Map'!BG13</f>
        <v>AL064</v>
      </c>
      <c r="BH13" s="19" t="str">
        <f>'Die Map'!BH13</f>
        <v>AL065</v>
      </c>
      <c r="BI13" s="20" t="str">
        <f>'Die Map'!BI13</f>
        <v>AL066</v>
      </c>
      <c r="BJ13" s="18" t="str">
        <f>'Die Map'!BJ13</f>
        <v>AL067</v>
      </c>
      <c r="BK13" s="19" t="str">
        <f>'Die Map'!BK13</f>
        <v>AL068</v>
      </c>
      <c r="BL13" s="19" t="str">
        <f>'Die Map'!BL13</f>
        <v>AL069</v>
      </c>
      <c r="BM13" s="19" t="str">
        <f>'Die Map'!BM13</f>
        <v>AL071</v>
      </c>
      <c r="BN13" s="20" t="str">
        <f>'Die Map'!BN13</f>
        <v>AL072</v>
      </c>
      <c r="BO13" s="18" t="str">
        <f>'Die Map'!BO13</f>
        <v>AL073</v>
      </c>
      <c r="BP13" s="19" t="str">
        <f>'Die Map'!BP13</f>
        <v>AL074</v>
      </c>
      <c r="BQ13" s="19" t="str">
        <f>'Die Map'!BQ13</f>
        <v>AL075</v>
      </c>
      <c r="BR13" s="19" t="str">
        <f>'Die Map'!BR13</f>
        <v>AL076</v>
      </c>
      <c r="BS13" s="20" t="str">
        <f>'Die Map'!BS13</f>
        <v>AL077</v>
      </c>
      <c r="BT13" s="18" t="str">
        <f>'Die Map'!BT13</f>
        <v>AL078</v>
      </c>
      <c r="BU13" s="19" t="str">
        <f>'Die Map'!BU13</f>
        <v>AL079</v>
      </c>
      <c r="BV13" s="19" t="str">
        <f>'Die Map'!BV13</f>
        <v>AL081</v>
      </c>
      <c r="BW13" s="19" t="str">
        <f>'Die Map'!BW13</f>
        <v>AL082</v>
      </c>
      <c r="BX13" s="20" t="str">
        <f>'Die Map'!BX13</f>
        <v>AL083</v>
      </c>
      <c r="BY13" s="18" t="str">
        <f>'Die Map'!BY13</f>
        <v>AL084</v>
      </c>
      <c r="BZ13" s="19" t="str">
        <f>'Die Map'!BZ13</f>
        <v>AL085</v>
      </c>
      <c r="CA13" s="19" t="str">
        <f>'Die Map'!CA13</f>
        <v>AL086</v>
      </c>
      <c r="CB13" s="19" t="str">
        <f>'Die Map'!CB13</f>
        <v>AL087</v>
      </c>
      <c r="CC13" s="20" t="str">
        <f>'Die Map'!CC13</f>
        <v>AL088</v>
      </c>
      <c r="CD13" s="18" t="str">
        <f>'Die Map'!CD13</f>
        <v>AL089</v>
      </c>
      <c r="CE13" s="19" t="str">
        <f>'Die Map'!CE13</f>
        <v>AL091</v>
      </c>
      <c r="CF13" s="19" t="str">
        <f>'Die Map'!CF13</f>
        <v>AL092</v>
      </c>
      <c r="CG13" s="19" t="str">
        <f>'Die Map'!CG13</f>
        <v>AL093</v>
      </c>
      <c r="CH13" s="20" t="str">
        <f>'Die Map'!CH13</f>
        <v>AL094</v>
      </c>
      <c r="CI13" s="18" t="str">
        <f>'Die Map'!CI13</f>
        <v/>
      </c>
      <c r="CJ13" s="19" t="str">
        <f>'Die Map'!CJ13</f>
        <v/>
      </c>
      <c r="CK13" s="19" t="str">
        <f>'Die Map'!CK13</f>
        <v/>
      </c>
      <c r="CL13" s="19" t="str">
        <f>'Die Map'!CL13</f>
        <v/>
      </c>
      <c r="CM13" s="20" t="str">
        <f>'Die Map'!CM13</f>
        <v/>
      </c>
      <c r="CN13" s="18" t="str">
        <f>'Die Map'!CN13</f>
        <v/>
      </c>
      <c r="CO13" s="19" t="str">
        <f>'Die Map'!CO13</f>
        <v/>
      </c>
      <c r="CP13" s="19" t="str">
        <f>'Die Map'!CP13</f>
        <v/>
      </c>
      <c r="CQ13" s="19" t="str">
        <f>'Die Map'!CQ13</f>
        <v/>
      </c>
      <c r="CR13" s="20" t="str">
        <f>'Die Map'!CR13</f>
        <v/>
      </c>
      <c r="CS13" s="18" t="str">
        <f>'Die Map'!CS13</f>
        <v/>
      </c>
      <c r="CT13" s="19" t="str">
        <f>'Die Map'!CT13</f>
        <v/>
      </c>
      <c r="CU13" s="19" t="str">
        <f>'Die Map'!CU13</f>
        <v/>
      </c>
      <c r="CV13" s="19" t="str">
        <f>'Die Map'!CV13</f>
        <v/>
      </c>
      <c r="CW13" s="20" t="str">
        <f>'Die Map'!CW13</f>
        <v/>
      </c>
      <c r="CX13" s="18" t="str">
        <f>'Die Map'!CX13</f>
        <v/>
      </c>
      <c r="CY13" s="19" t="str">
        <f>'Die Map'!CY13</f>
        <v/>
      </c>
      <c r="CZ13" s="19" t="str">
        <f>'Die Map'!CZ13</f>
        <v/>
      </c>
      <c r="DA13" s="19" t="str">
        <f>'Die Map'!DA13</f>
        <v/>
      </c>
      <c r="DB13" s="20" t="str">
        <f>'Die Map'!DB13</f>
        <v/>
      </c>
    </row>
    <row r="14" spans="1:106" ht="12.75" customHeight="1" x14ac:dyDescent="0.25">
      <c r="A14" s="17">
        <v>12</v>
      </c>
      <c r="B14" s="21" t="str">
        <f>'Die Map'!B14</f>
        <v/>
      </c>
      <c r="C14" s="22" t="str">
        <f>'Die Map'!C14</f>
        <v/>
      </c>
      <c r="D14" s="22" t="str">
        <f>'Die Map'!D14</f>
        <v/>
      </c>
      <c r="E14" s="22" t="str">
        <f>'Die Map'!E14</f>
        <v/>
      </c>
      <c r="F14" s="23" t="str">
        <f>'Die Map'!F14</f>
        <v/>
      </c>
      <c r="G14" s="21" t="str">
        <f>'Die Map'!G14</f>
        <v/>
      </c>
      <c r="H14" s="22" t="str">
        <f>'Die Map'!H14</f>
        <v/>
      </c>
      <c r="I14" s="22" t="str">
        <f>'Die Map'!I14</f>
        <v/>
      </c>
      <c r="J14" s="22" t="str">
        <f>'Die Map'!J14</f>
        <v/>
      </c>
      <c r="K14" s="23" t="str">
        <f>'Die Map'!K14</f>
        <v/>
      </c>
      <c r="L14" s="21" t="str">
        <f>'Die Map'!L14</f>
        <v/>
      </c>
      <c r="M14" s="22" t="str">
        <f>'Die Map'!M14</f>
        <v/>
      </c>
      <c r="N14" s="22" t="str">
        <f>'Die Map'!N14</f>
        <v/>
      </c>
      <c r="O14" s="22" t="str">
        <f>'Die Map'!O14</f>
        <v/>
      </c>
      <c r="P14" s="23" t="str">
        <f>'Die Map'!P14</f>
        <v/>
      </c>
      <c r="Q14" s="21" t="str">
        <f>'Die Map'!Q14</f>
        <v/>
      </c>
      <c r="R14" s="22" t="str">
        <f>'Die Map'!R14</f>
        <v/>
      </c>
      <c r="S14" s="22" t="str">
        <f>'Die Map'!S14</f>
        <v/>
      </c>
      <c r="T14" s="22" t="str">
        <f>'Die Map'!T14</f>
        <v/>
      </c>
      <c r="U14" s="23" t="str">
        <f>'Die Map'!U14</f>
        <v/>
      </c>
      <c r="V14" s="21" t="str">
        <f>'Die Map'!V14</f>
        <v>AM023</v>
      </c>
      <c r="W14" s="22" t="str">
        <f>'Die Map'!W14</f>
        <v>AM024</v>
      </c>
      <c r="X14" s="22" t="str">
        <f>'Die Map'!X14</f>
        <v>AM025</v>
      </c>
      <c r="Y14" s="22" t="str">
        <f>'Die Map'!Y14</f>
        <v>AM026</v>
      </c>
      <c r="Z14" s="23" t="str">
        <f>'Die Map'!Z14</f>
        <v>AM027</v>
      </c>
      <c r="AA14" s="21" t="str">
        <f>'Die Map'!AA14</f>
        <v>AM028</v>
      </c>
      <c r="AB14" s="22" t="str">
        <f>'Die Map'!AB14</f>
        <v>AM029</v>
      </c>
      <c r="AC14" s="22" t="str">
        <f>'Die Map'!AC14</f>
        <v>AM031</v>
      </c>
      <c r="AD14" s="22" t="str">
        <f>'Die Map'!AD14</f>
        <v>AM032</v>
      </c>
      <c r="AE14" s="23" t="str">
        <f>'Die Map'!AE14</f>
        <v>AM033</v>
      </c>
      <c r="AF14" s="21" t="str">
        <f>'Die Map'!AF14</f>
        <v>AM034</v>
      </c>
      <c r="AG14" s="22" t="str">
        <f>'Die Map'!AG14</f>
        <v>AM035</v>
      </c>
      <c r="AH14" s="22" t="str">
        <f>'Die Map'!AH14</f>
        <v>AM036</v>
      </c>
      <c r="AI14" s="22" t="str">
        <f>'Die Map'!AI14</f>
        <v>AM037</v>
      </c>
      <c r="AJ14" s="23" t="str">
        <f>'Die Map'!AJ14</f>
        <v>AM038</v>
      </c>
      <c r="AK14" s="21" t="str">
        <f>'Die Map'!AK14</f>
        <v>AM039</v>
      </c>
      <c r="AL14" s="22" t="str">
        <f>'Die Map'!AL14</f>
        <v>AM041</v>
      </c>
      <c r="AM14" s="22" t="str">
        <f>'Die Map'!AM14</f>
        <v>AM042</v>
      </c>
      <c r="AN14" s="22" t="str">
        <f>'Die Map'!AN14</f>
        <v>AM043</v>
      </c>
      <c r="AO14" s="23" t="str">
        <f>'Die Map'!AO14</f>
        <v>AM044</v>
      </c>
      <c r="AP14" s="21" t="str">
        <f>'Die Map'!AP14</f>
        <v>AM045</v>
      </c>
      <c r="AQ14" s="22" t="str">
        <f>'Die Map'!AQ14</f>
        <v>AM046</v>
      </c>
      <c r="AR14" s="22" t="str">
        <f>'Die Map'!AR14</f>
        <v>AM047</v>
      </c>
      <c r="AS14" s="22" t="str">
        <f>'Die Map'!AS14</f>
        <v>AM048</v>
      </c>
      <c r="AT14" s="23" t="str">
        <f>'Die Map'!AT14</f>
        <v>AM049</v>
      </c>
      <c r="AU14" s="21" t="str">
        <f>'Die Map'!AU14</f>
        <v>AM051</v>
      </c>
      <c r="AV14" s="22" t="str">
        <f>'Die Map'!AV14</f>
        <v>AM052</v>
      </c>
      <c r="AW14" s="22" t="str">
        <f>'Die Map'!AW14</f>
        <v>AM053</v>
      </c>
      <c r="AX14" s="22" t="str">
        <f>'Die Map'!AX14</f>
        <v>AM054</v>
      </c>
      <c r="AY14" s="23" t="str">
        <f>'Die Map'!AY14</f>
        <v>AM055</v>
      </c>
      <c r="AZ14" s="21" t="str">
        <f>'Die Map'!AZ14</f>
        <v>AM056</v>
      </c>
      <c r="BA14" s="22" t="str">
        <f>'Die Map'!BA14</f>
        <v>AM057</v>
      </c>
      <c r="BB14" s="22" t="str">
        <f>'Die Map'!BB14</f>
        <v>AM058</v>
      </c>
      <c r="BC14" s="22" t="str">
        <f>'Die Map'!BC14</f>
        <v>AM059</v>
      </c>
      <c r="BD14" s="23" t="str">
        <f>'Die Map'!BD14</f>
        <v>AM061</v>
      </c>
      <c r="BE14" s="21" t="str">
        <f>'Die Map'!BE14</f>
        <v>AM062</v>
      </c>
      <c r="BF14" s="22" t="str">
        <f>'Die Map'!BF14</f>
        <v>AM063</v>
      </c>
      <c r="BG14" s="22" t="str">
        <f>'Die Map'!BG14</f>
        <v>AM064</v>
      </c>
      <c r="BH14" s="22" t="str">
        <f>'Die Map'!BH14</f>
        <v>AM065</v>
      </c>
      <c r="BI14" s="23" t="str">
        <f>'Die Map'!BI14</f>
        <v>AM066</v>
      </c>
      <c r="BJ14" s="21" t="str">
        <f>'Die Map'!BJ14</f>
        <v>AM067</v>
      </c>
      <c r="BK14" s="22" t="str">
        <f>'Die Map'!BK14</f>
        <v>AM068</v>
      </c>
      <c r="BL14" s="22" t="str">
        <f>'Die Map'!BL14</f>
        <v>AM069</v>
      </c>
      <c r="BM14" s="22" t="str">
        <f>'Die Map'!BM14</f>
        <v>AM071</v>
      </c>
      <c r="BN14" s="23" t="str">
        <f>'Die Map'!BN14</f>
        <v>AM072</v>
      </c>
      <c r="BO14" s="21" t="str">
        <f>'Die Map'!BO14</f>
        <v>AM073</v>
      </c>
      <c r="BP14" s="22" t="str">
        <f>'Die Map'!BP14</f>
        <v>AM074</v>
      </c>
      <c r="BQ14" s="22" t="str">
        <f>'Die Map'!BQ14</f>
        <v>AM075</v>
      </c>
      <c r="BR14" s="22" t="str">
        <f>'Die Map'!BR14</f>
        <v>AM076</v>
      </c>
      <c r="BS14" s="23" t="str">
        <f>'Die Map'!BS14</f>
        <v>AM077</v>
      </c>
      <c r="BT14" s="21" t="str">
        <f>'Die Map'!BT14</f>
        <v>AM078</v>
      </c>
      <c r="BU14" s="22" t="str">
        <f>'Die Map'!BU14</f>
        <v>AM079</v>
      </c>
      <c r="BV14" s="22" t="str">
        <f>'Die Map'!BV14</f>
        <v>AM081</v>
      </c>
      <c r="BW14" s="22" t="str">
        <f>'Die Map'!BW14</f>
        <v>AM082</v>
      </c>
      <c r="BX14" s="23" t="str">
        <f>'Die Map'!BX14</f>
        <v>AM083</v>
      </c>
      <c r="BY14" s="21" t="str">
        <f>'Die Map'!BY14</f>
        <v>AM084</v>
      </c>
      <c r="BZ14" s="22" t="str">
        <f>'Die Map'!BZ14</f>
        <v>AM085</v>
      </c>
      <c r="CA14" s="22" t="str">
        <f>'Die Map'!CA14</f>
        <v>AM086</v>
      </c>
      <c r="CB14" s="22" t="str">
        <f>'Die Map'!CB14</f>
        <v>AM087</v>
      </c>
      <c r="CC14" s="23" t="str">
        <f>'Die Map'!CC14</f>
        <v>AM088</v>
      </c>
      <c r="CD14" s="21" t="str">
        <f>'Die Map'!CD14</f>
        <v>AM089</v>
      </c>
      <c r="CE14" s="22" t="str">
        <f>'Die Map'!CE14</f>
        <v>AM091</v>
      </c>
      <c r="CF14" s="22" t="str">
        <f>'Die Map'!CF14</f>
        <v>AM092</v>
      </c>
      <c r="CG14" s="22" t="str">
        <f>'Die Map'!CG14</f>
        <v>AM093</v>
      </c>
      <c r="CH14" s="23" t="str">
        <f>'Die Map'!CH14</f>
        <v>AM094</v>
      </c>
      <c r="CI14" s="21" t="str">
        <f>'Die Map'!CI14</f>
        <v/>
      </c>
      <c r="CJ14" s="22" t="str">
        <f>'Die Map'!CJ14</f>
        <v/>
      </c>
      <c r="CK14" s="22" t="str">
        <f>'Die Map'!CK14</f>
        <v/>
      </c>
      <c r="CL14" s="22" t="str">
        <f>'Die Map'!CL14</f>
        <v/>
      </c>
      <c r="CM14" s="23" t="str">
        <f>'Die Map'!CM14</f>
        <v/>
      </c>
      <c r="CN14" s="21" t="str">
        <f>'Die Map'!CN14</f>
        <v/>
      </c>
      <c r="CO14" s="22" t="str">
        <f>'Die Map'!CO14</f>
        <v/>
      </c>
      <c r="CP14" s="22" t="str">
        <f>'Die Map'!CP14</f>
        <v/>
      </c>
      <c r="CQ14" s="22" t="str">
        <f>'Die Map'!CQ14</f>
        <v/>
      </c>
      <c r="CR14" s="23" t="str">
        <f>'Die Map'!CR14</f>
        <v/>
      </c>
      <c r="CS14" s="21" t="str">
        <f>'Die Map'!CS14</f>
        <v/>
      </c>
      <c r="CT14" s="22" t="str">
        <f>'Die Map'!CT14</f>
        <v/>
      </c>
      <c r="CU14" s="22" t="str">
        <f>'Die Map'!CU14</f>
        <v/>
      </c>
      <c r="CV14" s="22" t="str">
        <f>'Die Map'!CV14</f>
        <v/>
      </c>
      <c r="CW14" s="23" t="str">
        <f>'Die Map'!CW14</f>
        <v/>
      </c>
      <c r="CX14" s="21" t="str">
        <f>'Die Map'!CX14</f>
        <v/>
      </c>
      <c r="CY14" s="22" t="str">
        <f>'Die Map'!CY14</f>
        <v/>
      </c>
      <c r="CZ14" s="22" t="str">
        <f>'Die Map'!CZ14</f>
        <v/>
      </c>
      <c r="DA14" s="22" t="str">
        <f>'Die Map'!DA14</f>
        <v/>
      </c>
      <c r="DB14" s="23" t="str">
        <f>'Die Map'!DB14</f>
        <v/>
      </c>
    </row>
    <row r="15" spans="1:106" ht="12.75" customHeight="1" x14ac:dyDescent="0.25">
      <c r="A15" s="17">
        <v>13</v>
      </c>
      <c r="B15" s="21" t="str">
        <f>'Die Map'!B15</f>
        <v/>
      </c>
      <c r="C15" s="22" t="str">
        <f>'Die Map'!C15</f>
        <v/>
      </c>
      <c r="D15" s="22" t="str">
        <f>'Die Map'!D15</f>
        <v/>
      </c>
      <c r="E15" s="22" t="str">
        <f>'Die Map'!E15</f>
        <v/>
      </c>
      <c r="F15" s="23" t="str">
        <f>'Die Map'!F15</f>
        <v/>
      </c>
      <c r="G15" s="21" t="str">
        <f>'Die Map'!G15</f>
        <v/>
      </c>
      <c r="H15" s="22" t="str">
        <f>'Die Map'!H15</f>
        <v/>
      </c>
      <c r="I15" s="22" t="str">
        <f>'Die Map'!I15</f>
        <v/>
      </c>
      <c r="J15" s="22" t="str">
        <f>'Die Map'!J15</f>
        <v/>
      </c>
      <c r="K15" s="23" t="str">
        <f>'Die Map'!K15</f>
        <v/>
      </c>
      <c r="L15" s="21" t="str">
        <f>'Die Map'!L15</f>
        <v/>
      </c>
      <c r="M15" s="22" t="str">
        <f>'Die Map'!M15</f>
        <v/>
      </c>
      <c r="N15" s="22" t="str">
        <f>'Die Map'!N15</f>
        <v/>
      </c>
      <c r="O15" s="22" t="str">
        <f>'Die Map'!O15</f>
        <v/>
      </c>
      <c r="P15" s="23" t="str">
        <f>'Die Map'!P15</f>
        <v/>
      </c>
      <c r="Q15" s="21" t="str">
        <f>'Die Map'!Q15</f>
        <v/>
      </c>
      <c r="R15" s="22" t="str">
        <f>'Die Map'!R15</f>
        <v/>
      </c>
      <c r="S15" s="22" t="str">
        <f>'Die Map'!S15</f>
        <v/>
      </c>
      <c r="T15" s="22" t="str">
        <f>'Die Map'!T15</f>
        <v/>
      </c>
      <c r="U15" s="23" t="str">
        <f>'Die Map'!U15</f>
        <v/>
      </c>
      <c r="V15" s="21" t="str">
        <f>'Die Map'!V15</f>
        <v>AN023</v>
      </c>
      <c r="W15" s="22" t="str">
        <f>'Die Map'!W15</f>
        <v>AN024</v>
      </c>
      <c r="X15" s="22" t="str">
        <f>'Die Map'!X15</f>
        <v>AN025</v>
      </c>
      <c r="Y15" s="22" t="str">
        <f>'Die Map'!Y15</f>
        <v>AN026</v>
      </c>
      <c r="Z15" s="23" t="str">
        <f>'Die Map'!Z15</f>
        <v>AN027</v>
      </c>
      <c r="AA15" s="21" t="str">
        <f>'Die Map'!AA15</f>
        <v>AN028</v>
      </c>
      <c r="AB15" s="22" t="str">
        <f>'Die Map'!AB15</f>
        <v>AN029</v>
      </c>
      <c r="AC15" s="22" t="str">
        <f>'Die Map'!AC15</f>
        <v>AN031</v>
      </c>
      <c r="AD15" s="22" t="str">
        <f>'Die Map'!AD15</f>
        <v>AN032</v>
      </c>
      <c r="AE15" s="23" t="str">
        <f>'Die Map'!AE15</f>
        <v>AN033</v>
      </c>
      <c r="AF15" s="21" t="str">
        <f>'Die Map'!AF15</f>
        <v>AN034</v>
      </c>
      <c r="AG15" s="22" t="str">
        <f>'Die Map'!AG15</f>
        <v>AN035</v>
      </c>
      <c r="AH15" s="22" t="str">
        <f>'Die Map'!AH15</f>
        <v>AN036</v>
      </c>
      <c r="AI15" s="22" t="str">
        <f>'Die Map'!AI15</f>
        <v>AN037</v>
      </c>
      <c r="AJ15" s="23" t="str">
        <f>'Die Map'!AJ15</f>
        <v>AN038</v>
      </c>
      <c r="AK15" s="21" t="str">
        <f>'Die Map'!AK15</f>
        <v>AN039</v>
      </c>
      <c r="AL15" s="22" t="str">
        <f>'Die Map'!AL15</f>
        <v>AN041</v>
      </c>
      <c r="AM15" s="22" t="str">
        <f>'Die Map'!AM15</f>
        <v>AN042</v>
      </c>
      <c r="AN15" s="22" t="str">
        <f>'Die Map'!AN15</f>
        <v>AN043</v>
      </c>
      <c r="AO15" s="23" t="str">
        <f>'Die Map'!AO15</f>
        <v>AN044</v>
      </c>
      <c r="AP15" s="21" t="str">
        <f>'Die Map'!AP15</f>
        <v>AN045</v>
      </c>
      <c r="AQ15" s="22" t="str">
        <f>'Die Map'!AQ15</f>
        <v>AN046</v>
      </c>
      <c r="AR15" s="22" t="str">
        <f>'Die Map'!AR15</f>
        <v>AN047</v>
      </c>
      <c r="AS15" s="22" t="str">
        <f>'Die Map'!AS15</f>
        <v>AN048</v>
      </c>
      <c r="AT15" s="23" t="str">
        <f>'Die Map'!AT15</f>
        <v>AN049</v>
      </c>
      <c r="AU15" s="21" t="str">
        <f>'Die Map'!AU15</f>
        <v>AN051</v>
      </c>
      <c r="AV15" s="22" t="str">
        <f>'Die Map'!AV15</f>
        <v>AN052</v>
      </c>
      <c r="AW15" s="22" t="str">
        <f>'Die Map'!AW15</f>
        <v>AN053</v>
      </c>
      <c r="AX15" s="22" t="str">
        <f>'Die Map'!AX15</f>
        <v>AN054</v>
      </c>
      <c r="AY15" s="23" t="str">
        <f>'Die Map'!AY15</f>
        <v>AN055</v>
      </c>
      <c r="AZ15" s="21" t="str">
        <f>'Die Map'!AZ15</f>
        <v>AN056</v>
      </c>
      <c r="BA15" s="22" t="str">
        <f>'Die Map'!BA15</f>
        <v>AN057</v>
      </c>
      <c r="BB15" s="22" t="str">
        <f>'Die Map'!BB15</f>
        <v>AN058</v>
      </c>
      <c r="BC15" s="22" t="str">
        <f>'Die Map'!BC15</f>
        <v>AN059</v>
      </c>
      <c r="BD15" s="23" t="str">
        <f>'Die Map'!BD15</f>
        <v>AN061</v>
      </c>
      <c r="BE15" s="21" t="str">
        <f>'Die Map'!BE15</f>
        <v>AN062</v>
      </c>
      <c r="BF15" s="22" t="str">
        <f>'Die Map'!BF15</f>
        <v>AN063</v>
      </c>
      <c r="BG15" s="22" t="str">
        <f>'Die Map'!BG15</f>
        <v>AN064</v>
      </c>
      <c r="BH15" s="22" t="str">
        <f>'Die Map'!BH15</f>
        <v>AN065</v>
      </c>
      <c r="BI15" s="23" t="str">
        <f>'Die Map'!BI15</f>
        <v>AN066</v>
      </c>
      <c r="BJ15" s="21" t="str">
        <f>'Die Map'!BJ15</f>
        <v>AN067</v>
      </c>
      <c r="BK15" s="22" t="str">
        <f>'Die Map'!BK15</f>
        <v>AN068</v>
      </c>
      <c r="BL15" s="22" t="str">
        <f>'Die Map'!BL15</f>
        <v>AN069</v>
      </c>
      <c r="BM15" s="22" t="str">
        <f>'Die Map'!BM15</f>
        <v>AN071</v>
      </c>
      <c r="BN15" s="23" t="str">
        <f>'Die Map'!BN15</f>
        <v>AN072</v>
      </c>
      <c r="BO15" s="21" t="str">
        <f>'Die Map'!BO15</f>
        <v>AN073</v>
      </c>
      <c r="BP15" s="22" t="str">
        <f>'Die Map'!BP15</f>
        <v>AN074</v>
      </c>
      <c r="BQ15" s="22" t="str">
        <f>'Die Map'!BQ15</f>
        <v>AN075</v>
      </c>
      <c r="BR15" s="22" t="str">
        <f>'Die Map'!BR15</f>
        <v>AN076</v>
      </c>
      <c r="BS15" s="23" t="str">
        <f>'Die Map'!BS15</f>
        <v>AN077</v>
      </c>
      <c r="BT15" s="21" t="str">
        <f>'Die Map'!BT15</f>
        <v>AN078</v>
      </c>
      <c r="BU15" s="22" t="str">
        <f>'Die Map'!BU15</f>
        <v>AN079</v>
      </c>
      <c r="BV15" s="22" t="str">
        <f>'Die Map'!BV15</f>
        <v>AN081</v>
      </c>
      <c r="BW15" s="22" t="str">
        <f>'Die Map'!BW15</f>
        <v>AN082</v>
      </c>
      <c r="BX15" s="23" t="str">
        <f>'Die Map'!BX15</f>
        <v>AN083</v>
      </c>
      <c r="BY15" s="21" t="str">
        <f>'Die Map'!BY15</f>
        <v>AN084</v>
      </c>
      <c r="BZ15" s="22" t="str">
        <f>'Die Map'!BZ15</f>
        <v>AN085</v>
      </c>
      <c r="CA15" s="22" t="str">
        <f>'Die Map'!CA15</f>
        <v>AN086</v>
      </c>
      <c r="CB15" s="22" t="str">
        <f>'Die Map'!CB15</f>
        <v>AN087</v>
      </c>
      <c r="CC15" s="23" t="str">
        <f>'Die Map'!CC15</f>
        <v>AN088</v>
      </c>
      <c r="CD15" s="21" t="str">
        <f>'Die Map'!CD15</f>
        <v>AN089</v>
      </c>
      <c r="CE15" s="22" t="str">
        <f>'Die Map'!CE15</f>
        <v>AN091</v>
      </c>
      <c r="CF15" s="22" t="str">
        <f>'Die Map'!CF15</f>
        <v>AN092</v>
      </c>
      <c r="CG15" s="22" t="str">
        <f>'Die Map'!CG15</f>
        <v>AN093</v>
      </c>
      <c r="CH15" s="23" t="str">
        <f>'Die Map'!CH15</f>
        <v>AN094</v>
      </c>
      <c r="CI15" s="21" t="str">
        <f>'Die Map'!CI15</f>
        <v/>
      </c>
      <c r="CJ15" s="22" t="str">
        <f>'Die Map'!CJ15</f>
        <v/>
      </c>
      <c r="CK15" s="22" t="str">
        <f>'Die Map'!CK15</f>
        <v/>
      </c>
      <c r="CL15" s="22" t="str">
        <f>'Die Map'!CL15</f>
        <v/>
      </c>
      <c r="CM15" s="23" t="str">
        <f>'Die Map'!CM15</f>
        <v/>
      </c>
      <c r="CN15" s="21" t="str">
        <f>'Die Map'!CN15</f>
        <v/>
      </c>
      <c r="CO15" s="22" t="str">
        <f>'Die Map'!CO15</f>
        <v/>
      </c>
      <c r="CP15" s="22" t="str">
        <f>'Die Map'!CP15</f>
        <v/>
      </c>
      <c r="CQ15" s="22" t="str">
        <f>'Die Map'!CQ15</f>
        <v/>
      </c>
      <c r="CR15" s="23" t="str">
        <f>'Die Map'!CR15</f>
        <v/>
      </c>
      <c r="CS15" s="21" t="str">
        <f>'Die Map'!CS15</f>
        <v/>
      </c>
      <c r="CT15" s="22" t="str">
        <f>'Die Map'!CT15</f>
        <v/>
      </c>
      <c r="CU15" s="22" t="str">
        <f>'Die Map'!CU15</f>
        <v/>
      </c>
      <c r="CV15" s="22" t="str">
        <f>'Die Map'!CV15</f>
        <v/>
      </c>
      <c r="CW15" s="23" t="str">
        <f>'Die Map'!CW15</f>
        <v/>
      </c>
      <c r="CX15" s="21" t="str">
        <f>'Die Map'!CX15</f>
        <v/>
      </c>
      <c r="CY15" s="22" t="str">
        <f>'Die Map'!CY15</f>
        <v/>
      </c>
      <c r="CZ15" s="22" t="str">
        <f>'Die Map'!CZ15</f>
        <v/>
      </c>
      <c r="DA15" s="22" t="str">
        <f>'Die Map'!DA15</f>
        <v/>
      </c>
      <c r="DB15" s="23" t="str">
        <f>'Die Map'!DB15</f>
        <v/>
      </c>
    </row>
    <row r="16" spans="1:106" ht="12.75" customHeight="1" x14ac:dyDescent="0.25">
      <c r="A16" s="17">
        <v>14</v>
      </c>
      <c r="B16" s="21" t="str">
        <f>'Die Map'!B16</f>
        <v/>
      </c>
      <c r="C16" s="22" t="str">
        <f>'Die Map'!C16</f>
        <v/>
      </c>
      <c r="D16" s="22" t="str">
        <f>'Die Map'!D16</f>
        <v/>
      </c>
      <c r="E16" s="22" t="str">
        <f>'Die Map'!E16</f>
        <v/>
      </c>
      <c r="F16" s="23" t="str">
        <f>'Die Map'!F16</f>
        <v/>
      </c>
      <c r="G16" s="21" t="str">
        <f>'Die Map'!G16</f>
        <v/>
      </c>
      <c r="H16" s="22" t="str">
        <f>'Die Map'!H16</f>
        <v/>
      </c>
      <c r="I16" s="22" t="str">
        <f>'Die Map'!I16</f>
        <v/>
      </c>
      <c r="J16" s="22" t="str">
        <f>'Die Map'!J16</f>
        <v/>
      </c>
      <c r="K16" s="23" t="str">
        <f>'Die Map'!K16</f>
        <v/>
      </c>
      <c r="L16" s="21" t="str">
        <f>'Die Map'!L16</f>
        <v/>
      </c>
      <c r="M16" s="22" t="str">
        <f>'Die Map'!M16</f>
        <v/>
      </c>
      <c r="N16" s="22" t="str">
        <f>'Die Map'!N16</f>
        <v/>
      </c>
      <c r="O16" s="22" t="str">
        <f>'Die Map'!O16</f>
        <v/>
      </c>
      <c r="P16" s="23" t="str">
        <f>'Die Map'!P16</f>
        <v/>
      </c>
      <c r="Q16" s="21" t="str">
        <f>'Die Map'!Q16</f>
        <v/>
      </c>
      <c r="R16" s="22" t="str">
        <f>'Die Map'!R16</f>
        <v/>
      </c>
      <c r="S16" s="22" t="str">
        <f>'Die Map'!S16</f>
        <v/>
      </c>
      <c r="T16" s="22" t="str">
        <f>'Die Map'!T16</f>
        <v/>
      </c>
      <c r="U16" s="23" t="str">
        <f>'Die Map'!U16</f>
        <v/>
      </c>
      <c r="V16" s="21" t="str">
        <f>'Die Map'!V16</f>
        <v>AP023</v>
      </c>
      <c r="W16" s="22" t="str">
        <f>'Die Map'!W16</f>
        <v>AP024</v>
      </c>
      <c r="X16" s="22" t="str">
        <f>'Die Map'!X16</f>
        <v>AP025</v>
      </c>
      <c r="Y16" s="22" t="str">
        <f>'Die Map'!Y16</f>
        <v>AP026</v>
      </c>
      <c r="Z16" s="23" t="str">
        <f>'Die Map'!Z16</f>
        <v>AP027</v>
      </c>
      <c r="AA16" s="21" t="str">
        <f>'Die Map'!AA16</f>
        <v>AP028</v>
      </c>
      <c r="AB16" s="22" t="str">
        <f>'Die Map'!AB16</f>
        <v>AP029</v>
      </c>
      <c r="AC16" s="22" t="str">
        <f>'Die Map'!AC16</f>
        <v>AP031</v>
      </c>
      <c r="AD16" s="22" t="str">
        <f>'Die Map'!AD16</f>
        <v>AP032</v>
      </c>
      <c r="AE16" s="23" t="str">
        <f>'Die Map'!AE16</f>
        <v>AP033</v>
      </c>
      <c r="AF16" s="21" t="str">
        <f>'Die Map'!AF16</f>
        <v>AP034</v>
      </c>
      <c r="AG16" s="22" t="str">
        <f>'Die Map'!AG16</f>
        <v>AP035</v>
      </c>
      <c r="AH16" s="22" t="str">
        <f>'Die Map'!AH16</f>
        <v>AP036</v>
      </c>
      <c r="AI16" s="22" t="str">
        <f>'Die Map'!AI16</f>
        <v>AP037</v>
      </c>
      <c r="AJ16" s="23" t="str">
        <f>'Die Map'!AJ16</f>
        <v>AP038</v>
      </c>
      <c r="AK16" s="21" t="str">
        <f>'Die Map'!AK16</f>
        <v>AP039</v>
      </c>
      <c r="AL16" s="22" t="str">
        <f>'Die Map'!AL16</f>
        <v>AP041</v>
      </c>
      <c r="AM16" s="22" t="str">
        <f>'Die Map'!AM16</f>
        <v>AP042</v>
      </c>
      <c r="AN16" s="22" t="str">
        <f>'Die Map'!AN16</f>
        <v>AP043</v>
      </c>
      <c r="AO16" s="23" t="str">
        <f>'Die Map'!AO16</f>
        <v>AP044</v>
      </c>
      <c r="AP16" s="21" t="str">
        <f>'Die Map'!AP16</f>
        <v>AP045</v>
      </c>
      <c r="AQ16" s="22" t="str">
        <f>'Die Map'!AQ16</f>
        <v>AP046</v>
      </c>
      <c r="AR16" s="22" t="str">
        <f>'Die Map'!AR16</f>
        <v>AP047</v>
      </c>
      <c r="AS16" s="22" t="str">
        <f>'Die Map'!AS16</f>
        <v>AP048</v>
      </c>
      <c r="AT16" s="23" t="str">
        <f>'Die Map'!AT16</f>
        <v>AP049</v>
      </c>
      <c r="AU16" s="21" t="str">
        <f>'Die Map'!AU16</f>
        <v>AP051</v>
      </c>
      <c r="AV16" s="22" t="str">
        <f>'Die Map'!AV16</f>
        <v>AP052</v>
      </c>
      <c r="AW16" s="22" t="str">
        <f>'Die Map'!AW16</f>
        <v>AP053</v>
      </c>
      <c r="AX16" s="22" t="str">
        <f>'Die Map'!AX16</f>
        <v>AP054</v>
      </c>
      <c r="AY16" s="23" t="str">
        <f>'Die Map'!AY16</f>
        <v>AP055</v>
      </c>
      <c r="AZ16" s="21" t="str">
        <f>'Die Map'!AZ16</f>
        <v>AP056</v>
      </c>
      <c r="BA16" s="22" t="str">
        <f>'Die Map'!BA16</f>
        <v>AP057</v>
      </c>
      <c r="BB16" s="22" t="str">
        <f>'Die Map'!BB16</f>
        <v>AP058</v>
      </c>
      <c r="BC16" s="22" t="str">
        <f>'Die Map'!BC16</f>
        <v>AP059</v>
      </c>
      <c r="BD16" s="23" t="str">
        <f>'Die Map'!BD16</f>
        <v>AP061</v>
      </c>
      <c r="BE16" s="21" t="str">
        <f>'Die Map'!BE16</f>
        <v>AP062</v>
      </c>
      <c r="BF16" s="22" t="str">
        <f>'Die Map'!BF16</f>
        <v>AP063</v>
      </c>
      <c r="BG16" s="22" t="str">
        <f>'Die Map'!BG16</f>
        <v>AP064</v>
      </c>
      <c r="BH16" s="22" t="str">
        <f>'Die Map'!BH16</f>
        <v>AP065</v>
      </c>
      <c r="BI16" s="23" t="str">
        <f>'Die Map'!BI16</f>
        <v>AP066</v>
      </c>
      <c r="BJ16" s="21" t="str">
        <f>'Die Map'!BJ16</f>
        <v>AP067</v>
      </c>
      <c r="BK16" s="22" t="str">
        <f>'Die Map'!BK16</f>
        <v>AP068</v>
      </c>
      <c r="BL16" s="22" t="str">
        <f>'Die Map'!BL16</f>
        <v>AP069</v>
      </c>
      <c r="BM16" s="22" t="str">
        <f>'Die Map'!BM16</f>
        <v>AP071</v>
      </c>
      <c r="BN16" s="23" t="str">
        <f>'Die Map'!BN16</f>
        <v>AP072</v>
      </c>
      <c r="BO16" s="21" t="str">
        <f>'Die Map'!BO16</f>
        <v>AP073</v>
      </c>
      <c r="BP16" s="22" t="str">
        <f>'Die Map'!BP16</f>
        <v>AP074</v>
      </c>
      <c r="BQ16" s="22" t="str">
        <f>'Die Map'!BQ16</f>
        <v>AP075</v>
      </c>
      <c r="BR16" s="22" t="str">
        <f>'Die Map'!BR16</f>
        <v>AP076</v>
      </c>
      <c r="BS16" s="23" t="str">
        <f>'Die Map'!BS16</f>
        <v>AP077</v>
      </c>
      <c r="BT16" s="21" t="str">
        <f>'Die Map'!BT16</f>
        <v>AP078</v>
      </c>
      <c r="BU16" s="22" t="str">
        <f>'Die Map'!BU16</f>
        <v>AP079</v>
      </c>
      <c r="BV16" s="22" t="str">
        <f>'Die Map'!BV16</f>
        <v>AP081</v>
      </c>
      <c r="BW16" s="22" t="str">
        <f>'Die Map'!BW16</f>
        <v>AP082</v>
      </c>
      <c r="BX16" s="23" t="str">
        <f>'Die Map'!BX16</f>
        <v>AP083</v>
      </c>
      <c r="BY16" s="21" t="str">
        <f>'Die Map'!BY16</f>
        <v>AP084</v>
      </c>
      <c r="BZ16" s="22" t="str">
        <f>'Die Map'!BZ16</f>
        <v>AP085</v>
      </c>
      <c r="CA16" s="22" t="str">
        <f>'Die Map'!CA16</f>
        <v>AP086</v>
      </c>
      <c r="CB16" s="22" t="str">
        <f>'Die Map'!CB16</f>
        <v>AP087</v>
      </c>
      <c r="CC16" s="23" t="str">
        <f>'Die Map'!CC16</f>
        <v>AP088</v>
      </c>
      <c r="CD16" s="21" t="str">
        <f>'Die Map'!CD16</f>
        <v>AP089</v>
      </c>
      <c r="CE16" s="22" t="str">
        <f>'Die Map'!CE16</f>
        <v>AP091</v>
      </c>
      <c r="CF16" s="22" t="str">
        <f>'Die Map'!CF16</f>
        <v>AP092</v>
      </c>
      <c r="CG16" s="22" t="str">
        <f>'Die Map'!CG16</f>
        <v>AP093</v>
      </c>
      <c r="CH16" s="23" t="str">
        <f>'Die Map'!CH16</f>
        <v>AP094</v>
      </c>
      <c r="CI16" s="21" t="str">
        <f>'Die Map'!CI16</f>
        <v/>
      </c>
      <c r="CJ16" s="22" t="str">
        <f>'Die Map'!CJ16</f>
        <v/>
      </c>
      <c r="CK16" s="22" t="str">
        <f>'Die Map'!CK16</f>
        <v/>
      </c>
      <c r="CL16" s="22" t="str">
        <f>'Die Map'!CL16</f>
        <v/>
      </c>
      <c r="CM16" s="23" t="str">
        <f>'Die Map'!CM16</f>
        <v/>
      </c>
      <c r="CN16" s="21" t="str">
        <f>'Die Map'!CN16</f>
        <v/>
      </c>
      <c r="CO16" s="22" t="str">
        <f>'Die Map'!CO16</f>
        <v/>
      </c>
      <c r="CP16" s="22" t="str">
        <f>'Die Map'!CP16</f>
        <v/>
      </c>
      <c r="CQ16" s="22" t="str">
        <f>'Die Map'!CQ16</f>
        <v/>
      </c>
      <c r="CR16" s="23" t="str">
        <f>'Die Map'!CR16</f>
        <v/>
      </c>
      <c r="CS16" s="21" t="str">
        <f>'Die Map'!CS16</f>
        <v/>
      </c>
      <c r="CT16" s="22" t="str">
        <f>'Die Map'!CT16</f>
        <v/>
      </c>
      <c r="CU16" s="22" t="str">
        <f>'Die Map'!CU16</f>
        <v/>
      </c>
      <c r="CV16" s="22" t="str">
        <f>'Die Map'!CV16</f>
        <v/>
      </c>
      <c r="CW16" s="23" t="str">
        <f>'Die Map'!CW16</f>
        <v/>
      </c>
      <c r="CX16" s="21" t="str">
        <f>'Die Map'!CX16</f>
        <v/>
      </c>
      <c r="CY16" s="22" t="str">
        <f>'Die Map'!CY16</f>
        <v/>
      </c>
      <c r="CZ16" s="22" t="str">
        <f>'Die Map'!CZ16</f>
        <v/>
      </c>
      <c r="DA16" s="22" t="str">
        <f>'Die Map'!DA16</f>
        <v/>
      </c>
      <c r="DB16" s="23" t="str">
        <f>'Die Map'!DB16</f>
        <v/>
      </c>
    </row>
    <row r="17" spans="1:106" ht="12.75" customHeight="1" x14ac:dyDescent="0.25">
      <c r="A17" s="17">
        <v>15</v>
      </c>
      <c r="B17" s="24" t="str">
        <f>'Die Map'!B17</f>
        <v/>
      </c>
      <c r="C17" s="25" t="str">
        <f>'Die Map'!C17</f>
        <v/>
      </c>
      <c r="D17" s="25" t="str">
        <f>'Die Map'!D17</f>
        <v/>
      </c>
      <c r="E17" s="25" t="str">
        <f>'Die Map'!E17</f>
        <v/>
      </c>
      <c r="F17" s="26" t="str">
        <f>'Die Map'!F17</f>
        <v/>
      </c>
      <c r="G17" s="24" t="str">
        <f>'Die Map'!G17</f>
        <v/>
      </c>
      <c r="H17" s="25" t="str">
        <f>'Die Map'!H17</f>
        <v/>
      </c>
      <c r="I17" s="25" t="str">
        <f>'Die Map'!I17</f>
        <v/>
      </c>
      <c r="J17" s="25" t="str">
        <f>'Die Map'!J17</f>
        <v/>
      </c>
      <c r="K17" s="26" t="str">
        <f>'Die Map'!K17</f>
        <v/>
      </c>
      <c r="L17" s="24" t="str">
        <f>'Die Map'!L17</f>
        <v/>
      </c>
      <c r="M17" s="25" t="str">
        <f>'Die Map'!M17</f>
        <v/>
      </c>
      <c r="N17" s="25" t="str">
        <f>'Die Map'!N17</f>
        <v/>
      </c>
      <c r="O17" s="25" t="str">
        <f>'Die Map'!O17</f>
        <v/>
      </c>
      <c r="P17" s="26" t="str">
        <f>'Die Map'!P17</f>
        <v/>
      </c>
      <c r="Q17" s="24" t="str">
        <f>'Die Map'!Q17</f>
        <v/>
      </c>
      <c r="R17" s="25" t="str">
        <f>'Die Map'!R17</f>
        <v/>
      </c>
      <c r="S17" s="25" t="str">
        <f>'Die Map'!S17</f>
        <v/>
      </c>
      <c r="T17" s="25" t="str">
        <f>'Die Map'!T17</f>
        <v/>
      </c>
      <c r="U17" s="26" t="str">
        <f>'Die Map'!U17</f>
        <v/>
      </c>
      <c r="V17" s="24" t="str">
        <f>'Die Map'!V17</f>
        <v>AR023</v>
      </c>
      <c r="W17" s="25" t="str">
        <f>'Die Map'!W17</f>
        <v>AR024</v>
      </c>
      <c r="X17" s="25" t="str">
        <f>'Die Map'!X17</f>
        <v>AR025</v>
      </c>
      <c r="Y17" s="25" t="str">
        <f>'Die Map'!Y17</f>
        <v>AR026</v>
      </c>
      <c r="Z17" s="26" t="str">
        <f>'Die Map'!Z17</f>
        <v>AR027</v>
      </c>
      <c r="AA17" s="24" t="str">
        <f>'Die Map'!AA17</f>
        <v>AR028</v>
      </c>
      <c r="AB17" s="25" t="str">
        <f>'Die Map'!AB17</f>
        <v>AR029</v>
      </c>
      <c r="AC17" s="25" t="str">
        <f>'Die Map'!AC17</f>
        <v>AR031</v>
      </c>
      <c r="AD17" s="25" t="str">
        <f>'Die Map'!AD17</f>
        <v>AR032</v>
      </c>
      <c r="AE17" s="26" t="str">
        <f>'Die Map'!AE17</f>
        <v>AR033</v>
      </c>
      <c r="AF17" s="24" t="str">
        <f>'Die Map'!AF17</f>
        <v>AR034</v>
      </c>
      <c r="AG17" s="25" t="str">
        <f>'Die Map'!AG17</f>
        <v>AR035</v>
      </c>
      <c r="AH17" s="25" t="str">
        <f>'Die Map'!AH17</f>
        <v>AR036</v>
      </c>
      <c r="AI17" s="25" t="str">
        <f>'Die Map'!AI17</f>
        <v>AR037</v>
      </c>
      <c r="AJ17" s="26" t="str">
        <f>'Die Map'!AJ17</f>
        <v>AR038</v>
      </c>
      <c r="AK17" s="24" t="str">
        <f>'Die Map'!AK17</f>
        <v>AR039</v>
      </c>
      <c r="AL17" s="25" t="str">
        <f>'Die Map'!AL17</f>
        <v>AR041</v>
      </c>
      <c r="AM17" s="25" t="str">
        <f>'Die Map'!AM17</f>
        <v>AR042</v>
      </c>
      <c r="AN17" s="25" t="str">
        <f>'Die Map'!AN17</f>
        <v>AR043</v>
      </c>
      <c r="AO17" s="26" t="str">
        <f>'Die Map'!AO17</f>
        <v>AR044</v>
      </c>
      <c r="AP17" s="24" t="str">
        <f>'Die Map'!AP17</f>
        <v>AR045</v>
      </c>
      <c r="AQ17" s="25" t="str">
        <f>'Die Map'!AQ17</f>
        <v>AR046</v>
      </c>
      <c r="AR17" s="25" t="str">
        <f>'Die Map'!AR17</f>
        <v>AR047</v>
      </c>
      <c r="AS17" s="25" t="str">
        <f>'Die Map'!AS17</f>
        <v>AR048</v>
      </c>
      <c r="AT17" s="26" t="str">
        <f>'Die Map'!AT17</f>
        <v>AR049</v>
      </c>
      <c r="AU17" s="24" t="str">
        <f>'Die Map'!AU17</f>
        <v>AR051</v>
      </c>
      <c r="AV17" s="25" t="str">
        <f>'Die Map'!AV17</f>
        <v>AR052</v>
      </c>
      <c r="AW17" s="25" t="str">
        <f>'Die Map'!AW17</f>
        <v>AR053</v>
      </c>
      <c r="AX17" s="25" t="str">
        <f>'Die Map'!AX17</f>
        <v>AR054</v>
      </c>
      <c r="AY17" s="26" t="str">
        <f>'Die Map'!AY17</f>
        <v>AR055</v>
      </c>
      <c r="AZ17" s="24" t="str">
        <f>'Die Map'!AZ17</f>
        <v>AR056</v>
      </c>
      <c r="BA17" s="25" t="str">
        <f>'Die Map'!BA17</f>
        <v>AR057</v>
      </c>
      <c r="BB17" s="25" t="str">
        <f>'Die Map'!BB17</f>
        <v>AR058</v>
      </c>
      <c r="BC17" s="25" t="str">
        <f>'Die Map'!BC17</f>
        <v>AR059</v>
      </c>
      <c r="BD17" s="26" t="str">
        <f>'Die Map'!BD17</f>
        <v>AR061</v>
      </c>
      <c r="BE17" s="24" t="str">
        <f>'Die Map'!BE17</f>
        <v>AR062</v>
      </c>
      <c r="BF17" s="25" t="str">
        <f>'Die Map'!BF17</f>
        <v>AR063</v>
      </c>
      <c r="BG17" s="25" t="str">
        <f>'Die Map'!BG17</f>
        <v>AR064</v>
      </c>
      <c r="BH17" s="25" t="str">
        <f>'Die Map'!BH17</f>
        <v>AR065</v>
      </c>
      <c r="BI17" s="26" t="str">
        <f>'Die Map'!BI17</f>
        <v>AR066</v>
      </c>
      <c r="BJ17" s="24" t="str">
        <f>'Die Map'!BJ17</f>
        <v>AR067</v>
      </c>
      <c r="BK17" s="25" t="str">
        <f>'Die Map'!BK17</f>
        <v>AR068</v>
      </c>
      <c r="BL17" s="25" t="str">
        <f>'Die Map'!BL17</f>
        <v>AR069</v>
      </c>
      <c r="BM17" s="25" t="str">
        <f>'Die Map'!BM17</f>
        <v>AR071</v>
      </c>
      <c r="BN17" s="26" t="str">
        <f>'Die Map'!BN17</f>
        <v>AR072</v>
      </c>
      <c r="BO17" s="24" t="str">
        <f>'Die Map'!BO17</f>
        <v>AR073</v>
      </c>
      <c r="BP17" s="25" t="str">
        <f>'Die Map'!BP17</f>
        <v>AR074</v>
      </c>
      <c r="BQ17" s="25" t="str">
        <f>'Die Map'!BQ17</f>
        <v>AR075</v>
      </c>
      <c r="BR17" s="25" t="str">
        <f>'Die Map'!BR17</f>
        <v>AR076</v>
      </c>
      <c r="BS17" s="26" t="str">
        <f>'Die Map'!BS17</f>
        <v>AR077</v>
      </c>
      <c r="BT17" s="24" t="str">
        <f>'Die Map'!BT17</f>
        <v>AR078</v>
      </c>
      <c r="BU17" s="25" t="str">
        <f>'Die Map'!BU17</f>
        <v>AR079</v>
      </c>
      <c r="BV17" s="25" t="str">
        <f>'Die Map'!BV17</f>
        <v>AR081</v>
      </c>
      <c r="BW17" s="25" t="str">
        <f>'Die Map'!BW17</f>
        <v>AR082</v>
      </c>
      <c r="BX17" s="26" t="str">
        <f>'Die Map'!BX17</f>
        <v>AR083</v>
      </c>
      <c r="BY17" s="24" t="str">
        <f>'Die Map'!BY17</f>
        <v>AR084</v>
      </c>
      <c r="BZ17" s="25" t="str">
        <f>'Die Map'!BZ17</f>
        <v>AR085</v>
      </c>
      <c r="CA17" s="25" t="str">
        <f>'Die Map'!CA17</f>
        <v>AR086</v>
      </c>
      <c r="CB17" s="25" t="str">
        <f>'Die Map'!CB17</f>
        <v>AR087</v>
      </c>
      <c r="CC17" s="26" t="str">
        <f>'Die Map'!CC17</f>
        <v>AR088</v>
      </c>
      <c r="CD17" s="24" t="str">
        <f>'Die Map'!CD17</f>
        <v>AR089</v>
      </c>
      <c r="CE17" s="25" t="str">
        <f>'Die Map'!CE17</f>
        <v>AR091</v>
      </c>
      <c r="CF17" s="25" t="str">
        <f>'Die Map'!CF17</f>
        <v>AR092</v>
      </c>
      <c r="CG17" s="25" t="str">
        <f>'Die Map'!CG17</f>
        <v>AR093</v>
      </c>
      <c r="CH17" s="26" t="str">
        <f>'Die Map'!CH17</f>
        <v>AR094</v>
      </c>
      <c r="CI17" s="24" t="str">
        <f>'Die Map'!CI17</f>
        <v/>
      </c>
      <c r="CJ17" s="25" t="str">
        <f>'Die Map'!CJ17</f>
        <v/>
      </c>
      <c r="CK17" s="25" t="str">
        <f>'Die Map'!CK17</f>
        <v/>
      </c>
      <c r="CL17" s="25" t="str">
        <f>'Die Map'!CL17</f>
        <v/>
      </c>
      <c r="CM17" s="26" t="str">
        <f>'Die Map'!CM17</f>
        <v/>
      </c>
      <c r="CN17" s="24" t="str">
        <f>'Die Map'!CN17</f>
        <v/>
      </c>
      <c r="CO17" s="25" t="str">
        <f>'Die Map'!CO17</f>
        <v/>
      </c>
      <c r="CP17" s="25" t="str">
        <f>'Die Map'!CP17</f>
        <v/>
      </c>
      <c r="CQ17" s="25" t="str">
        <f>'Die Map'!CQ17</f>
        <v/>
      </c>
      <c r="CR17" s="26" t="str">
        <f>'Die Map'!CR17</f>
        <v/>
      </c>
      <c r="CS17" s="24" t="str">
        <f>'Die Map'!CS17</f>
        <v/>
      </c>
      <c r="CT17" s="25" t="str">
        <f>'Die Map'!CT17</f>
        <v/>
      </c>
      <c r="CU17" s="25" t="str">
        <f>'Die Map'!CU17</f>
        <v/>
      </c>
      <c r="CV17" s="25" t="str">
        <f>'Die Map'!CV17</f>
        <v/>
      </c>
      <c r="CW17" s="26" t="str">
        <f>'Die Map'!CW17</f>
        <v/>
      </c>
      <c r="CX17" s="24" t="str">
        <f>'Die Map'!CX17</f>
        <v/>
      </c>
      <c r="CY17" s="25" t="str">
        <f>'Die Map'!CY17</f>
        <v/>
      </c>
      <c r="CZ17" s="25" t="str">
        <f>'Die Map'!CZ17</f>
        <v/>
      </c>
      <c r="DA17" s="25" t="str">
        <f>'Die Map'!DA17</f>
        <v/>
      </c>
      <c r="DB17" s="26" t="str">
        <f>'Die Map'!DB17</f>
        <v/>
      </c>
    </row>
    <row r="18" spans="1:106" ht="12.75" customHeight="1" x14ac:dyDescent="0.25">
      <c r="A18" s="17">
        <v>16</v>
      </c>
      <c r="B18" s="18" t="str">
        <f>'Die Map'!B18</f>
        <v/>
      </c>
      <c r="C18" s="19" t="str">
        <f>'Die Map'!C18</f>
        <v/>
      </c>
      <c r="D18" s="19" t="str">
        <f>'Die Map'!D18</f>
        <v/>
      </c>
      <c r="E18" s="19" t="str">
        <f>'Die Map'!E18</f>
        <v/>
      </c>
      <c r="F18" s="20" t="str">
        <f>'Die Map'!F18</f>
        <v/>
      </c>
      <c r="G18" s="18" t="str">
        <f>'Die Map'!G18</f>
        <v/>
      </c>
      <c r="H18" s="19" t="str">
        <f>'Die Map'!H18</f>
        <v/>
      </c>
      <c r="I18" s="19" t="str">
        <f>'Die Map'!I18</f>
        <v/>
      </c>
      <c r="J18" s="19" t="str">
        <f>'Die Map'!J18</f>
        <v/>
      </c>
      <c r="K18" s="20" t="str">
        <f>'Die Map'!K18</f>
        <v/>
      </c>
      <c r="L18" s="18" t="str">
        <f>'Die Map'!L18</f>
        <v/>
      </c>
      <c r="M18" s="19" t="str">
        <f>'Die Map'!M18</f>
        <v/>
      </c>
      <c r="N18" s="19" t="str">
        <f>'Die Map'!N18</f>
        <v/>
      </c>
      <c r="O18" s="19" t="str">
        <f>'Die Map'!O18</f>
        <v/>
      </c>
      <c r="P18" s="20" t="str">
        <f>'Die Map'!P18</f>
        <v/>
      </c>
      <c r="Q18" s="18" t="str">
        <f>'Die Map'!Q18</f>
        <v>AS017</v>
      </c>
      <c r="R18" s="19" t="str">
        <f>'Die Map'!R18</f>
        <v>AS018</v>
      </c>
      <c r="S18" s="19" t="str">
        <f>'Die Map'!S18</f>
        <v>AS019</v>
      </c>
      <c r="T18" s="19" t="str">
        <f>'Die Map'!T18</f>
        <v>AS021</v>
      </c>
      <c r="U18" s="20" t="str">
        <f>'Die Map'!U18</f>
        <v>AS022</v>
      </c>
      <c r="V18" s="18" t="str">
        <f>'Die Map'!V18</f>
        <v>AS023</v>
      </c>
      <c r="W18" s="19" t="str">
        <f>'Die Map'!W18</f>
        <v>AS024</v>
      </c>
      <c r="X18" s="19" t="str">
        <f>'Die Map'!X18</f>
        <v>AS025</v>
      </c>
      <c r="Y18" s="19" t="str">
        <f>'Die Map'!Y18</f>
        <v>AS026</v>
      </c>
      <c r="Z18" s="20" t="str">
        <f>'Die Map'!Z18</f>
        <v>AS027</v>
      </c>
      <c r="AA18" s="18" t="str">
        <f>'Die Map'!AA18</f>
        <v>AS028</v>
      </c>
      <c r="AB18" s="19" t="str">
        <f>'Die Map'!AB18</f>
        <v>AS029</v>
      </c>
      <c r="AC18" s="19" t="str">
        <f>'Die Map'!AC18</f>
        <v>AS031</v>
      </c>
      <c r="AD18" s="19" t="str">
        <f>'Die Map'!AD18</f>
        <v>AS032</v>
      </c>
      <c r="AE18" s="20" t="str">
        <f>'Die Map'!AE18</f>
        <v>AS033</v>
      </c>
      <c r="AF18" s="18" t="str">
        <f>'Die Map'!AF18</f>
        <v>AS034</v>
      </c>
      <c r="AG18" s="19" t="str">
        <f>'Die Map'!AG18</f>
        <v>AS035</v>
      </c>
      <c r="AH18" s="19" t="str">
        <f>'Die Map'!AH18</f>
        <v>AS036</v>
      </c>
      <c r="AI18" s="19" t="str">
        <f>'Die Map'!AI18</f>
        <v>AS037</v>
      </c>
      <c r="AJ18" s="20" t="str">
        <f>'Die Map'!AJ18</f>
        <v>AS038</v>
      </c>
      <c r="AK18" s="18" t="str">
        <f>'Die Map'!AK18</f>
        <v>AS039</v>
      </c>
      <c r="AL18" s="19" t="str">
        <f>'Die Map'!AL18</f>
        <v>AS041</v>
      </c>
      <c r="AM18" s="19" t="str">
        <f>'Die Map'!AM18</f>
        <v>AS042</v>
      </c>
      <c r="AN18" s="19" t="str">
        <f>'Die Map'!AN18</f>
        <v>AS043</v>
      </c>
      <c r="AO18" s="20" t="str">
        <f>'Die Map'!AO18</f>
        <v>AS044</v>
      </c>
      <c r="AP18" s="18" t="str">
        <f>'Die Map'!AP18</f>
        <v>AS045</v>
      </c>
      <c r="AQ18" s="19" t="str">
        <f>'Die Map'!AQ18</f>
        <v>AS046</v>
      </c>
      <c r="AR18" s="19" t="str">
        <f>'Die Map'!AR18</f>
        <v>AS047</v>
      </c>
      <c r="AS18" s="19" t="str">
        <f>'Die Map'!AS18</f>
        <v>AS048</v>
      </c>
      <c r="AT18" s="20" t="str">
        <f>'Die Map'!AT18</f>
        <v>AS049</v>
      </c>
      <c r="AU18" s="18" t="str">
        <f>'Die Map'!AU18</f>
        <v>AS051</v>
      </c>
      <c r="AV18" s="19" t="str">
        <f>'Die Map'!AV18</f>
        <v>AS052</v>
      </c>
      <c r="AW18" s="19" t="str">
        <f>'Die Map'!AW18</f>
        <v>AS053</v>
      </c>
      <c r="AX18" s="19" t="str">
        <f>'Die Map'!AX18</f>
        <v>AS054</v>
      </c>
      <c r="AY18" s="20" t="str">
        <f>'Die Map'!AY18</f>
        <v>AS055</v>
      </c>
      <c r="AZ18" s="18" t="str">
        <f>'Die Map'!AZ18</f>
        <v>AS056</v>
      </c>
      <c r="BA18" s="19" t="str">
        <f>'Die Map'!BA18</f>
        <v>AS057</v>
      </c>
      <c r="BB18" s="19" t="str">
        <f>'Die Map'!BB18</f>
        <v>AS058</v>
      </c>
      <c r="BC18" s="19" t="str">
        <f>'Die Map'!BC18</f>
        <v>AS059</v>
      </c>
      <c r="BD18" s="20" t="str">
        <f>'Die Map'!BD18</f>
        <v>AS061</v>
      </c>
      <c r="BE18" s="18" t="str">
        <f>'Die Map'!BE18</f>
        <v>AS062</v>
      </c>
      <c r="BF18" s="19" t="str">
        <f>'Die Map'!BF18</f>
        <v>AS063</v>
      </c>
      <c r="BG18" s="19" t="str">
        <f>'Die Map'!BG18</f>
        <v>AS064</v>
      </c>
      <c r="BH18" s="19" t="str">
        <f>'Die Map'!BH18</f>
        <v>AS065</v>
      </c>
      <c r="BI18" s="20" t="str">
        <f>'Die Map'!BI18</f>
        <v>AS066</v>
      </c>
      <c r="BJ18" s="18" t="str">
        <f>'Die Map'!BJ18</f>
        <v>AS067</v>
      </c>
      <c r="BK18" s="19" t="str">
        <f>'Die Map'!BK18</f>
        <v>AS068</v>
      </c>
      <c r="BL18" s="19" t="str">
        <f>'Die Map'!BL18</f>
        <v>AS069</v>
      </c>
      <c r="BM18" s="19" t="str">
        <f>'Die Map'!BM18</f>
        <v>AS071</v>
      </c>
      <c r="BN18" s="20" t="str">
        <f>'Die Map'!BN18</f>
        <v>AS072</v>
      </c>
      <c r="BO18" s="18" t="str">
        <f>'Die Map'!BO18</f>
        <v>AS073</v>
      </c>
      <c r="BP18" s="19" t="str">
        <f>'Die Map'!BP18</f>
        <v>AS074</v>
      </c>
      <c r="BQ18" s="19" t="str">
        <f>'Die Map'!BQ18</f>
        <v>AS075</v>
      </c>
      <c r="BR18" s="19" t="str">
        <f>'Die Map'!BR18</f>
        <v>AS076</v>
      </c>
      <c r="BS18" s="20" t="str">
        <f>'Die Map'!BS18</f>
        <v>AS077</v>
      </c>
      <c r="BT18" s="18" t="str">
        <f>'Die Map'!BT18</f>
        <v>AS078</v>
      </c>
      <c r="BU18" s="19" t="str">
        <f>'Die Map'!BU18</f>
        <v>AS079</v>
      </c>
      <c r="BV18" s="19" t="str">
        <f>'Die Map'!BV18</f>
        <v>AS081</v>
      </c>
      <c r="BW18" s="19" t="str">
        <f>'Die Map'!BW18</f>
        <v>AS082</v>
      </c>
      <c r="BX18" s="20" t="str">
        <f>'Die Map'!BX18</f>
        <v>AS083</v>
      </c>
      <c r="BY18" s="18" t="str">
        <f>'Die Map'!BY18</f>
        <v>AS084</v>
      </c>
      <c r="BZ18" s="19" t="str">
        <f>'Die Map'!BZ18</f>
        <v>AS085</v>
      </c>
      <c r="CA18" s="19" t="str">
        <f>'Die Map'!CA18</f>
        <v>AS086</v>
      </c>
      <c r="CB18" s="19" t="str">
        <f>'Die Map'!CB18</f>
        <v>AS087</v>
      </c>
      <c r="CC18" s="20" t="str">
        <f>'Die Map'!CC18</f>
        <v>AS088</v>
      </c>
      <c r="CD18" s="18" t="str">
        <f>'Die Map'!CD18</f>
        <v>AS089</v>
      </c>
      <c r="CE18" s="19" t="str">
        <f>'Die Map'!CE18</f>
        <v>AS091</v>
      </c>
      <c r="CF18" s="19" t="str">
        <f>'Die Map'!CF18</f>
        <v>AS092</v>
      </c>
      <c r="CG18" s="19" t="str">
        <f>'Die Map'!CG18</f>
        <v>AS093</v>
      </c>
      <c r="CH18" s="20" t="str">
        <f>'Die Map'!CH18</f>
        <v>AS094</v>
      </c>
      <c r="CI18" s="18" t="str">
        <f>'Die Map'!CI18</f>
        <v>AS095</v>
      </c>
      <c r="CJ18" s="19" t="str">
        <f>'Die Map'!CJ18</f>
        <v>AS096</v>
      </c>
      <c r="CK18" s="19" t="str">
        <f>'Die Map'!CK18</f>
        <v>AS097</v>
      </c>
      <c r="CL18" s="19" t="str">
        <f>'Die Map'!CL18</f>
        <v>AS098</v>
      </c>
      <c r="CM18" s="20" t="str">
        <f>'Die Map'!CM18</f>
        <v>AS099</v>
      </c>
      <c r="CN18" s="18" t="str">
        <f>'Die Map'!CN18</f>
        <v/>
      </c>
      <c r="CO18" s="19" t="str">
        <f>'Die Map'!CO18</f>
        <v/>
      </c>
      <c r="CP18" s="19" t="str">
        <f>'Die Map'!CP18</f>
        <v/>
      </c>
      <c r="CQ18" s="19" t="str">
        <f>'Die Map'!CQ18</f>
        <v/>
      </c>
      <c r="CR18" s="20" t="str">
        <f>'Die Map'!CR18</f>
        <v/>
      </c>
      <c r="CS18" s="18" t="str">
        <f>'Die Map'!CS18</f>
        <v/>
      </c>
      <c r="CT18" s="19" t="str">
        <f>'Die Map'!CT18</f>
        <v/>
      </c>
      <c r="CU18" s="19" t="str">
        <f>'Die Map'!CU18</f>
        <v/>
      </c>
      <c r="CV18" s="19" t="str">
        <f>'Die Map'!CV18</f>
        <v/>
      </c>
      <c r="CW18" s="20" t="str">
        <f>'Die Map'!CW18</f>
        <v/>
      </c>
      <c r="CX18" s="18" t="str">
        <f>'Die Map'!CX18</f>
        <v/>
      </c>
      <c r="CY18" s="19" t="str">
        <f>'Die Map'!CY18</f>
        <v/>
      </c>
      <c r="CZ18" s="19" t="str">
        <f>'Die Map'!CZ18</f>
        <v/>
      </c>
      <c r="DA18" s="19" t="str">
        <f>'Die Map'!DA18</f>
        <v/>
      </c>
      <c r="DB18" s="20" t="str">
        <f>'Die Map'!DB18</f>
        <v/>
      </c>
    </row>
    <row r="19" spans="1:106" ht="12.75" customHeight="1" x14ac:dyDescent="0.25">
      <c r="A19" s="17">
        <v>17</v>
      </c>
      <c r="B19" s="21" t="str">
        <f>'Die Map'!B19</f>
        <v/>
      </c>
      <c r="C19" s="22" t="str">
        <f>'Die Map'!C19</f>
        <v/>
      </c>
      <c r="D19" s="22" t="str">
        <f>'Die Map'!D19</f>
        <v/>
      </c>
      <c r="E19" s="22" t="str">
        <f>'Die Map'!E19</f>
        <v/>
      </c>
      <c r="F19" s="23" t="str">
        <f>'Die Map'!F19</f>
        <v/>
      </c>
      <c r="G19" s="21" t="str">
        <f>'Die Map'!G19</f>
        <v/>
      </c>
      <c r="H19" s="22" t="str">
        <f>'Die Map'!H19</f>
        <v/>
      </c>
      <c r="I19" s="22" t="str">
        <f>'Die Map'!I19</f>
        <v/>
      </c>
      <c r="J19" s="22" t="str">
        <f>'Die Map'!J19</f>
        <v/>
      </c>
      <c r="K19" s="23" t="str">
        <f>'Die Map'!K19</f>
        <v/>
      </c>
      <c r="L19" s="21" t="str">
        <f>'Die Map'!L19</f>
        <v/>
      </c>
      <c r="M19" s="22" t="str">
        <f>'Die Map'!M19</f>
        <v/>
      </c>
      <c r="N19" s="22" t="str">
        <f>'Die Map'!N19</f>
        <v/>
      </c>
      <c r="O19" s="22" t="str">
        <f>'Die Map'!O19</f>
        <v/>
      </c>
      <c r="P19" s="23" t="str">
        <f>'Die Map'!P19</f>
        <v/>
      </c>
      <c r="Q19" s="21" t="str">
        <f>'Die Map'!Q19</f>
        <v>AT017</v>
      </c>
      <c r="R19" s="22" t="str">
        <f>'Die Map'!R19</f>
        <v>AT018</v>
      </c>
      <c r="S19" s="22" t="str">
        <f>'Die Map'!S19</f>
        <v>AT019</v>
      </c>
      <c r="T19" s="22" t="str">
        <f>'Die Map'!T19</f>
        <v>AT021</v>
      </c>
      <c r="U19" s="23" t="str">
        <f>'Die Map'!U19</f>
        <v>AT022</v>
      </c>
      <c r="V19" s="21" t="str">
        <f>'Die Map'!V19</f>
        <v>AT023</v>
      </c>
      <c r="W19" s="22" t="str">
        <f>'Die Map'!W19</f>
        <v>AT024</v>
      </c>
      <c r="X19" s="22" t="str">
        <f>'Die Map'!X19</f>
        <v>AT025</v>
      </c>
      <c r="Y19" s="22" t="str">
        <f>'Die Map'!Y19</f>
        <v>AT026</v>
      </c>
      <c r="Z19" s="23" t="str">
        <f>'Die Map'!Z19</f>
        <v>AT027</v>
      </c>
      <c r="AA19" s="21" t="str">
        <f>'Die Map'!AA19</f>
        <v>AT028</v>
      </c>
      <c r="AB19" s="22" t="str">
        <f>'Die Map'!AB19</f>
        <v>AT029</v>
      </c>
      <c r="AC19" s="22" t="str">
        <f>'Die Map'!AC19</f>
        <v>AT031</v>
      </c>
      <c r="AD19" s="22" t="str">
        <f>'Die Map'!AD19</f>
        <v>AT032</v>
      </c>
      <c r="AE19" s="23" t="str">
        <f>'Die Map'!AE19</f>
        <v>AT033</v>
      </c>
      <c r="AF19" s="21" t="str">
        <f>'Die Map'!AF19</f>
        <v>AT034</v>
      </c>
      <c r="AG19" s="22" t="str">
        <f>'Die Map'!AG19</f>
        <v>AT035</v>
      </c>
      <c r="AH19" s="22" t="str">
        <f>'Die Map'!AH19</f>
        <v>AT036</v>
      </c>
      <c r="AI19" s="22" t="str">
        <f>'Die Map'!AI19</f>
        <v>AT037</v>
      </c>
      <c r="AJ19" s="23" t="str">
        <f>'Die Map'!AJ19</f>
        <v>AT038</v>
      </c>
      <c r="AK19" s="21" t="str">
        <f>'Die Map'!AK19</f>
        <v>AT039</v>
      </c>
      <c r="AL19" s="22" t="str">
        <f>'Die Map'!AL19</f>
        <v>AT041</v>
      </c>
      <c r="AM19" s="22" t="str">
        <f>'Die Map'!AM19</f>
        <v>AT042</v>
      </c>
      <c r="AN19" s="22" t="str">
        <f>'Die Map'!AN19</f>
        <v>AT043</v>
      </c>
      <c r="AO19" s="23" t="str">
        <f>'Die Map'!AO19</f>
        <v>AT044</v>
      </c>
      <c r="AP19" s="21" t="str">
        <f>'Die Map'!AP19</f>
        <v>AT045</v>
      </c>
      <c r="AQ19" s="22" t="str">
        <f>'Die Map'!AQ19</f>
        <v>AT046</v>
      </c>
      <c r="AR19" s="22" t="str">
        <f>'Die Map'!AR19</f>
        <v>AT047</v>
      </c>
      <c r="AS19" s="22" t="str">
        <f>'Die Map'!AS19</f>
        <v>AT048</v>
      </c>
      <c r="AT19" s="23" t="str">
        <f>'Die Map'!AT19</f>
        <v>AT049</v>
      </c>
      <c r="AU19" s="21" t="str">
        <f>'Die Map'!AU19</f>
        <v>AT051</v>
      </c>
      <c r="AV19" s="22" t="str">
        <f>'Die Map'!AV19</f>
        <v>AT052</v>
      </c>
      <c r="AW19" s="22" t="str">
        <f>'Die Map'!AW19</f>
        <v>AT053</v>
      </c>
      <c r="AX19" s="22" t="str">
        <f>'Die Map'!AX19</f>
        <v>AT054</v>
      </c>
      <c r="AY19" s="23" t="str">
        <f>'Die Map'!AY19</f>
        <v>AT055</v>
      </c>
      <c r="AZ19" s="21" t="str">
        <f>'Die Map'!AZ19</f>
        <v>AT056</v>
      </c>
      <c r="BA19" s="22" t="str">
        <f>'Die Map'!BA19</f>
        <v>AT057</v>
      </c>
      <c r="BB19" s="22" t="str">
        <f>'Die Map'!BB19</f>
        <v>AT058</v>
      </c>
      <c r="BC19" s="22" t="str">
        <f>'Die Map'!BC19</f>
        <v>AT059</v>
      </c>
      <c r="BD19" s="23" t="str">
        <f>'Die Map'!BD19</f>
        <v>AT061</v>
      </c>
      <c r="BE19" s="21" t="str">
        <f>'Die Map'!BE19</f>
        <v>AT062</v>
      </c>
      <c r="BF19" s="22" t="str">
        <f>'Die Map'!BF19</f>
        <v>AT063</v>
      </c>
      <c r="BG19" s="22" t="str">
        <f>'Die Map'!BG19</f>
        <v>AT064</v>
      </c>
      <c r="BH19" s="22" t="str">
        <f>'Die Map'!BH19</f>
        <v>AT065</v>
      </c>
      <c r="BI19" s="23" t="str">
        <f>'Die Map'!BI19</f>
        <v>AT066</v>
      </c>
      <c r="BJ19" s="21" t="str">
        <f>'Die Map'!BJ19</f>
        <v>AT067</v>
      </c>
      <c r="BK19" s="22" t="str">
        <f>'Die Map'!BK19</f>
        <v>AT068</v>
      </c>
      <c r="BL19" s="22" t="str">
        <f>'Die Map'!BL19</f>
        <v>AT069</v>
      </c>
      <c r="BM19" s="22" t="str">
        <f>'Die Map'!BM19</f>
        <v>AT071</v>
      </c>
      <c r="BN19" s="23" t="str">
        <f>'Die Map'!BN19</f>
        <v>AT072</v>
      </c>
      <c r="BO19" s="21" t="str">
        <f>'Die Map'!BO19</f>
        <v>AT073</v>
      </c>
      <c r="BP19" s="22" t="str">
        <f>'Die Map'!BP19</f>
        <v>AT074</v>
      </c>
      <c r="BQ19" s="22" t="str">
        <f>'Die Map'!BQ19</f>
        <v>AT075</v>
      </c>
      <c r="BR19" s="22" t="str">
        <f>'Die Map'!BR19</f>
        <v>AT076</v>
      </c>
      <c r="BS19" s="23" t="str">
        <f>'Die Map'!BS19</f>
        <v>AT077</v>
      </c>
      <c r="BT19" s="21" t="str">
        <f>'Die Map'!BT19</f>
        <v>AT078</v>
      </c>
      <c r="BU19" s="22" t="str">
        <f>'Die Map'!BU19</f>
        <v>AT079</v>
      </c>
      <c r="BV19" s="22" t="str">
        <f>'Die Map'!BV19</f>
        <v>AT081</v>
      </c>
      <c r="BW19" s="22" t="str">
        <f>'Die Map'!BW19</f>
        <v>AT082</v>
      </c>
      <c r="BX19" s="23" t="str">
        <f>'Die Map'!BX19</f>
        <v>AT083</v>
      </c>
      <c r="BY19" s="21" t="str">
        <f>'Die Map'!BY19</f>
        <v>AT084</v>
      </c>
      <c r="BZ19" s="22" t="str">
        <f>'Die Map'!BZ19</f>
        <v>AT085</v>
      </c>
      <c r="CA19" s="22" t="str">
        <f>'Die Map'!CA19</f>
        <v>AT086</v>
      </c>
      <c r="CB19" s="22" t="str">
        <f>'Die Map'!CB19</f>
        <v>AT087</v>
      </c>
      <c r="CC19" s="23" t="str">
        <f>'Die Map'!CC19</f>
        <v>AT088</v>
      </c>
      <c r="CD19" s="21" t="str">
        <f>'Die Map'!CD19</f>
        <v>AT089</v>
      </c>
      <c r="CE19" s="22" t="str">
        <f>'Die Map'!CE19</f>
        <v>AT091</v>
      </c>
      <c r="CF19" s="22" t="str">
        <f>'Die Map'!CF19</f>
        <v>AT092</v>
      </c>
      <c r="CG19" s="22" t="str">
        <f>'Die Map'!CG19</f>
        <v>AT093</v>
      </c>
      <c r="CH19" s="23" t="str">
        <f>'Die Map'!CH19</f>
        <v>AT094</v>
      </c>
      <c r="CI19" s="21" t="str">
        <f>'Die Map'!CI19</f>
        <v>AT095</v>
      </c>
      <c r="CJ19" s="22" t="str">
        <f>'Die Map'!CJ19</f>
        <v>AT096</v>
      </c>
      <c r="CK19" s="22" t="str">
        <f>'Die Map'!CK19</f>
        <v>AT097</v>
      </c>
      <c r="CL19" s="22" t="str">
        <f>'Die Map'!CL19</f>
        <v>AT098</v>
      </c>
      <c r="CM19" s="23" t="str">
        <f>'Die Map'!CM19</f>
        <v>AT099</v>
      </c>
      <c r="CN19" s="21" t="str">
        <f>'Die Map'!CN19</f>
        <v/>
      </c>
      <c r="CO19" s="22" t="str">
        <f>'Die Map'!CO19</f>
        <v/>
      </c>
      <c r="CP19" s="22" t="str">
        <f>'Die Map'!CP19</f>
        <v/>
      </c>
      <c r="CQ19" s="22" t="str">
        <f>'Die Map'!CQ19</f>
        <v/>
      </c>
      <c r="CR19" s="23" t="str">
        <f>'Die Map'!CR19</f>
        <v/>
      </c>
      <c r="CS19" s="21" t="str">
        <f>'Die Map'!CS19</f>
        <v/>
      </c>
      <c r="CT19" s="22" t="str">
        <f>'Die Map'!CT19</f>
        <v/>
      </c>
      <c r="CU19" s="22" t="str">
        <f>'Die Map'!CU19</f>
        <v/>
      </c>
      <c r="CV19" s="22" t="str">
        <f>'Die Map'!CV19</f>
        <v/>
      </c>
      <c r="CW19" s="23" t="str">
        <f>'Die Map'!CW19</f>
        <v/>
      </c>
      <c r="CX19" s="21" t="str">
        <f>'Die Map'!CX19</f>
        <v/>
      </c>
      <c r="CY19" s="22" t="str">
        <f>'Die Map'!CY19</f>
        <v/>
      </c>
      <c r="CZ19" s="22" t="str">
        <f>'Die Map'!CZ19</f>
        <v/>
      </c>
      <c r="DA19" s="22" t="str">
        <f>'Die Map'!DA19</f>
        <v/>
      </c>
      <c r="DB19" s="23" t="str">
        <f>'Die Map'!DB19</f>
        <v/>
      </c>
    </row>
    <row r="20" spans="1:106" ht="12.75" customHeight="1" x14ac:dyDescent="0.25">
      <c r="A20" s="17">
        <v>18</v>
      </c>
      <c r="B20" s="21" t="str">
        <f>'Die Map'!B20</f>
        <v/>
      </c>
      <c r="C20" s="22" t="str">
        <f>'Die Map'!C20</f>
        <v/>
      </c>
      <c r="D20" s="22" t="str">
        <f>'Die Map'!D20</f>
        <v/>
      </c>
      <c r="E20" s="22" t="str">
        <f>'Die Map'!E20</f>
        <v/>
      </c>
      <c r="F20" s="23" t="str">
        <f>'Die Map'!F20</f>
        <v/>
      </c>
      <c r="G20" s="21" t="str">
        <f>'Die Map'!G20</f>
        <v/>
      </c>
      <c r="H20" s="22" t="str">
        <f>'Die Map'!H20</f>
        <v/>
      </c>
      <c r="I20" s="22" t="str">
        <f>'Die Map'!I20</f>
        <v/>
      </c>
      <c r="J20" s="22" t="str">
        <f>'Die Map'!J20</f>
        <v/>
      </c>
      <c r="K20" s="23" t="str">
        <f>'Die Map'!K20</f>
        <v/>
      </c>
      <c r="L20" s="21" t="str">
        <f>'Die Map'!L20</f>
        <v/>
      </c>
      <c r="M20" s="22" t="str">
        <f>'Die Map'!M20</f>
        <v/>
      </c>
      <c r="N20" s="22" t="str">
        <f>'Die Map'!N20</f>
        <v/>
      </c>
      <c r="O20" s="22" t="str">
        <f>'Die Map'!O20</f>
        <v/>
      </c>
      <c r="P20" s="23" t="str">
        <f>'Die Map'!P20</f>
        <v/>
      </c>
      <c r="Q20" s="21" t="str">
        <f>'Die Map'!Q20</f>
        <v>AU017</v>
      </c>
      <c r="R20" s="22" t="str">
        <f>'Die Map'!R20</f>
        <v>AU018</v>
      </c>
      <c r="S20" s="22" t="str">
        <f>'Die Map'!S20</f>
        <v>AU019</v>
      </c>
      <c r="T20" s="22" t="str">
        <f>'Die Map'!T20</f>
        <v>AU021</v>
      </c>
      <c r="U20" s="23" t="str">
        <f>'Die Map'!U20</f>
        <v>AU022</v>
      </c>
      <c r="V20" s="21" t="str">
        <f>'Die Map'!V20</f>
        <v>AU023</v>
      </c>
      <c r="W20" s="22" t="str">
        <f>'Die Map'!W20</f>
        <v>AU024</v>
      </c>
      <c r="X20" s="22" t="str">
        <f>'Die Map'!X20</f>
        <v>AU025</v>
      </c>
      <c r="Y20" s="22" t="str">
        <f>'Die Map'!Y20</f>
        <v>AU026</v>
      </c>
      <c r="Z20" s="23" t="str">
        <f>'Die Map'!Z20</f>
        <v>AU027</v>
      </c>
      <c r="AA20" s="21" t="str">
        <f>'Die Map'!AA20</f>
        <v>AU028</v>
      </c>
      <c r="AB20" s="22" t="str">
        <f>'Die Map'!AB20</f>
        <v>AU029</v>
      </c>
      <c r="AC20" s="22" t="str">
        <f>'Die Map'!AC20</f>
        <v>AU031</v>
      </c>
      <c r="AD20" s="22" t="str">
        <f>'Die Map'!AD20</f>
        <v>AU032</v>
      </c>
      <c r="AE20" s="23" t="str">
        <f>'Die Map'!AE20</f>
        <v>AU033</v>
      </c>
      <c r="AF20" s="21" t="str">
        <f>'Die Map'!AF20</f>
        <v>AU034</v>
      </c>
      <c r="AG20" s="22" t="str">
        <f>'Die Map'!AG20</f>
        <v>AU035</v>
      </c>
      <c r="AH20" s="22" t="str">
        <f>'Die Map'!AH20</f>
        <v>AU036</v>
      </c>
      <c r="AI20" s="22" t="str">
        <f>'Die Map'!AI20</f>
        <v>AU037</v>
      </c>
      <c r="AJ20" s="23" t="str">
        <f>'Die Map'!AJ20</f>
        <v>AU038</v>
      </c>
      <c r="AK20" s="21" t="str">
        <f>'Die Map'!AK20</f>
        <v>AU039</v>
      </c>
      <c r="AL20" s="22" t="str">
        <f>'Die Map'!AL20</f>
        <v>AU041</v>
      </c>
      <c r="AM20" s="22" t="str">
        <f>'Die Map'!AM20</f>
        <v>AU042</v>
      </c>
      <c r="AN20" s="22" t="str">
        <f>'Die Map'!AN20</f>
        <v>AU043</v>
      </c>
      <c r="AO20" s="23" t="str">
        <f>'Die Map'!AO20</f>
        <v>AU044</v>
      </c>
      <c r="AP20" s="21" t="str">
        <f>'Die Map'!AP20</f>
        <v>AU045</v>
      </c>
      <c r="AQ20" s="22" t="str">
        <f>'Die Map'!AQ20</f>
        <v>AU046</v>
      </c>
      <c r="AR20" s="22" t="str">
        <f>'Die Map'!AR20</f>
        <v>AU047</v>
      </c>
      <c r="AS20" s="22" t="str">
        <f>'Die Map'!AS20</f>
        <v>AU048</v>
      </c>
      <c r="AT20" s="23" t="str">
        <f>'Die Map'!AT20</f>
        <v>AU049</v>
      </c>
      <c r="AU20" s="21" t="str">
        <f>'Die Map'!AU20</f>
        <v>AU051</v>
      </c>
      <c r="AV20" s="22" t="str">
        <f>'Die Map'!AV20</f>
        <v>AU052</v>
      </c>
      <c r="AW20" s="22" t="str">
        <f>'Die Map'!AW20</f>
        <v>AU053</v>
      </c>
      <c r="AX20" s="22" t="str">
        <f>'Die Map'!AX20</f>
        <v>AU054</v>
      </c>
      <c r="AY20" s="23" t="str">
        <f>'Die Map'!AY20</f>
        <v>AU055</v>
      </c>
      <c r="AZ20" s="21" t="str">
        <f>'Die Map'!AZ20</f>
        <v>AU056</v>
      </c>
      <c r="BA20" s="22" t="str">
        <f>'Die Map'!BA20</f>
        <v>AU057</v>
      </c>
      <c r="BB20" s="22" t="str">
        <f>'Die Map'!BB20</f>
        <v>AU058</v>
      </c>
      <c r="BC20" s="22" t="str">
        <f>'Die Map'!BC20</f>
        <v>AU059</v>
      </c>
      <c r="BD20" s="23" t="str">
        <f>'Die Map'!BD20</f>
        <v>AU061</v>
      </c>
      <c r="BE20" s="21" t="str">
        <f>'Die Map'!BE20</f>
        <v>AU062</v>
      </c>
      <c r="BF20" s="22" t="str">
        <f>'Die Map'!BF20</f>
        <v>AU063</v>
      </c>
      <c r="BG20" s="22" t="str">
        <f>'Die Map'!BG20</f>
        <v>AU064</v>
      </c>
      <c r="BH20" s="22" t="str">
        <f>'Die Map'!BH20</f>
        <v>AU065</v>
      </c>
      <c r="BI20" s="23" t="str">
        <f>'Die Map'!BI20</f>
        <v>AU066</v>
      </c>
      <c r="BJ20" s="21" t="str">
        <f>'Die Map'!BJ20</f>
        <v>AU067</v>
      </c>
      <c r="BK20" s="22" t="str">
        <f>'Die Map'!BK20</f>
        <v>AU068</v>
      </c>
      <c r="BL20" s="22" t="str">
        <f>'Die Map'!BL20</f>
        <v>AU069</v>
      </c>
      <c r="BM20" s="22" t="str">
        <f>'Die Map'!BM20</f>
        <v>AU071</v>
      </c>
      <c r="BN20" s="23" t="str">
        <f>'Die Map'!BN20</f>
        <v>AU072</v>
      </c>
      <c r="BO20" s="21" t="str">
        <f>'Die Map'!BO20</f>
        <v>AU073</v>
      </c>
      <c r="BP20" s="22" t="str">
        <f>'Die Map'!BP20</f>
        <v>AU074</v>
      </c>
      <c r="BQ20" s="22" t="str">
        <f>'Die Map'!BQ20</f>
        <v>AU075</v>
      </c>
      <c r="BR20" s="22" t="str">
        <f>'Die Map'!BR20</f>
        <v>AU076</v>
      </c>
      <c r="BS20" s="23" t="str">
        <f>'Die Map'!BS20</f>
        <v>AU077</v>
      </c>
      <c r="BT20" s="21" t="str">
        <f>'Die Map'!BT20</f>
        <v>AU078</v>
      </c>
      <c r="BU20" s="22" t="str">
        <f>'Die Map'!BU20</f>
        <v>AU079</v>
      </c>
      <c r="BV20" s="22" t="str">
        <f>'Die Map'!BV20</f>
        <v>AU081</v>
      </c>
      <c r="BW20" s="22" t="str">
        <f>'Die Map'!BW20</f>
        <v>AU082</v>
      </c>
      <c r="BX20" s="23" t="str">
        <f>'Die Map'!BX20</f>
        <v>AU083</v>
      </c>
      <c r="BY20" s="21" t="str">
        <f>'Die Map'!BY20</f>
        <v>AU084</v>
      </c>
      <c r="BZ20" s="22" t="str">
        <f>'Die Map'!BZ20</f>
        <v>AU085</v>
      </c>
      <c r="CA20" s="22" t="str">
        <f>'Die Map'!CA20</f>
        <v>AU086</v>
      </c>
      <c r="CB20" s="22" t="str">
        <f>'Die Map'!CB20</f>
        <v>AU087</v>
      </c>
      <c r="CC20" s="23" t="str">
        <f>'Die Map'!CC20</f>
        <v>AU088</v>
      </c>
      <c r="CD20" s="21" t="str">
        <f>'Die Map'!CD20</f>
        <v>AU089</v>
      </c>
      <c r="CE20" s="22" t="str">
        <f>'Die Map'!CE20</f>
        <v>AU091</v>
      </c>
      <c r="CF20" s="22" t="str">
        <f>'Die Map'!CF20</f>
        <v>AU092</v>
      </c>
      <c r="CG20" s="22" t="str">
        <f>'Die Map'!CG20</f>
        <v>AU093</v>
      </c>
      <c r="CH20" s="23" t="str">
        <f>'Die Map'!CH20</f>
        <v>AU094</v>
      </c>
      <c r="CI20" s="21" t="str">
        <f>'Die Map'!CI20</f>
        <v>AU095</v>
      </c>
      <c r="CJ20" s="22" t="str">
        <f>'Die Map'!CJ20</f>
        <v>AU096</v>
      </c>
      <c r="CK20" s="22" t="str">
        <f>'Die Map'!CK20</f>
        <v>AU097</v>
      </c>
      <c r="CL20" s="22" t="str">
        <f>'Die Map'!CL20</f>
        <v>AU098</v>
      </c>
      <c r="CM20" s="23" t="str">
        <f>'Die Map'!CM20</f>
        <v>AU099</v>
      </c>
      <c r="CN20" s="21" t="str">
        <f>'Die Map'!CN20</f>
        <v/>
      </c>
      <c r="CO20" s="22" t="str">
        <f>'Die Map'!CO20</f>
        <v/>
      </c>
      <c r="CP20" s="22" t="str">
        <f>'Die Map'!CP20</f>
        <v/>
      </c>
      <c r="CQ20" s="22" t="str">
        <f>'Die Map'!CQ20</f>
        <v/>
      </c>
      <c r="CR20" s="23" t="str">
        <f>'Die Map'!CR20</f>
        <v/>
      </c>
      <c r="CS20" s="21" t="str">
        <f>'Die Map'!CS20</f>
        <v/>
      </c>
      <c r="CT20" s="22" t="str">
        <f>'Die Map'!CT20</f>
        <v/>
      </c>
      <c r="CU20" s="22" t="str">
        <f>'Die Map'!CU20</f>
        <v/>
      </c>
      <c r="CV20" s="22" t="str">
        <f>'Die Map'!CV20</f>
        <v/>
      </c>
      <c r="CW20" s="23" t="str">
        <f>'Die Map'!CW20</f>
        <v/>
      </c>
      <c r="CX20" s="21" t="str">
        <f>'Die Map'!CX20</f>
        <v/>
      </c>
      <c r="CY20" s="22" t="str">
        <f>'Die Map'!CY20</f>
        <v/>
      </c>
      <c r="CZ20" s="22" t="str">
        <f>'Die Map'!CZ20</f>
        <v/>
      </c>
      <c r="DA20" s="22" t="str">
        <f>'Die Map'!DA20</f>
        <v/>
      </c>
      <c r="DB20" s="23" t="str">
        <f>'Die Map'!DB20</f>
        <v/>
      </c>
    </row>
    <row r="21" spans="1:106" ht="12.75" customHeight="1" x14ac:dyDescent="0.25">
      <c r="A21" s="17">
        <v>19</v>
      </c>
      <c r="B21" s="21" t="str">
        <f>'Die Map'!B21</f>
        <v/>
      </c>
      <c r="C21" s="22" t="str">
        <f>'Die Map'!C21</f>
        <v/>
      </c>
      <c r="D21" s="22" t="str">
        <f>'Die Map'!D21</f>
        <v/>
      </c>
      <c r="E21" s="22" t="str">
        <f>'Die Map'!E21</f>
        <v/>
      </c>
      <c r="F21" s="23" t="str">
        <f>'Die Map'!F21</f>
        <v/>
      </c>
      <c r="G21" s="21" t="str">
        <f>'Die Map'!G21</f>
        <v/>
      </c>
      <c r="H21" s="22" t="str">
        <f>'Die Map'!H21</f>
        <v/>
      </c>
      <c r="I21" s="22" t="str">
        <f>'Die Map'!I21</f>
        <v/>
      </c>
      <c r="J21" s="22" t="str">
        <f>'Die Map'!J21</f>
        <v/>
      </c>
      <c r="K21" s="23" t="str">
        <f>'Die Map'!K21</f>
        <v/>
      </c>
      <c r="L21" s="21" t="str">
        <f>'Die Map'!L21</f>
        <v/>
      </c>
      <c r="M21" s="22" t="str">
        <f>'Die Map'!M21</f>
        <v/>
      </c>
      <c r="N21" s="22" t="str">
        <f>'Die Map'!N21</f>
        <v/>
      </c>
      <c r="O21" s="22" t="str">
        <f>'Die Map'!O21</f>
        <v/>
      </c>
      <c r="P21" s="23" t="str">
        <f>'Die Map'!P21</f>
        <v/>
      </c>
      <c r="Q21" s="21" t="str">
        <f>'Die Map'!Q21</f>
        <v>AV017</v>
      </c>
      <c r="R21" s="22" t="str">
        <f>'Die Map'!R21</f>
        <v>AV018</v>
      </c>
      <c r="S21" s="22" t="str">
        <f>'Die Map'!S21</f>
        <v>AV019</v>
      </c>
      <c r="T21" s="22" t="str">
        <f>'Die Map'!T21</f>
        <v>AV021</v>
      </c>
      <c r="U21" s="23" t="str">
        <f>'Die Map'!U21</f>
        <v>AV022</v>
      </c>
      <c r="V21" s="21" t="str">
        <f>'Die Map'!V21</f>
        <v>AV023</v>
      </c>
      <c r="W21" s="22" t="str">
        <f>'Die Map'!W21</f>
        <v>AV024</v>
      </c>
      <c r="X21" s="22" t="str">
        <f>'Die Map'!X21</f>
        <v>AV025</v>
      </c>
      <c r="Y21" s="22" t="str">
        <f>'Die Map'!Y21</f>
        <v>AV026</v>
      </c>
      <c r="Z21" s="23" t="str">
        <f>'Die Map'!Z21</f>
        <v>AV027</v>
      </c>
      <c r="AA21" s="21" t="str">
        <f>'Die Map'!AA21</f>
        <v>AV028</v>
      </c>
      <c r="AB21" s="22" t="str">
        <f>'Die Map'!AB21</f>
        <v>AV029</v>
      </c>
      <c r="AC21" s="22" t="str">
        <f>'Die Map'!AC21</f>
        <v>AV031</v>
      </c>
      <c r="AD21" s="22" t="str">
        <f>'Die Map'!AD21</f>
        <v>AV032</v>
      </c>
      <c r="AE21" s="23" t="str">
        <f>'Die Map'!AE21</f>
        <v>AV033</v>
      </c>
      <c r="AF21" s="21" t="str">
        <f>'Die Map'!AF21</f>
        <v>AV034</v>
      </c>
      <c r="AG21" s="22" t="str">
        <f>'Die Map'!AG21</f>
        <v>AV035</v>
      </c>
      <c r="AH21" s="22" t="str">
        <f>'Die Map'!AH21</f>
        <v>AV036</v>
      </c>
      <c r="AI21" s="22" t="str">
        <f>'Die Map'!AI21</f>
        <v>AV037</v>
      </c>
      <c r="AJ21" s="23" t="str">
        <f>'Die Map'!AJ21</f>
        <v>AV038</v>
      </c>
      <c r="AK21" s="21" t="str">
        <f>'Die Map'!AK21</f>
        <v>AV039</v>
      </c>
      <c r="AL21" s="22" t="str">
        <f>'Die Map'!AL21</f>
        <v>AV041</v>
      </c>
      <c r="AM21" s="22" t="str">
        <f>'Die Map'!AM21</f>
        <v>AV042</v>
      </c>
      <c r="AN21" s="22" t="str">
        <f>'Die Map'!AN21</f>
        <v>AV043</v>
      </c>
      <c r="AO21" s="23" t="str">
        <f>'Die Map'!AO21</f>
        <v>AV044</v>
      </c>
      <c r="AP21" s="21" t="str">
        <f>'Die Map'!AP21</f>
        <v>AV045</v>
      </c>
      <c r="AQ21" s="22" t="str">
        <f>'Die Map'!AQ21</f>
        <v>AV046</v>
      </c>
      <c r="AR21" s="22" t="str">
        <f>'Die Map'!AR21</f>
        <v>AV047</v>
      </c>
      <c r="AS21" s="22" t="str">
        <f>'Die Map'!AS21</f>
        <v>AV048</v>
      </c>
      <c r="AT21" s="23" t="str">
        <f>'Die Map'!AT21</f>
        <v>AV049</v>
      </c>
      <c r="AU21" s="21" t="str">
        <f>'Die Map'!AU21</f>
        <v>AV051</v>
      </c>
      <c r="AV21" s="22" t="str">
        <f>'Die Map'!AV21</f>
        <v>AV052</v>
      </c>
      <c r="AW21" s="22" t="str">
        <f>'Die Map'!AW21</f>
        <v>AV053</v>
      </c>
      <c r="AX21" s="22" t="str">
        <f>'Die Map'!AX21</f>
        <v>AV054</v>
      </c>
      <c r="AY21" s="23" t="str">
        <f>'Die Map'!AY21</f>
        <v>AV055</v>
      </c>
      <c r="AZ21" s="21" t="str">
        <f>'Die Map'!AZ21</f>
        <v>AV056</v>
      </c>
      <c r="BA21" s="22" t="str">
        <f>'Die Map'!BA21</f>
        <v>AV057</v>
      </c>
      <c r="BB21" s="22" t="str">
        <f>'Die Map'!BB21</f>
        <v>AV058</v>
      </c>
      <c r="BC21" s="22" t="str">
        <f>'Die Map'!BC21</f>
        <v>AV059</v>
      </c>
      <c r="BD21" s="23" t="str">
        <f>'Die Map'!BD21</f>
        <v>AV061</v>
      </c>
      <c r="BE21" s="21" t="str">
        <f>'Die Map'!BE21</f>
        <v>AV062</v>
      </c>
      <c r="BF21" s="22" t="str">
        <f>'Die Map'!BF21</f>
        <v>AV063</v>
      </c>
      <c r="BG21" s="22" t="str">
        <f>'Die Map'!BG21</f>
        <v>AV064</v>
      </c>
      <c r="BH21" s="22" t="str">
        <f>'Die Map'!BH21</f>
        <v>AV065</v>
      </c>
      <c r="BI21" s="23" t="str">
        <f>'Die Map'!BI21</f>
        <v>AV066</v>
      </c>
      <c r="BJ21" s="21" t="str">
        <f>'Die Map'!BJ21</f>
        <v>AV067</v>
      </c>
      <c r="BK21" s="22" t="str">
        <f>'Die Map'!BK21</f>
        <v>AV068</v>
      </c>
      <c r="BL21" s="22" t="str">
        <f>'Die Map'!BL21</f>
        <v>AV069</v>
      </c>
      <c r="BM21" s="22" t="str">
        <f>'Die Map'!BM21</f>
        <v>AV071</v>
      </c>
      <c r="BN21" s="23" t="str">
        <f>'Die Map'!BN21</f>
        <v>AV072</v>
      </c>
      <c r="BO21" s="21" t="str">
        <f>'Die Map'!BO21</f>
        <v>AV073</v>
      </c>
      <c r="BP21" s="22" t="str">
        <f>'Die Map'!BP21</f>
        <v>AV074</v>
      </c>
      <c r="BQ21" s="22" t="str">
        <f>'Die Map'!BQ21</f>
        <v>AV075</v>
      </c>
      <c r="BR21" s="22" t="str">
        <f>'Die Map'!BR21</f>
        <v>AV076</v>
      </c>
      <c r="BS21" s="23" t="str">
        <f>'Die Map'!BS21</f>
        <v>AV077</v>
      </c>
      <c r="BT21" s="21" t="str">
        <f>'Die Map'!BT21</f>
        <v>AV078</v>
      </c>
      <c r="BU21" s="22" t="str">
        <f>'Die Map'!BU21</f>
        <v>AV079</v>
      </c>
      <c r="BV21" s="22" t="str">
        <f>'Die Map'!BV21</f>
        <v>AV081</v>
      </c>
      <c r="BW21" s="22" t="str">
        <f>'Die Map'!BW21</f>
        <v>AV082</v>
      </c>
      <c r="BX21" s="23" t="str">
        <f>'Die Map'!BX21</f>
        <v>AV083</v>
      </c>
      <c r="BY21" s="21" t="str">
        <f>'Die Map'!BY21</f>
        <v>AV084</v>
      </c>
      <c r="BZ21" s="22" t="str">
        <f>'Die Map'!BZ21</f>
        <v>AV085</v>
      </c>
      <c r="CA21" s="22" t="str">
        <f>'Die Map'!CA21</f>
        <v>AV086</v>
      </c>
      <c r="CB21" s="22" t="str">
        <f>'Die Map'!CB21</f>
        <v>AV087</v>
      </c>
      <c r="CC21" s="23" t="str">
        <f>'Die Map'!CC21</f>
        <v>AV088</v>
      </c>
      <c r="CD21" s="21" t="str">
        <f>'Die Map'!CD21</f>
        <v>AV089</v>
      </c>
      <c r="CE21" s="22" t="str">
        <f>'Die Map'!CE21</f>
        <v>AV091</v>
      </c>
      <c r="CF21" s="22" t="str">
        <f>'Die Map'!CF21</f>
        <v>AV092</v>
      </c>
      <c r="CG21" s="22" t="str">
        <f>'Die Map'!CG21</f>
        <v>AV093</v>
      </c>
      <c r="CH21" s="23" t="str">
        <f>'Die Map'!CH21</f>
        <v>AV094</v>
      </c>
      <c r="CI21" s="21" t="str">
        <f>'Die Map'!CI21</f>
        <v>AV095</v>
      </c>
      <c r="CJ21" s="22" t="str">
        <f>'Die Map'!CJ21</f>
        <v>AV096</v>
      </c>
      <c r="CK21" s="22" t="str">
        <f>'Die Map'!CK21</f>
        <v>AV097</v>
      </c>
      <c r="CL21" s="22" t="str">
        <f>'Die Map'!CL21</f>
        <v>AV098</v>
      </c>
      <c r="CM21" s="23" t="str">
        <f>'Die Map'!CM21</f>
        <v>AV099</v>
      </c>
      <c r="CN21" s="21" t="str">
        <f>'Die Map'!CN21</f>
        <v/>
      </c>
      <c r="CO21" s="22" t="str">
        <f>'Die Map'!CO21</f>
        <v/>
      </c>
      <c r="CP21" s="22" t="str">
        <f>'Die Map'!CP21</f>
        <v/>
      </c>
      <c r="CQ21" s="22" t="str">
        <f>'Die Map'!CQ21</f>
        <v/>
      </c>
      <c r="CR21" s="23" t="str">
        <f>'Die Map'!CR21</f>
        <v/>
      </c>
      <c r="CS21" s="21" t="str">
        <f>'Die Map'!CS21</f>
        <v/>
      </c>
      <c r="CT21" s="22" t="str">
        <f>'Die Map'!CT21</f>
        <v/>
      </c>
      <c r="CU21" s="22" t="str">
        <f>'Die Map'!CU21</f>
        <v/>
      </c>
      <c r="CV21" s="22" t="str">
        <f>'Die Map'!CV21</f>
        <v/>
      </c>
      <c r="CW21" s="23" t="str">
        <f>'Die Map'!CW21</f>
        <v/>
      </c>
      <c r="CX21" s="21" t="str">
        <f>'Die Map'!CX21</f>
        <v/>
      </c>
      <c r="CY21" s="22" t="str">
        <f>'Die Map'!CY21</f>
        <v/>
      </c>
      <c r="CZ21" s="22" t="str">
        <f>'Die Map'!CZ21</f>
        <v/>
      </c>
      <c r="DA21" s="22" t="str">
        <f>'Die Map'!DA21</f>
        <v/>
      </c>
      <c r="DB21" s="23" t="str">
        <f>'Die Map'!DB21</f>
        <v/>
      </c>
    </row>
    <row r="22" spans="1:106" ht="12.75" customHeight="1" x14ac:dyDescent="0.25">
      <c r="A22" s="17">
        <v>20</v>
      </c>
      <c r="B22" s="24" t="str">
        <f>'Die Map'!B22</f>
        <v/>
      </c>
      <c r="C22" s="25" t="str">
        <f>'Die Map'!C22</f>
        <v/>
      </c>
      <c r="D22" s="25" t="str">
        <f>'Die Map'!D22</f>
        <v/>
      </c>
      <c r="E22" s="25" t="str">
        <f>'Die Map'!E22</f>
        <v/>
      </c>
      <c r="F22" s="26" t="str">
        <f>'Die Map'!F22</f>
        <v/>
      </c>
      <c r="G22" s="24" t="str">
        <f>'Die Map'!G22</f>
        <v/>
      </c>
      <c r="H22" s="25" t="str">
        <f>'Die Map'!H22</f>
        <v/>
      </c>
      <c r="I22" s="25" t="str">
        <f>'Die Map'!I22</f>
        <v/>
      </c>
      <c r="J22" s="25" t="str">
        <f>'Die Map'!J22</f>
        <v/>
      </c>
      <c r="K22" s="26" t="str">
        <f>'Die Map'!K22</f>
        <v/>
      </c>
      <c r="L22" s="24" t="str">
        <f>'Die Map'!L22</f>
        <v/>
      </c>
      <c r="M22" s="25" t="str">
        <f>'Die Map'!M22</f>
        <v/>
      </c>
      <c r="N22" s="25" t="str">
        <f>'Die Map'!N22</f>
        <v/>
      </c>
      <c r="O22" s="25" t="str">
        <f>'Die Map'!O22</f>
        <v/>
      </c>
      <c r="P22" s="26" t="str">
        <f>'Die Map'!P22</f>
        <v/>
      </c>
      <c r="Q22" s="24" t="str">
        <f>'Die Map'!Q22</f>
        <v>AW017</v>
      </c>
      <c r="R22" s="25" t="str">
        <f>'Die Map'!R22</f>
        <v>AW018</v>
      </c>
      <c r="S22" s="25" t="str">
        <f>'Die Map'!S22</f>
        <v>AW019</v>
      </c>
      <c r="T22" s="25" t="str">
        <f>'Die Map'!T22</f>
        <v>AW021</v>
      </c>
      <c r="U22" s="26" t="str">
        <f>'Die Map'!U22</f>
        <v>AW022</v>
      </c>
      <c r="V22" s="24" t="str">
        <f>'Die Map'!V22</f>
        <v>AW023</v>
      </c>
      <c r="W22" s="25" t="str">
        <f>'Die Map'!W22</f>
        <v>AW024</v>
      </c>
      <c r="X22" s="25" t="str">
        <f>'Die Map'!X22</f>
        <v>AW025</v>
      </c>
      <c r="Y22" s="25" t="str">
        <f>'Die Map'!Y22</f>
        <v>AW026</v>
      </c>
      <c r="Z22" s="26" t="str">
        <f>'Die Map'!Z22</f>
        <v>AW027</v>
      </c>
      <c r="AA22" s="24" t="str">
        <f>'Die Map'!AA22</f>
        <v>AW028</v>
      </c>
      <c r="AB22" s="25" t="str">
        <f>'Die Map'!AB22</f>
        <v>AW029</v>
      </c>
      <c r="AC22" s="25" t="str">
        <f>'Die Map'!AC22</f>
        <v>AW031</v>
      </c>
      <c r="AD22" s="25" t="str">
        <f>'Die Map'!AD22</f>
        <v>AW032</v>
      </c>
      <c r="AE22" s="26" t="str">
        <f>'Die Map'!AE22</f>
        <v>AW033</v>
      </c>
      <c r="AF22" s="24" t="str">
        <f>'Die Map'!AF22</f>
        <v>AW034</v>
      </c>
      <c r="AG22" s="25" t="str">
        <f>'Die Map'!AG22</f>
        <v>AW035</v>
      </c>
      <c r="AH22" s="25" t="str">
        <f>'Die Map'!AH22</f>
        <v>AW036</v>
      </c>
      <c r="AI22" s="25" t="str">
        <f>'Die Map'!AI22</f>
        <v>AW037</v>
      </c>
      <c r="AJ22" s="26" t="str">
        <f>'Die Map'!AJ22</f>
        <v>AW038</v>
      </c>
      <c r="AK22" s="24" t="str">
        <f>'Die Map'!AK22</f>
        <v>AW039</v>
      </c>
      <c r="AL22" s="25" t="str">
        <f>'Die Map'!AL22</f>
        <v>AW041</v>
      </c>
      <c r="AM22" s="25" t="str">
        <f>'Die Map'!AM22</f>
        <v>AW042</v>
      </c>
      <c r="AN22" s="25" t="str">
        <f>'Die Map'!AN22</f>
        <v>AW043</v>
      </c>
      <c r="AO22" s="26" t="str">
        <f>'Die Map'!AO22</f>
        <v>AW044</v>
      </c>
      <c r="AP22" s="24" t="str">
        <f>'Die Map'!AP22</f>
        <v>AW045</v>
      </c>
      <c r="AQ22" s="25" t="str">
        <f>'Die Map'!AQ22</f>
        <v>AW046</v>
      </c>
      <c r="AR22" s="25" t="str">
        <f>'Die Map'!AR22</f>
        <v>AW047</v>
      </c>
      <c r="AS22" s="25" t="str">
        <f>'Die Map'!AS22</f>
        <v>AW048</v>
      </c>
      <c r="AT22" s="26" t="str">
        <f>'Die Map'!AT22</f>
        <v>AW049</v>
      </c>
      <c r="AU22" s="24" t="str">
        <f>'Die Map'!AU22</f>
        <v>AW051</v>
      </c>
      <c r="AV22" s="25" t="str">
        <f>'Die Map'!AV22</f>
        <v>AW052</v>
      </c>
      <c r="AW22" s="25" t="str">
        <f>'Die Map'!AW22</f>
        <v>AW053</v>
      </c>
      <c r="AX22" s="25" t="str">
        <f>'Die Map'!AX22</f>
        <v>AW054</v>
      </c>
      <c r="AY22" s="26" t="str">
        <f>'Die Map'!AY22</f>
        <v>AW055</v>
      </c>
      <c r="AZ22" s="24" t="str">
        <f>'Die Map'!AZ22</f>
        <v>AW056</v>
      </c>
      <c r="BA22" s="25" t="str">
        <f>'Die Map'!BA22</f>
        <v>AW057</v>
      </c>
      <c r="BB22" s="25" t="str">
        <f>'Die Map'!BB22</f>
        <v>AW058</v>
      </c>
      <c r="BC22" s="25" t="str">
        <f>'Die Map'!BC22</f>
        <v>AW059</v>
      </c>
      <c r="BD22" s="26" t="str">
        <f>'Die Map'!BD22</f>
        <v>AW061</v>
      </c>
      <c r="BE22" s="24" t="str">
        <f>'Die Map'!BE22</f>
        <v>AW062</v>
      </c>
      <c r="BF22" s="25" t="str">
        <f>'Die Map'!BF22</f>
        <v>AW063</v>
      </c>
      <c r="BG22" s="25" t="str">
        <f>'Die Map'!BG22</f>
        <v>AW064</v>
      </c>
      <c r="BH22" s="25" t="str">
        <f>'Die Map'!BH22</f>
        <v>AW065</v>
      </c>
      <c r="BI22" s="26" t="str">
        <f>'Die Map'!BI22</f>
        <v>AW066</v>
      </c>
      <c r="BJ22" s="24" t="str">
        <f>'Die Map'!BJ22</f>
        <v>AW067</v>
      </c>
      <c r="BK22" s="25" t="str">
        <f>'Die Map'!BK22</f>
        <v>AW068</v>
      </c>
      <c r="BL22" s="25" t="str">
        <f>'Die Map'!BL22</f>
        <v>AW069</v>
      </c>
      <c r="BM22" s="25" t="str">
        <f>'Die Map'!BM22</f>
        <v>AW071</v>
      </c>
      <c r="BN22" s="26" t="str">
        <f>'Die Map'!BN22</f>
        <v>AW072</v>
      </c>
      <c r="BO22" s="24" t="str">
        <f>'Die Map'!BO22</f>
        <v>AW073</v>
      </c>
      <c r="BP22" s="25" t="str">
        <f>'Die Map'!BP22</f>
        <v>AW074</v>
      </c>
      <c r="BQ22" s="25" t="str">
        <f>'Die Map'!BQ22</f>
        <v>AW075</v>
      </c>
      <c r="BR22" s="25" t="str">
        <f>'Die Map'!BR22</f>
        <v>AW076</v>
      </c>
      <c r="BS22" s="26" t="str">
        <f>'Die Map'!BS22</f>
        <v>AW077</v>
      </c>
      <c r="BT22" s="24" t="str">
        <f>'Die Map'!BT22</f>
        <v>AW078</v>
      </c>
      <c r="BU22" s="25" t="str">
        <f>'Die Map'!BU22</f>
        <v>AW079</v>
      </c>
      <c r="BV22" s="25" t="str">
        <f>'Die Map'!BV22</f>
        <v>AW081</v>
      </c>
      <c r="BW22" s="25" t="str">
        <f>'Die Map'!BW22</f>
        <v>AW082</v>
      </c>
      <c r="BX22" s="26" t="str">
        <f>'Die Map'!BX22</f>
        <v>AW083</v>
      </c>
      <c r="BY22" s="24" t="str">
        <f>'Die Map'!BY22</f>
        <v>AW084</v>
      </c>
      <c r="BZ22" s="25" t="str">
        <f>'Die Map'!BZ22</f>
        <v>AW085</v>
      </c>
      <c r="CA22" s="25" t="str">
        <f>'Die Map'!CA22</f>
        <v>AW086</v>
      </c>
      <c r="CB22" s="25" t="str">
        <f>'Die Map'!CB22</f>
        <v>AW087</v>
      </c>
      <c r="CC22" s="26" t="str">
        <f>'Die Map'!CC22</f>
        <v>AW088</v>
      </c>
      <c r="CD22" s="24" t="str">
        <f>'Die Map'!CD22</f>
        <v>AW089</v>
      </c>
      <c r="CE22" s="25" t="str">
        <f>'Die Map'!CE22</f>
        <v>AW091</v>
      </c>
      <c r="CF22" s="25" t="str">
        <f>'Die Map'!CF22</f>
        <v>AW092</v>
      </c>
      <c r="CG22" s="25" t="str">
        <f>'Die Map'!CG22</f>
        <v>AW093</v>
      </c>
      <c r="CH22" s="26" t="str">
        <f>'Die Map'!CH22</f>
        <v>AW094</v>
      </c>
      <c r="CI22" s="24" t="str">
        <f>'Die Map'!CI22</f>
        <v>AW095</v>
      </c>
      <c r="CJ22" s="25" t="str">
        <f>'Die Map'!CJ22</f>
        <v>AW096</v>
      </c>
      <c r="CK22" s="25" t="str">
        <f>'Die Map'!CK22</f>
        <v>AW097</v>
      </c>
      <c r="CL22" s="25" t="str">
        <f>'Die Map'!CL22</f>
        <v>AW098</v>
      </c>
      <c r="CM22" s="26" t="str">
        <f>'Die Map'!CM22</f>
        <v>AW099</v>
      </c>
      <c r="CN22" s="24" t="str">
        <f>'Die Map'!CN22</f>
        <v/>
      </c>
      <c r="CO22" s="25" t="str">
        <f>'Die Map'!CO22</f>
        <v/>
      </c>
      <c r="CP22" s="25" t="str">
        <f>'Die Map'!CP22</f>
        <v/>
      </c>
      <c r="CQ22" s="25" t="str">
        <f>'Die Map'!CQ22</f>
        <v/>
      </c>
      <c r="CR22" s="26" t="str">
        <f>'Die Map'!CR22</f>
        <v/>
      </c>
      <c r="CS22" s="24" t="str">
        <f>'Die Map'!CS22</f>
        <v/>
      </c>
      <c r="CT22" s="25" t="str">
        <f>'Die Map'!CT22</f>
        <v/>
      </c>
      <c r="CU22" s="25" t="str">
        <f>'Die Map'!CU22</f>
        <v/>
      </c>
      <c r="CV22" s="25" t="str">
        <f>'Die Map'!CV22</f>
        <v/>
      </c>
      <c r="CW22" s="26" t="str">
        <f>'Die Map'!CW22</f>
        <v/>
      </c>
      <c r="CX22" s="24" t="str">
        <f>'Die Map'!CX22</f>
        <v/>
      </c>
      <c r="CY22" s="25" t="str">
        <f>'Die Map'!CY22</f>
        <v/>
      </c>
      <c r="CZ22" s="25" t="str">
        <f>'Die Map'!CZ22</f>
        <v/>
      </c>
      <c r="DA22" s="25" t="str">
        <f>'Die Map'!DA22</f>
        <v/>
      </c>
      <c r="DB22" s="26" t="str">
        <f>'Die Map'!DB22</f>
        <v/>
      </c>
    </row>
    <row r="23" spans="1:106" ht="12.75" customHeight="1" x14ac:dyDescent="0.25">
      <c r="A23" s="17">
        <v>21</v>
      </c>
      <c r="B23" s="18" t="str">
        <f>'Die Map'!B23</f>
        <v/>
      </c>
      <c r="C23" s="19" t="str">
        <f>'Die Map'!C23</f>
        <v/>
      </c>
      <c r="D23" s="19" t="str">
        <f>'Die Map'!D23</f>
        <v/>
      </c>
      <c r="E23" s="19" t="str">
        <f>'Die Map'!E23</f>
        <v/>
      </c>
      <c r="F23" s="20" t="str">
        <f>'Die Map'!F23</f>
        <v/>
      </c>
      <c r="G23" s="18" t="str">
        <f>'Die Map'!G23</f>
        <v/>
      </c>
      <c r="H23" s="19" t="str">
        <f>'Die Map'!H23</f>
        <v/>
      </c>
      <c r="I23" s="19" t="str">
        <f>'Die Map'!I23</f>
        <v/>
      </c>
      <c r="J23" s="19" t="str">
        <f>'Die Map'!J23</f>
        <v/>
      </c>
      <c r="K23" s="20" t="str">
        <f>'Die Map'!K23</f>
        <v/>
      </c>
      <c r="L23" s="18" t="str">
        <f>'Die Map'!L23</f>
        <v>AX012</v>
      </c>
      <c r="M23" s="19" t="str">
        <f>'Die Map'!M23</f>
        <v>AX013</v>
      </c>
      <c r="N23" s="19" t="str">
        <f>'Die Map'!N23</f>
        <v>AX014</v>
      </c>
      <c r="O23" s="19" t="str">
        <f>'Die Map'!O23</f>
        <v>AX015</v>
      </c>
      <c r="P23" s="20" t="str">
        <f>'Die Map'!P23</f>
        <v>AX016</v>
      </c>
      <c r="Q23" s="18" t="str">
        <f>'Die Map'!Q23</f>
        <v>AX017</v>
      </c>
      <c r="R23" s="19" t="str">
        <f>'Die Map'!R23</f>
        <v>AX018</v>
      </c>
      <c r="S23" s="19" t="str">
        <f>'Die Map'!S23</f>
        <v>AX019</v>
      </c>
      <c r="T23" s="19" t="str">
        <f>'Die Map'!T23</f>
        <v>AX021</v>
      </c>
      <c r="U23" s="20" t="str">
        <f>'Die Map'!U23</f>
        <v>AX022</v>
      </c>
      <c r="V23" s="18" t="str">
        <f>'Die Map'!V23</f>
        <v>AX023</v>
      </c>
      <c r="W23" s="19" t="str">
        <f>'Die Map'!W23</f>
        <v>AX024</v>
      </c>
      <c r="X23" s="19" t="str">
        <f>'Die Map'!X23</f>
        <v>AX025</v>
      </c>
      <c r="Y23" s="19" t="str">
        <f>'Die Map'!Y23</f>
        <v>AX026</v>
      </c>
      <c r="Z23" s="20" t="str">
        <f>'Die Map'!Z23</f>
        <v>AX027</v>
      </c>
      <c r="AA23" s="18" t="str">
        <f>'Die Map'!AA23</f>
        <v>AX028</v>
      </c>
      <c r="AB23" s="19" t="str">
        <f>'Die Map'!AB23</f>
        <v>AX029</v>
      </c>
      <c r="AC23" s="19" t="str">
        <f>'Die Map'!AC23</f>
        <v>AX031</v>
      </c>
      <c r="AD23" s="19" t="str">
        <f>'Die Map'!AD23</f>
        <v>AX032</v>
      </c>
      <c r="AE23" s="20" t="str">
        <f>'Die Map'!AE23</f>
        <v>AX033</v>
      </c>
      <c r="AF23" s="18" t="str">
        <f>'Die Map'!AF23</f>
        <v>AX034</v>
      </c>
      <c r="AG23" s="19" t="str">
        <f>'Die Map'!AG23</f>
        <v>AX035</v>
      </c>
      <c r="AH23" s="19" t="str">
        <f>'Die Map'!AH23</f>
        <v>AX036</v>
      </c>
      <c r="AI23" s="19" t="str">
        <f>'Die Map'!AI23</f>
        <v>AX037</v>
      </c>
      <c r="AJ23" s="20" t="str">
        <f>'Die Map'!AJ23</f>
        <v>AX038</v>
      </c>
      <c r="AK23" s="18" t="str">
        <f>'Die Map'!AK23</f>
        <v>AX039</v>
      </c>
      <c r="AL23" s="19" t="str">
        <f>'Die Map'!AL23</f>
        <v>AX041</v>
      </c>
      <c r="AM23" s="19" t="str">
        <f>'Die Map'!AM23</f>
        <v>AX042</v>
      </c>
      <c r="AN23" s="19" t="str">
        <f>'Die Map'!AN23</f>
        <v>AX043</v>
      </c>
      <c r="AO23" s="20" t="str">
        <f>'Die Map'!AO23</f>
        <v>AX044</v>
      </c>
      <c r="AP23" s="18" t="str">
        <f>'Die Map'!AP23</f>
        <v>AX045</v>
      </c>
      <c r="AQ23" s="19" t="str">
        <f>'Die Map'!AQ23</f>
        <v>AX046</v>
      </c>
      <c r="AR23" s="19" t="str">
        <f>'Die Map'!AR23</f>
        <v>AX047</v>
      </c>
      <c r="AS23" s="19" t="str">
        <f>'Die Map'!AS23</f>
        <v>AX048</v>
      </c>
      <c r="AT23" s="20" t="str">
        <f>'Die Map'!AT23</f>
        <v>AX049</v>
      </c>
      <c r="AU23" s="18" t="str">
        <f>'Die Map'!AU23</f>
        <v>AX051</v>
      </c>
      <c r="AV23" s="19" t="str">
        <f>'Die Map'!AV23</f>
        <v>AX052</v>
      </c>
      <c r="AW23" s="19" t="str">
        <f>'Die Map'!AW23</f>
        <v>AX053</v>
      </c>
      <c r="AX23" s="19" t="str">
        <f>'Die Map'!AX23</f>
        <v>AX054</v>
      </c>
      <c r="AY23" s="20" t="str">
        <f>'Die Map'!AY23</f>
        <v>AX055</v>
      </c>
      <c r="AZ23" s="18" t="str">
        <f>'Die Map'!AZ23</f>
        <v>AX056</v>
      </c>
      <c r="BA23" s="19" t="str">
        <f>'Die Map'!BA23</f>
        <v>AX057</v>
      </c>
      <c r="BB23" s="19" t="str">
        <f>'Die Map'!BB23</f>
        <v>AX058</v>
      </c>
      <c r="BC23" s="19" t="str">
        <f>'Die Map'!BC23</f>
        <v>AX059</v>
      </c>
      <c r="BD23" s="20" t="str">
        <f>'Die Map'!BD23</f>
        <v>AX061</v>
      </c>
      <c r="BE23" s="18" t="str">
        <f>'Die Map'!BE23</f>
        <v>AX062</v>
      </c>
      <c r="BF23" s="19" t="str">
        <f>'Die Map'!BF23</f>
        <v>AX063</v>
      </c>
      <c r="BG23" s="19" t="str">
        <f>'Die Map'!BG23</f>
        <v>AX064</v>
      </c>
      <c r="BH23" s="19" t="str">
        <f>'Die Map'!BH23</f>
        <v>AX065</v>
      </c>
      <c r="BI23" s="20" t="str">
        <f>'Die Map'!BI23</f>
        <v>AX066</v>
      </c>
      <c r="BJ23" s="18" t="str">
        <f>'Die Map'!BJ23</f>
        <v>AX067</v>
      </c>
      <c r="BK23" s="19" t="str">
        <f>'Die Map'!BK23</f>
        <v>AX068</v>
      </c>
      <c r="BL23" s="19" t="str">
        <f>'Die Map'!BL23</f>
        <v>AX069</v>
      </c>
      <c r="BM23" s="19" t="str">
        <f>'Die Map'!BM23</f>
        <v>AX071</v>
      </c>
      <c r="BN23" s="20" t="str">
        <f>'Die Map'!BN23</f>
        <v>AX072</v>
      </c>
      <c r="BO23" s="18" t="str">
        <f>'Die Map'!BO23</f>
        <v>AX073</v>
      </c>
      <c r="BP23" s="19" t="str">
        <f>'Die Map'!BP23</f>
        <v>AX074</v>
      </c>
      <c r="BQ23" s="19" t="str">
        <f>'Die Map'!BQ23</f>
        <v>AX075</v>
      </c>
      <c r="BR23" s="19" t="str">
        <f>'Die Map'!BR23</f>
        <v>AX076</v>
      </c>
      <c r="BS23" s="20" t="str">
        <f>'Die Map'!BS23</f>
        <v>AX077</v>
      </c>
      <c r="BT23" s="18" t="str">
        <f>'Die Map'!BT23</f>
        <v>AX078</v>
      </c>
      <c r="BU23" s="19" t="str">
        <f>'Die Map'!BU23</f>
        <v>AX079</v>
      </c>
      <c r="BV23" s="19" t="str">
        <f>'Die Map'!BV23</f>
        <v>AX081</v>
      </c>
      <c r="BW23" s="19" t="str">
        <f>'Die Map'!BW23</f>
        <v>AX082</v>
      </c>
      <c r="BX23" s="20" t="str">
        <f>'Die Map'!BX23</f>
        <v>AX083</v>
      </c>
      <c r="BY23" s="18" t="str">
        <f>'Die Map'!BY23</f>
        <v>AX084</v>
      </c>
      <c r="BZ23" s="19" t="str">
        <f>'Die Map'!BZ23</f>
        <v>AX085</v>
      </c>
      <c r="CA23" s="19" t="str">
        <f>'Die Map'!CA23</f>
        <v>AX086</v>
      </c>
      <c r="CB23" s="19" t="str">
        <f>'Die Map'!CB23</f>
        <v>AX087</v>
      </c>
      <c r="CC23" s="20" t="str">
        <f>'Die Map'!CC23</f>
        <v>AX088</v>
      </c>
      <c r="CD23" s="18" t="str">
        <f>'Die Map'!CD23</f>
        <v>AX089</v>
      </c>
      <c r="CE23" s="19" t="str">
        <f>'Die Map'!CE23</f>
        <v>AX091</v>
      </c>
      <c r="CF23" s="19" t="str">
        <f>'Die Map'!CF23</f>
        <v>AX092</v>
      </c>
      <c r="CG23" s="19" t="str">
        <f>'Die Map'!CG23</f>
        <v>AX093</v>
      </c>
      <c r="CH23" s="20" t="str">
        <f>'Die Map'!CH23</f>
        <v>AX094</v>
      </c>
      <c r="CI23" s="18" t="str">
        <f>'Die Map'!CI23</f>
        <v>AX095</v>
      </c>
      <c r="CJ23" s="19" t="str">
        <f>'Die Map'!CJ23</f>
        <v>AX096</v>
      </c>
      <c r="CK23" s="19" t="str">
        <f>'Die Map'!CK23</f>
        <v>AX097</v>
      </c>
      <c r="CL23" s="19" t="str">
        <f>'Die Map'!CL23</f>
        <v>AX098</v>
      </c>
      <c r="CM23" s="20" t="str">
        <f>'Die Map'!CM23</f>
        <v>AX099</v>
      </c>
      <c r="CN23" s="18" t="str">
        <f>'Die Map'!CN23</f>
        <v>AX101</v>
      </c>
      <c r="CO23" s="19" t="str">
        <f>'Die Map'!CO23</f>
        <v>AX102</v>
      </c>
      <c r="CP23" s="19" t="str">
        <f>'Die Map'!CP23</f>
        <v>AX103</v>
      </c>
      <c r="CQ23" s="19" t="str">
        <f>'Die Map'!CQ23</f>
        <v>AX104</v>
      </c>
      <c r="CR23" s="20" t="str">
        <f>'Die Map'!CR23</f>
        <v>AX105</v>
      </c>
      <c r="CS23" s="18" t="str">
        <f>'Die Map'!CS23</f>
        <v/>
      </c>
      <c r="CT23" s="19" t="str">
        <f>'Die Map'!CT23</f>
        <v/>
      </c>
      <c r="CU23" s="19" t="str">
        <f>'Die Map'!CU23</f>
        <v/>
      </c>
      <c r="CV23" s="19" t="str">
        <f>'Die Map'!CV23</f>
        <v/>
      </c>
      <c r="CW23" s="20" t="str">
        <f>'Die Map'!CW23</f>
        <v/>
      </c>
      <c r="CX23" s="18" t="str">
        <f>'Die Map'!CX23</f>
        <v/>
      </c>
      <c r="CY23" s="19" t="str">
        <f>'Die Map'!CY23</f>
        <v/>
      </c>
      <c r="CZ23" s="19" t="str">
        <f>'Die Map'!CZ23</f>
        <v/>
      </c>
      <c r="DA23" s="19" t="str">
        <f>'Die Map'!DA23</f>
        <v/>
      </c>
      <c r="DB23" s="20" t="str">
        <f>'Die Map'!DB23</f>
        <v/>
      </c>
    </row>
    <row r="24" spans="1:106" ht="12.75" customHeight="1" x14ac:dyDescent="0.25">
      <c r="A24" s="17">
        <v>22</v>
      </c>
      <c r="B24" s="21" t="str">
        <f>'Die Map'!B24</f>
        <v/>
      </c>
      <c r="C24" s="22" t="str">
        <f>'Die Map'!C24</f>
        <v/>
      </c>
      <c r="D24" s="22" t="str">
        <f>'Die Map'!D24</f>
        <v/>
      </c>
      <c r="E24" s="22" t="str">
        <f>'Die Map'!E24</f>
        <v/>
      </c>
      <c r="F24" s="23" t="str">
        <f>'Die Map'!F24</f>
        <v/>
      </c>
      <c r="G24" s="21" t="str">
        <f>'Die Map'!G24</f>
        <v/>
      </c>
      <c r="H24" s="22" t="str">
        <f>'Die Map'!H24</f>
        <v/>
      </c>
      <c r="I24" s="22" t="str">
        <f>'Die Map'!I24</f>
        <v/>
      </c>
      <c r="J24" s="22" t="str">
        <f>'Die Map'!J24</f>
        <v/>
      </c>
      <c r="K24" s="23" t="str">
        <f>'Die Map'!K24</f>
        <v/>
      </c>
      <c r="L24" s="21" t="str">
        <f>'Die Map'!L24</f>
        <v>AY012</v>
      </c>
      <c r="M24" s="22" t="str">
        <f>'Die Map'!M24</f>
        <v>AY013</v>
      </c>
      <c r="N24" s="22" t="str">
        <f>'Die Map'!N24</f>
        <v>AY014</v>
      </c>
      <c r="O24" s="22" t="str">
        <f>'Die Map'!O24</f>
        <v>AY015</v>
      </c>
      <c r="P24" s="23" t="str">
        <f>'Die Map'!P24</f>
        <v>AY016</v>
      </c>
      <c r="Q24" s="21" t="str">
        <f>'Die Map'!Q24</f>
        <v>AY017</v>
      </c>
      <c r="R24" s="22" t="str">
        <f>'Die Map'!R24</f>
        <v>AY018</v>
      </c>
      <c r="S24" s="22" t="str">
        <f>'Die Map'!S24</f>
        <v>AY019</v>
      </c>
      <c r="T24" s="22" t="str">
        <f>'Die Map'!T24</f>
        <v>AY021</v>
      </c>
      <c r="U24" s="23" t="str">
        <f>'Die Map'!U24</f>
        <v>AY022</v>
      </c>
      <c r="V24" s="21" t="str">
        <f>'Die Map'!V24</f>
        <v>AY023</v>
      </c>
      <c r="W24" s="22" t="str">
        <f>'Die Map'!W24</f>
        <v>AY024</v>
      </c>
      <c r="X24" s="22" t="str">
        <f>'Die Map'!X24</f>
        <v>AY025</v>
      </c>
      <c r="Y24" s="22" t="str">
        <f>'Die Map'!Y24</f>
        <v>AY026</v>
      </c>
      <c r="Z24" s="23" t="str">
        <f>'Die Map'!Z24</f>
        <v>AY027</v>
      </c>
      <c r="AA24" s="21" t="str">
        <f>'Die Map'!AA24</f>
        <v>AY028</v>
      </c>
      <c r="AB24" s="22" t="str">
        <f>'Die Map'!AB24</f>
        <v>AY029</v>
      </c>
      <c r="AC24" s="22" t="str">
        <f>'Die Map'!AC24</f>
        <v>AY031</v>
      </c>
      <c r="AD24" s="22" t="str">
        <f>'Die Map'!AD24</f>
        <v>AY032</v>
      </c>
      <c r="AE24" s="23" t="str">
        <f>'Die Map'!AE24</f>
        <v>AY033</v>
      </c>
      <c r="AF24" s="21" t="str">
        <f>'Die Map'!AF24</f>
        <v>AY034</v>
      </c>
      <c r="AG24" s="22" t="str">
        <f>'Die Map'!AG24</f>
        <v>AY035</v>
      </c>
      <c r="AH24" s="22" t="str">
        <f>'Die Map'!AH24</f>
        <v>AY036</v>
      </c>
      <c r="AI24" s="22" t="str">
        <f>'Die Map'!AI24</f>
        <v>AY037</v>
      </c>
      <c r="AJ24" s="23" t="str">
        <f>'Die Map'!AJ24</f>
        <v>AY038</v>
      </c>
      <c r="AK24" s="21" t="str">
        <f>'Die Map'!AK24</f>
        <v>AY039</v>
      </c>
      <c r="AL24" s="22" t="str">
        <f>'Die Map'!AL24</f>
        <v>AY041</v>
      </c>
      <c r="AM24" s="22" t="str">
        <f>'Die Map'!AM24</f>
        <v>AY042</v>
      </c>
      <c r="AN24" s="22" t="str">
        <f>'Die Map'!AN24</f>
        <v>AY043</v>
      </c>
      <c r="AO24" s="23" t="str">
        <f>'Die Map'!AO24</f>
        <v>AY044</v>
      </c>
      <c r="AP24" s="21" t="str">
        <f>'Die Map'!AP24</f>
        <v>AY045</v>
      </c>
      <c r="AQ24" s="22" t="str">
        <f>'Die Map'!AQ24</f>
        <v>AY046</v>
      </c>
      <c r="AR24" s="22" t="str">
        <f>'Die Map'!AR24</f>
        <v>AY047</v>
      </c>
      <c r="AS24" s="22" t="str">
        <f>'Die Map'!AS24</f>
        <v>AY048</v>
      </c>
      <c r="AT24" s="23" t="str">
        <f>'Die Map'!AT24</f>
        <v>AY049</v>
      </c>
      <c r="AU24" s="21" t="str">
        <f>'Die Map'!AU24</f>
        <v>AY051</v>
      </c>
      <c r="AV24" s="22" t="str">
        <f>'Die Map'!AV24</f>
        <v>AY052</v>
      </c>
      <c r="AW24" s="22" t="str">
        <f>'Die Map'!AW24</f>
        <v>AY053</v>
      </c>
      <c r="AX24" s="22" t="str">
        <f>'Die Map'!AX24</f>
        <v>AY054</v>
      </c>
      <c r="AY24" s="23" t="str">
        <f>'Die Map'!AY24</f>
        <v>AY055</v>
      </c>
      <c r="AZ24" s="21" t="str">
        <f>'Die Map'!AZ24</f>
        <v>AY056</v>
      </c>
      <c r="BA24" s="22" t="str">
        <f>'Die Map'!BA24</f>
        <v>AY057</v>
      </c>
      <c r="BB24" s="22" t="str">
        <f>'Die Map'!BB24</f>
        <v>AY058</v>
      </c>
      <c r="BC24" s="22" t="str">
        <f>'Die Map'!BC24</f>
        <v>AY059</v>
      </c>
      <c r="BD24" s="23" t="str">
        <f>'Die Map'!BD24</f>
        <v>AY061</v>
      </c>
      <c r="BE24" s="21" t="str">
        <f>'Die Map'!BE24</f>
        <v>AY062</v>
      </c>
      <c r="BF24" s="22" t="str">
        <f>'Die Map'!BF24</f>
        <v>AY063</v>
      </c>
      <c r="BG24" s="22" t="str">
        <f>'Die Map'!BG24</f>
        <v>AY064</v>
      </c>
      <c r="BH24" s="22" t="str">
        <f>'Die Map'!BH24</f>
        <v>AY065</v>
      </c>
      <c r="BI24" s="23" t="str">
        <f>'Die Map'!BI24</f>
        <v>AY066</v>
      </c>
      <c r="BJ24" s="21" t="str">
        <f>'Die Map'!BJ24</f>
        <v>AY067</v>
      </c>
      <c r="BK24" s="22" t="str">
        <f>'Die Map'!BK24</f>
        <v>AY068</v>
      </c>
      <c r="BL24" s="22" t="str">
        <f>'Die Map'!BL24</f>
        <v>AY069</v>
      </c>
      <c r="BM24" s="22" t="str">
        <f>'Die Map'!BM24</f>
        <v>AY071</v>
      </c>
      <c r="BN24" s="23" t="str">
        <f>'Die Map'!BN24</f>
        <v>AY072</v>
      </c>
      <c r="BO24" s="21" t="str">
        <f>'Die Map'!BO24</f>
        <v>AY073</v>
      </c>
      <c r="BP24" s="22" t="str">
        <f>'Die Map'!BP24</f>
        <v>AY074</v>
      </c>
      <c r="BQ24" s="22" t="str">
        <f>'Die Map'!BQ24</f>
        <v>AY075</v>
      </c>
      <c r="BR24" s="22" t="str">
        <f>'Die Map'!BR24</f>
        <v>AY076</v>
      </c>
      <c r="BS24" s="23" t="str">
        <f>'Die Map'!BS24</f>
        <v>AY077</v>
      </c>
      <c r="BT24" s="21" t="str">
        <f>'Die Map'!BT24</f>
        <v>AY078</v>
      </c>
      <c r="BU24" s="22" t="str">
        <f>'Die Map'!BU24</f>
        <v>AY079</v>
      </c>
      <c r="BV24" s="22" t="str">
        <f>'Die Map'!BV24</f>
        <v>AY081</v>
      </c>
      <c r="BW24" s="22" t="str">
        <f>'Die Map'!BW24</f>
        <v>AY082</v>
      </c>
      <c r="BX24" s="23" t="str">
        <f>'Die Map'!BX24</f>
        <v>AY083</v>
      </c>
      <c r="BY24" s="21" t="str">
        <f>'Die Map'!BY24</f>
        <v>AY084</v>
      </c>
      <c r="BZ24" s="22" t="str">
        <f>'Die Map'!BZ24</f>
        <v>AY085</v>
      </c>
      <c r="CA24" s="22" t="str">
        <f>'Die Map'!CA24</f>
        <v>AY086</v>
      </c>
      <c r="CB24" s="22" t="str">
        <f>'Die Map'!CB24</f>
        <v>AY087</v>
      </c>
      <c r="CC24" s="23" t="str">
        <f>'Die Map'!CC24</f>
        <v>AY088</v>
      </c>
      <c r="CD24" s="21" t="str">
        <f>'Die Map'!CD24</f>
        <v>AY089</v>
      </c>
      <c r="CE24" s="22" t="str">
        <f>'Die Map'!CE24</f>
        <v>AY091</v>
      </c>
      <c r="CF24" s="22" t="str">
        <f>'Die Map'!CF24</f>
        <v>AY092</v>
      </c>
      <c r="CG24" s="22" t="str">
        <f>'Die Map'!CG24</f>
        <v>AY093</v>
      </c>
      <c r="CH24" s="23" t="str">
        <f>'Die Map'!CH24</f>
        <v>AY094</v>
      </c>
      <c r="CI24" s="21" t="str">
        <f>'Die Map'!CI24</f>
        <v>AY095</v>
      </c>
      <c r="CJ24" s="22" t="str">
        <f>'Die Map'!CJ24</f>
        <v>AY096</v>
      </c>
      <c r="CK24" s="22" t="str">
        <f>'Die Map'!CK24</f>
        <v>AY097</v>
      </c>
      <c r="CL24" s="22" t="str">
        <f>'Die Map'!CL24</f>
        <v>AY098</v>
      </c>
      <c r="CM24" s="23" t="str">
        <f>'Die Map'!CM24</f>
        <v>AY099</v>
      </c>
      <c r="CN24" s="21" t="str">
        <f>'Die Map'!CN24</f>
        <v>AY101</v>
      </c>
      <c r="CO24" s="22" t="str">
        <f>'Die Map'!CO24</f>
        <v>AY102</v>
      </c>
      <c r="CP24" s="22" t="str">
        <f>'Die Map'!CP24</f>
        <v>AY103</v>
      </c>
      <c r="CQ24" s="22" t="str">
        <f>'Die Map'!CQ24</f>
        <v>AY104</v>
      </c>
      <c r="CR24" s="23" t="str">
        <f>'Die Map'!CR24</f>
        <v>AY105</v>
      </c>
      <c r="CS24" s="21" t="str">
        <f>'Die Map'!CS24</f>
        <v/>
      </c>
      <c r="CT24" s="22" t="str">
        <f>'Die Map'!CT24</f>
        <v/>
      </c>
      <c r="CU24" s="22" t="str">
        <f>'Die Map'!CU24</f>
        <v/>
      </c>
      <c r="CV24" s="22" t="str">
        <f>'Die Map'!CV24</f>
        <v/>
      </c>
      <c r="CW24" s="23" t="str">
        <f>'Die Map'!CW24</f>
        <v/>
      </c>
      <c r="CX24" s="21" t="str">
        <f>'Die Map'!CX24</f>
        <v/>
      </c>
      <c r="CY24" s="22" t="str">
        <f>'Die Map'!CY24</f>
        <v/>
      </c>
      <c r="CZ24" s="22" t="str">
        <f>'Die Map'!CZ24</f>
        <v/>
      </c>
      <c r="DA24" s="22" t="str">
        <f>'Die Map'!DA24</f>
        <v/>
      </c>
      <c r="DB24" s="23" t="str">
        <f>'Die Map'!DB24</f>
        <v/>
      </c>
    </row>
    <row r="25" spans="1:106" ht="12.75" customHeight="1" x14ac:dyDescent="0.25">
      <c r="A25" s="17">
        <v>23</v>
      </c>
      <c r="B25" s="21" t="str">
        <f>'Die Map'!B25</f>
        <v/>
      </c>
      <c r="C25" s="22" t="str">
        <f>'Die Map'!C25</f>
        <v/>
      </c>
      <c r="D25" s="22" t="str">
        <f>'Die Map'!D25</f>
        <v/>
      </c>
      <c r="E25" s="22" t="str">
        <f>'Die Map'!E25</f>
        <v/>
      </c>
      <c r="F25" s="23" t="str">
        <f>'Die Map'!F25</f>
        <v/>
      </c>
      <c r="G25" s="21" t="str">
        <f>'Die Map'!G25</f>
        <v/>
      </c>
      <c r="H25" s="22" t="str">
        <f>'Die Map'!H25</f>
        <v/>
      </c>
      <c r="I25" s="22" t="str">
        <f>'Die Map'!I25</f>
        <v/>
      </c>
      <c r="J25" s="22" t="str">
        <f>'Die Map'!J25</f>
        <v/>
      </c>
      <c r="K25" s="23" t="str">
        <f>'Die Map'!K25</f>
        <v/>
      </c>
      <c r="L25" s="21" t="str">
        <f>'Die Map'!L25</f>
        <v>AZ012</v>
      </c>
      <c r="M25" s="22" t="str">
        <f>'Die Map'!M25</f>
        <v>AZ013</v>
      </c>
      <c r="N25" s="22" t="str">
        <f>'Die Map'!N25</f>
        <v>AZ014</v>
      </c>
      <c r="O25" s="22" t="str">
        <f>'Die Map'!O25</f>
        <v>AZ015</v>
      </c>
      <c r="P25" s="23" t="str">
        <f>'Die Map'!P25</f>
        <v>AZ016</v>
      </c>
      <c r="Q25" s="21" t="str">
        <f>'Die Map'!Q25</f>
        <v>AZ017</v>
      </c>
      <c r="R25" s="22" t="str">
        <f>'Die Map'!R25</f>
        <v>AZ018</v>
      </c>
      <c r="S25" s="22" t="str">
        <f>'Die Map'!S25</f>
        <v>AZ019</v>
      </c>
      <c r="T25" s="22" t="str">
        <f>'Die Map'!T25</f>
        <v>AZ021</v>
      </c>
      <c r="U25" s="23" t="str">
        <f>'Die Map'!U25</f>
        <v>AZ022</v>
      </c>
      <c r="V25" s="21" t="str">
        <f>'Die Map'!V25</f>
        <v>AZ023</v>
      </c>
      <c r="W25" s="22" t="str">
        <f>'Die Map'!W25</f>
        <v>AZ024</v>
      </c>
      <c r="X25" s="22" t="str">
        <f>'Die Map'!X25</f>
        <v>AZ025</v>
      </c>
      <c r="Y25" s="22" t="str">
        <f>'Die Map'!Y25</f>
        <v>AZ026</v>
      </c>
      <c r="Z25" s="23" t="str">
        <f>'Die Map'!Z25</f>
        <v>AZ027</v>
      </c>
      <c r="AA25" s="21" t="str">
        <f>'Die Map'!AA25</f>
        <v>AZ028</v>
      </c>
      <c r="AB25" s="22" t="str">
        <f>'Die Map'!AB25</f>
        <v>AZ029</v>
      </c>
      <c r="AC25" s="22" t="str">
        <f>'Die Map'!AC25</f>
        <v>AZ031</v>
      </c>
      <c r="AD25" s="22" t="str">
        <f>'Die Map'!AD25</f>
        <v>AZ032</v>
      </c>
      <c r="AE25" s="23" t="str">
        <f>'Die Map'!AE25</f>
        <v>AZ033</v>
      </c>
      <c r="AF25" s="21" t="str">
        <f>'Die Map'!AF25</f>
        <v>AZ034</v>
      </c>
      <c r="AG25" s="22" t="str">
        <f>'Die Map'!AG25</f>
        <v>AZ035</v>
      </c>
      <c r="AH25" s="22" t="str">
        <f>'Die Map'!AH25</f>
        <v>AZ036</v>
      </c>
      <c r="AI25" s="22" t="str">
        <f>'Die Map'!AI25</f>
        <v>AZ037</v>
      </c>
      <c r="AJ25" s="23" t="str">
        <f>'Die Map'!AJ25</f>
        <v>AZ038</v>
      </c>
      <c r="AK25" s="21" t="str">
        <f>'Die Map'!AK25</f>
        <v>AZ039</v>
      </c>
      <c r="AL25" s="22" t="str">
        <f>'Die Map'!AL25</f>
        <v>AZ041</v>
      </c>
      <c r="AM25" s="22" t="str">
        <f>'Die Map'!AM25</f>
        <v>AZ042</v>
      </c>
      <c r="AN25" s="22" t="str">
        <f>'Die Map'!AN25</f>
        <v>AZ043</v>
      </c>
      <c r="AO25" s="23" t="str">
        <f>'Die Map'!AO25</f>
        <v>AZ044</v>
      </c>
      <c r="AP25" s="21" t="str">
        <f>'Die Map'!AP25</f>
        <v>AZ045</v>
      </c>
      <c r="AQ25" s="22" t="str">
        <f>'Die Map'!AQ25</f>
        <v>AZ046</v>
      </c>
      <c r="AR25" s="22" t="str">
        <f>'Die Map'!AR25</f>
        <v>AZ047</v>
      </c>
      <c r="AS25" s="22" t="str">
        <f>'Die Map'!AS25</f>
        <v>AZ048</v>
      </c>
      <c r="AT25" s="23" t="str">
        <f>'Die Map'!AT25</f>
        <v>AZ049</v>
      </c>
      <c r="AU25" s="21" t="str">
        <f>'Die Map'!AU25</f>
        <v>AZ051</v>
      </c>
      <c r="AV25" s="22" t="str">
        <f>'Die Map'!AV25</f>
        <v>AZ052</v>
      </c>
      <c r="AW25" s="22" t="str">
        <f>'Die Map'!AW25</f>
        <v>AZ053</v>
      </c>
      <c r="AX25" s="22" t="str">
        <f>'Die Map'!AX25</f>
        <v>AZ054</v>
      </c>
      <c r="AY25" s="23" t="str">
        <f>'Die Map'!AY25</f>
        <v>AZ055</v>
      </c>
      <c r="AZ25" s="21" t="str">
        <f>'Die Map'!AZ25</f>
        <v>AZ056</v>
      </c>
      <c r="BA25" s="22" t="str">
        <f>'Die Map'!BA25</f>
        <v>AZ057</v>
      </c>
      <c r="BB25" s="22" t="str">
        <f>'Die Map'!BB25</f>
        <v>AZ058</v>
      </c>
      <c r="BC25" s="22" t="str">
        <f>'Die Map'!BC25</f>
        <v>AZ059</v>
      </c>
      <c r="BD25" s="23" t="str">
        <f>'Die Map'!BD25</f>
        <v>AZ061</v>
      </c>
      <c r="BE25" s="21" t="str">
        <f>'Die Map'!BE25</f>
        <v>AZ062</v>
      </c>
      <c r="BF25" s="22" t="str">
        <f>'Die Map'!BF25</f>
        <v>AZ063</v>
      </c>
      <c r="BG25" s="22" t="str">
        <f>'Die Map'!BG25</f>
        <v>AZ064</v>
      </c>
      <c r="BH25" s="22" t="str">
        <f>'Die Map'!BH25</f>
        <v>AZ065</v>
      </c>
      <c r="BI25" s="23" t="str">
        <f>'Die Map'!BI25</f>
        <v>AZ066</v>
      </c>
      <c r="BJ25" s="21" t="str">
        <f>'Die Map'!BJ25</f>
        <v>AZ067</v>
      </c>
      <c r="BK25" s="22" t="str">
        <f>'Die Map'!BK25</f>
        <v>AZ068</v>
      </c>
      <c r="BL25" s="22" t="str">
        <f>'Die Map'!BL25</f>
        <v>AZ069</v>
      </c>
      <c r="BM25" s="22" t="str">
        <f>'Die Map'!BM25</f>
        <v>AZ071</v>
      </c>
      <c r="BN25" s="23" t="str">
        <f>'Die Map'!BN25</f>
        <v>AZ072</v>
      </c>
      <c r="BO25" s="21" t="str">
        <f>'Die Map'!BO25</f>
        <v>AZ073</v>
      </c>
      <c r="BP25" s="22" t="str">
        <f>'Die Map'!BP25</f>
        <v>AZ074</v>
      </c>
      <c r="BQ25" s="22" t="str">
        <f>'Die Map'!BQ25</f>
        <v>AZ075</v>
      </c>
      <c r="BR25" s="22" t="str">
        <f>'Die Map'!BR25</f>
        <v>AZ076</v>
      </c>
      <c r="BS25" s="23" t="str">
        <f>'Die Map'!BS25</f>
        <v>AZ077</v>
      </c>
      <c r="BT25" s="21" t="str">
        <f>'Die Map'!BT25</f>
        <v>AZ078</v>
      </c>
      <c r="BU25" s="22" t="str">
        <f>'Die Map'!BU25</f>
        <v>AZ079</v>
      </c>
      <c r="BV25" s="22" t="str">
        <f>'Die Map'!BV25</f>
        <v>AZ081</v>
      </c>
      <c r="BW25" s="22" t="str">
        <f>'Die Map'!BW25</f>
        <v>AZ082</v>
      </c>
      <c r="BX25" s="23" t="str">
        <f>'Die Map'!BX25</f>
        <v>AZ083</v>
      </c>
      <c r="BY25" s="21" t="str">
        <f>'Die Map'!BY25</f>
        <v>AZ084</v>
      </c>
      <c r="BZ25" s="22" t="str">
        <f>'Die Map'!BZ25</f>
        <v>AZ085</v>
      </c>
      <c r="CA25" s="22" t="str">
        <f>'Die Map'!CA25</f>
        <v>AZ086</v>
      </c>
      <c r="CB25" s="22" t="str">
        <f>'Die Map'!CB25</f>
        <v>AZ087</v>
      </c>
      <c r="CC25" s="23" t="str">
        <f>'Die Map'!CC25</f>
        <v>AZ088</v>
      </c>
      <c r="CD25" s="21" t="str">
        <f>'Die Map'!CD25</f>
        <v>AZ089</v>
      </c>
      <c r="CE25" s="22" t="str">
        <f>'Die Map'!CE25</f>
        <v>AZ091</v>
      </c>
      <c r="CF25" s="22" t="str">
        <f>'Die Map'!CF25</f>
        <v>AZ092</v>
      </c>
      <c r="CG25" s="22" t="str">
        <f>'Die Map'!CG25</f>
        <v>AZ093</v>
      </c>
      <c r="CH25" s="23" t="str">
        <f>'Die Map'!CH25</f>
        <v>AZ094</v>
      </c>
      <c r="CI25" s="21" t="str">
        <f>'Die Map'!CI25</f>
        <v>AZ095</v>
      </c>
      <c r="CJ25" s="22" t="str">
        <f>'Die Map'!CJ25</f>
        <v>AZ096</v>
      </c>
      <c r="CK25" s="22" t="str">
        <f>'Die Map'!CK25</f>
        <v>AZ097</v>
      </c>
      <c r="CL25" s="22" t="str">
        <f>'Die Map'!CL25</f>
        <v>AZ098</v>
      </c>
      <c r="CM25" s="23" t="str">
        <f>'Die Map'!CM25</f>
        <v>AZ099</v>
      </c>
      <c r="CN25" s="21" t="str">
        <f>'Die Map'!CN25</f>
        <v>AZ101</v>
      </c>
      <c r="CO25" s="22" t="str">
        <f>'Die Map'!CO25</f>
        <v>AZ102</v>
      </c>
      <c r="CP25" s="22" t="str">
        <f>'Die Map'!CP25</f>
        <v>AZ103</v>
      </c>
      <c r="CQ25" s="22" t="str">
        <f>'Die Map'!CQ25</f>
        <v>AZ104</v>
      </c>
      <c r="CR25" s="23" t="str">
        <f>'Die Map'!CR25</f>
        <v>AZ105</v>
      </c>
      <c r="CS25" s="21" t="str">
        <f>'Die Map'!CS25</f>
        <v/>
      </c>
      <c r="CT25" s="22" t="str">
        <f>'Die Map'!CT25</f>
        <v/>
      </c>
      <c r="CU25" s="22" t="str">
        <f>'Die Map'!CU25</f>
        <v/>
      </c>
      <c r="CV25" s="22" t="str">
        <f>'Die Map'!CV25</f>
        <v/>
      </c>
      <c r="CW25" s="23" t="str">
        <f>'Die Map'!CW25</f>
        <v/>
      </c>
      <c r="CX25" s="21" t="str">
        <f>'Die Map'!CX25</f>
        <v/>
      </c>
      <c r="CY25" s="22" t="str">
        <f>'Die Map'!CY25</f>
        <v/>
      </c>
      <c r="CZ25" s="22" t="str">
        <f>'Die Map'!CZ25</f>
        <v/>
      </c>
      <c r="DA25" s="22" t="str">
        <f>'Die Map'!DA25</f>
        <v/>
      </c>
      <c r="DB25" s="23" t="str">
        <f>'Die Map'!DB25</f>
        <v/>
      </c>
    </row>
    <row r="26" spans="1:106" ht="12.75" customHeight="1" x14ac:dyDescent="0.25">
      <c r="A26" s="17">
        <v>24</v>
      </c>
      <c r="B26" s="21" t="str">
        <f>'Die Map'!B26</f>
        <v/>
      </c>
      <c r="C26" s="22" t="str">
        <f>'Die Map'!C26</f>
        <v/>
      </c>
      <c r="D26" s="22" t="str">
        <f>'Die Map'!D26</f>
        <v/>
      </c>
      <c r="E26" s="22" t="str">
        <f>'Die Map'!E26</f>
        <v/>
      </c>
      <c r="F26" s="23" t="str">
        <f>'Die Map'!F26</f>
        <v/>
      </c>
      <c r="G26" s="21" t="str">
        <f>'Die Map'!G26</f>
        <v/>
      </c>
      <c r="H26" s="22" t="str">
        <f>'Die Map'!H26</f>
        <v/>
      </c>
      <c r="I26" s="22" t="str">
        <f>'Die Map'!I26</f>
        <v/>
      </c>
      <c r="J26" s="22" t="str">
        <f>'Die Map'!J26</f>
        <v/>
      </c>
      <c r="K26" s="23" t="str">
        <f>'Die Map'!K26</f>
        <v/>
      </c>
      <c r="L26" s="21" t="str">
        <f>'Die Map'!L26</f>
        <v>BA012</v>
      </c>
      <c r="M26" s="22" t="str">
        <f>'Die Map'!M26</f>
        <v>BA013</v>
      </c>
      <c r="N26" s="22" t="str">
        <f>'Die Map'!N26</f>
        <v>BA014</v>
      </c>
      <c r="O26" s="22" t="str">
        <f>'Die Map'!O26</f>
        <v>BA015</v>
      </c>
      <c r="P26" s="23" t="str">
        <f>'Die Map'!P26</f>
        <v>BA016</v>
      </c>
      <c r="Q26" s="21" t="str">
        <f>'Die Map'!Q26</f>
        <v>BA017</v>
      </c>
      <c r="R26" s="22" t="str">
        <f>'Die Map'!R26</f>
        <v>BA018</v>
      </c>
      <c r="S26" s="22" t="str">
        <f>'Die Map'!S26</f>
        <v>BA019</v>
      </c>
      <c r="T26" s="22" t="str">
        <f>'Die Map'!T26</f>
        <v>BA021</v>
      </c>
      <c r="U26" s="23" t="str">
        <f>'Die Map'!U26</f>
        <v>BA022</v>
      </c>
      <c r="V26" s="21" t="str">
        <f>'Die Map'!V26</f>
        <v>BA023</v>
      </c>
      <c r="W26" s="22" t="str">
        <f>'Die Map'!W26</f>
        <v>BA024</v>
      </c>
      <c r="X26" s="22" t="str">
        <f>'Die Map'!X26</f>
        <v>BA025</v>
      </c>
      <c r="Y26" s="22" t="str">
        <f>'Die Map'!Y26</f>
        <v>BA026</v>
      </c>
      <c r="Z26" s="23" t="str">
        <f>'Die Map'!Z26</f>
        <v>BA027</v>
      </c>
      <c r="AA26" s="21" t="str">
        <f>'Die Map'!AA26</f>
        <v>BA028</v>
      </c>
      <c r="AB26" s="22" t="str">
        <f>'Die Map'!AB26</f>
        <v>BA029</v>
      </c>
      <c r="AC26" s="22" t="str">
        <f>'Die Map'!AC26</f>
        <v>BA031</v>
      </c>
      <c r="AD26" s="22" t="str">
        <f>'Die Map'!AD26</f>
        <v>BA032</v>
      </c>
      <c r="AE26" s="23" t="str">
        <f>'Die Map'!AE26</f>
        <v>BA033</v>
      </c>
      <c r="AF26" s="21" t="str">
        <f>'Die Map'!AF26</f>
        <v>BA034</v>
      </c>
      <c r="AG26" s="22" t="str">
        <f>'Die Map'!AG26</f>
        <v>BA035</v>
      </c>
      <c r="AH26" s="22" t="str">
        <f>'Die Map'!AH26</f>
        <v>BA036</v>
      </c>
      <c r="AI26" s="22" t="str">
        <f>'Die Map'!AI26</f>
        <v>BA037</v>
      </c>
      <c r="AJ26" s="23" t="str">
        <f>'Die Map'!AJ26</f>
        <v>BA038</v>
      </c>
      <c r="AK26" s="21" t="str">
        <f>'Die Map'!AK26</f>
        <v>BA039</v>
      </c>
      <c r="AL26" s="22" t="str">
        <f>'Die Map'!AL26</f>
        <v>BA041</v>
      </c>
      <c r="AM26" s="22" t="str">
        <f>'Die Map'!AM26</f>
        <v>BA042</v>
      </c>
      <c r="AN26" s="22" t="str">
        <f>'Die Map'!AN26</f>
        <v>BA043</v>
      </c>
      <c r="AO26" s="23" t="str">
        <f>'Die Map'!AO26</f>
        <v>BA044</v>
      </c>
      <c r="AP26" s="21" t="str">
        <f>'Die Map'!AP26</f>
        <v>BA045</v>
      </c>
      <c r="AQ26" s="22" t="str">
        <f>'Die Map'!AQ26</f>
        <v>BA046</v>
      </c>
      <c r="AR26" s="22" t="str">
        <f>'Die Map'!AR26</f>
        <v>BA047</v>
      </c>
      <c r="AS26" s="22" t="str">
        <f>'Die Map'!AS26</f>
        <v>BA048</v>
      </c>
      <c r="AT26" s="23" t="str">
        <f>'Die Map'!AT26</f>
        <v>BA049</v>
      </c>
      <c r="AU26" s="21" t="str">
        <f>'Die Map'!AU26</f>
        <v>BA051</v>
      </c>
      <c r="AV26" s="22" t="str">
        <f>'Die Map'!AV26</f>
        <v>BA052</v>
      </c>
      <c r="AW26" s="22" t="str">
        <f>'Die Map'!AW26</f>
        <v>BA053</v>
      </c>
      <c r="AX26" s="22" t="str">
        <f>'Die Map'!AX26</f>
        <v>BA054</v>
      </c>
      <c r="AY26" s="23" t="str">
        <f>'Die Map'!AY26</f>
        <v>BA055</v>
      </c>
      <c r="AZ26" s="21" t="str">
        <f>'Die Map'!AZ26</f>
        <v>BA056</v>
      </c>
      <c r="BA26" s="22" t="str">
        <f>'Die Map'!BA26</f>
        <v>BA057</v>
      </c>
      <c r="BB26" s="22" t="str">
        <f>'Die Map'!BB26</f>
        <v>BA058</v>
      </c>
      <c r="BC26" s="22" t="str">
        <f>'Die Map'!BC26</f>
        <v>BA059</v>
      </c>
      <c r="BD26" s="23" t="str">
        <f>'Die Map'!BD26</f>
        <v>BA061</v>
      </c>
      <c r="BE26" s="21" t="str">
        <f>'Die Map'!BE26</f>
        <v>BA062</v>
      </c>
      <c r="BF26" s="22" t="str">
        <f>'Die Map'!BF26</f>
        <v>BA063</v>
      </c>
      <c r="BG26" s="22" t="str">
        <f>'Die Map'!BG26</f>
        <v>BA064</v>
      </c>
      <c r="BH26" s="22" t="str">
        <f>'Die Map'!BH26</f>
        <v>BA065</v>
      </c>
      <c r="BI26" s="23" t="str">
        <f>'Die Map'!BI26</f>
        <v>BA066</v>
      </c>
      <c r="BJ26" s="21" t="str">
        <f>'Die Map'!BJ26</f>
        <v>BA067</v>
      </c>
      <c r="BK26" s="22" t="str">
        <f>'Die Map'!BK26</f>
        <v>BA068</v>
      </c>
      <c r="BL26" s="22" t="str">
        <f>'Die Map'!BL26</f>
        <v>BA069</v>
      </c>
      <c r="BM26" s="22" t="str">
        <f>'Die Map'!BM26</f>
        <v>BA071</v>
      </c>
      <c r="BN26" s="23" t="str">
        <f>'Die Map'!BN26</f>
        <v>BA072</v>
      </c>
      <c r="BO26" s="21" t="str">
        <f>'Die Map'!BO26</f>
        <v>BA073</v>
      </c>
      <c r="BP26" s="22" t="str">
        <f>'Die Map'!BP26</f>
        <v>BA074</v>
      </c>
      <c r="BQ26" s="22" t="str">
        <f>'Die Map'!BQ26</f>
        <v>BA075</v>
      </c>
      <c r="BR26" s="22" t="str">
        <f>'Die Map'!BR26</f>
        <v>BA076</v>
      </c>
      <c r="BS26" s="23" t="str">
        <f>'Die Map'!BS26</f>
        <v>BA077</v>
      </c>
      <c r="BT26" s="21" t="str">
        <f>'Die Map'!BT26</f>
        <v>BA078</v>
      </c>
      <c r="BU26" s="22" t="str">
        <f>'Die Map'!BU26</f>
        <v>BA079</v>
      </c>
      <c r="BV26" s="22" t="str">
        <f>'Die Map'!BV26</f>
        <v>BA081</v>
      </c>
      <c r="BW26" s="22" t="str">
        <f>'Die Map'!BW26</f>
        <v>BA082</v>
      </c>
      <c r="BX26" s="23" t="str">
        <f>'Die Map'!BX26</f>
        <v>BA083</v>
      </c>
      <c r="BY26" s="21" t="str">
        <f>'Die Map'!BY26</f>
        <v>BA084</v>
      </c>
      <c r="BZ26" s="22" t="str">
        <f>'Die Map'!BZ26</f>
        <v>BA085</v>
      </c>
      <c r="CA26" s="22" t="str">
        <f>'Die Map'!CA26</f>
        <v>BA086</v>
      </c>
      <c r="CB26" s="22" t="str">
        <f>'Die Map'!CB26</f>
        <v>BA087</v>
      </c>
      <c r="CC26" s="23" t="str">
        <f>'Die Map'!CC26</f>
        <v>BA088</v>
      </c>
      <c r="CD26" s="21" t="str">
        <f>'Die Map'!CD26</f>
        <v>BA089</v>
      </c>
      <c r="CE26" s="22" t="str">
        <f>'Die Map'!CE26</f>
        <v>BA091</v>
      </c>
      <c r="CF26" s="22" t="str">
        <f>'Die Map'!CF26</f>
        <v>BA092</v>
      </c>
      <c r="CG26" s="22" t="str">
        <f>'Die Map'!CG26</f>
        <v>BA093</v>
      </c>
      <c r="CH26" s="23" t="str">
        <f>'Die Map'!CH26</f>
        <v>BA094</v>
      </c>
      <c r="CI26" s="21" t="str">
        <f>'Die Map'!CI26</f>
        <v>BA095</v>
      </c>
      <c r="CJ26" s="22" t="str">
        <f>'Die Map'!CJ26</f>
        <v>BA096</v>
      </c>
      <c r="CK26" s="22" t="str">
        <f>'Die Map'!CK26</f>
        <v>BA097</v>
      </c>
      <c r="CL26" s="22" t="str">
        <f>'Die Map'!CL26</f>
        <v>BA098</v>
      </c>
      <c r="CM26" s="23" t="str">
        <f>'Die Map'!CM26</f>
        <v>BA099</v>
      </c>
      <c r="CN26" s="21" t="str">
        <f>'Die Map'!CN26</f>
        <v>BA101</v>
      </c>
      <c r="CO26" s="22" t="str">
        <f>'Die Map'!CO26</f>
        <v>BA102</v>
      </c>
      <c r="CP26" s="22" t="str">
        <f>'Die Map'!CP26</f>
        <v>BA103</v>
      </c>
      <c r="CQ26" s="22" t="str">
        <f>'Die Map'!CQ26</f>
        <v>BA104</v>
      </c>
      <c r="CR26" s="23" t="str">
        <f>'Die Map'!CR26</f>
        <v>BA105</v>
      </c>
      <c r="CS26" s="21" t="str">
        <f>'Die Map'!CS26</f>
        <v/>
      </c>
      <c r="CT26" s="22" t="str">
        <f>'Die Map'!CT26</f>
        <v/>
      </c>
      <c r="CU26" s="22" t="str">
        <f>'Die Map'!CU26</f>
        <v/>
      </c>
      <c r="CV26" s="22" t="str">
        <f>'Die Map'!CV26</f>
        <v/>
      </c>
      <c r="CW26" s="23" t="str">
        <f>'Die Map'!CW26</f>
        <v/>
      </c>
      <c r="CX26" s="21" t="str">
        <f>'Die Map'!CX26</f>
        <v/>
      </c>
      <c r="CY26" s="22" t="str">
        <f>'Die Map'!CY26</f>
        <v/>
      </c>
      <c r="CZ26" s="22" t="str">
        <f>'Die Map'!CZ26</f>
        <v/>
      </c>
      <c r="DA26" s="22" t="str">
        <f>'Die Map'!DA26</f>
        <v/>
      </c>
      <c r="DB26" s="23" t="str">
        <f>'Die Map'!DB26</f>
        <v/>
      </c>
    </row>
    <row r="27" spans="1:106" ht="12.75" customHeight="1" x14ac:dyDescent="0.25">
      <c r="A27" s="17">
        <v>25</v>
      </c>
      <c r="B27" s="24" t="str">
        <f>'Die Map'!B27</f>
        <v/>
      </c>
      <c r="C27" s="25" t="str">
        <f>'Die Map'!C27</f>
        <v/>
      </c>
      <c r="D27" s="25" t="str">
        <f>'Die Map'!D27</f>
        <v/>
      </c>
      <c r="E27" s="25" t="str">
        <f>'Die Map'!E27</f>
        <v/>
      </c>
      <c r="F27" s="26" t="str">
        <f>'Die Map'!F27</f>
        <v/>
      </c>
      <c r="G27" s="24" t="str">
        <f>'Die Map'!G27</f>
        <v/>
      </c>
      <c r="H27" s="25" t="str">
        <f>'Die Map'!H27</f>
        <v/>
      </c>
      <c r="I27" s="25" t="str">
        <f>'Die Map'!I27</f>
        <v/>
      </c>
      <c r="J27" s="25" t="str">
        <f>'Die Map'!J27</f>
        <v/>
      </c>
      <c r="K27" s="26" t="str">
        <f>'Die Map'!K27</f>
        <v/>
      </c>
      <c r="L27" s="24" t="str">
        <f>'Die Map'!L27</f>
        <v>BB012</v>
      </c>
      <c r="M27" s="25" t="str">
        <f>'Die Map'!M27</f>
        <v>BB013</v>
      </c>
      <c r="N27" s="25" t="str">
        <f>'Die Map'!N27</f>
        <v>BB014</v>
      </c>
      <c r="O27" s="25" t="str">
        <f>'Die Map'!O27</f>
        <v>BB015</v>
      </c>
      <c r="P27" s="26" t="str">
        <f>'Die Map'!P27</f>
        <v>BB016</v>
      </c>
      <c r="Q27" s="24" t="str">
        <f>'Die Map'!Q27</f>
        <v>BB017</v>
      </c>
      <c r="R27" s="25" t="str">
        <f>'Die Map'!R27</f>
        <v>BB018</v>
      </c>
      <c r="S27" s="25" t="str">
        <f>'Die Map'!S27</f>
        <v>BB019</v>
      </c>
      <c r="T27" s="25" t="str">
        <f>'Die Map'!T27</f>
        <v>BB021</v>
      </c>
      <c r="U27" s="26" t="str">
        <f>'Die Map'!U27</f>
        <v>BB022</v>
      </c>
      <c r="V27" s="24" t="str">
        <f>'Die Map'!V27</f>
        <v>BB023</v>
      </c>
      <c r="W27" s="25" t="str">
        <f>'Die Map'!W27</f>
        <v>BB024</v>
      </c>
      <c r="X27" s="25" t="str">
        <f>'Die Map'!X27</f>
        <v>BB025</v>
      </c>
      <c r="Y27" s="25" t="str">
        <f>'Die Map'!Y27</f>
        <v>BB026</v>
      </c>
      <c r="Z27" s="26" t="str">
        <f>'Die Map'!Z27</f>
        <v>BB027</v>
      </c>
      <c r="AA27" s="24" t="str">
        <f>'Die Map'!AA27</f>
        <v>BB028</v>
      </c>
      <c r="AB27" s="25" t="str">
        <f>'Die Map'!AB27</f>
        <v>BB029</v>
      </c>
      <c r="AC27" s="25" t="str">
        <f>'Die Map'!AC27</f>
        <v>BB031</v>
      </c>
      <c r="AD27" s="25" t="str">
        <f>'Die Map'!AD27</f>
        <v>BB032</v>
      </c>
      <c r="AE27" s="26" t="str">
        <f>'Die Map'!AE27</f>
        <v>BB033</v>
      </c>
      <c r="AF27" s="24" t="str">
        <f>'Die Map'!AF27</f>
        <v>BB034</v>
      </c>
      <c r="AG27" s="25" t="str">
        <f>'Die Map'!AG27</f>
        <v>BB035</v>
      </c>
      <c r="AH27" s="25" t="str">
        <f>'Die Map'!AH27</f>
        <v>BB036</v>
      </c>
      <c r="AI27" s="25" t="str">
        <f>'Die Map'!AI27</f>
        <v>BB037</v>
      </c>
      <c r="AJ27" s="26" t="str">
        <f>'Die Map'!AJ27</f>
        <v>BB038</v>
      </c>
      <c r="AK27" s="24" t="str">
        <f>'Die Map'!AK27</f>
        <v>BB039</v>
      </c>
      <c r="AL27" s="25" t="str">
        <f>'Die Map'!AL27</f>
        <v>BB041</v>
      </c>
      <c r="AM27" s="25" t="str">
        <f>'Die Map'!AM27</f>
        <v>BB042</v>
      </c>
      <c r="AN27" s="25" t="str">
        <f>'Die Map'!AN27</f>
        <v>BB043</v>
      </c>
      <c r="AO27" s="26" t="str">
        <f>'Die Map'!AO27</f>
        <v>BB044</v>
      </c>
      <c r="AP27" s="24" t="str">
        <f>'Die Map'!AP27</f>
        <v>BB045</v>
      </c>
      <c r="AQ27" s="25" t="str">
        <f>'Die Map'!AQ27</f>
        <v>BB046</v>
      </c>
      <c r="AR27" s="25" t="str">
        <f>'Die Map'!AR27</f>
        <v>BB047</v>
      </c>
      <c r="AS27" s="25" t="str">
        <f>'Die Map'!AS27</f>
        <v>BB048</v>
      </c>
      <c r="AT27" s="26" t="str">
        <f>'Die Map'!AT27</f>
        <v>BB049</v>
      </c>
      <c r="AU27" s="24" t="str">
        <f>'Die Map'!AU27</f>
        <v>BB051</v>
      </c>
      <c r="AV27" s="25" t="str">
        <f>'Die Map'!AV27</f>
        <v>BB052</v>
      </c>
      <c r="AW27" s="25" t="str">
        <f>'Die Map'!AW27</f>
        <v>BB053</v>
      </c>
      <c r="AX27" s="25" t="str">
        <f>'Die Map'!AX27</f>
        <v>BB054</v>
      </c>
      <c r="AY27" s="26" t="str">
        <f>'Die Map'!AY27</f>
        <v>BB055</v>
      </c>
      <c r="AZ27" s="24" t="str">
        <f>'Die Map'!AZ27</f>
        <v>BB056</v>
      </c>
      <c r="BA27" s="25" t="str">
        <f>'Die Map'!BA27</f>
        <v>BB057</v>
      </c>
      <c r="BB27" s="25" t="str">
        <f>'Die Map'!BB27</f>
        <v>BB058</v>
      </c>
      <c r="BC27" s="25" t="str">
        <f>'Die Map'!BC27</f>
        <v>BB059</v>
      </c>
      <c r="BD27" s="26" t="str">
        <f>'Die Map'!BD27</f>
        <v>BB061</v>
      </c>
      <c r="BE27" s="24" t="str">
        <f>'Die Map'!BE27</f>
        <v>BB062</v>
      </c>
      <c r="BF27" s="25" t="str">
        <f>'Die Map'!BF27</f>
        <v>BB063</v>
      </c>
      <c r="BG27" s="25" t="str">
        <f>'Die Map'!BG27</f>
        <v>BB064</v>
      </c>
      <c r="BH27" s="25" t="str">
        <f>'Die Map'!BH27</f>
        <v>BB065</v>
      </c>
      <c r="BI27" s="26" t="str">
        <f>'Die Map'!BI27</f>
        <v>BB066</v>
      </c>
      <c r="BJ27" s="24" t="str">
        <f>'Die Map'!BJ27</f>
        <v>BB067</v>
      </c>
      <c r="BK27" s="25" t="str">
        <f>'Die Map'!BK27</f>
        <v>BB068</v>
      </c>
      <c r="BL27" s="25" t="str">
        <f>'Die Map'!BL27</f>
        <v>BB069</v>
      </c>
      <c r="BM27" s="25" t="str">
        <f>'Die Map'!BM27</f>
        <v>BB071</v>
      </c>
      <c r="BN27" s="26" t="str">
        <f>'Die Map'!BN27</f>
        <v>BB072</v>
      </c>
      <c r="BO27" s="24" t="str">
        <f>'Die Map'!BO27</f>
        <v>BB073</v>
      </c>
      <c r="BP27" s="25" t="str">
        <f>'Die Map'!BP27</f>
        <v>BB074</v>
      </c>
      <c r="BQ27" s="25" t="str">
        <f>'Die Map'!BQ27</f>
        <v>BB075</v>
      </c>
      <c r="BR27" s="25" t="str">
        <f>'Die Map'!BR27</f>
        <v>BB076</v>
      </c>
      <c r="BS27" s="26" t="str">
        <f>'Die Map'!BS27</f>
        <v>BB077</v>
      </c>
      <c r="BT27" s="24" t="str">
        <f>'Die Map'!BT27</f>
        <v>BB078</v>
      </c>
      <c r="BU27" s="25" t="str">
        <f>'Die Map'!BU27</f>
        <v>BB079</v>
      </c>
      <c r="BV27" s="25" t="str">
        <f>'Die Map'!BV27</f>
        <v>BB081</v>
      </c>
      <c r="BW27" s="25" t="str">
        <f>'Die Map'!BW27</f>
        <v>BB082</v>
      </c>
      <c r="BX27" s="26" t="str">
        <f>'Die Map'!BX27</f>
        <v>BB083</v>
      </c>
      <c r="BY27" s="24" t="str">
        <f>'Die Map'!BY27</f>
        <v>BB084</v>
      </c>
      <c r="BZ27" s="25" t="str">
        <f>'Die Map'!BZ27</f>
        <v>BB085</v>
      </c>
      <c r="CA27" s="25" t="str">
        <f>'Die Map'!CA27</f>
        <v>BB086</v>
      </c>
      <c r="CB27" s="25" t="str">
        <f>'Die Map'!CB27</f>
        <v>BB087</v>
      </c>
      <c r="CC27" s="26" t="str">
        <f>'Die Map'!CC27</f>
        <v>BB088</v>
      </c>
      <c r="CD27" s="24" t="str">
        <f>'Die Map'!CD27</f>
        <v>BB089</v>
      </c>
      <c r="CE27" s="25" t="str">
        <f>'Die Map'!CE27</f>
        <v>BB091</v>
      </c>
      <c r="CF27" s="25" t="str">
        <f>'Die Map'!CF27</f>
        <v>BB092</v>
      </c>
      <c r="CG27" s="25" t="str">
        <f>'Die Map'!CG27</f>
        <v>BB093</v>
      </c>
      <c r="CH27" s="26" t="str">
        <f>'Die Map'!CH27</f>
        <v>BB094</v>
      </c>
      <c r="CI27" s="24" t="str">
        <f>'Die Map'!CI27</f>
        <v>BB095</v>
      </c>
      <c r="CJ27" s="25" t="str">
        <f>'Die Map'!CJ27</f>
        <v>BB096</v>
      </c>
      <c r="CK27" s="25" t="str">
        <f>'Die Map'!CK27</f>
        <v>BB097</v>
      </c>
      <c r="CL27" s="25" t="str">
        <f>'Die Map'!CL27</f>
        <v>BB098</v>
      </c>
      <c r="CM27" s="26" t="str">
        <f>'Die Map'!CM27</f>
        <v>BB099</v>
      </c>
      <c r="CN27" s="24" t="str">
        <f>'Die Map'!CN27</f>
        <v>BB101</v>
      </c>
      <c r="CO27" s="25" t="str">
        <f>'Die Map'!CO27</f>
        <v>BB102</v>
      </c>
      <c r="CP27" s="25" t="str">
        <f>'Die Map'!CP27</f>
        <v>BB103</v>
      </c>
      <c r="CQ27" s="25" t="str">
        <f>'Die Map'!CQ27</f>
        <v>BB104</v>
      </c>
      <c r="CR27" s="26" t="str">
        <f>'Die Map'!CR27</f>
        <v>BB105</v>
      </c>
      <c r="CS27" s="24" t="str">
        <f>'Die Map'!CS27</f>
        <v/>
      </c>
      <c r="CT27" s="25" t="str">
        <f>'Die Map'!CT27</f>
        <v/>
      </c>
      <c r="CU27" s="25" t="str">
        <f>'Die Map'!CU27</f>
        <v/>
      </c>
      <c r="CV27" s="25" t="str">
        <f>'Die Map'!CV27</f>
        <v/>
      </c>
      <c r="CW27" s="26" t="str">
        <f>'Die Map'!CW27</f>
        <v/>
      </c>
      <c r="CX27" s="24" t="str">
        <f>'Die Map'!CX27</f>
        <v/>
      </c>
      <c r="CY27" s="25" t="str">
        <f>'Die Map'!CY27</f>
        <v/>
      </c>
      <c r="CZ27" s="25" t="str">
        <f>'Die Map'!CZ27</f>
        <v/>
      </c>
      <c r="DA27" s="25" t="str">
        <f>'Die Map'!DA27</f>
        <v/>
      </c>
      <c r="DB27" s="26" t="str">
        <f>'Die Map'!DB27</f>
        <v/>
      </c>
    </row>
    <row r="28" spans="1:106" ht="12.75" customHeight="1" x14ac:dyDescent="0.25">
      <c r="A28" s="17">
        <v>26</v>
      </c>
      <c r="B28" s="18" t="str">
        <f>'Die Map'!B28</f>
        <v/>
      </c>
      <c r="C28" s="19" t="str">
        <f>'Die Map'!C28</f>
        <v/>
      </c>
      <c r="D28" s="19" t="str">
        <f>'Die Map'!D28</f>
        <v/>
      </c>
      <c r="E28" s="19" t="str">
        <f>'Die Map'!E28</f>
        <v/>
      </c>
      <c r="F28" s="20" t="str">
        <f>'Die Map'!F28</f>
        <v/>
      </c>
      <c r="G28" s="18" t="str">
        <f>'Die Map'!G28</f>
        <v/>
      </c>
      <c r="H28" s="19" t="str">
        <f>'Die Map'!H28</f>
        <v/>
      </c>
      <c r="I28" s="19" t="str">
        <f>'Die Map'!I28</f>
        <v/>
      </c>
      <c r="J28" s="19" t="str">
        <f>'Die Map'!J28</f>
        <v/>
      </c>
      <c r="K28" s="20" t="str">
        <f>'Die Map'!K28</f>
        <v/>
      </c>
      <c r="L28" s="18" t="str">
        <f>'Die Map'!L28</f>
        <v>BC012</v>
      </c>
      <c r="M28" s="19" t="str">
        <f>'Die Map'!M28</f>
        <v>BC013</v>
      </c>
      <c r="N28" s="19" t="str">
        <f>'Die Map'!N28</f>
        <v>BC014</v>
      </c>
      <c r="O28" s="19" t="str">
        <f>'Die Map'!O28</f>
        <v>BC015</v>
      </c>
      <c r="P28" s="20" t="str">
        <f>'Die Map'!P28</f>
        <v>BC016</v>
      </c>
      <c r="Q28" s="18" t="str">
        <f>'Die Map'!Q28</f>
        <v>BC017</v>
      </c>
      <c r="R28" s="19" t="str">
        <f>'Die Map'!R28</f>
        <v>BC018</v>
      </c>
      <c r="S28" s="19" t="str">
        <f>'Die Map'!S28</f>
        <v>BC019</v>
      </c>
      <c r="T28" s="19" t="str">
        <f>'Die Map'!T28</f>
        <v>BC021</v>
      </c>
      <c r="U28" s="20" t="str">
        <f>'Die Map'!U28</f>
        <v>BC022</v>
      </c>
      <c r="V28" s="18" t="str">
        <f>'Die Map'!V28</f>
        <v>BC023</v>
      </c>
      <c r="W28" s="19" t="str">
        <f>'Die Map'!W28</f>
        <v>BC024</v>
      </c>
      <c r="X28" s="19" t="str">
        <f>'Die Map'!X28</f>
        <v>BC025</v>
      </c>
      <c r="Y28" s="19" t="str">
        <f>'Die Map'!Y28</f>
        <v>BC026</v>
      </c>
      <c r="Z28" s="20" t="str">
        <f>'Die Map'!Z28</f>
        <v>BC027</v>
      </c>
      <c r="AA28" s="18" t="str">
        <f>'Die Map'!AA28</f>
        <v>BC028</v>
      </c>
      <c r="AB28" s="19" t="str">
        <f>'Die Map'!AB28</f>
        <v>BC029</v>
      </c>
      <c r="AC28" s="19" t="str">
        <f>'Die Map'!AC28</f>
        <v>BC031</v>
      </c>
      <c r="AD28" s="19" t="str">
        <f>'Die Map'!AD28</f>
        <v>BC032</v>
      </c>
      <c r="AE28" s="20" t="str">
        <f>'Die Map'!AE28</f>
        <v>BC033</v>
      </c>
      <c r="AF28" s="18" t="str">
        <f>'Die Map'!AF28</f>
        <v>BC034</v>
      </c>
      <c r="AG28" s="19" t="str">
        <f>'Die Map'!AG28</f>
        <v>BC035</v>
      </c>
      <c r="AH28" s="19" t="str">
        <f>'Die Map'!AH28</f>
        <v>BC036</v>
      </c>
      <c r="AI28" s="19" t="str">
        <f>'Die Map'!AI28</f>
        <v>BC037</v>
      </c>
      <c r="AJ28" s="20" t="str">
        <f>'Die Map'!AJ28</f>
        <v>BC038</v>
      </c>
      <c r="AK28" s="18" t="str">
        <f>'Die Map'!AK28</f>
        <v>BC039</v>
      </c>
      <c r="AL28" s="19" t="str">
        <f>'Die Map'!AL28</f>
        <v>BC041</v>
      </c>
      <c r="AM28" s="19" t="str">
        <f>'Die Map'!AM28</f>
        <v>BC042</v>
      </c>
      <c r="AN28" s="19" t="str">
        <f>'Die Map'!AN28</f>
        <v>BC043</v>
      </c>
      <c r="AO28" s="20" t="str">
        <f>'Die Map'!AO28</f>
        <v>BC044</v>
      </c>
      <c r="AP28" s="18" t="str">
        <f>'Die Map'!AP28</f>
        <v>BC045</v>
      </c>
      <c r="AQ28" s="19" t="str">
        <f>'Die Map'!AQ28</f>
        <v>BC046</v>
      </c>
      <c r="AR28" s="19" t="str">
        <f>'Die Map'!AR28</f>
        <v>BC047</v>
      </c>
      <c r="AS28" s="19" t="str">
        <f>'Die Map'!AS28</f>
        <v>BC048</v>
      </c>
      <c r="AT28" s="20" t="str">
        <f>'Die Map'!AT28</f>
        <v>BC049</v>
      </c>
      <c r="AU28" s="18" t="str">
        <f>'Die Map'!AU28</f>
        <v>BC051</v>
      </c>
      <c r="AV28" s="19" t="str">
        <f>'Die Map'!AV28</f>
        <v>BC052</v>
      </c>
      <c r="AW28" s="19" t="str">
        <f>'Die Map'!AW28</f>
        <v>BC053</v>
      </c>
      <c r="AX28" s="19" t="str">
        <f>'Die Map'!AX28</f>
        <v>BC054</v>
      </c>
      <c r="AY28" s="20" t="str">
        <f>'Die Map'!AY28</f>
        <v>BC055</v>
      </c>
      <c r="AZ28" s="18" t="str">
        <f>'Die Map'!AZ28</f>
        <v>BC056</v>
      </c>
      <c r="BA28" s="19" t="str">
        <f>'Die Map'!BA28</f>
        <v>BC057</v>
      </c>
      <c r="BB28" s="19" t="str">
        <f>'Die Map'!BB28</f>
        <v>BC058</v>
      </c>
      <c r="BC28" s="19" t="str">
        <f>'Die Map'!BC28</f>
        <v>BC059</v>
      </c>
      <c r="BD28" s="20" t="str">
        <f>'Die Map'!BD28</f>
        <v>BC061</v>
      </c>
      <c r="BE28" s="18" t="str">
        <f>'Die Map'!BE28</f>
        <v>BC062</v>
      </c>
      <c r="BF28" s="19" t="str">
        <f>'Die Map'!BF28</f>
        <v>BC063</v>
      </c>
      <c r="BG28" s="19" t="str">
        <f>'Die Map'!BG28</f>
        <v>BC064</v>
      </c>
      <c r="BH28" s="19" t="str">
        <f>'Die Map'!BH28</f>
        <v>BC065</v>
      </c>
      <c r="BI28" s="20" t="str">
        <f>'Die Map'!BI28</f>
        <v>BC066</v>
      </c>
      <c r="BJ28" s="18" t="str">
        <f>'Die Map'!BJ28</f>
        <v>BC067</v>
      </c>
      <c r="BK28" s="19" t="str">
        <f>'Die Map'!BK28</f>
        <v>BC068</v>
      </c>
      <c r="BL28" s="19" t="str">
        <f>'Die Map'!BL28</f>
        <v>BC069</v>
      </c>
      <c r="BM28" s="19" t="str">
        <f>'Die Map'!BM28</f>
        <v>BC071</v>
      </c>
      <c r="BN28" s="20" t="str">
        <f>'Die Map'!BN28</f>
        <v>BC072</v>
      </c>
      <c r="BO28" s="18" t="str">
        <f>'Die Map'!BO28</f>
        <v>BC073</v>
      </c>
      <c r="BP28" s="19" t="str">
        <f>'Die Map'!BP28</f>
        <v>BC074</v>
      </c>
      <c r="BQ28" s="19" t="str">
        <f>'Die Map'!BQ28</f>
        <v>BC075</v>
      </c>
      <c r="BR28" s="19" t="str">
        <f>'Die Map'!BR28</f>
        <v>BC076</v>
      </c>
      <c r="BS28" s="20" t="str">
        <f>'Die Map'!BS28</f>
        <v>BC077</v>
      </c>
      <c r="BT28" s="18" t="str">
        <f>'Die Map'!BT28</f>
        <v>BC078</v>
      </c>
      <c r="BU28" s="19" t="str">
        <f>'Die Map'!BU28</f>
        <v>BC079</v>
      </c>
      <c r="BV28" s="19" t="str">
        <f>'Die Map'!BV28</f>
        <v>BC081</v>
      </c>
      <c r="BW28" s="19" t="str">
        <f>'Die Map'!BW28</f>
        <v>BC082</v>
      </c>
      <c r="BX28" s="20" t="str">
        <f>'Die Map'!BX28</f>
        <v>BC083</v>
      </c>
      <c r="BY28" s="18" t="str">
        <f>'Die Map'!BY28</f>
        <v>BC084</v>
      </c>
      <c r="BZ28" s="19" t="str">
        <f>'Die Map'!BZ28</f>
        <v>BC085</v>
      </c>
      <c r="CA28" s="19" t="str">
        <f>'Die Map'!CA28</f>
        <v>BC086</v>
      </c>
      <c r="CB28" s="19" t="str">
        <f>'Die Map'!CB28</f>
        <v>BC087</v>
      </c>
      <c r="CC28" s="20" t="str">
        <f>'Die Map'!CC28</f>
        <v>BC088</v>
      </c>
      <c r="CD28" s="18" t="str">
        <f>'Die Map'!CD28</f>
        <v>BC089</v>
      </c>
      <c r="CE28" s="19" t="str">
        <f>'Die Map'!CE28</f>
        <v>BC091</v>
      </c>
      <c r="CF28" s="19" t="str">
        <f>'Die Map'!CF28</f>
        <v>BC092</v>
      </c>
      <c r="CG28" s="19" t="str">
        <f>'Die Map'!CG28</f>
        <v>BC093</v>
      </c>
      <c r="CH28" s="20" t="str">
        <f>'Die Map'!CH28</f>
        <v>BC094</v>
      </c>
      <c r="CI28" s="18" t="str">
        <f>'Die Map'!CI28</f>
        <v>BC095</v>
      </c>
      <c r="CJ28" s="19" t="str">
        <f>'Die Map'!CJ28</f>
        <v>BC096</v>
      </c>
      <c r="CK28" s="19" t="str">
        <f>'Die Map'!CK28</f>
        <v>BC097</v>
      </c>
      <c r="CL28" s="19" t="str">
        <f>'Die Map'!CL28</f>
        <v>BC098</v>
      </c>
      <c r="CM28" s="20" t="str">
        <f>'Die Map'!CM28</f>
        <v>BC099</v>
      </c>
      <c r="CN28" s="18" t="str">
        <f>'Die Map'!CN28</f>
        <v>BC101</v>
      </c>
      <c r="CO28" s="19" t="str">
        <f>'Die Map'!CO28</f>
        <v>BC102</v>
      </c>
      <c r="CP28" s="19" t="str">
        <f>'Die Map'!CP28</f>
        <v>BC103</v>
      </c>
      <c r="CQ28" s="19" t="str">
        <f>'Die Map'!CQ28</f>
        <v>BC104</v>
      </c>
      <c r="CR28" s="20" t="str">
        <f>'Die Map'!CR28</f>
        <v>BC105</v>
      </c>
      <c r="CS28" s="18" t="str">
        <f>'Die Map'!CS28</f>
        <v/>
      </c>
      <c r="CT28" s="19" t="str">
        <f>'Die Map'!CT28</f>
        <v/>
      </c>
      <c r="CU28" s="19" t="str">
        <f>'Die Map'!CU28</f>
        <v/>
      </c>
      <c r="CV28" s="19" t="str">
        <f>'Die Map'!CV28</f>
        <v/>
      </c>
      <c r="CW28" s="20" t="str">
        <f>'Die Map'!CW28</f>
        <v/>
      </c>
      <c r="CX28" s="18" t="str">
        <f>'Die Map'!CX28</f>
        <v/>
      </c>
      <c r="CY28" s="19" t="str">
        <f>'Die Map'!CY28</f>
        <v/>
      </c>
      <c r="CZ28" s="19" t="str">
        <f>'Die Map'!CZ28</f>
        <v/>
      </c>
      <c r="DA28" s="19" t="str">
        <f>'Die Map'!DA28</f>
        <v/>
      </c>
      <c r="DB28" s="20" t="str">
        <f>'Die Map'!DB28</f>
        <v/>
      </c>
    </row>
    <row r="29" spans="1:106" ht="12.75" customHeight="1" x14ac:dyDescent="0.25">
      <c r="A29" s="17">
        <v>27</v>
      </c>
      <c r="B29" s="21" t="str">
        <f>'Die Map'!B29</f>
        <v/>
      </c>
      <c r="C29" s="22" t="str">
        <f>'Die Map'!C29</f>
        <v/>
      </c>
      <c r="D29" s="22" t="str">
        <f>'Die Map'!D29</f>
        <v/>
      </c>
      <c r="E29" s="22" t="str">
        <f>'Die Map'!E29</f>
        <v/>
      </c>
      <c r="F29" s="23" t="str">
        <f>'Die Map'!F29</f>
        <v/>
      </c>
      <c r="G29" s="21" t="str">
        <f>'Die Map'!G29</f>
        <v/>
      </c>
      <c r="H29" s="22" t="str">
        <f>'Die Map'!H29</f>
        <v/>
      </c>
      <c r="I29" s="22" t="str">
        <f>'Die Map'!I29</f>
        <v/>
      </c>
      <c r="J29" s="22" t="str">
        <f>'Die Map'!J29</f>
        <v/>
      </c>
      <c r="K29" s="23" t="str">
        <f>'Die Map'!K29</f>
        <v/>
      </c>
      <c r="L29" s="21" t="str">
        <f>'Die Map'!L29</f>
        <v>BD012</v>
      </c>
      <c r="M29" s="22" t="str">
        <f>'Die Map'!M29</f>
        <v>BD013</v>
      </c>
      <c r="N29" s="22" t="str">
        <f>'Die Map'!N29</f>
        <v>BD014</v>
      </c>
      <c r="O29" s="22" t="str">
        <f>'Die Map'!O29</f>
        <v>BD015</v>
      </c>
      <c r="P29" s="23" t="str">
        <f>'Die Map'!P29</f>
        <v>BD016</v>
      </c>
      <c r="Q29" s="21" t="str">
        <f>'Die Map'!Q29</f>
        <v>BD017</v>
      </c>
      <c r="R29" s="22" t="str">
        <f>'Die Map'!R29</f>
        <v>BD018</v>
      </c>
      <c r="S29" s="22" t="str">
        <f>'Die Map'!S29</f>
        <v>BD019</v>
      </c>
      <c r="T29" s="22" t="str">
        <f>'Die Map'!T29</f>
        <v>BD021</v>
      </c>
      <c r="U29" s="23" t="str">
        <f>'Die Map'!U29</f>
        <v>BD022</v>
      </c>
      <c r="V29" s="21" t="str">
        <f>'Die Map'!V29</f>
        <v>BD023</v>
      </c>
      <c r="W29" s="22" t="str">
        <f>'Die Map'!W29</f>
        <v>BD024</v>
      </c>
      <c r="X29" s="22" t="str">
        <f>'Die Map'!X29</f>
        <v>BD025</v>
      </c>
      <c r="Y29" s="22" t="str">
        <f>'Die Map'!Y29</f>
        <v>BD026</v>
      </c>
      <c r="Z29" s="23" t="str">
        <f>'Die Map'!Z29</f>
        <v>BD027</v>
      </c>
      <c r="AA29" s="21" t="str">
        <f>'Die Map'!AA29</f>
        <v>BD028</v>
      </c>
      <c r="AB29" s="22" t="str">
        <f>'Die Map'!AB29</f>
        <v>BD029</v>
      </c>
      <c r="AC29" s="22" t="str">
        <f>'Die Map'!AC29</f>
        <v>BD031</v>
      </c>
      <c r="AD29" s="22" t="str">
        <f>'Die Map'!AD29</f>
        <v>BD032</v>
      </c>
      <c r="AE29" s="23" t="str">
        <f>'Die Map'!AE29</f>
        <v>BD033</v>
      </c>
      <c r="AF29" s="21" t="str">
        <f>'Die Map'!AF29</f>
        <v>BD034</v>
      </c>
      <c r="AG29" s="22" t="str">
        <f>'Die Map'!AG29</f>
        <v>BD035</v>
      </c>
      <c r="AH29" s="22" t="str">
        <f>'Die Map'!AH29</f>
        <v>BD036</v>
      </c>
      <c r="AI29" s="22" t="str">
        <f>'Die Map'!AI29</f>
        <v>BD037</v>
      </c>
      <c r="AJ29" s="23" t="str">
        <f>'Die Map'!AJ29</f>
        <v>BD038</v>
      </c>
      <c r="AK29" s="21" t="str">
        <f>'Die Map'!AK29</f>
        <v>BD039</v>
      </c>
      <c r="AL29" s="22" t="str">
        <f>'Die Map'!AL29</f>
        <v>BD041</v>
      </c>
      <c r="AM29" s="22" t="str">
        <f>'Die Map'!AM29</f>
        <v>BD042</v>
      </c>
      <c r="AN29" s="22" t="str">
        <f>'Die Map'!AN29</f>
        <v>BD043</v>
      </c>
      <c r="AO29" s="23" t="str">
        <f>'Die Map'!AO29</f>
        <v>BD044</v>
      </c>
      <c r="AP29" s="21" t="str">
        <f>'Die Map'!AP29</f>
        <v>BD045</v>
      </c>
      <c r="AQ29" s="22" t="str">
        <f>'Die Map'!AQ29</f>
        <v>BD046</v>
      </c>
      <c r="AR29" s="22" t="str">
        <f>'Die Map'!AR29</f>
        <v>BD047</v>
      </c>
      <c r="AS29" s="22" t="str">
        <f>'Die Map'!AS29</f>
        <v>BD048</v>
      </c>
      <c r="AT29" s="23" t="str">
        <f>'Die Map'!AT29</f>
        <v>BD049</v>
      </c>
      <c r="AU29" s="21" t="str">
        <f>'Die Map'!AU29</f>
        <v>BD051</v>
      </c>
      <c r="AV29" s="22" t="str">
        <f>'Die Map'!AV29</f>
        <v>BD052</v>
      </c>
      <c r="AW29" s="22" t="str">
        <f>'Die Map'!AW29</f>
        <v>BD053</v>
      </c>
      <c r="AX29" s="22" t="str">
        <f>'Die Map'!AX29</f>
        <v>BD054</v>
      </c>
      <c r="AY29" s="23" t="str">
        <f>'Die Map'!AY29</f>
        <v>BD055</v>
      </c>
      <c r="AZ29" s="21" t="str">
        <f>'Die Map'!AZ29</f>
        <v>BD056</v>
      </c>
      <c r="BA29" s="22" t="str">
        <f>'Die Map'!BA29</f>
        <v>BD057</v>
      </c>
      <c r="BB29" s="22" t="str">
        <f>'Die Map'!BB29</f>
        <v>BD058</v>
      </c>
      <c r="BC29" s="22" t="str">
        <f>'Die Map'!BC29</f>
        <v>BD059</v>
      </c>
      <c r="BD29" s="23" t="str">
        <f>'Die Map'!BD29</f>
        <v>BD061</v>
      </c>
      <c r="BE29" s="21" t="str">
        <f>'Die Map'!BE29</f>
        <v>BD062</v>
      </c>
      <c r="BF29" s="22" t="str">
        <f>'Die Map'!BF29</f>
        <v>BD063</v>
      </c>
      <c r="BG29" s="22" t="str">
        <f>'Die Map'!BG29</f>
        <v>BD064</v>
      </c>
      <c r="BH29" s="22" t="str">
        <f>'Die Map'!BH29</f>
        <v>BD065</v>
      </c>
      <c r="BI29" s="23" t="str">
        <f>'Die Map'!BI29</f>
        <v>BD066</v>
      </c>
      <c r="BJ29" s="21" t="str">
        <f>'Die Map'!BJ29</f>
        <v>BD067</v>
      </c>
      <c r="BK29" s="22" t="str">
        <f>'Die Map'!BK29</f>
        <v>BD068</v>
      </c>
      <c r="BL29" s="22" t="str">
        <f>'Die Map'!BL29</f>
        <v>BD069</v>
      </c>
      <c r="BM29" s="22" t="str">
        <f>'Die Map'!BM29</f>
        <v>BD071</v>
      </c>
      <c r="BN29" s="23" t="str">
        <f>'Die Map'!BN29</f>
        <v>BD072</v>
      </c>
      <c r="BO29" s="21" t="str">
        <f>'Die Map'!BO29</f>
        <v>BD073</v>
      </c>
      <c r="BP29" s="22" t="str">
        <f>'Die Map'!BP29</f>
        <v>BD074</v>
      </c>
      <c r="BQ29" s="22" t="str">
        <f>'Die Map'!BQ29</f>
        <v>BD075</v>
      </c>
      <c r="BR29" s="22" t="str">
        <f>'Die Map'!BR29</f>
        <v>BD076</v>
      </c>
      <c r="BS29" s="23" t="str">
        <f>'Die Map'!BS29</f>
        <v>BD077</v>
      </c>
      <c r="BT29" s="21" t="str">
        <f>'Die Map'!BT29</f>
        <v>BD078</v>
      </c>
      <c r="BU29" s="22" t="str">
        <f>'Die Map'!BU29</f>
        <v>BD079</v>
      </c>
      <c r="BV29" s="22" t="str">
        <f>'Die Map'!BV29</f>
        <v>BD081</v>
      </c>
      <c r="BW29" s="22" t="str">
        <f>'Die Map'!BW29</f>
        <v>BD082</v>
      </c>
      <c r="BX29" s="23" t="str">
        <f>'Die Map'!BX29</f>
        <v>BD083</v>
      </c>
      <c r="BY29" s="21" t="str">
        <f>'Die Map'!BY29</f>
        <v>BD084</v>
      </c>
      <c r="BZ29" s="22" t="str">
        <f>'Die Map'!BZ29</f>
        <v>BD085</v>
      </c>
      <c r="CA29" s="22" t="str">
        <f>'Die Map'!CA29</f>
        <v>BD086</v>
      </c>
      <c r="CB29" s="22" t="str">
        <f>'Die Map'!CB29</f>
        <v>BD087</v>
      </c>
      <c r="CC29" s="23" t="str">
        <f>'Die Map'!CC29</f>
        <v>BD088</v>
      </c>
      <c r="CD29" s="21" t="str">
        <f>'Die Map'!CD29</f>
        <v>BD089</v>
      </c>
      <c r="CE29" s="22" t="str">
        <f>'Die Map'!CE29</f>
        <v>BD091</v>
      </c>
      <c r="CF29" s="22" t="str">
        <f>'Die Map'!CF29</f>
        <v>BD092</v>
      </c>
      <c r="CG29" s="22" t="str">
        <f>'Die Map'!CG29</f>
        <v>BD093</v>
      </c>
      <c r="CH29" s="23" t="str">
        <f>'Die Map'!CH29</f>
        <v>BD094</v>
      </c>
      <c r="CI29" s="21" t="str">
        <f>'Die Map'!CI29</f>
        <v>BD095</v>
      </c>
      <c r="CJ29" s="22" t="str">
        <f>'Die Map'!CJ29</f>
        <v>BD096</v>
      </c>
      <c r="CK29" s="22" t="str">
        <f>'Die Map'!CK29</f>
        <v>BD097</v>
      </c>
      <c r="CL29" s="22" t="str">
        <f>'Die Map'!CL29</f>
        <v>BD098</v>
      </c>
      <c r="CM29" s="23" t="str">
        <f>'Die Map'!CM29</f>
        <v>BD099</v>
      </c>
      <c r="CN29" s="21" t="str">
        <f>'Die Map'!CN29</f>
        <v>BD101</v>
      </c>
      <c r="CO29" s="22" t="str">
        <f>'Die Map'!CO29</f>
        <v>BD102</v>
      </c>
      <c r="CP29" s="22" t="str">
        <f>'Die Map'!CP29</f>
        <v>BD103</v>
      </c>
      <c r="CQ29" s="22" t="str">
        <f>'Die Map'!CQ29</f>
        <v>BD104</v>
      </c>
      <c r="CR29" s="23" t="str">
        <f>'Die Map'!CR29</f>
        <v>BD105</v>
      </c>
      <c r="CS29" s="21" t="str">
        <f>'Die Map'!CS29</f>
        <v/>
      </c>
      <c r="CT29" s="22" t="str">
        <f>'Die Map'!CT29</f>
        <v/>
      </c>
      <c r="CU29" s="22" t="str">
        <f>'Die Map'!CU29</f>
        <v/>
      </c>
      <c r="CV29" s="22" t="str">
        <f>'Die Map'!CV29</f>
        <v/>
      </c>
      <c r="CW29" s="23" t="str">
        <f>'Die Map'!CW29</f>
        <v/>
      </c>
      <c r="CX29" s="21" t="str">
        <f>'Die Map'!CX29</f>
        <v/>
      </c>
      <c r="CY29" s="22" t="str">
        <f>'Die Map'!CY29</f>
        <v/>
      </c>
      <c r="CZ29" s="22" t="str">
        <f>'Die Map'!CZ29</f>
        <v/>
      </c>
      <c r="DA29" s="22" t="str">
        <f>'Die Map'!DA29</f>
        <v/>
      </c>
      <c r="DB29" s="23" t="str">
        <f>'Die Map'!DB29</f>
        <v/>
      </c>
    </row>
    <row r="30" spans="1:106" ht="12.75" customHeight="1" x14ac:dyDescent="0.25">
      <c r="A30" s="17">
        <v>28</v>
      </c>
      <c r="B30" s="21" t="str">
        <f>'Die Map'!B30</f>
        <v/>
      </c>
      <c r="C30" s="22" t="str">
        <f>'Die Map'!C30</f>
        <v/>
      </c>
      <c r="D30" s="22" t="str">
        <f>'Die Map'!D30</f>
        <v/>
      </c>
      <c r="E30" s="22" t="str">
        <f>'Die Map'!E30</f>
        <v/>
      </c>
      <c r="F30" s="23" t="str">
        <f>'Die Map'!F30</f>
        <v/>
      </c>
      <c r="G30" s="21" t="str">
        <f>'Die Map'!G30</f>
        <v/>
      </c>
      <c r="H30" s="22" t="str">
        <f>'Die Map'!H30</f>
        <v/>
      </c>
      <c r="I30" s="22" t="str">
        <f>'Die Map'!I30</f>
        <v/>
      </c>
      <c r="J30" s="22" t="str">
        <f>'Die Map'!J30</f>
        <v/>
      </c>
      <c r="K30" s="23" t="str">
        <f>'Die Map'!K30</f>
        <v/>
      </c>
      <c r="L30" s="21" t="str">
        <f>'Die Map'!L30</f>
        <v>BE012</v>
      </c>
      <c r="M30" s="22" t="str">
        <f>'Die Map'!M30</f>
        <v>BE013</v>
      </c>
      <c r="N30" s="22" t="str">
        <f>'Die Map'!N30</f>
        <v>BE014</v>
      </c>
      <c r="O30" s="22" t="str">
        <f>'Die Map'!O30</f>
        <v>BE015</v>
      </c>
      <c r="P30" s="23" t="str">
        <f>'Die Map'!P30</f>
        <v>BE016</v>
      </c>
      <c r="Q30" s="21" t="str">
        <f>'Die Map'!Q30</f>
        <v>BE017</v>
      </c>
      <c r="R30" s="22" t="str">
        <f>'Die Map'!R30</f>
        <v>BE018</v>
      </c>
      <c r="S30" s="22" t="str">
        <f>'Die Map'!S30</f>
        <v>BE019</v>
      </c>
      <c r="T30" s="22" t="str">
        <f>'Die Map'!T30</f>
        <v>BE021</v>
      </c>
      <c r="U30" s="23" t="str">
        <f>'Die Map'!U30</f>
        <v>BE022</v>
      </c>
      <c r="V30" s="21" t="str">
        <f>'Die Map'!V30</f>
        <v>BE023</v>
      </c>
      <c r="W30" s="22" t="str">
        <f>'Die Map'!W30</f>
        <v>BE024</v>
      </c>
      <c r="X30" s="22" t="str">
        <f>'Die Map'!X30</f>
        <v>BE025</v>
      </c>
      <c r="Y30" s="22" t="str">
        <f>'Die Map'!Y30</f>
        <v>BE026</v>
      </c>
      <c r="Z30" s="23" t="str">
        <f>'Die Map'!Z30</f>
        <v>BE027</v>
      </c>
      <c r="AA30" s="21" t="str">
        <f>'Die Map'!AA30</f>
        <v>BE028</v>
      </c>
      <c r="AB30" s="22" t="str">
        <f>'Die Map'!AB30</f>
        <v>BE029</v>
      </c>
      <c r="AC30" s="22" t="str">
        <f>'Die Map'!AC30</f>
        <v>BE031</v>
      </c>
      <c r="AD30" s="22" t="str">
        <f>'Die Map'!AD30</f>
        <v>BE032</v>
      </c>
      <c r="AE30" s="23" t="str">
        <f>'Die Map'!AE30</f>
        <v>BE033</v>
      </c>
      <c r="AF30" s="21" t="str">
        <f>'Die Map'!AF30</f>
        <v>BE034</v>
      </c>
      <c r="AG30" s="22" t="str">
        <f>'Die Map'!AG30</f>
        <v>BE035</v>
      </c>
      <c r="AH30" s="22" t="str">
        <f>'Die Map'!AH30</f>
        <v>BE036</v>
      </c>
      <c r="AI30" s="22" t="str">
        <f>'Die Map'!AI30</f>
        <v>BE037</v>
      </c>
      <c r="AJ30" s="23" t="str">
        <f>'Die Map'!AJ30</f>
        <v>BE038</v>
      </c>
      <c r="AK30" s="21" t="str">
        <f>'Die Map'!AK30</f>
        <v>BE039</v>
      </c>
      <c r="AL30" s="22" t="str">
        <f>'Die Map'!AL30</f>
        <v>BE041</v>
      </c>
      <c r="AM30" s="22" t="str">
        <f>'Die Map'!AM30</f>
        <v>BE042</v>
      </c>
      <c r="AN30" s="22" t="str">
        <f>'Die Map'!AN30</f>
        <v>BE043</v>
      </c>
      <c r="AO30" s="23" t="str">
        <f>'Die Map'!AO30</f>
        <v>BE044</v>
      </c>
      <c r="AP30" s="21" t="str">
        <f>'Die Map'!AP30</f>
        <v>BE045</v>
      </c>
      <c r="AQ30" s="22" t="str">
        <f>'Die Map'!AQ30</f>
        <v>BE046</v>
      </c>
      <c r="AR30" s="22" t="str">
        <f>'Die Map'!AR30</f>
        <v>BE047</v>
      </c>
      <c r="AS30" s="22" t="str">
        <f>'Die Map'!AS30</f>
        <v>BE048</v>
      </c>
      <c r="AT30" s="23" t="str">
        <f>'Die Map'!AT30</f>
        <v>BE049</v>
      </c>
      <c r="AU30" s="21" t="str">
        <f>'Die Map'!AU30</f>
        <v>BE051</v>
      </c>
      <c r="AV30" s="22" t="str">
        <f>'Die Map'!AV30</f>
        <v>BE052</v>
      </c>
      <c r="AW30" s="22" t="str">
        <f>'Die Map'!AW30</f>
        <v>BE053</v>
      </c>
      <c r="AX30" s="22" t="str">
        <f>'Die Map'!AX30</f>
        <v>BE054</v>
      </c>
      <c r="AY30" s="23" t="str">
        <f>'Die Map'!AY30</f>
        <v>BE055</v>
      </c>
      <c r="AZ30" s="21" t="str">
        <f>'Die Map'!AZ30</f>
        <v>BE056</v>
      </c>
      <c r="BA30" s="22" t="str">
        <f>'Die Map'!BA30</f>
        <v>BE057</v>
      </c>
      <c r="BB30" s="22" t="str">
        <f>'Die Map'!BB30</f>
        <v>BE058</v>
      </c>
      <c r="BC30" s="22" t="str">
        <f>'Die Map'!BC30</f>
        <v>BE059</v>
      </c>
      <c r="BD30" s="23" t="str">
        <f>'Die Map'!BD30</f>
        <v>BE061</v>
      </c>
      <c r="BE30" s="21" t="str">
        <f>'Die Map'!BE30</f>
        <v>BE062</v>
      </c>
      <c r="BF30" s="22" t="str">
        <f>'Die Map'!BF30</f>
        <v>BE063</v>
      </c>
      <c r="BG30" s="22" t="str">
        <f>'Die Map'!BG30</f>
        <v>BE064</v>
      </c>
      <c r="BH30" s="22" t="str">
        <f>'Die Map'!BH30</f>
        <v>BE065</v>
      </c>
      <c r="BI30" s="23" t="str">
        <f>'Die Map'!BI30</f>
        <v>BE066</v>
      </c>
      <c r="BJ30" s="21" t="str">
        <f>'Die Map'!BJ30</f>
        <v>BE067</v>
      </c>
      <c r="BK30" s="22" t="str">
        <f>'Die Map'!BK30</f>
        <v>BE068</v>
      </c>
      <c r="BL30" s="22" t="str">
        <f>'Die Map'!BL30</f>
        <v>BE069</v>
      </c>
      <c r="BM30" s="22" t="str">
        <f>'Die Map'!BM30</f>
        <v>BE071</v>
      </c>
      <c r="BN30" s="23" t="str">
        <f>'Die Map'!BN30</f>
        <v>BE072</v>
      </c>
      <c r="BO30" s="21" t="str">
        <f>'Die Map'!BO30</f>
        <v>BE073</v>
      </c>
      <c r="BP30" s="22" t="str">
        <f>'Die Map'!BP30</f>
        <v>BE074</v>
      </c>
      <c r="BQ30" s="22" t="str">
        <f>'Die Map'!BQ30</f>
        <v>BE075</v>
      </c>
      <c r="BR30" s="22" t="str">
        <f>'Die Map'!BR30</f>
        <v>BE076</v>
      </c>
      <c r="BS30" s="23" t="str">
        <f>'Die Map'!BS30</f>
        <v>BE077</v>
      </c>
      <c r="BT30" s="21" t="str">
        <f>'Die Map'!BT30</f>
        <v>BE078</v>
      </c>
      <c r="BU30" s="22" t="str">
        <f>'Die Map'!BU30</f>
        <v>BE079</v>
      </c>
      <c r="BV30" s="22" t="str">
        <f>'Die Map'!BV30</f>
        <v>BE081</v>
      </c>
      <c r="BW30" s="22" t="str">
        <f>'Die Map'!BW30</f>
        <v>BE082</v>
      </c>
      <c r="BX30" s="23" t="str">
        <f>'Die Map'!BX30</f>
        <v>BE083</v>
      </c>
      <c r="BY30" s="21" t="str">
        <f>'Die Map'!BY30</f>
        <v>BE084</v>
      </c>
      <c r="BZ30" s="22" t="str">
        <f>'Die Map'!BZ30</f>
        <v>BE085</v>
      </c>
      <c r="CA30" s="22" t="str">
        <f>'Die Map'!CA30</f>
        <v>BE086</v>
      </c>
      <c r="CB30" s="22" t="str">
        <f>'Die Map'!CB30</f>
        <v>BE087</v>
      </c>
      <c r="CC30" s="23" t="str">
        <f>'Die Map'!CC30</f>
        <v>BE088</v>
      </c>
      <c r="CD30" s="21" t="str">
        <f>'Die Map'!CD30</f>
        <v>BE089</v>
      </c>
      <c r="CE30" s="22" t="str">
        <f>'Die Map'!CE30</f>
        <v>BE091</v>
      </c>
      <c r="CF30" s="22" t="str">
        <f>'Die Map'!CF30</f>
        <v>BE092</v>
      </c>
      <c r="CG30" s="22" t="str">
        <f>'Die Map'!CG30</f>
        <v>BE093</v>
      </c>
      <c r="CH30" s="23" t="str">
        <f>'Die Map'!CH30</f>
        <v>BE094</v>
      </c>
      <c r="CI30" s="21" t="str">
        <f>'Die Map'!CI30</f>
        <v>BE095</v>
      </c>
      <c r="CJ30" s="22" t="str">
        <f>'Die Map'!CJ30</f>
        <v>BE096</v>
      </c>
      <c r="CK30" s="22" t="str">
        <f>'Die Map'!CK30</f>
        <v>BE097</v>
      </c>
      <c r="CL30" s="22" t="str">
        <f>'Die Map'!CL30</f>
        <v>BE098</v>
      </c>
      <c r="CM30" s="23" t="str">
        <f>'Die Map'!CM30</f>
        <v>BE099</v>
      </c>
      <c r="CN30" s="21" t="str">
        <f>'Die Map'!CN30</f>
        <v>BE101</v>
      </c>
      <c r="CO30" s="22" t="str">
        <f>'Die Map'!CO30</f>
        <v>BE102</v>
      </c>
      <c r="CP30" s="22" t="str">
        <f>'Die Map'!CP30</f>
        <v>BE103</v>
      </c>
      <c r="CQ30" s="22" t="str">
        <f>'Die Map'!CQ30</f>
        <v>BE104</v>
      </c>
      <c r="CR30" s="23" t="str">
        <f>'Die Map'!CR30</f>
        <v>BE105</v>
      </c>
      <c r="CS30" s="21" t="str">
        <f>'Die Map'!CS30</f>
        <v/>
      </c>
      <c r="CT30" s="22" t="str">
        <f>'Die Map'!CT30</f>
        <v/>
      </c>
      <c r="CU30" s="22" t="str">
        <f>'Die Map'!CU30</f>
        <v/>
      </c>
      <c r="CV30" s="22" t="str">
        <f>'Die Map'!CV30</f>
        <v/>
      </c>
      <c r="CW30" s="23" t="str">
        <f>'Die Map'!CW30</f>
        <v/>
      </c>
      <c r="CX30" s="21" t="str">
        <f>'Die Map'!CX30</f>
        <v/>
      </c>
      <c r="CY30" s="22" t="str">
        <f>'Die Map'!CY30</f>
        <v/>
      </c>
      <c r="CZ30" s="22" t="str">
        <f>'Die Map'!CZ30</f>
        <v/>
      </c>
      <c r="DA30" s="22" t="str">
        <f>'Die Map'!DA30</f>
        <v/>
      </c>
      <c r="DB30" s="23" t="str">
        <f>'Die Map'!DB30</f>
        <v/>
      </c>
    </row>
    <row r="31" spans="1:106" ht="12.75" customHeight="1" x14ac:dyDescent="0.25">
      <c r="A31" s="17">
        <v>29</v>
      </c>
      <c r="B31" s="21" t="str">
        <f>'Die Map'!B31</f>
        <v/>
      </c>
      <c r="C31" s="22" t="str">
        <f>'Die Map'!C31</f>
        <v/>
      </c>
      <c r="D31" s="22" t="str">
        <f>'Die Map'!D31</f>
        <v/>
      </c>
      <c r="E31" s="22" t="str">
        <f>'Die Map'!E31</f>
        <v/>
      </c>
      <c r="F31" s="23" t="str">
        <f>'Die Map'!F31</f>
        <v/>
      </c>
      <c r="G31" s="21" t="str">
        <f>'Die Map'!G31</f>
        <v/>
      </c>
      <c r="H31" s="22" t="str">
        <f>'Die Map'!H31</f>
        <v/>
      </c>
      <c r="I31" s="22" t="str">
        <f>'Die Map'!I31</f>
        <v/>
      </c>
      <c r="J31" s="22" t="str">
        <f>'Die Map'!J31</f>
        <v/>
      </c>
      <c r="K31" s="23" t="str">
        <f>'Die Map'!K31</f>
        <v/>
      </c>
      <c r="L31" s="21" t="str">
        <f>'Die Map'!L31</f>
        <v>BF012</v>
      </c>
      <c r="M31" s="22" t="str">
        <f>'Die Map'!M31</f>
        <v>BF013</v>
      </c>
      <c r="N31" s="22" t="str">
        <f>'Die Map'!N31</f>
        <v>BF014</v>
      </c>
      <c r="O31" s="22" t="str">
        <f>'Die Map'!O31</f>
        <v>BF015</v>
      </c>
      <c r="P31" s="23" t="str">
        <f>'Die Map'!P31</f>
        <v>BF016</v>
      </c>
      <c r="Q31" s="21" t="str">
        <f>'Die Map'!Q31</f>
        <v>BF017</v>
      </c>
      <c r="R31" s="22" t="str">
        <f>'Die Map'!R31</f>
        <v>BF018</v>
      </c>
      <c r="S31" s="22" t="str">
        <f>'Die Map'!S31</f>
        <v>BF019</v>
      </c>
      <c r="T31" s="22" t="str">
        <f>'Die Map'!T31</f>
        <v>BF021</v>
      </c>
      <c r="U31" s="23" t="str">
        <f>'Die Map'!U31</f>
        <v>BF022</v>
      </c>
      <c r="V31" s="21" t="str">
        <f>'Die Map'!V31</f>
        <v>BF023</v>
      </c>
      <c r="W31" s="22" t="str">
        <f>'Die Map'!W31</f>
        <v>BF024</v>
      </c>
      <c r="X31" s="22" t="str">
        <f>'Die Map'!X31</f>
        <v>BF025</v>
      </c>
      <c r="Y31" s="22" t="str">
        <f>'Die Map'!Y31</f>
        <v>BF026</v>
      </c>
      <c r="Z31" s="23" t="str">
        <f>'Die Map'!Z31</f>
        <v>BF027</v>
      </c>
      <c r="AA31" s="21" t="str">
        <f>'Die Map'!AA31</f>
        <v>BF028</v>
      </c>
      <c r="AB31" s="22" t="str">
        <f>'Die Map'!AB31</f>
        <v>BF029</v>
      </c>
      <c r="AC31" s="22" t="str">
        <f>'Die Map'!AC31</f>
        <v>BF031</v>
      </c>
      <c r="AD31" s="22" t="str">
        <f>'Die Map'!AD31</f>
        <v>BF032</v>
      </c>
      <c r="AE31" s="23" t="str">
        <f>'Die Map'!AE31</f>
        <v>BF033</v>
      </c>
      <c r="AF31" s="21" t="str">
        <f>'Die Map'!AF31</f>
        <v>BF034</v>
      </c>
      <c r="AG31" s="22" t="str">
        <f>'Die Map'!AG31</f>
        <v>BF035</v>
      </c>
      <c r="AH31" s="22" t="str">
        <f>'Die Map'!AH31</f>
        <v>BF036</v>
      </c>
      <c r="AI31" s="22" t="str">
        <f>'Die Map'!AI31</f>
        <v>BF037</v>
      </c>
      <c r="AJ31" s="23" t="str">
        <f>'Die Map'!AJ31</f>
        <v>BF038</v>
      </c>
      <c r="AK31" s="21" t="str">
        <f>'Die Map'!AK31</f>
        <v>BF039</v>
      </c>
      <c r="AL31" s="22" t="str">
        <f>'Die Map'!AL31</f>
        <v>BF041</v>
      </c>
      <c r="AM31" s="22" t="str">
        <f>'Die Map'!AM31</f>
        <v>BF042</v>
      </c>
      <c r="AN31" s="22" t="str">
        <f>'Die Map'!AN31</f>
        <v>BF043</v>
      </c>
      <c r="AO31" s="23" t="str">
        <f>'Die Map'!AO31</f>
        <v>BF044</v>
      </c>
      <c r="AP31" s="21" t="str">
        <f>'Die Map'!AP31</f>
        <v>BF045</v>
      </c>
      <c r="AQ31" s="22" t="str">
        <f>'Die Map'!AQ31</f>
        <v>BF046</v>
      </c>
      <c r="AR31" s="22" t="str">
        <f>'Die Map'!AR31</f>
        <v>BF047</v>
      </c>
      <c r="AS31" s="22" t="str">
        <f>'Die Map'!AS31</f>
        <v>BF048</v>
      </c>
      <c r="AT31" s="23" t="str">
        <f>'Die Map'!AT31</f>
        <v>BF049</v>
      </c>
      <c r="AU31" s="21" t="str">
        <f>'Die Map'!AU31</f>
        <v>BF051</v>
      </c>
      <c r="AV31" s="22" t="str">
        <f>'Die Map'!AV31</f>
        <v>BF052</v>
      </c>
      <c r="AW31" s="22" t="str">
        <f>'Die Map'!AW31</f>
        <v>BF053</v>
      </c>
      <c r="AX31" s="22" t="str">
        <f>'Die Map'!AX31</f>
        <v>BF054</v>
      </c>
      <c r="AY31" s="23" t="str">
        <f>'Die Map'!AY31</f>
        <v>BF055</v>
      </c>
      <c r="AZ31" s="21" t="str">
        <f>'Die Map'!AZ31</f>
        <v>BF056</v>
      </c>
      <c r="BA31" s="22" t="str">
        <f>'Die Map'!BA31</f>
        <v>BF057</v>
      </c>
      <c r="BB31" s="22" t="str">
        <f>'Die Map'!BB31</f>
        <v>BF058</v>
      </c>
      <c r="BC31" s="22" t="str">
        <f>'Die Map'!BC31</f>
        <v>BF059</v>
      </c>
      <c r="BD31" s="23" t="str">
        <f>'Die Map'!BD31</f>
        <v>BF061</v>
      </c>
      <c r="BE31" s="21" t="str">
        <f>'Die Map'!BE31</f>
        <v>BF062</v>
      </c>
      <c r="BF31" s="22" t="str">
        <f>'Die Map'!BF31</f>
        <v>BF063</v>
      </c>
      <c r="BG31" s="22" t="str">
        <f>'Die Map'!BG31</f>
        <v>BF064</v>
      </c>
      <c r="BH31" s="22" t="str">
        <f>'Die Map'!BH31</f>
        <v>BF065</v>
      </c>
      <c r="BI31" s="23" t="str">
        <f>'Die Map'!BI31</f>
        <v>BF066</v>
      </c>
      <c r="BJ31" s="21" t="str">
        <f>'Die Map'!BJ31</f>
        <v>BF067</v>
      </c>
      <c r="BK31" s="22" t="str">
        <f>'Die Map'!BK31</f>
        <v>BF068</v>
      </c>
      <c r="BL31" s="22" t="str">
        <f>'Die Map'!BL31</f>
        <v>BF069</v>
      </c>
      <c r="BM31" s="22" t="str">
        <f>'Die Map'!BM31</f>
        <v>BF071</v>
      </c>
      <c r="BN31" s="23" t="str">
        <f>'Die Map'!BN31</f>
        <v>BF072</v>
      </c>
      <c r="BO31" s="21" t="str">
        <f>'Die Map'!BO31</f>
        <v>BF073</v>
      </c>
      <c r="BP31" s="22" t="str">
        <f>'Die Map'!BP31</f>
        <v>BF074</v>
      </c>
      <c r="BQ31" s="22" t="str">
        <f>'Die Map'!BQ31</f>
        <v>BF075</v>
      </c>
      <c r="BR31" s="22" t="str">
        <f>'Die Map'!BR31</f>
        <v>BF076</v>
      </c>
      <c r="BS31" s="23" t="str">
        <f>'Die Map'!BS31</f>
        <v>BF077</v>
      </c>
      <c r="BT31" s="21" t="str">
        <f>'Die Map'!BT31</f>
        <v>BF078</v>
      </c>
      <c r="BU31" s="22" t="str">
        <f>'Die Map'!BU31</f>
        <v>BF079</v>
      </c>
      <c r="BV31" s="22" t="str">
        <f>'Die Map'!BV31</f>
        <v>BF081</v>
      </c>
      <c r="BW31" s="22" t="str">
        <f>'Die Map'!BW31</f>
        <v>BF082</v>
      </c>
      <c r="BX31" s="23" t="str">
        <f>'Die Map'!BX31</f>
        <v>BF083</v>
      </c>
      <c r="BY31" s="21" t="str">
        <f>'Die Map'!BY31</f>
        <v>BF084</v>
      </c>
      <c r="BZ31" s="22" t="str">
        <f>'Die Map'!BZ31</f>
        <v>BF085</v>
      </c>
      <c r="CA31" s="22" t="str">
        <f>'Die Map'!CA31</f>
        <v>BF086</v>
      </c>
      <c r="CB31" s="22" t="str">
        <f>'Die Map'!CB31</f>
        <v>BF087</v>
      </c>
      <c r="CC31" s="23" t="str">
        <f>'Die Map'!CC31</f>
        <v>BF088</v>
      </c>
      <c r="CD31" s="21" t="str">
        <f>'Die Map'!CD31</f>
        <v>BF089</v>
      </c>
      <c r="CE31" s="22" t="str">
        <f>'Die Map'!CE31</f>
        <v>BF091</v>
      </c>
      <c r="CF31" s="22" t="str">
        <f>'Die Map'!CF31</f>
        <v>BF092</v>
      </c>
      <c r="CG31" s="22" t="str">
        <f>'Die Map'!CG31</f>
        <v>BF093</v>
      </c>
      <c r="CH31" s="23" t="str">
        <f>'Die Map'!CH31</f>
        <v>BF094</v>
      </c>
      <c r="CI31" s="21" t="str">
        <f>'Die Map'!CI31</f>
        <v>BF095</v>
      </c>
      <c r="CJ31" s="22" t="str">
        <f>'Die Map'!CJ31</f>
        <v>BF096</v>
      </c>
      <c r="CK31" s="22" t="str">
        <f>'Die Map'!CK31</f>
        <v>BF097</v>
      </c>
      <c r="CL31" s="22" t="str">
        <f>'Die Map'!CL31</f>
        <v>BF098</v>
      </c>
      <c r="CM31" s="23" t="str">
        <f>'Die Map'!CM31</f>
        <v>BF099</v>
      </c>
      <c r="CN31" s="21" t="str">
        <f>'Die Map'!CN31</f>
        <v>BF101</v>
      </c>
      <c r="CO31" s="22" t="str">
        <f>'Die Map'!CO31</f>
        <v>BF102</v>
      </c>
      <c r="CP31" s="22" t="str">
        <f>'Die Map'!CP31</f>
        <v>BF103</v>
      </c>
      <c r="CQ31" s="22" t="str">
        <f>'Die Map'!CQ31</f>
        <v>BF104</v>
      </c>
      <c r="CR31" s="23" t="str">
        <f>'Die Map'!CR31</f>
        <v>BF105</v>
      </c>
      <c r="CS31" s="21" t="str">
        <f>'Die Map'!CS31</f>
        <v/>
      </c>
      <c r="CT31" s="22" t="str">
        <f>'Die Map'!CT31</f>
        <v/>
      </c>
      <c r="CU31" s="22" t="str">
        <f>'Die Map'!CU31</f>
        <v/>
      </c>
      <c r="CV31" s="22" t="str">
        <f>'Die Map'!CV31</f>
        <v/>
      </c>
      <c r="CW31" s="23" t="str">
        <f>'Die Map'!CW31</f>
        <v/>
      </c>
      <c r="CX31" s="21" t="str">
        <f>'Die Map'!CX31</f>
        <v/>
      </c>
      <c r="CY31" s="22" t="str">
        <f>'Die Map'!CY31</f>
        <v/>
      </c>
      <c r="CZ31" s="22" t="str">
        <f>'Die Map'!CZ31</f>
        <v/>
      </c>
      <c r="DA31" s="22" t="str">
        <f>'Die Map'!DA31</f>
        <v/>
      </c>
      <c r="DB31" s="23" t="str">
        <f>'Die Map'!DB31</f>
        <v/>
      </c>
    </row>
    <row r="32" spans="1:106" ht="12.75" customHeight="1" x14ac:dyDescent="0.25">
      <c r="A32" s="17">
        <v>30</v>
      </c>
      <c r="B32" s="24" t="str">
        <f>'Die Map'!B32</f>
        <v/>
      </c>
      <c r="C32" s="25" t="str">
        <f>'Die Map'!C32</f>
        <v/>
      </c>
      <c r="D32" s="25" t="str">
        <f>'Die Map'!D32</f>
        <v/>
      </c>
      <c r="E32" s="25" t="str">
        <f>'Die Map'!E32</f>
        <v/>
      </c>
      <c r="F32" s="26" t="str">
        <f>'Die Map'!F32</f>
        <v/>
      </c>
      <c r="G32" s="24" t="str">
        <f>'Die Map'!G32</f>
        <v/>
      </c>
      <c r="H32" s="25" t="str">
        <f>'Die Map'!H32</f>
        <v/>
      </c>
      <c r="I32" s="25" t="str">
        <f>'Die Map'!I32</f>
        <v/>
      </c>
      <c r="J32" s="25" t="str">
        <f>'Die Map'!J32</f>
        <v/>
      </c>
      <c r="K32" s="26" t="str">
        <f>'Die Map'!K32</f>
        <v/>
      </c>
      <c r="L32" s="24" t="str">
        <f>'Die Map'!L32</f>
        <v>BG012</v>
      </c>
      <c r="M32" s="25" t="str">
        <f>'Die Map'!M32</f>
        <v>BG013</v>
      </c>
      <c r="N32" s="25" t="str">
        <f>'Die Map'!N32</f>
        <v>BG014</v>
      </c>
      <c r="O32" s="25" t="str">
        <f>'Die Map'!O32</f>
        <v>BG015</v>
      </c>
      <c r="P32" s="26" t="str">
        <f>'Die Map'!P32</f>
        <v>BG016</v>
      </c>
      <c r="Q32" s="24" t="str">
        <f>'Die Map'!Q32</f>
        <v>BG017</v>
      </c>
      <c r="R32" s="25" t="str">
        <f>'Die Map'!R32</f>
        <v>BG018</v>
      </c>
      <c r="S32" s="25" t="str">
        <f>'Die Map'!S32</f>
        <v>BG019</v>
      </c>
      <c r="T32" s="25" t="str">
        <f>'Die Map'!T32</f>
        <v>BG021</v>
      </c>
      <c r="U32" s="26" t="str">
        <f>'Die Map'!U32</f>
        <v>BG022</v>
      </c>
      <c r="V32" s="24" t="str">
        <f>'Die Map'!V32</f>
        <v>BG023</v>
      </c>
      <c r="W32" s="25" t="str">
        <f>'Die Map'!W32</f>
        <v>BG024</v>
      </c>
      <c r="X32" s="25" t="str">
        <f>'Die Map'!X32</f>
        <v>BG025</v>
      </c>
      <c r="Y32" s="25" t="str">
        <f>'Die Map'!Y32</f>
        <v>BG026</v>
      </c>
      <c r="Z32" s="26" t="str">
        <f>'Die Map'!Z32</f>
        <v>BG027</v>
      </c>
      <c r="AA32" s="24" t="str">
        <f>'Die Map'!AA32</f>
        <v>BG028</v>
      </c>
      <c r="AB32" s="25" t="str">
        <f>'Die Map'!AB32</f>
        <v>BG029</v>
      </c>
      <c r="AC32" s="25" t="str">
        <f>'Die Map'!AC32</f>
        <v>BG031</v>
      </c>
      <c r="AD32" s="25" t="str">
        <f>'Die Map'!AD32</f>
        <v>BG032</v>
      </c>
      <c r="AE32" s="26" t="str">
        <f>'Die Map'!AE32</f>
        <v>BG033</v>
      </c>
      <c r="AF32" s="24" t="str">
        <f>'Die Map'!AF32</f>
        <v>BG034</v>
      </c>
      <c r="AG32" s="25" t="str">
        <f>'Die Map'!AG32</f>
        <v>BG035</v>
      </c>
      <c r="AH32" s="25" t="str">
        <f>'Die Map'!AH32</f>
        <v>BG036</v>
      </c>
      <c r="AI32" s="25" t="str">
        <f>'Die Map'!AI32</f>
        <v>BG037</v>
      </c>
      <c r="AJ32" s="26" t="str">
        <f>'Die Map'!AJ32</f>
        <v>BG038</v>
      </c>
      <c r="AK32" s="24" t="str">
        <f>'Die Map'!AK32</f>
        <v>BG039</v>
      </c>
      <c r="AL32" s="25" t="str">
        <f>'Die Map'!AL32</f>
        <v>BG041</v>
      </c>
      <c r="AM32" s="25" t="str">
        <f>'Die Map'!AM32</f>
        <v>BG042</v>
      </c>
      <c r="AN32" s="25" t="str">
        <f>'Die Map'!AN32</f>
        <v>BG043</v>
      </c>
      <c r="AO32" s="26" t="str">
        <f>'Die Map'!AO32</f>
        <v>BG044</v>
      </c>
      <c r="AP32" s="24" t="str">
        <f>'Die Map'!AP32</f>
        <v>BG045</v>
      </c>
      <c r="AQ32" s="25" t="str">
        <f>'Die Map'!AQ32</f>
        <v>BG046</v>
      </c>
      <c r="AR32" s="25" t="str">
        <f>'Die Map'!AR32</f>
        <v>BG047</v>
      </c>
      <c r="AS32" s="25" t="str">
        <f>'Die Map'!AS32</f>
        <v>BG048</v>
      </c>
      <c r="AT32" s="26" t="str">
        <f>'Die Map'!AT32</f>
        <v>BG049</v>
      </c>
      <c r="AU32" s="24" t="str">
        <f>'Die Map'!AU32</f>
        <v>BG051</v>
      </c>
      <c r="AV32" s="25" t="str">
        <f>'Die Map'!AV32</f>
        <v>BG052</v>
      </c>
      <c r="AW32" s="25" t="str">
        <f>'Die Map'!AW32</f>
        <v>BG053</v>
      </c>
      <c r="AX32" s="25" t="str">
        <f>'Die Map'!AX32</f>
        <v>BG054</v>
      </c>
      <c r="AY32" s="26" t="str">
        <f>'Die Map'!AY32</f>
        <v>BG055</v>
      </c>
      <c r="AZ32" s="24" t="str">
        <f>'Die Map'!AZ32</f>
        <v>BG056</v>
      </c>
      <c r="BA32" s="25" t="str">
        <f>'Die Map'!BA32</f>
        <v>BG057</v>
      </c>
      <c r="BB32" s="25" t="str">
        <f>'Die Map'!BB32</f>
        <v>BG058</v>
      </c>
      <c r="BC32" s="25" t="str">
        <f>'Die Map'!BC32</f>
        <v>BG059</v>
      </c>
      <c r="BD32" s="26" t="str">
        <f>'Die Map'!BD32</f>
        <v>BG061</v>
      </c>
      <c r="BE32" s="24" t="str">
        <f>'Die Map'!BE32</f>
        <v>BG062</v>
      </c>
      <c r="BF32" s="25" t="str">
        <f>'Die Map'!BF32</f>
        <v>BG063</v>
      </c>
      <c r="BG32" s="25" t="str">
        <f>'Die Map'!BG32</f>
        <v>BG064</v>
      </c>
      <c r="BH32" s="25" t="str">
        <f>'Die Map'!BH32</f>
        <v>BG065</v>
      </c>
      <c r="BI32" s="26" t="str">
        <f>'Die Map'!BI32</f>
        <v>BG066</v>
      </c>
      <c r="BJ32" s="24" t="str">
        <f>'Die Map'!BJ32</f>
        <v>BG067</v>
      </c>
      <c r="BK32" s="25" t="str">
        <f>'Die Map'!BK32</f>
        <v>BG068</v>
      </c>
      <c r="BL32" s="25" t="str">
        <f>'Die Map'!BL32</f>
        <v>BG069</v>
      </c>
      <c r="BM32" s="25" t="str">
        <f>'Die Map'!BM32</f>
        <v>BG071</v>
      </c>
      <c r="BN32" s="26" t="str">
        <f>'Die Map'!BN32</f>
        <v>BG072</v>
      </c>
      <c r="BO32" s="24" t="str">
        <f>'Die Map'!BO32</f>
        <v>BG073</v>
      </c>
      <c r="BP32" s="25" t="str">
        <f>'Die Map'!BP32</f>
        <v>BG074</v>
      </c>
      <c r="BQ32" s="25" t="str">
        <f>'Die Map'!BQ32</f>
        <v>BG075</v>
      </c>
      <c r="BR32" s="25" t="str">
        <f>'Die Map'!BR32</f>
        <v>BG076</v>
      </c>
      <c r="BS32" s="26" t="str">
        <f>'Die Map'!BS32</f>
        <v>BG077</v>
      </c>
      <c r="BT32" s="24" t="str">
        <f>'Die Map'!BT32</f>
        <v>BG078</v>
      </c>
      <c r="BU32" s="25" t="str">
        <f>'Die Map'!BU32</f>
        <v>BG079</v>
      </c>
      <c r="BV32" s="25" t="str">
        <f>'Die Map'!BV32</f>
        <v>BG081</v>
      </c>
      <c r="BW32" s="25" t="str">
        <f>'Die Map'!BW32</f>
        <v>BG082</v>
      </c>
      <c r="BX32" s="26" t="str">
        <f>'Die Map'!BX32</f>
        <v>BG083</v>
      </c>
      <c r="BY32" s="24" t="str">
        <f>'Die Map'!BY32</f>
        <v>BG084</v>
      </c>
      <c r="BZ32" s="25" t="str">
        <f>'Die Map'!BZ32</f>
        <v>BG085</v>
      </c>
      <c r="CA32" s="25" t="str">
        <f>'Die Map'!CA32</f>
        <v>BG086</v>
      </c>
      <c r="CB32" s="25" t="str">
        <f>'Die Map'!CB32</f>
        <v>BG087</v>
      </c>
      <c r="CC32" s="26" t="str">
        <f>'Die Map'!CC32</f>
        <v>BG088</v>
      </c>
      <c r="CD32" s="24" t="str">
        <f>'Die Map'!CD32</f>
        <v>BG089</v>
      </c>
      <c r="CE32" s="25" t="str">
        <f>'Die Map'!CE32</f>
        <v>BG091</v>
      </c>
      <c r="CF32" s="25" t="str">
        <f>'Die Map'!CF32</f>
        <v>BG092</v>
      </c>
      <c r="CG32" s="25" t="str">
        <f>'Die Map'!CG32</f>
        <v>BG093</v>
      </c>
      <c r="CH32" s="26" t="str">
        <f>'Die Map'!CH32</f>
        <v>BG094</v>
      </c>
      <c r="CI32" s="24" t="str">
        <f>'Die Map'!CI32</f>
        <v>BG095</v>
      </c>
      <c r="CJ32" s="25" t="str">
        <f>'Die Map'!CJ32</f>
        <v>BG096</v>
      </c>
      <c r="CK32" s="25" t="str">
        <f>'Die Map'!CK32</f>
        <v>BG097</v>
      </c>
      <c r="CL32" s="25" t="str">
        <f>'Die Map'!CL32</f>
        <v>BG098</v>
      </c>
      <c r="CM32" s="26" t="str">
        <f>'Die Map'!CM32</f>
        <v>BG099</v>
      </c>
      <c r="CN32" s="24" t="str">
        <f>'Die Map'!CN32</f>
        <v>BG101</v>
      </c>
      <c r="CO32" s="25" t="str">
        <f>'Die Map'!CO32</f>
        <v>BG102</v>
      </c>
      <c r="CP32" s="25" t="str">
        <f>'Die Map'!CP32</f>
        <v>BG103</v>
      </c>
      <c r="CQ32" s="25" t="str">
        <f>'Die Map'!CQ32</f>
        <v>BG104</v>
      </c>
      <c r="CR32" s="26" t="str">
        <f>'Die Map'!CR32</f>
        <v>BG105</v>
      </c>
      <c r="CS32" s="24" t="str">
        <f>'Die Map'!CS32</f>
        <v/>
      </c>
      <c r="CT32" s="25" t="str">
        <f>'Die Map'!CT32</f>
        <v/>
      </c>
      <c r="CU32" s="25" t="str">
        <f>'Die Map'!CU32</f>
        <v/>
      </c>
      <c r="CV32" s="25" t="str">
        <f>'Die Map'!CV32</f>
        <v/>
      </c>
      <c r="CW32" s="26" t="str">
        <f>'Die Map'!CW32</f>
        <v/>
      </c>
      <c r="CX32" s="24" t="str">
        <f>'Die Map'!CX32</f>
        <v/>
      </c>
      <c r="CY32" s="25" t="str">
        <f>'Die Map'!CY32</f>
        <v/>
      </c>
      <c r="CZ32" s="25" t="str">
        <f>'Die Map'!CZ32</f>
        <v/>
      </c>
      <c r="DA32" s="25" t="str">
        <f>'Die Map'!DA32</f>
        <v/>
      </c>
      <c r="DB32" s="26" t="str">
        <f>'Die Map'!DB32</f>
        <v/>
      </c>
    </row>
    <row r="33" spans="1:106" ht="12.75" customHeight="1" x14ac:dyDescent="0.25">
      <c r="A33" s="17">
        <v>31</v>
      </c>
      <c r="B33" s="18" t="str">
        <f>'Die Map'!B33</f>
        <v/>
      </c>
      <c r="C33" s="19" t="str">
        <f>'Die Map'!C33</f>
        <v/>
      </c>
      <c r="D33" s="19" t="str">
        <f>'Die Map'!D33</f>
        <v/>
      </c>
      <c r="E33" s="19" t="str">
        <f>'Die Map'!E33</f>
        <v/>
      </c>
      <c r="F33" s="20" t="str">
        <f>'Die Map'!F33</f>
        <v/>
      </c>
      <c r="G33" s="18" t="str">
        <f>'Die Map'!G33</f>
        <v>BH006</v>
      </c>
      <c r="H33" s="19" t="str">
        <f>'Die Map'!H33</f>
        <v>BH007</v>
      </c>
      <c r="I33" s="19" t="str">
        <f>'Die Map'!I33</f>
        <v>BH008</v>
      </c>
      <c r="J33" s="19" t="str">
        <f>'Die Map'!J33</f>
        <v>BH009</v>
      </c>
      <c r="K33" s="20" t="str">
        <f>'Die Map'!K33</f>
        <v>BH011</v>
      </c>
      <c r="L33" s="18" t="str">
        <f>'Die Map'!L33</f>
        <v>BH012</v>
      </c>
      <c r="M33" s="19" t="str">
        <f>'Die Map'!M33</f>
        <v>BH013</v>
      </c>
      <c r="N33" s="19" t="str">
        <f>'Die Map'!N33</f>
        <v>BH014</v>
      </c>
      <c r="O33" s="19" t="str">
        <f>'Die Map'!O33</f>
        <v>BH015</v>
      </c>
      <c r="P33" s="20" t="str">
        <f>'Die Map'!P33</f>
        <v>BH016</v>
      </c>
      <c r="Q33" s="18" t="str">
        <f>'Die Map'!Q33</f>
        <v>BH017</v>
      </c>
      <c r="R33" s="19" t="str">
        <f>'Die Map'!R33</f>
        <v>BH018</v>
      </c>
      <c r="S33" s="19" t="str">
        <f>'Die Map'!S33</f>
        <v>BH019</v>
      </c>
      <c r="T33" s="19" t="str">
        <f>'Die Map'!T33</f>
        <v>BH021</v>
      </c>
      <c r="U33" s="20" t="str">
        <f>'Die Map'!U33</f>
        <v>BH022</v>
      </c>
      <c r="V33" s="18" t="str">
        <f>'Die Map'!V33</f>
        <v>BH023</v>
      </c>
      <c r="W33" s="19" t="str">
        <f>'Die Map'!W33</f>
        <v>BH024</v>
      </c>
      <c r="X33" s="19" t="str">
        <f>'Die Map'!X33</f>
        <v>BH025</v>
      </c>
      <c r="Y33" s="19" t="str">
        <f>'Die Map'!Y33</f>
        <v>BH026</v>
      </c>
      <c r="Z33" s="20" t="str">
        <f>'Die Map'!Z33</f>
        <v>BH027</v>
      </c>
      <c r="AA33" s="18" t="str">
        <f>'Die Map'!AA33</f>
        <v>BH028</v>
      </c>
      <c r="AB33" s="19" t="str">
        <f>'Die Map'!AB33</f>
        <v>BH029</v>
      </c>
      <c r="AC33" s="19" t="str">
        <f>'Die Map'!AC33</f>
        <v>BH031</v>
      </c>
      <c r="AD33" s="19" t="str">
        <f>'Die Map'!AD33</f>
        <v>BH032</v>
      </c>
      <c r="AE33" s="20" t="str">
        <f>'Die Map'!AE33</f>
        <v>BH033</v>
      </c>
      <c r="AF33" s="18" t="str">
        <f>'Die Map'!AF33</f>
        <v>BH034</v>
      </c>
      <c r="AG33" s="19" t="str">
        <f>'Die Map'!AG33</f>
        <v>BH035</v>
      </c>
      <c r="AH33" s="19" t="str">
        <f>'Die Map'!AH33</f>
        <v>BH036</v>
      </c>
      <c r="AI33" s="19" t="str">
        <f>'Die Map'!AI33</f>
        <v>BH037</v>
      </c>
      <c r="AJ33" s="20" t="str">
        <f>'Die Map'!AJ33</f>
        <v>BH038</v>
      </c>
      <c r="AK33" s="18" t="str">
        <f>'Die Map'!AK33</f>
        <v>BH039</v>
      </c>
      <c r="AL33" s="19" t="str">
        <f>'Die Map'!AL33</f>
        <v>BH041</v>
      </c>
      <c r="AM33" s="19" t="str">
        <f>'Die Map'!AM33</f>
        <v>BH042</v>
      </c>
      <c r="AN33" s="19" t="str">
        <f>'Die Map'!AN33</f>
        <v>BH043</v>
      </c>
      <c r="AO33" s="20" t="str">
        <f>'Die Map'!AO33</f>
        <v>BH044</v>
      </c>
      <c r="AP33" s="18" t="str">
        <f>'Die Map'!AP33</f>
        <v>BH045</v>
      </c>
      <c r="AQ33" s="19" t="str">
        <f>'Die Map'!AQ33</f>
        <v>BH046</v>
      </c>
      <c r="AR33" s="19" t="str">
        <f>'Die Map'!AR33</f>
        <v>BH047</v>
      </c>
      <c r="AS33" s="19" t="str">
        <f>'Die Map'!AS33</f>
        <v>BH048</v>
      </c>
      <c r="AT33" s="20" t="str">
        <f>'Die Map'!AT33</f>
        <v>BH049</v>
      </c>
      <c r="AU33" s="18" t="str">
        <f>'Die Map'!AU33</f>
        <v>BH051</v>
      </c>
      <c r="AV33" s="19" t="str">
        <f>'Die Map'!AV33</f>
        <v>BH052</v>
      </c>
      <c r="AW33" s="19" t="str">
        <f>'Die Map'!AW33</f>
        <v>BH053</v>
      </c>
      <c r="AX33" s="19" t="str">
        <f>'Die Map'!AX33</f>
        <v>BH054</v>
      </c>
      <c r="AY33" s="20" t="str">
        <f>'Die Map'!AY33</f>
        <v>BH055</v>
      </c>
      <c r="AZ33" s="18" t="str">
        <f>'Die Map'!AZ33</f>
        <v>BH056</v>
      </c>
      <c r="BA33" s="19" t="str">
        <f>'Die Map'!BA33</f>
        <v>BH057</v>
      </c>
      <c r="BB33" s="19" t="str">
        <f>'Die Map'!BB33</f>
        <v>BH058</v>
      </c>
      <c r="BC33" s="19" t="str">
        <f>'Die Map'!BC33</f>
        <v>BH059</v>
      </c>
      <c r="BD33" s="20" t="str">
        <f>'Die Map'!BD33</f>
        <v>BH061</v>
      </c>
      <c r="BE33" s="18" t="str">
        <f>'Die Map'!BE33</f>
        <v>BH062</v>
      </c>
      <c r="BF33" s="19" t="str">
        <f>'Die Map'!BF33</f>
        <v>BH063</v>
      </c>
      <c r="BG33" s="19" t="str">
        <f>'Die Map'!BG33</f>
        <v>BH064</v>
      </c>
      <c r="BH33" s="19" t="str">
        <f>'Die Map'!BH33</f>
        <v>BH065</v>
      </c>
      <c r="BI33" s="20" t="str">
        <f>'Die Map'!BI33</f>
        <v>BH066</v>
      </c>
      <c r="BJ33" s="18" t="str">
        <f>'Die Map'!BJ33</f>
        <v>BH067</v>
      </c>
      <c r="BK33" s="19" t="str">
        <f>'Die Map'!BK33</f>
        <v>BH068</v>
      </c>
      <c r="BL33" s="19" t="str">
        <f>'Die Map'!BL33</f>
        <v>BH069</v>
      </c>
      <c r="BM33" s="19" t="str">
        <f>'Die Map'!BM33</f>
        <v>BH071</v>
      </c>
      <c r="BN33" s="20" t="str">
        <f>'Die Map'!BN33</f>
        <v>BH072</v>
      </c>
      <c r="BO33" s="18" t="str">
        <f>'Die Map'!BO33</f>
        <v>BH073</v>
      </c>
      <c r="BP33" s="19" t="str">
        <f>'Die Map'!BP33</f>
        <v>BH074</v>
      </c>
      <c r="BQ33" s="19" t="str">
        <f>'Die Map'!BQ33</f>
        <v>BH075</v>
      </c>
      <c r="BR33" s="19" t="str">
        <f>'Die Map'!BR33</f>
        <v>BH076</v>
      </c>
      <c r="BS33" s="20" t="str">
        <f>'Die Map'!BS33</f>
        <v>BH077</v>
      </c>
      <c r="BT33" s="18" t="str">
        <f>'Die Map'!BT33</f>
        <v>BH078</v>
      </c>
      <c r="BU33" s="19" t="str">
        <f>'Die Map'!BU33</f>
        <v>BH079</v>
      </c>
      <c r="BV33" s="19" t="str">
        <f>'Die Map'!BV33</f>
        <v>BH081</v>
      </c>
      <c r="BW33" s="19" t="str">
        <f>'Die Map'!BW33</f>
        <v>BH082</v>
      </c>
      <c r="BX33" s="20" t="str">
        <f>'Die Map'!BX33</f>
        <v>BH083</v>
      </c>
      <c r="BY33" s="18" t="str">
        <f>'Die Map'!BY33</f>
        <v>BH084</v>
      </c>
      <c r="BZ33" s="19" t="str">
        <f>'Die Map'!BZ33</f>
        <v>BH085</v>
      </c>
      <c r="CA33" s="19" t="str">
        <f>'Die Map'!CA33</f>
        <v>BH086</v>
      </c>
      <c r="CB33" s="19" t="str">
        <f>'Die Map'!CB33</f>
        <v>BH087</v>
      </c>
      <c r="CC33" s="20" t="str">
        <f>'Die Map'!CC33</f>
        <v>BH088</v>
      </c>
      <c r="CD33" s="18" t="str">
        <f>'Die Map'!CD33</f>
        <v>BH089</v>
      </c>
      <c r="CE33" s="19" t="str">
        <f>'Die Map'!CE33</f>
        <v>BH091</v>
      </c>
      <c r="CF33" s="19" t="str">
        <f>'Die Map'!CF33</f>
        <v>BH092</v>
      </c>
      <c r="CG33" s="19" t="str">
        <f>'Die Map'!CG33</f>
        <v>BH093</v>
      </c>
      <c r="CH33" s="20" t="str">
        <f>'Die Map'!CH33</f>
        <v>BH094</v>
      </c>
      <c r="CI33" s="18" t="str">
        <f>'Die Map'!CI33</f>
        <v>BH095</v>
      </c>
      <c r="CJ33" s="19" t="str">
        <f>'Die Map'!CJ33</f>
        <v>BH096</v>
      </c>
      <c r="CK33" s="19" t="str">
        <f>'Die Map'!CK33</f>
        <v>BH097</v>
      </c>
      <c r="CL33" s="19" t="str">
        <f>'Die Map'!CL33</f>
        <v>BH098</v>
      </c>
      <c r="CM33" s="20" t="str">
        <f>'Die Map'!CM33</f>
        <v>BH099</v>
      </c>
      <c r="CN33" s="18" t="str">
        <f>'Die Map'!CN33</f>
        <v>BH101</v>
      </c>
      <c r="CO33" s="19" t="str">
        <f>'Die Map'!CO33</f>
        <v>BH102</v>
      </c>
      <c r="CP33" s="19" t="str">
        <f>'Die Map'!CP33</f>
        <v>BH103</v>
      </c>
      <c r="CQ33" s="19" t="str">
        <f>'Die Map'!CQ33</f>
        <v>BH104</v>
      </c>
      <c r="CR33" s="20" t="str">
        <f>'Die Map'!CR33</f>
        <v>BH105</v>
      </c>
      <c r="CS33" s="18" t="str">
        <f>'Die Map'!CS33</f>
        <v>BH106</v>
      </c>
      <c r="CT33" s="19" t="str">
        <f>'Die Map'!CT33</f>
        <v>BH107</v>
      </c>
      <c r="CU33" s="19" t="str">
        <f>'Die Map'!CU33</f>
        <v>BH108</v>
      </c>
      <c r="CV33" s="19" t="str">
        <f>'Die Map'!CV33</f>
        <v>BH109</v>
      </c>
      <c r="CW33" s="20" t="str">
        <f>'Die Map'!CW33</f>
        <v>BH111</v>
      </c>
      <c r="CX33" s="18" t="str">
        <f>'Die Map'!CX33</f>
        <v/>
      </c>
      <c r="CY33" s="19" t="str">
        <f>'Die Map'!CY33</f>
        <v/>
      </c>
      <c r="CZ33" s="19" t="str">
        <f>'Die Map'!CZ33</f>
        <v/>
      </c>
      <c r="DA33" s="19" t="str">
        <f>'Die Map'!DA33</f>
        <v/>
      </c>
      <c r="DB33" s="20" t="str">
        <f>'Die Map'!DB33</f>
        <v/>
      </c>
    </row>
    <row r="34" spans="1:106" ht="12.75" customHeight="1" x14ac:dyDescent="0.25">
      <c r="A34" s="17">
        <v>32</v>
      </c>
      <c r="B34" s="21" t="str">
        <f>'Die Map'!B34</f>
        <v/>
      </c>
      <c r="C34" s="22" t="str">
        <f>'Die Map'!C34</f>
        <v/>
      </c>
      <c r="D34" s="22" t="str">
        <f>'Die Map'!D34</f>
        <v/>
      </c>
      <c r="E34" s="22" t="str">
        <f>'Die Map'!E34</f>
        <v/>
      </c>
      <c r="F34" s="23" t="str">
        <f>'Die Map'!F34</f>
        <v/>
      </c>
      <c r="G34" s="21" t="str">
        <f>'Die Map'!G34</f>
        <v>BJ006</v>
      </c>
      <c r="H34" s="22" t="str">
        <f>'Die Map'!H34</f>
        <v>BJ007</v>
      </c>
      <c r="I34" s="22" t="str">
        <f>'Die Map'!I34</f>
        <v>BJ008</v>
      </c>
      <c r="J34" s="22" t="str">
        <f>'Die Map'!J34</f>
        <v>BJ009</v>
      </c>
      <c r="K34" s="23" t="str">
        <f>'Die Map'!K34</f>
        <v>BJ011</v>
      </c>
      <c r="L34" s="21" t="str">
        <f>'Die Map'!L34</f>
        <v>BJ012</v>
      </c>
      <c r="M34" s="22" t="str">
        <f>'Die Map'!M34</f>
        <v>BJ013</v>
      </c>
      <c r="N34" s="22" t="str">
        <f>'Die Map'!N34</f>
        <v>BJ014</v>
      </c>
      <c r="O34" s="22" t="str">
        <f>'Die Map'!O34</f>
        <v>BJ015</v>
      </c>
      <c r="P34" s="23" t="str">
        <f>'Die Map'!P34</f>
        <v>BJ016</v>
      </c>
      <c r="Q34" s="21" t="str">
        <f>'Die Map'!Q34</f>
        <v>BJ017</v>
      </c>
      <c r="R34" s="22" t="str">
        <f>'Die Map'!R34</f>
        <v>BJ018</v>
      </c>
      <c r="S34" s="22" t="str">
        <f>'Die Map'!S34</f>
        <v>BJ019</v>
      </c>
      <c r="T34" s="22" t="str">
        <f>'Die Map'!T34</f>
        <v>BJ021</v>
      </c>
      <c r="U34" s="23" t="str">
        <f>'Die Map'!U34</f>
        <v>BJ022</v>
      </c>
      <c r="V34" s="21" t="str">
        <f>'Die Map'!V34</f>
        <v>BJ023</v>
      </c>
      <c r="W34" s="22" t="str">
        <f>'Die Map'!W34</f>
        <v>BJ024</v>
      </c>
      <c r="X34" s="22" t="str">
        <f>'Die Map'!X34</f>
        <v>BJ025</v>
      </c>
      <c r="Y34" s="22" t="str">
        <f>'Die Map'!Y34</f>
        <v>BJ026</v>
      </c>
      <c r="Z34" s="23" t="str">
        <f>'Die Map'!Z34</f>
        <v>BJ027</v>
      </c>
      <c r="AA34" s="21" t="str">
        <f>'Die Map'!AA34</f>
        <v>BJ028</v>
      </c>
      <c r="AB34" s="22" t="str">
        <f>'Die Map'!AB34</f>
        <v>BJ029</v>
      </c>
      <c r="AC34" s="22" t="str">
        <f>'Die Map'!AC34</f>
        <v>BJ031</v>
      </c>
      <c r="AD34" s="22" t="str">
        <f>'Die Map'!AD34</f>
        <v>BJ032</v>
      </c>
      <c r="AE34" s="23" t="str">
        <f>'Die Map'!AE34</f>
        <v>BJ033</v>
      </c>
      <c r="AF34" s="21" t="str">
        <f>'Die Map'!AF34</f>
        <v>BJ034</v>
      </c>
      <c r="AG34" s="22" t="str">
        <f>'Die Map'!AG34</f>
        <v>BJ035</v>
      </c>
      <c r="AH34" s="22" t="str">
        <f>'Die Map'!AH34</f>
        <v>BJ036</v>
      </c>
      <c r="AI34" s="22" t="str">
        <f>'Die Map'!AI34</f>
        <v>BJ037</v>
      </c>
      <c r="AJ34" s="23" t="str">
        <f>'Die Map'!AJ34</f>
        <v>BJ038</v>
      </c>
      <c r="AK34" s="21" t="str">
        <f>'Die Map'!AK34</f>
        <v>BJ039</v>
      </c>
      <c r="AL34" s="22" t="str">
        <f>'Die Map'!AL34</f>
        <v>BJ041</v>
      </c>
      <c r="AM34" s="22" t="str">
        <f>'Die Map'!AM34</f>
        <v>BJ042</v>
      </c>
      <c r="AN34" s="22" t="str">
        <f>'Die Map'!AN34</f>
        <v>BJ043</v>
      </c>
      <c r="AO34" s="23" t="str">
        <f>'Die Map'!AO34</f>
        <v>BJ044</v>
      </c>
      <c r="AP34" s="21" t="str">
        <f>'Die Map'!AP34</f>
        <v>BJ045</v>
      </c>
      <c r="AQ34" s="22" t="str">
        <f>'Die Map'!AQ34</f>
        <v>BJ046</v>
      </c>
      <c r="AR34" s="22" t="str">
        <f>'Die Map'!AR34</f>
        <v>BJ047</v>
      </c>
      <c r="AS34" s="22" t="str">
        <f>'Die Map'!AS34</f>
        <v>BJ048</v>
      </c>
      <c r="AT34" s="23" t="str">
        <f>'Die Map'!AT34</f>
        <v>BJ049</v>
      </c>
      <c r="AU34" s="21" t="str">
        <f>'Die Map'!AU34</f>
        <v>BJ051</v>
      </c>
      <c r="AV34" s="22" t="str">
        <f>'Die Map'!AV34</f>
        <v>BJ052</v>
      </c>
      <c r="AW34" s="22" t="str">
        <f>'Die Map'!AW34</f>
        <v>BJ053</v>
      </c>
      <c r="AX34" s="22" t="str">
        <f>'Die Map'!AX34</f>
        <v>BJ054</v>
      </c>
      <c r="AY34" s="23" t="str">
        <f>'Die Map'!AY34</f>
        <v>BJ055</v>
      </c>
      <c r="AZ34" s="21" t="str">
        <f>'Die Map'!AZ34</f>
        <v>BJ056</v>
      </c>
      <c r="BA34" s="22" t="str">
        <f>'Die Map'!BA34</f>
        <v>BJ057</v>
      </c>
      <c r="BB34" s="22" t="str">
        <f>'Die Map'!BB34</f>
        <v>BJ058</v>
      </c>
      <c r="BC34" s="22" t="str">
        <f>'Die Map'!BC34</f>
        <v>BJ059</v>
      </c>
      <c r="BD34" s="23" t="str">
        <f>'Die Map'!BD34</f>
        <v>BJ061</v>
      </c>
      <c r="BE34" s="21" t="str">
        <f>'Die Map'!BE34</f>
        <v>BJ062</v>
      </c>
      <c r="BF34" s="22" t="str">
        <f>'Die Map'!BF34</f>
        <v>BJ063</v>
      </c>
      <c r="BG34" s="22" t="str">
        <f>'Die Map'!BG34</f>
        <v>BJ064</v>
      </c>
      <c r="BH34" s="22" t="str">
        <f>'Die Map'!BH34</f>
        <v>BJ065</v>
      </c>
      <c r="BI34" s="23" t="str">
        <f>'Die Map'!BI34</f>
        <v>BJ066</v>
      </c>
      <c r="BJ34" s="21" t="str">
        <f>'Die Map'!BJ34</f>
        <v>BJ067</v>
      </c>
      <c r="BK34" s="22" t="str">
        <f>'Die Map'!BK34</f>
        <v>BJ068</v>
      </c>
      <c r="BL34" s="22" t="str">
        <f>'Die Map'!BL34</f>
        <v>BJ069</v>
      </c>
      <c r="BM34" s="22" t="str">
        <f>'Die Map'!BM34</f>
        <v>BJ071</v>
      </c>
      <c r="BN34" s="23" t="str">
        <f>'Die Map'!BN34</f>
        <v>BJ072</v>
      </c>
      <c r="BO34" s="21" t="str">
        <f>'Die Map'!BO34</f>
        <v>BJ073</v>
      </c>
      <c r="BP34" s="22" t="str">
        <f>'Die Map'!BP34</f>
        <v>BJ074</v>
      </c>
      <c r="BQ34" s="22" t="str">
        <f>'Die Map'!BQ34</f>
        <v>BJ075</v>
      </c>
      <c r="BR34" s="22" t="str">
        <f>'Die Map'!BR34</f>
        <v>BJ076</v>
      </c>
      <c r="BS34" s="23" t="str">
        <f>'Die Map'!BS34</f>
        <v>BJ077</v>
      </c>
      <c r="BT34" s="21" t="str">
        <f>'Die Map'!BT34</f>
        <v>BJ078</v>
      </c>
      <c r="BU34" s="22" t="str">
        <f>'Die Map'!BU34</f>
        <v>BJ079</v>
      </c>
      <c r="BV34" s="22" t="str">
        <f>'Die Map'!BV34</f>
        <v>BJ081</v>
      </c>
      <c r="BW34" s="22" t="str">
        <f>'Die Map'!BW34</f>
        <v>BJ082</v>
      </c>
      <c r="BX34" s="23" t="str">
        <f>'Die Map'!BX34</f>
        <v>BJ083</v>
      </c>
      <c r="BY34" s="21" t="str">
        <f>'Die Map'!BY34</f>
        <v>BJ084</v>
      </c>
      <c r="BZ34" s="22" t="str">
        <f>'Die Map'!BZ34</f>
        <v>BJ085</v>
      </c>
      <c r="CA34" s="22" t="str">
        <f>'Die Map'!CA34</f>
        <v>BJ086</v>
      </c>
      <c r="CB34" s="22" t="str">
        <f>'Die Map'!CB34</f>
        <v>BJ087</v>
      </c>
      <c r="CC34" s="23" t="str">
        <f>'Die Map'!CC34</f>
        <v>BJ088</v>
      </c>
      <c r="CD34" s="21" t="str">
        <f>'Die Map'!CD34</f>
        <v>BJ089</v>
      </c>
      <c r="CE34" s="22" t="str">
        <f>'Die Map'!CE34</f>
        <v>BJ091</v>
      </c>
      <c r="CF34" s="22" t="str">
        <f>'Die Map'!CF34</f>
        <v>BJ092</v>
      </c>
      <c r="CG34" s="22" t="str">
        <f>'Die Map'!CG34</f>
        <v>BJ093</v>
      </c>
      <c r="CH34" s="23" t="str">
        <f>'Die Map'!CH34</f>
        <v>BJ094</v>
      </c>
      <c r="CI34" s="21" t="str">
        <f>'Die Map'!CI34</f>
        <v>BJ095</v>
      </c>
      <c r="CJ34" s="22" t="str">
        <f>'Die Map'!CJ34</f>
        <v>BJ096</v>
      </c>
      <c r="CK34" s="22" t="str">
        <f>'Die Map'!CK34</f>
        <v>BJ097</v>
      </c>
      <c r="CL34" s="22" t="str">
        <f>'Die Map'!CL34</f>
        <v>BJ098</v>
      </c>
      <c r="CM34" s="23" t="str">
        <f>'Die Map'!CM34</f>
        <v>BJ099</v>
      </c>
      <c r="CN34" s="21" t="str">
        <f>'Die Map'!CN34</f>
        <v>BJ101</v>
      </c>
      <c r="CO34" s="22" t="str">
        <f>'Die Map'!CO34</f>
        <v>BJ102</v>
      </c>
      <c r="CP34" s="22" t="str">
        <f>'Die Map'!CP34</f>
        <v>BJ103</v>
      </c>
      <c r="CQ34" s="22" t="str">
        <f>'Die Map'!CQ34</f>
        <v>BJ104</v>
      </c>
      <c r="CR34" s="23" t="str">
        <f>'Die Map'!CR34</f>
        <v>BJ105</v>
      </c>
      <c r="CS34" s="21" t="str">
        <f>'Die Map'!CS34</f>
        <v>BJ106</v>
      </c>
      <c r="CT34" s="22" t="str">
        <f>'Die Map'!CT34</f>
        <v>BJ107</v>
      </c>
      <c r="CU34" s="22" t="str">
        <f>'Die Map'!CU34</f>
        <v>BJ108</v>
      </c>
      <c r="CV34" s="22" t="str">
        <f>'Die Map'!CV34</f>
        <v>BJ109</v>
      </c>
      <c r="CW34" s="23" t="str">
        <f>'Die Map'!CW34</f>
        <v>BJ111</v>
      </c>
      <c r="CX34" s="21" t="str">
        <f>'Die Map'!CX34</f>
        <v/>
      </c>
      <c r="CY34" s="22" t="str">
        <f>'Die Map'!CY34</f>
        <v/>
      </c>
      <c r="CZ34" s="22" t="str">
        <f>'Die Map'!CZ34</f>
        <v/>
      </c>
      <c r="DA34" s="22" t="str">
        <f>'Die Map'!DA34</f>
        <v/>
      </c>
      <c r="DB34" s="23" t="str">
        <f>'Die Map'!DB34</f>
        <v/>
      </c>
    </row>
    <row r="35" spans="1:106" ht="12.75" customHeight="1" x14ac:dyDescent="0.25">
      <c r="A35" s="17">
        <v>33</v>
      </c>
      <c r="B35" s="21" t="str">
        <f>'Die Map'!B35</f>
        <v/>
      </c>
      <c r="C35" s="22" t="str">
        <f>'Die Map'!C35</f>
        <v/>
      </c>
      <c r="D35" s="22" t="str">
        <f>'Die Map'!D35</f>
        <v/>
      </c>
      <c r="E35" s="22" t="str">
        <f>'Die Map'!E35</f>
        <v/>
      </c>
      <c r="F35" s="23" t="str">
        <f>'Die Map'!F35</f>
        <v/>
      </c>
      <c r="G35" s="21" t="str">
        <f>'Die Map'!G35</f>
        <v>BK006</v>
      </c>
      <c r="H35" s="22" t="str">
        <f>'Die Map'!H35</f>
        <v>BK007</v>
      </c>
      <c r="I35" s="22" t="str">
        <f>'Die Map'!I35</f>
        <v>BK008</v>
      </c>
      <c r="J35" s="22" t="str">
        <f>'Die Map'!J35</f>
        <v>BK009</v>
      </c>
      <c r="K35" s="23" t="str">
        <f>'Die Map'!K35</f>
        <v>BK011</v>
      </c>
      <c r="L35" s="21" t="str">
        <f>'Die Map'!L35</f>
        <v>BK012</v>
      </c>
      <c r="M35" s="22" t="str">
        <f>'Die Map'!M35</f>
        <v>BK013</v>
      </c>
      <c r="N35" s="22" t="str">
        <f>'Die Map'!N35</f>
        <v>BK014</v>
      </c>
      <c r="O35" s="22" t="str">
        <f>'Die Map'!O35</f>
        <v>BK015</v>
      </c>
      <c r="P35" s="23" t="str">
        <f>'Die Map'!P35</f>
        <v>BK016</v>
      </c>
      <c r="Q35" s="21" t="str">
        <f>'Die Map'!Q35</f>
        <v>BK017</v>
      </c>
      <c r="R35" s="22" t="str">
        <f>'Die Map'!R35</f>
        <v>BK018</v>
      </c>
      <c r="S35" s="22" t="str">
        <f>'Die Map'!S35</f>
        <v>BK019</v>
      </c>
      <c r="T35" s="22" t="str">
        <f>'Die Map'!T35</f>
        <v>BK021</v>
      </c>
      <c r="U35" s="23" t="str">
        <f>'Die Map'!U35</f>
        <v>BK022</v>
      </c>
      <c r="V35" s="21" t="str">
        <f>'Die Map'!V35</f>
        <v>BK023</v>
      </c>
      <c r="W35" s="22" t="str">
        <f>'Die Map'!W35</f>
        <v>BK024</v>
      </c>
      <c r="X35" s="22" t="str">
        <f>'Die Map'!X35</f>
        <v>BK025</v>
      </c>
      <c r="Y35" s="22" t="str">
        <f>'Die Map'!Y35</f>
        <v>BK026</v>
      </c>
      <c r="Z35" s="23" t="str">
        <f>'Die Map'!Z35</f>
        <v>BK027</v>
      </c>
      <c r="AA35" s="21" t="str">
        <f>'Die Map'!AA35</f>
        <v>BK028</v>
      </c>
      <c r="AB35" s="22" t="str">
        <f>'Die Map'!AB35</f>
        <v>BK029</v>
      </c>
      <c r="AC35" s="22" t="str">
        <f>'Die Map'!AC35</f>
        <v>BK031</v>
      </c>
      <c r="AD35" s="22" t="str">
        <f>'Die Map'!AD35</f>
        <v>BK032</v>
      </c>
      <c r="AE35" s="23" t="str">
        <f>'Die Map'!AE35</f>
        <v>BK033</v>
      </c>
      <c r="AF35" s="21" t="str">
        <f>'Die Map'!AF35</f>
        <v>BK034</v>
      </c>
      <c r="AG35" s="22" t="str">
        <f>'Die Map'!AG35</f>
        <v>BK035</v>
      </c>
      <c r="AH35" s="22" t="str">
        <f>'Die Map'!AH35</f>
        <v>BK036</v>
      </c>
      <c r="AI35" s="22" t="str">
        <f>'Die Map'!AI35</f>
        <v>BK037</v>
      </c>
      <c r="AJ35" s="23" t="str">
        <f>'Die Map'!AJ35</f>
        <v>BK038</v>
      </c>
      <c r="AK35" s="21" t="str">
        <f>'Die Map'!AK35</f>
        <v>BK039</v>
      </c>
      <c r="AL35" s="22" t="str">
        <f>'Die Map'!AL35</f>
        <v>BK041</v>
      </c>
      <c r="AM35" s="22" t="str">
        <f>'Die Map'!AM35</f>
        <v>BK042</v>
      </c>
      <c r="AN35" s="22" t="str">
        <f>'Die Map'!AN35</f>
        <v>BK043</v>
      </c>
      <c r="AO35" s="23" t="str">
        <f>'Die Map'!AO35</f>
        <v>BK044</v>
      </c>
      <c r="AP35" s="21" t="str">
        <f>'Die Map'!AP35</f>
        <v>BK045</v>
      </c>
      <c r="AQ35" s="22" t="str">
        <f>'Die Map'!AQ35</f>
        <v>BK046</v>
      </c>
      <c r="AR35" s="22" t="str">
        <f>'Die Map'!AR35</f>
        <v>BK047</v>
      </c>
      <c r="AS35" s="22" t="str">
        <f>'Die Map'!AS35</f>
        <v>BK048</v>
      </c>
      <c r="AT35" s="23" t="str">
        <f>'Die Map'!AT35</f>
        <v>BK049</v>
      </c>
      <c r="AU35" s="21" t="str">
        <f>'Die Map'!AU35</f>
        <v>BK051</v>
      </c>
      <c r="AV35" s="22" t="str">
        <f>'Die Map'!AV35</f>
        <v>BK052</v>
      </c>
      <c r="AW35" s="22" t="str">
        <f>'Die Map'!AW35</f>
        <v>BK053</v>
      </c>
      <c r="AX35" s="22" t="str">
        <f>'Die Map'!AX35</f>
        <v>BK054</v>
      </c>
      <c r="AY35" s="23" t="str">
        <f>'Die Map'!AY35</f>
        <v>BK055</v>
      </c>
      <c r="AZ35" s="21" t="str">
        <f>'Die Map'!AZ35</f>
        <v>BK056</v>
      </c>
      <c r="BA35" s="22" t="str">
        <f>'Die Map'!BA35</f>
        <v>BK057</v>
      </c>
      <c r="BB35" s="22" t="str">
        <f>'Die Map'!BB35</f>
        <v>BK058</v>
      </c>
      <c r="BC35" s="22" t="str">
        <f>'Die Map'!BC35</f>
        <v>BK059</v>
      </c>
      <c r="BD35" s="23" t="str">
        <f>'Die Map'!BD35</f>
        <v>BK061</v>
      </c>
      <c r="BE35" s="21" t="str">
        <f>'Die Map'!BE35</f>
        <v>BK062</v>
      </c>
      <c r="BF35" s="22" t="str">
        <f>'Die Map'!BF35</f>
        <v>BK063</v>
      </c>
      <c r="BG35" s="22" t="str">
        <f>'Die Map'!BG35</f>
        <v>BK064</v>
      </c>
      <c r="BH35" s="22" t="str">
        <f>'Die Map'!BH35</f>
        <v>BK065</v>
      </c>
      <c r="BI35" s="23" t="str">
        <f>'Die Map'!BI35</f>
        <v>BK066</v>
      </c>
      <c r="BJ35" s="21" t="str">
        <f>'Die Map'!BJ35</f>
        <v>BK067</v>
      </c>
      <c r="BK35" s="22" t="str">
        <f>'Die Map'!BK35</f>
        <v>BK068</v>
      </c>
      <c r="BL35" s="22" t="str">
        <f>'Die Map'!BL35</f>
        <v>BK069</v>
      </c>
      <c r="BM35" s="22" t="str">
        <f>'Die Map'!BM35</f>
        <v>BK071</v>
      </c>
      <c r="BN35" s="23" t="str">
        <f>'Die Map'!BN35</f>
        <v>BK072</v>
      </c>
      <c r="BO35" s="21" t="str">
        <f>'Die Map'!BO35</f>
        <v>BK073</v>
      </c>
      <c r="BP35" s="22" t="str">
        <f>'Die Map'!BP35</f>
        <v>BK074</v>
      </c>
      <c r="BQ35" s="22" t="str">
        <f>'Die Map'!BQ35</f>
        <v>BK075</v>
      </c>
      <c r="BR35" s="22" t="str">
        <f>'Die Map'!BR35</f>
        <v>BK076</v>
      </c>
      <c r="BS35" s="23" t="str">
        <f>'Die Map'!BS35</f>
        <v>BK077</v>
      </c>
      <c r="BT35" s="21" t="str">
        <f>'Die Map'!BT35</f>
        <v>BK078</v>
      </c>
      <c r="BU35" s="22" t="str">
        <f>'Die Map'!BU35</f>
        <v>BK079</v>
      </c>
      <c r="BV35" s="22" t="str">
        <f>'Die Map'!BV35</f>
        <v>BK081</v>
      </c>
      <c r="BW35" s="22" t="str">
        <f>'Die Map'!BW35</f>
        <v>BK082</v>
      </c>
      <c r="BX35" s="23" t="str">
        <f>'Die Map'!BX35</f>
        <v>BK083</v>
      </c>
      <c r="BY35" s="21" t="str">
        <f>'Die Map'!BY35</f>
        <v>BK084</v>
      </c>
      <c r="BZ35" s="22" t="str">
        <f>'Die Map'!BZ35</f>
        <v>BK085</v>
      </c>
      <c r="CA35" s="22" t="str">
        <f>'Die Map'!CA35</f>
        <v>BK086</v>
      </c>
      <c r="CB35" s="22" t="str">
        <f>'Die Map'!CB35</f>
        <v>BK087</v>
      </c>
      <c r="CC35" s="23" t="str">
        <f>'Die Map'!CC35</f>
        <v>BK088</v>
      </c>
      <c r="CD35" s="21" t="str">
        <f>'Die Map'!CD35</f>
        <v>BK089</v>
      </c>
      <c r="CE35" s="22" t="str">
        <f>'Die Map'!CE35</f>
        <v>BK091</v>
      </c>
      <c r="CF35" s="22" t="str">
        <f>'Die Map'!CF35</f>
        <v>BK092</v>
      </c>
      <c r="CG35" s="22" t="str">
        <f>'Die Map'!CG35</f>
        <v>BK093</v>
      </c>
      <c r="CH35" s="23" t="str">
        <f>'Die Map'!CH35</f>
        <v>BK094</v>
      </c>
      <c r="CI35" s="21" t="str">
        <f>'Die Map'!CI35</f>
        <v>BK095</v>
      </c>
      <c r="CJ35" s="22" t="str">
        <f>'Die Map'!CJ35</f>
        <v>BK096</v>
      </c>
      <c r="CK35" s="22" t="str">
        <f>'Die Map'!CK35</f>
        <v>BK097</v>
      </c>
      <c r="CL35" s="22" t="str">
        <f>'Die Map'!CL35</f>
        <v>BK098</v>
      </c>
      <c r="CM35" s="23" t="str">
        <f>'Die Map'!CM35</f>
        <v>BK099</v>
      </c>
      <c r="CN35" s="21" t="str">
        <f>'Die Map'!CN35</f>
        <v>BK101</v>
      </c>
      <c r="CO35" s="22" t="str">
        <f>'Die Map'!CO35</f>
        <v>BK102</v>
      </c>
      <c r="CP35" s="22" t="str">
        <f>'Die Map'!CP35</f>
        <v>BK103</v>
      </c>
      <c r="CQ35" s="22" t="str">
        <f>'Die Map'!CQ35</f>
        <v>BK104</v>
      </c>
      <c r="CR35" s="23" t="str">
        <f>'Die Map'!CR35</f>
        <v>BK105</v>
      </c>
      <c r="CS35" s="21" t="str">
        <f>'Die Map'!CS35</f>
        <v>BK106</v>
      </c>
      <c r="CT35" s="22" t="str">
        <f>'Die Map'!CT35</f>
        <v>BK107</v>
      </c>
      <c r="CU35" s="22" t="str">
        <f>'Die Map'!CU35</f>
        <v>BK108</v>
      </c>
      <c r="CV35" s="22" t="str">
        <f>'Die Map'!CV35</f>
        <v>BK109</v>
      </c>
      <c r="CW35" s="23" t="str">
        <f>'Die Map'!CW35</f>
        <v>BK111</v>
      </c>
      <c r="CX35" s="21" t="str">
        <f>'Die Map'!CX35</f>
        <v/>
      </c>
      <c r="CY35" s="22" t="str">
        <f>'Die Map'!CY35</f>
        <v/>
      </c>
      <c r="CZ35" s="22" t="str">
        <f>'Die Map'!CZ35</f>
        <v/>
      </c>
      <c r="DA35" s="22" t="str">
        <f>'Die Map'!DA35</f>
        <v/>
      </c>
      <c r="DB35" s="23" t="str">
        <f>'Die Map'!DB35</f>
        <v/>
      </c>
    </row>
    <row r="36" spans="1:106" ht="12.75" customHeight="1" x14ac:dyDescent="0.25">
      <c r="A36" s="17">
        <v>34</v>
      </c>
      <c r="B36" s="21" t="str">
        <f>'Die Map'!B36</f>
        <v/>
      </c>
      <c r="C36" s="22" t="str">
        <f>'Die Map'!C36</f>
        <v/>
      </c>
      <c r="D36" s="22" t="str">
        <f>'Die Map'!D36</f>
        <v/>
      </c>
      <c r="E36" s="22" t="str">
        <f>'Die Map'!E36</f>
        <v/>
      </c>
      <c r="F36" s="23" t="str">
        <f>'Die Map'!F36</f>
        <v/>
      </c>
      <c r="G36" s="21" t="str">
        <f>'Die Map'!G36</f>
        <v>BL006</v>
      </c>
      <c r="H36" s="22" t="str">
        <f>'Die Map'!H36</f>
        <v>BL007</v>
      </c>
      <c r="I36" s="22" t="str">
        <f>'Die Map'!I36</f>
        <v>BL008</v>
      </c>
      <c r="J36" s="22" t="str">
        <f>'Die Map'!J36</f>
        <v>BL009</v>
      </c>
      <c r="K36" s="23" t="str">
        <f>'Die Map'!K36</f>
        <v>BL011</v>
      </c>
      <c r="L36" s="21" t="str">
        <f>'Die Map'!L36</f>
        <v>BL012</v>
      </c>
      <c r="M36" s="22" t="str">
        <f>'Die Map'!M36</f>
        <v>BL013</v>
      </c>
      <c r="N36" s="22" t="str">
        <f>'Die Map'!N36</f>
        <v>BL014</v>
      </c>
      <c r="O36" s="22" t="str">
        <f>'Die Map'!O36</f>
        <v>BL015</v>
      </c>
      <c r="P36" s="23" t="str">
        <f>'Die Map'!P36</f>
        <v>BL016</v>
      </c>
      <c r="Q36" s="21" t="str">
        <f>'Die Map'!Q36</f>
        <v>BL017</v>
      </c>
      <c r="R36" s="22" t="str">
        <f>'Die Map'!R36</f>
        <v>BL018</v>
      </c>
      <c r="S36" s="22" t="str">
        <f>'Die Map'!S36</f>
        <v>BL019</v>
      </c>
      <c r="T36" s="22" t="str">
        <f>'Die Map'!T36</f>
        <v>BL021</v>
      </c>
      <c r="U36" s="23" t="str">
        <f>'Die Map'!U36</f>
        <v>BL022</v>
      </c>
      <c r="V36" s="21" t="str">
        <f>'Die Map'!V36</f>
        <v>BL023</v>
      </c>
      <c r="W36" s="22" t="str">
        <f>'Die Map'!W36</f>
        <v>BL024</v>
      </c>
      <c r="X36" s="22" t="str">
        <f>'Die Map'!X36</f>
        <v>BL025</v>
      </c>
      <c r="Y36" s="22" t="str">
        <f>'Die Map'!Y36</f>
        <v>BL026</v>
      </c>
      <c r="Z36" s="23" t="str">
        <f>'Die Map'!Z36</f>
        <v>BL027</v>
      </c>
      <c r="AA36" s="21" t="str">
        <f>'Die Map'!AA36</f>
        <v>BL028</v>
      </c>
      <c r="AB36" s="22" t="str">
        <f>'Die Map'!AB36</f>
        <v>BL029</v>
      </c>
      <c r="AC36" s="22" t="str">
        <f>'Die Map'!AC36</f>
        <v>BL031</v>
      </c>
      <c r="AD36" s="22" t="str">
        <f>'Die Map'!AD36</f>
        <v>BL032</v>
      </c>
      <c r="AE36" s="23" t="str">
        <f>'Die Map'!AE36</f>
        <v>BL033</v>
      </c>
      <c r="AF36" s="21" t="str">
        <f>'Die Map'!AF36</f>
        <v>BL034</v>
      </c>
      <c r="AG36" s="22" t="str">
        <f>'Die Map'!AG36</f>
        <v>BL035</v>
      </c>
      <c r="AH36" s="22" t="str">
        <f>'Die Map'!AH36</f>
        <v>BL036</v>
      </c>
      <c r="AI36" s="22" t="str">
        <f>'Die Map'!AI36</f>
        <v>BL037</v>
      </c>
      <c r="AJ36" s="23" t="str">
        <f>'Die Map'!AJ36</f>
        <v>BL038</v>
      </c>
      <c r="AK36" s="21" t="str">
        <f>'Die Map'!AK36</f>
        <v>BL039</v>
      </c>
      <c r="AL36" s="22" t="str">
        <f>'Die Map'!AL36</f>
        <v>BL041</v>
      </c>
      <c r="AM36" s="22" t="str">
        <f>'Die Map'!AM36</f>
        <v>BL042</v>
      </c>
      <c r="AN36" s="22" t="str">
        <f>'Die Map'!AN36</f>
        <v>BL043</v>
      </c>
      <c r="AO36" s="23" t="str">
        <f>'Die Map'!AO36</f>
        <v>BL044</v>
      </c>
      <c r="AP36" s="21" t="str">
        <f>'Die Map'!AP36</f>
        <v>BL045</v>
      </c>
      <c r="AQ36" s="22" t="str">
        <f>'Die Map'!AQ36</f>
        <v>BL046</v>
      </c>
      <c r="AR36" s="22" t="str">
        <f>'Die Map'!AR36</f>
        <v>BL047</v>
      </c>
      <c r="AS36" s="22" t="str">
        <f>'Die Map'!AS36</f>
        <v>BL048</v>
      </c>
      <c r="AT36" s="23" t="str">
        <f>'Die Map'!AT36</f>
        <v>BL049</v>
      </c>
      <c r="AU36" s="21" t="str">
        <f>'Die Map'!AU36</f>
        <v>BL051</v>
      </c>
      <c r="AV36" s="22" t="str">
        <f>'Die Map'!AV36</f>
        <v>BL052</v>
      </c>
      <c r="AW36" s="22" t="str">
        <f>'Die Map'!AW36</f>
        <v>BL053</v>
      </c>
      <c r="AX36" s="22" t="str">
        <f>'Die Map'!AX36</f>
        <v>BL054</v>
      </c>
      <c r="AY36" s="23" t="str">
        <f>'Die Map'!AY36</f>
        <v>BL055</v>
      </c>
      <c r="AZ36" s="21" t="str">
        <f>'Die Map'!AZ36</f>
        <v>BL056</v>
      </c>
      <c r="BA36" s="22" t="str">
        <f>'Die Map'!BA36</f>
        <v>BL057</v>
      </c>
      <c r="BB36" s="22" t="str">
        <f>'Die Map'!BB36</f>
        <v>BL058</v>
      </c>
      <c r="BC36" s="22" t="str">
        <f>'Die Map'!BC36</f>
        <v>BL059</v>
      </c>
      <c r="BD36" s="23" t="str">
        <f>'Die Map'!BD36</f>
        <v>BL061</v>
      </c>
      <c r="BE36" s="21" t="str">
        <f>'Die Map'!BE36</f>
        <v>BL062</v>
      </c>
      <c r="BF36" s="22" t="str">
        <f>'Die Map'!BF36</f>
        <v>BL063</v>
      </c>
      <c r="BG36" s="22" t="str">
        <f>'Die Map'!BG36</f>
        <v>BL064</v>
      </c>
      <c r="BH36" s="22" t="str">
        <f>'Die Map'!BH36</f>
        <v>BL065</v>
      </c>
      <c r="BI36" s="23" t="str">
        <f>'Die Map'!BI36</f>
        <v>BL066</v>
      </c>
      <c r="BJ36" s="21" t="str">
        <f>'Die Map'!BJ36</f>
        <v>BL067</v>
      </c>
      <c r="BK36" s="22" t="str">
        <f>'Die Map'!BK36</f>
        <v>BL068</v>
      </c>
      <c r="BL36" s="22" t="str">
        <f>'Die Map'!BL36</f>
        <v>BL069</v>
      </c>
      <c r="BM36" s="22" t="str">
        <f>'Die Map'!BM36</f>
        <v>BL071</v>
      </c>
      <c r="BN36" s="23" t="str">
        <f>'Die Map'!BN36</f>
        <v>BL072</v>
      </c>
      <c r="BO36" s="21" t="str">
        <f>'Die Map'!BO36</f>
        <v>BL073</v>
      </c>
      <c r="BP36" s="22" t="str">
        <f>'Die Map'!BP36</f>
        <v>BL074</v>
      </c>
      <c r="BQ36" s="22" t="str">
        <f>'Die Map'!BQ36</f>
        <v>BL075</v>
      </c>
      <c r="BR36" s="22" t="str">
        <f>'Die Map'!BR36</f>
        <v>BL076</v>
      </c>
      <c r="BS36" s="23" t="str">
        <f>'Die Map'!BS36</f>
        <v>BL077</v>
      </c>
      <c r="BT36" s="21" t="str">
        <f>'Die Map'!BT36</f>
        <v>BL078</v>
      </c>
      <c r="BU36" s="22" t="str">
        <f>'Die Map'!BU36</f>
        <v>BL079</v>
      </c>
      <c r="BV36" s="22" t="str">
        <f>'Die Map'!BV36</f>
        <v>BL081</v>
      </c>
      <c r="BW36" s="22" t="str">
        <f>'Die Map'!BW36</f>
        <v>BL082</v>
      </c>
      <c r="BX36" s="23" t="str">
        <f>'Die Map'!BX36</f>
        <v>BL083</v>
      </c>
      <c r="BY36" s="21" t="str">
        <f>'Die Map'!BY36</f>
        <v>BL084</v>
      </c>
      <c r="BZ36" s="22" t="str">
        <f>'Die Map'!BZ36</f>
        <v>BL085</v>
      </c>
      <c r="CA36" s="22" t="str">
        <f>'Die Map'!CA36</f>
        <v>BL086</v>
      </c>
      <c r="CB36" s="22" t="str">
        <f>'Die Map'!CB36</f>
        <v>BL087</v>
      </c>
      <c r="CC36" s="23" t="str">
        <f>'Die Map'!CC36</f>
        <v>BL088</v>
      </c>
      <c r="CD36" s="21" t="str">
        <f>'Die Map'!CD36</f>
        <v>BL089</v>
      </c>
      <c r="CE36" s="22" t="str">
        <f>'Die Map'!CE36</f>
        <v>BL091</v>
      </c>
      <c r="CF36" s="22" t="str">
        <f>'Die Map'!CF36</f>
        <v>BL092</v>
      </c>
      <c r="CG36" s="22" t="str">
        <f>'Die Map'!CG36</f>
        <v>BL093</v>
      </c>
      <c r="CH36" s="23" t="str">
        <f>'Die Map'!CH36</f>
        <v>BL094</v>
      </c>
      <c r="CI36" s="21" t="str">
        <f>'Die Map'!CI36</f>
        <v>BL095</v>
      </c>
      <c r="CJ36" s="22" t="str">
        <f>'Die Map'!CJ36</f>
        <v>BL096</v>
      </c>
      <c r="CK36" s="22" t="str">
        <f>'Die Map'!CK36</f>
        <v>BL097</v>
      </c>
      <c r="CL36" s="22" t="str">
        <f>'Die Map'!CL36</f>
        <v>BL098</v>
      </c>
      <c r="CM36" s="23" t="str">
        <f>'Die Map'!CM36</f>
        <v>BL099</v>
      </c>
      <c r="CN36" s="21" t="str">
        <f>'Die Map'!CN36</f>
        <v>BL101</v>
      </c>
      <c r="CO36" s="22" t="str">
        <f>'Die Map'!CO36</f>
        <v>BL102</v>
      </c>
      <c r="CP36" s="22" t="str">
        <f>'Die Map'!CP36</f>
        <v>BL103</v>
      </c>
      <c r="CQ36" s="22" t="str">
        <f>'Die Map'!CQ36</f>
        <v>BL104</v>
      </c>
      <c r="CR36" s="23" t="str">
        <f>'Die Map'!CR36</f>
        <v>BL105</v>
      </c>
      <c r="CS36" s="21" t="str">
        <f>'Die Map'!CS36</f>
        <v>BL106</v>
      </c>
      <c r="CT36" s="22" t="str">
        <f>'Die Map'!CT36</f>
        <v>BL107</v>
      </c>
      <c r="CU36" s="22" t="str">
        <f>'Die Map'!CU36</f>
        <v>BL108</v>
      </c>
      <c r="CV36" s="22" t="str">
        <f>'Die Map'!CV36</f>
        <v>BL109</v>
      </c>
      <c r="CW36" s="23" t="str">
        <f>'Die Map'!CW36</f>
        <v>BL111</v>
      </c>
      <c r="CX36" s="21" t="str">
        <f>'Die Map'!CX36</f>
        <v/>
      </c>
      <c r="CY36" s="22" t="str">
        <f>'Die Map'!CY36</f>
        <v/>
      </c>
      <c r="CZ36" s="22" t="str">
        <f>'Die Map'!CZ36</f>
        <v/>
      </c>
      <c r="DA36" s="22" t="str">
        <f>'Die Map'!DA36</f>
        <v/>
      </c>
      <c r="DB36" s="23" t="str">
        <f>'Die Map'!DB36</f>
        <v/>
      </c>
    </row>
    <row r="37" spans="1:106" ht="12.75" customHeight="1" x14ac:dyDescent="0.25">
      <c r="A37" s="17">
        <v>35</v>
      </c>
      <c r="B37" s="24" t="str">
        <f>'Die Map'!B37</f>
        <v/>
      </c>
      <c r="C37" s="25" t="str">
        <f>'Die Map'!C37</f>
        <v/>
      </c>
      <c r="D37" s="25" t="str">
        <f>'Die Map'!D37</f>
        <v/>
      </c>
      <c r="E37" s="25" t="str">
        <f>'Die Map'!E37</f>
        <v/>
      </c>
      <c r="F37" s="26" t="str">
        <f>'Die Map'!F37</f>
        <v/>
      </c>
      <c r="G37" s="24" t="str">
        <f>'Die Map'!G37</f>
        <v>BM006</v>
      </c>
      <c r="H37" s="25" t="str">
        <f>'Die Map'!H37</f>
        <v>BM007</v>
      </c>
      <c r="I37" s="25" t="str">
        <f>'Die Map'!I37</f>
        <v>BM008</v>
      </c>
      <c r="J37" s="25" t="str">
        <f>'Die Map'!J37</f>
        <v>BM009</v>
      </c>
      <c r="K37" s="26" t="str">
        <f>'Die Map'!K37</f>
        <v>BM011</v>
      </c>
      <c r="L37" s="24" t="str">
        <f>'Die Map'!L37</f>
        <v>BM012</v>
      </c>
      <c r="M37" s="25" t="str">
        <f>'Die Map'!M37</f>
        <v>BM013</v>
      </c>
      <c r="N37" s="25" t="str">
        <f>'Die Map'!N37</f>
        <v>BM014</v>
      </c>
      <c r="O37" s="25" t="str">
        <f>'Die Map'!O37</f>
        <v>BM015</v>
      </c>
      <c r="P37" s="26" t="str">
        <f>'Die Map'!P37</f>
        <v>BM016</v>
      </c>
      <c r="Q37" s="24" t="str">
        <f>'Die Map'!Q37</f>
        <v>BM017</v>
      </c>
      <c r="R37" s="25" t="str">
        <f>'Die Map'!R37</f>
        <v>BM018</v>
      </c>
      <c r="S37" s="25" t="str">
        <f>'Die Map'!S37</f>
        <v>BM019</v>
      </c>
      <c r="T37" s="25" t="str">
        <f>'Die Map'!T37</f>
        <v>BM021</v>
      </c>
      <c r="U37" s="26" t="str">
        <f>'Die Map'!U37</f>
        <v>BM022</v>
      </c>
      <c r="V37" s="24" t="str">
        <f>'Die Map'!V37</f>
        <v>BM023</v>
      </c>
      <c r="W37" s="25" t="str">
        <f>'Die Map'!W37</f>
        <v>BM024</v>
      </c>
      <c r="X37" s="25" t="str">
        <f>'Die Map'!X37</f>
        <v>BM025</v>
      </c>
      <c r="Y37" s="25" t="str">
        <f>'Die Map'!Y37</f>
        <v>BM026</v>
      </c>
      <c r="Z37" s="26" t="str">
        <f>'Die Map'!Z37</f>
        <v>BM027</v>
      </c>
      <c r="AA37" s="24" t="str">
        <f>'Die Map'!AA37</f>
        <v>BM028</v>
      </c>
      <c r="AB37" s="25" t="str">
        <f>'Die Map'!AB37</f>
        <v>BM029</v>
      </c>
      <c r="AC37" s="25" t="str">
        <f>'Die Map'!AC37</f>
        <v>BM031</v>
      </c>
      <c r="AD37" s="25" t="str">
        <f>'Die Map'!AD37</f>
        <v>BM032</v>
      </c>
      <c r="AE37" s="26" t="str">
        <f>'Die Map'!AE37</f>
        <v>BM033</v>
      </c>
      <c r="AF37" s="24" t="str">
        <f>'Die Map'!AF37</f>
        <v>BM034</v>
      </c>
      <c r="AG37" s="25" t="str">
        <f>'Die Map'!AG37</f>
        <v>BM035</v>
      </c>
      <c r="AH37" s="25" t="str">
        <f>'Die Map'!AH37</f>
        <v>BM036</v>
      </c>
      <c r="AI37" s="25" t="str">
        <f>'Die Map'!AI37</f>
        <v>BM037</v>
      </c>
      <c r="AJ37" s="26" t="str">
        <f>'Die Map'!AJ37</f>
        <v>BM038</v>
      </c>
      <c r="AK37" s="24" t="str">
        <f>'Die Map'!AK37</f>
        <v>BM039</v>
      </c>
      <c r="AL37" s="25" t="str">
        <f>'Die Map'!AL37</f>
        <v>BM041</v>
      </c>
      <c r="AM37" s="25" t="str">
        <f>'Die Map'!AM37</f>
        <v>BM042</v>
      </c>
      <c r="AN37" s="25" t="str">
        <f>'Die Map'!AN37</f>
        <v>BM043</v>
      </c>
      <c r="AO37" s="26" t="str">
        <f>'Die Map'!AO37</f>
        <v>BM044</v>
      </c>
      <c r="AP37" s="24" t="str">
        <f>'Die Map'!AP37</f>
        <v>BM045</v>
      </c>
      <c r="AQ37" s="25" t="str">
        <f>'Die Map'!AQ37</f>
        <v>BM046</v>
      </c>
      <c r="AR37" s="25" t="str">
        <f>'Die Map'!AR37</f>
        <v>BM047</v>
      </c>
      <c r="AS37" s="25" t="str">
        <f>'Die Map'!AS37</f>
        <v>BM048</v>
      </c>
      <c r="AT37" s="26" t="str">
        <f>'Die Map'!AT37</f>
        <v>BM049</v>
      </c>
      <c r="AU37" s="24" t="str">
        <f>'Die Map'!AU37</f>
        <v>BM051</v>
      </c>
      <c r="AV37" s="25" t="str">
        <f>'Die Map'!AV37</f>
        <v>BM052</v>
      </c>
      <c r="AW37" s="25" t="str">
        <f>'Die Map'!AW37</f>
        <v>BM053</v>
      </c>
      <c r="AX37" s="25" t="str">
        <f>'Die Map'!AX37</f>
        <v>BM054</v>
      </c>
      <c r="AY37" s="26" t="str">
        <f>'Die Map'!AY37</f>
        <v>BM055</v>
      </c>
      <c r="AZ37" s="24" t="str">
        <f>'Die Map'!AZ37</f>
        <v>BM056</v>
      </c>
      <c r="BA37" s="25" t="str">
        <f>'Die Map'!BA37</f>
        <v>BM057</v>
      </c>
      <c r="BB37" s="25" t="str">
        <f>'Die Map'!BB37</f>
        <v>BM058</v>
      </c>
      <c r="BC37" s="25" t="str">
        <f>'Die Map'!BC37</f>
        <v>BM059</v>
      </c>
      <c r="BD37" s="26" t="str">
        <f>'Die Map'!BD37</f>
        <v>BM061</v>
      </c>
      <c r="BE37" s="24" t="str">
        <f>'Die Map'!BE37</f>
        <v>BM062</v>
      </c>
      <c r="BF37" s="25" t="str">
        <f>'Die Map'!BF37</f>
        <v>BM063</v>
      </c>
      <c r="BG37" s="25" t="str">
        <f>'Die Map'!BG37</f>
        <v>BM064</v>
      </c>
      <c r="BH37" s="25" t="str">
        <f>'Die Map'!BH37</f>
        <v>BM065</v>
      </c>
      <c r="BI37" s="26" t="str">
        <f>'Die Map'!BI37</f>
        <v>BM066</v>
      </c>
      <c r="BJ37" s="24" t="str">
        <f>'Die Map'!BJ37</f>
        <v>BM067</v>
      </c>
      <c r="BK37" s="25" t="str">
        <f>'Die Map'!BK37</f>
        <v>BM068</v>
      </c>
      <c r="BL37" s="25" t="str">
        <f>'Die Map'!BL37</f>
        <v>BM069</v>
      </c>
      <c r="BM37" s="25" t="str">
        <f>'Die Map'!BM37</f>
        <v>BM071</v>
      </c>
      <c r="BN37" s="26" t="str">
        <f>'Die Map'!BN37</f>
        <v>BM072</v>
      </c>
      <c r="BO37" s="24" t="str">
        <f>'Die Map'!BO37</f>
        <v>BM073</v>
      </c>
      <c r="BP37" s="25" t="str">
        <f>'Die Map'!BP37</f>
        <v>BM074</v>
      </c>
      <c r="BQ37" s="25" t="str">
        <f>'Die Map'!BQ37</f>
        <v>BM075</v>
      </c>
      <c r="BR37" s="25" t="str">
        <f>'Die Map'!BR37</f>
        <v>BM076</v>
      </c>
      <c r="BS37" s="26" t="str">
        <f>'Die Map'!BS37</f>
        <v>BM077</v>
      </c>
      <c r="BT37" s="24" t="str">
        <f>'Die Map'!BT37</f>
        <v>BM078</v>
      </c>
      <c r="BU37" s="25" t="str">
        <f>'Die Map'!BU37</f>
        <v>BM079</v>
      </c>
      <c r="BV37" s="25" t="str">
        <f>'Die Map'!BV37</f>
        <v>BM081</v>
      </c>
      <c r="BW37" s="25" t="str">
        <f>'Die Map'!BW37</f>
        <v>BM082</v>
      </c>
      <c r="BX37" s="26" t="str">
        <f>'Die Map'!BX37</f>
        <v>BM083</v>
      </c>
      <c r="BY37" s="24" t="str">
        <f>'Die Map'!BY37</f>
        <v>BM084</v>
      </c>
      <c r="BZ37" s="25" t="str">
        <f>'Die Map'!BZ37</f>
        <v>BM085</v>
      </c>
      <c r="CA37" s="25" t="str">
        <f>'Die Map'!CA37</f>
        <v>BM086</v>
      </c>
      <c r="CB37" s="25" t="str">
        <f>'Die Map'!CB37</f>
        <v>BM087</v>
      </c>
      <c r="CC37" s="26" t="str">
        <f>'Die Map'!CC37</f>
        <v>BM088</v>
      </c>
      <c r="CD37" s="24" t="str">
        <f>'Die Map'!CD37</f>
        <v>BM089</v>
      </c>
      <c r="CE37" s="25" t="str">
        <f>'Die Map'!CE37</f>
        <v>BM091</v>
      </c>
      <c r="CF37" s="25" t="str">
        <f>'Die Map'!CF37</f>
        <v>BM092</v>
      </c>
      <c r="CG37" s="25" t="str">
        <f>'Die Map'!CG37</f>
        <v>BM093</v>
      </c>
      <c r="CH37" s="26" t="str">
        <f>'Die Map'!CH37</f>
        <v>BM094</v>
      </c>
      <c r="CI37" s="24" t="str">
        <f>'Die Map'!CI37</f>
        <v>BM095</v>
      </c>
      <c r="CJ37" s="25" t="str">
        <f>'Die Map'!CJ37</f>
        <v>BM096</v>
      </c>
      <c r="CK37" s="25" t="str">
        <f>'Die Map'!CK37</f>
        <v>BM097</v>
      </c>
      <c r="CL37" s="25" t="str">
        <f>'Die Map'!CL37</f>
        <v>BM098</v>
      </c>
      <c r="CM37" s="26" t="str">
        <f>'Die Map'!CM37</f>
        <v>BM099</v>
      </c>
      <c r="CN37" s="24" t="str">
        <f>'Die Map'!CN37</f>
        <v>BM101</v>
      </c>
      <c r="CO37" s="25" t="str">
        <f>'Die Map'!CO37</f>
        <v>BM102</v>
      </c>
      <c r="CP37" s="25" t="str">
        <f>'Die Map'!CP37</f>
        <v>BM103</v>
      </c>
      <c r="CQ37" s="25" t="str">
        <f>'Die Map'!CQ37</f>
        <v>BM104</v>
      </c>
      <c r="CR37" s="26" t="str">
        <f>'Die Map'!CR37</f>
        <v>BM105</v>
      </c>
      <c r="CS37" s="24" t="str">
        <f>'Die Map'!CS37</f>
        <v>BM106</v>
      </c>
      <c r="CT37" s="25" t="str">
        <f>'Die Map'!CT37</f>
        <v>BM107</v>
      </c>
      <c r="CU37" s="25" t="str">
        <f>'Die Map'!CU37</f>
        <v>BM108</v>
      </c>
      <c r="CV37" s="25" t="str">
        <f>'Die Map'!CV37</f>
        <v>BM109</v>
      </c>
      <c r="CW37" s="26" t="str">
        <f>'Die Map'!CW37</f>
        <v>BM111</v>
      </c>
      <c r="CX37" s="24" t="str">
        <f>'Die Map'!CX37</f>
        <v/>
      </c>
      <c r="CY37" s="25" t="str">
        <f>'Die Map'!CY37</f>
        <v/>
      </c>
      <c r="CZ37" s="25" t="str">
        <f>'Die Map'!CZ37</f>
        <v/>
      </c>
      <c r="DA37" s="25" t="str">
        <f>'Die Map'!DA37</f>
        <v/>
      </c>
      <c r="DB37" s="26" t="str">
        <f>'Die Map'!DB37</f>
        <v/>
      </c>
    </row>
    <row r="38" spans="1:106" ht="12.75" customHeight="1" x14ac:dyDescent="0.25">
      <c r="A38" s="17">
        <v>36</v>
      </c>
      <c r="B38" s="18" t="str">
        <f>'Die Map'!B38</f>
        <v/>
      </c>
      <c r="C38" s="19" t="str">
        <f>'Die Map'!C38</f>
        <v/>
      </c>
      <c r="D38" s="19" t="str">
        <f>'Die Map'!D38</f>
        <v/>
      </c>
      <c r="E38" s="19" t="str">
        <f>'Die Map'!E38</f>
        <v/>
      </c>
      <c r="F38" s="20" t="str">
        <f>'Die Map'!F38</f>
        <v/>
      </c>
      <c r="G38" s="18" t="str">
        <f>'Die Map'!G38</f>
        <v>BN006</v>
      </c>
      <c r="H38" s="19" t="str">
        <f>'Die Map'!H38</f>
        <v>BN007</v>
      </c>
      <c r="I38" s="19" t="str">
        <f>'Die Map'!I38</f>
        <v>BN008</v>
      </c>
      <c r="J38" s="19" t="str">
        <f>'Die Map'!J38</f>
        <v>BN009</v>
      </c>
      <c r="K38" s="20" t="str">
        <f>'Die Map'!K38</f>
        <v>BN011</v>
      </c>
      <c r="L38" s="18" t="str">
        <f>'Die Map'!L38</f>
        <v>BN012</v>
      </c>
      <c r="M38" s="19" t="str">
        <f>'Die Map'!M38</f>
        <v>BN013</v>
      </c>
      <c r="N38" s="19" t="str">
        <f>'Die Map'!N38</f>
        <v>BN014</v>
      </c>
      <c r="O38" s="19" t="str">
        <f>'Die Map'!O38</f>
        <v>BN015</v>
      </c>
      <c r="P38" s="20" t="str">
        <f>'Die Map'!P38</f>
        <v>BN016</v>
      </c>
      <c r="Q38" s="18" t="str">
        <f>'Die Map'!Q38</f>
        <v>BN017</v>
      </c>
      <c r="R38" s="19" t="str">
        <f>'Die Map'!R38</f>
        <v>BN018</v>
      </c>
      <c r="S38" s="19" t="str">
        <f>'Die Map'!S38</f>
        <v>BN019</v>
      </c>
      <c r="T38" s="19" t="str">
        <f>'Die Map'!T38</f>
        <v>BN021</v>
      </c>
      <c r="U38" s="20" t="str">
        <f>'Die Map'!U38</f>
        <v>BN022</v>
      </c>
      <c r="V38" s="18" t="str">
        <f>'Die Map'!V38</f>
        <v>BN023</v>
      </c>
      <c r="W38" s="19" t="str">
        <f>'Die Map'!W38</f>
        <v>BN024</v>
      </c>
      <c r="X38" s="19" t="str">
        <f>'Die Map'!X38</f>
        <v>BN025</v>
      </c>
      <c r="Y38" s="19" t="str">
        <f>'Die Map'!Y38</f>
        <v>BN026</v>
      </c>
      <c r="Z38" s="20" t="str">
        <f>'Die Map'!Z38</f>
        <v>BN027</v>
      </c>
      <c r="AA38" s="18" t="str">
        <f>'Die Map'!AA38</f>
        <v>BN028</v>
      </c>
      <c r="AB38" s="19" t="str">
        <f>'Die Map'!AB38</f>
        <v>BN029</v>
      </c>
      <c r="AC38" s="19" t="str">
        <f>'Die Map'!AC38</f>
        <v>BN031</v>
      </c>
      <c r="AD38" s="19" t="str">
        <f>'Die Map'!AD38</f>
        <v>BN032</v>
      </c>
      <c r="AE38" s="20" t="str">
        <f>'Die Map'!AE38</f>
        <v>BN033</v>
      </c>
      <c r="AF38" s="18" t="str">
        <f>'Die Map'!AF38</f>
        <v>BN034</v>
      </c>
      <c r="AG38" s="19" t="str">
        <f>'Die Map'!AG38</f>
        <v>BN035</v>
      </c>
      <c r="AH38" s="19" t="str">
        <f>'Die Map'!AH38</f>
        <v>BN036</v>
      </c>
      <c r="AI38" s="19" t="str">
        <f>'Die Map'!AI38</f>
        <v>BN037</v>
      </c>
      <c r="AJ38" s="20" t="str">
        <f>'Die Map'!AJ38</f>
        <v>BN038</v>
      </c>
      <c r="AK38" s="18" t="str">
        <f>'Die Map'!AK38</f>
        <v>BN039</v>
      </c>
      <c r="AL38" s="19" t="str">
        <f>'Die Map'!AL38</f>
        <v>BN041</v>
      </c>
      <c r="AM38" s="19" t="str">
        <f>'Die Map'!AM38</f>
        <v>BN042</v>
      </c>
      <c r="AN38" s="19" t="str">
        <f>'Die Map'!AN38</f>
        <v>BN043</v>
      </c>
      <c r="AO38" s="20" t="str">
        <f>'Die Map'!AO38</f>
        <v>BN044</v>
      </c>
      <c r="AP38" s="18" t="str">
        <f>'Die Map'!AP38</f>
        <v>BN045</v>
      </c>
      <c r="AQ38" s="19" t="str">
        <f>'Die Map'!AQ38</f>
        <v>BN046</v>
      </c>
      <c r="AR38" s="19" t="str">
        <f>'Die Map'!AR38</f>
        <v>BN047</v>
      </c>
      <c r="AS38" s="19" t="str">
        <f>'Die Map'!AS38</f>
        <v>BN048</v>
      </c>
      <c r="AT38" s="20" t="str">
        <f>'Die Map'!AT38</f>
        <v>BN049</v>
      </c>
      <c r="AU38" s="18" t="str">
        <f>'Die Map'!AU38</f>
        <v>BN051</v>
      </c>
      <c r="AV38" s="19" t="str">
        <f>'Die Map'!AV38</f>
        <v>BN052</v>
      </c>
      <c r="AW38" s="19" t="str">
        <f>'Die Map'!AW38</f>
        <v>BN053</v>
      </c>
      <c r="AX38" s="19" t="str">
        <f>'Die Map'!AX38</f>
        <v>BN054</v>
      </c>
      <c r="AY38" s="20" t="str">
        <f>'Die Map'!AY38</f>
        <v>BN055</v>
      </c>
      <c r="AZ38" s="18" t="str">
        <f>'Die Map'!AZ38</f>
        <v>BN056</v>
      </c>
      <c r="BA38" s="19" t="str">
        <f>'Die Map'!BA38</f>
        <v>BN057</v>
      </c>
      <c r="BB38" s="19" t="str">
        <f>'Die Map'!BB38</f>
        <v>BN058</v>
      </c>
      <c r="BC38" s="19" t="str">
        <f>'Die Map'!BC38</f>
        <v>BN059</v>
      </c>
      <c r="BD38" s="20" t="str">
        <f>'Die Map'!BD38</f>
        <v>BN061</v>
      </c>
      <c r="BE38" s="18" t="str">
        <f>'Die Map'!BE38</f>
        <v>BN062</v>
      </c>
      <c r="BF38" s="19" t="str">
        <f>'Die Map'!BF38</f>
        <v>BN063</v>
      </c>
      <c r="BG38" s="19" t="str">
        <f>'Die Map'!BG38</f>
        <v>BN064</v>
      </c>
      <c r="BH38" s="19" t="str">
        <f>'Die Map'!BH38</f>
        <v>BN065</v>
      </c>
      <c r="BI38" s="20" t="str">
        <f>'Die Map'!BI38</f>
        <v>BN066</v>
      </c>
      <c r="BJ38" s="18" t="str">
        <f>'Die Map'!BJ38</f>
        <v>BN067</v>
      </c>
      <c r="BK38" s="19" t="str">
        <f>'Die Map'!BK38</f>
        <v>BN068</v>
      </c>
      <c r="BL38" s="19" t="str">
        <f>'Die Map'!BL38</f>
        <v>BN069</v>
      </c>
      <c r="BM38" s="19" t="str">
        <f>'Die Map'!BM38</f>
        <v>BN071</v>
      </c>
      <c r="BN38" s="20" t="str">
        <f>'Die Map'!BN38</f>
        <v>BN072</v>
      </c>
      <c r="BO38" s="18" t="str">
        <f>'Die Map'!BO38</f>
        <v>BN073</v>
      </c>
      <c r="BP38" s="19" t="str">
        <f>'Die Map'!BP38</f>
        <v>BN074</v>
      </c>
      <c r="BQ38" s="19" t="str">
        <f>'Die Map'!BQ38</f>
        <v>BN075</v>
      </c>
      <c r="BR38" s="19" t="str">
        <f>'Die Map'!BR38</f>
        <v>BN076</v>
      </c>
      <c r="BS38" s="20" t="str">
        <f>'Die Map'!BS38</f>
        <v>BN077</v>
      </c>
      <c r="BT38" s="18" t="str">
        <f>'Die Map'!BT38</f>
        <v>BN078</v>
      </c>
      <c r="BU38" s="19" t="str">
        <f>'Die Map'!BU38</f>
        <v>BN079</v>
      </c>
      <c r="BV38" s="19" t="str">
        <f>'Die Map'!BV38</f>
        <v>BN081</v>
      </c>
      <c r="BW38" s="19" t="str">
        <f>'Die Map'!BW38</f>
        <v>BN082</v>
      </c>
      <c r="BX38" s="20" t="str">
        <f>'Die Map'!BX38</f>
        <v>BN083</v>
      </c>
      <c r="BY38" s="18" t="str">
        <f>'Die Map'!BY38</f>
        <v>BN084</v>
      </c>
      <c r="BZ38" s="19" t="str">
        <f>'Die Map'!BZ38</f>
        <v>BN085</v>
      </c>
      <c r="CA38" s="19" t="str">
        <f>'Die Map'!CA38</f>
        <v>BN086</v>
      </c>
      <c r="CB38" s="19" t="str">
        <f>'Die Map'!CB38</f>
        <v>BN087</v>
      </c>
      <c r="CC38" s="20" t="str">
        <f>'Die Map'!CC38</f>
        <v>BN088</v>
      </c>
      <c r="CD38" s="18" t="str">
        <f>'Die Map'!CD38</f>
        <v>BN089</v>
      </c>
      <c r="CE38" s="19" t="str">
        <f>'Die Map'!CE38</f>
        <v>BN091</v>
      </c>
      <c r="CF38" s="19" t="str">
        <f>'Die Map'!CF38</f>
        <v>BN092</v>
      </c>
      <c r="CG38" s="19" t="str">
        <f>'Die Map'!CG38</f>
        <v>BN093</v>
      </c>
      <c r="CH38" s="20" t="str">
        <f>'Die Map'!CH38</f>
        <v>BN094</v>
      </c>
      <c r="CI38" s="18" t="str">
        <f>'Die Map'!CI38</f>
        <v>BN095</v>
      </c>
      <c r="CJ38" s="19" t="str">
        <f>'Die Map'!CJ38</f>
        <v>BN096</v>
      </c>
      <c r="CK38" s="19" t="str">
        <f>'Die Map'!CK38</f>
        <v>BN097</v>
      </c>
      <c r="CL38" s="19" t="str">
        <f>'Die Map'!CL38</f>
        <v>BN098</v>
      </c>
      <c r="CM38" s="20" t="str">
        <f>'Die Map'!CM38</f>
        <v>BN099</v>
      </c>
      <c r="CN38" s="18" t="str">
        <f>'Die Map'!CN38</f>
        <v>BN101</v>
      </c>
      <c r="CO38" s="19" t="str">
        <f>'Die Map'!CO38</f>
        <v>BN102</v>
      </c>
      <c r="CP38" s="19" t="str">
        <f>'Die Map'!CP38</f>
        <v>BN103</v>
      </c>
      <c r="CQ38" s="19" t="str">
        <f>'Die Map'!CQ38</f>
        <v>BN104</v>
      </c>
      <c r="CR38" s="20" t="str">
        <f>'Die Map'!CR38</f>
        <v>BN105</v>
      </c>
      <c r="CS38" s="18" t="str">
        <f>'Die Map'!CS38</f>
        <v>BN106</v>
      </c>
      <c r="CT38" s="19" t="str">
        <f>'Die Map'!CT38</f>
        <v>BN107</v>
      </c>
      <c r="CU38" s="19" t="str">
        <f>'Die Map'!CU38</f>
        <v>BN108</v>
      </c>
      <c r="CV38" s="19" t="str">
        <f>'Die Map'!CV38</f>
        <v>BN109</v>
      </c>
      <c r="CW38" s="20" t="str">
        <f>'Die Map'!CW38</f>
        <v>BN111</v>
      </c>
      <c r="CX38" s="18" t="str">
        <f>'Die Map'!CX38</f>
        <v/>
      </c>
      <c r="CY38" s="19" t="str">
        <f>'Die Map'!CY38</f>
        <v/>
      </c>
      <c r="CZ38" s="19" t="str">
        <f>'Die Map'!CZ38</f>
        <v/>
      </c>
      <c r="DA38" s="19" t="str">
        <f>'Die Map'!DA38</f>
        <v/>
      </c>
      <c r="DB38" s="20" t="str">
        <f>'Die Map'!DB38</f>
        <v/>
      </c>
    </row>
    <row r="39" spans="1:106" ht="12.75" customHeight="1" x14ac:dyDescent="0.25">
      <c r="A39" s="17">
        <v>37</v>
      </c>
      <c r="B39" s="21" t="str">
        <f>'Die Map'!B39</f>
        <v/>
      </c>
      <c r="C39" s="22" t="str">
        <f>'Die Map'!C39</f>
        <v/>
      </c>
      <c r="D39" s="22" t="str">
        <f>'Die Map'!D39</f>
        <v/>
      </c>
      <c r="E39" s="22" t="str">
        <f>'Die Map'!E39</f>
        <v/>
      </c>
      <c r="F39" s="23" t="str">
        <f>'Die Map'!F39</f>
        <v/>
      </c>
      <c r="G39" s="21" t="str">
        <f>'Die Map'!G39</f>
        <v>BP006</v>
      </c>
      <c r="H39" s="22" t="str">
        <f>'Die Map'!H39</f>
        <v>BP007</v>
      </c>
      <c r="I39" s="22" t="str">
        <f>'Die Map'!I39</f>
        <v>BP008</v>
      </c>
      <c r="J39" s="22" t="str">
        <f>'Die Map'!J39</f>
        <v>BP009</v>
      </c>
      <c r="K39" s="23" t="str">
        <f>'Die Map'!K39</f>
        <v>BP011</v>
      </c>
      <c r="L39" s="21" t="str">
        <f>'Die Map'!L39</f>
        <v>BP012</v>
      </c>
      <c r="M39" s="22" t="str">
        <f>'Die Map'!M39</f>
        <v>BP013</v>
      </c>
      <c r="N39" s="22" t="str">
        <f>'Die Map'!N39</f>
        <v>BP014</v>
      </c>
      <c r="O39" s="22" t="str">
        <f>'Die Map'!O39</f>
        <v>BP015</v>
      </c>
      <c r="P39" s="23" t="str">
        <f>'Die Map'!P39</f>
        <v>BP016</v>
      </c>
      <c r="Q39" s="21" t="str">
        <f>'Die Map'!Q39</f>
        <v>BP017</v>
      </c>
      <c r="R39" s="22" t="str">
        <f>'Die Map'!R39</f>
        <v>BP018</v>
      </c>
      <c r="S39" s="22" t="str">
        <f>'Die Map'!S39</f>
        <v>BP019</v>
      </c>
      <c r="T39" s="22" t="str">
        <f>'Die Map'!T39</f>
        <v>BP021</v>
      </c>
      <c r="U39" s="23" t="str">
        <f>'Die Map'!U39</f>
        <v>BP022</v>
      </c>
      <c r="V39" s="21" t="str">
        <f>'Die Map'!V39</f>
        <v>BP023</v>
      </c>
      <c r="W39" s="22" t="str">
        <f>'Die Map'!W39</f>
        <v>BP024</v>
      </c>
      <c r="X39" s="22" t="str">
        <f>'Die Map'!X39</f>
        <v>BP025</v>
      </c>
      <c r="Y39" s="22" t="str">
        <f>'Die Map'!Y39</f>
        <v>BP026</v>
      </c>
      <c r="Z39" s="23" t="str">
        <f>'Die Map'!Z39</f>
        <v>BP027</v>
      </c>
      <c r="AA39" s="21" t="str">
        <f>'Die Map'!AA39</f>
        <v>BP028</v>
      </c>
      <c r="AB39" s="22" t="str">
        <f>'Die Map'!AB39</f>
        <v>BP029</v>
      </c>
      <c r="AC39" s="22" t="str">
        <f>'Die Map'!AC39</f>
        <v>BP031</v>
      </c>
      <c r="AD39" s="22" t="str">
        <f>'Die Map'!AD39</f>
        <v>BP032</v>
      </c>
      <c r="AE39" s="23" t="str">
        <f>'Die Map'!AE39</f>
        <v>BP033</v>
      </c>
      <c r="AF39" s="21" t="str">
        <f>'Die Map'!AF39</f>
        <v>BP034</v>
      </c>
      <c r="AG39" s="22" t="str">
        <f>'Die Map'!AG39</f>
        <v>BP035</v>
      </c>
      <c r="AH39" s="22" t="str">
        <f>'Die Map'!AH39</f>
        <v>BP036</v>
      </c>
      <c r="AI39" s="22" t="str">
        <f>'Die Map'!AI39</f>
        <v>BP037</v>
      </c>
      <c r="AJ39" s="23" t="str">
        <f>'Die Map'!AJ39</f>
        <v>BP038</v>
      </c>
      <c r="AK39" s="21" t="str">
        <f>'Die Map'!AK39</f>
        <v>BP039</v>
      </c>
      <c r="AL39" s="22" t="str">
        <f>'Die Map'!AL39</f>
        <v>BP041</v>
      </c>
      <c r="AM39" s="22" t="str">
        <f>'Die Map'!AM39</f>
        <v>BP042</v>
      </c>
      <c r="AN39" s="22" t="str">
        <f>'Die Map'!AN39</f>
        <v>BP043</v>
      </c>
      <c r="AO39" s="23" t="str">
        <f>'Die Map'!AO39</f>
        <v>BP044</v>
      </c>
      <c r="AP39" s="21" t="str">
        <f>'Die Map'!AP39</f>
        <v>BP045</v>
      </c>
      <c r="AQ39" s="22" t="str">
        <f>'Die Map'!AQ39</f>
        <v>BP046</v>
      </c>
      <c r="AR39" s="22" t="str">
        <f>'Die Map'!AR39</f>
        <v>BP047</v>
      </c>
      <c r="AS39" s="22" t="str">
        <f>'Die Map'!AS39</f>
        <v>BP048</v>
      </c>
      <c r="AT39" s="23" t="str">
        <f>'Die Map'!AT39</f>
        <v>BP049</v>
      </c>
      <c r="AU39" s="21" t="str">
        <f>'Die Map'!AU39</f>
        <v>BP051</v>
      </c>
      <c r="AV39" s="22" t="str">
        <f>'Die Map'!AV39</f>
        <v>BP052</v>
      </c>
      <c r="AW39" s="22" t="str">
        <f>'Die Map'!AW39</f>
        <v>BP053</v>
      </c>
      <c r="AX39" s="22" t="str">
        <f>'Die Map'!AX39</f>
        <v>BP054</v>
      </c>
      <c r="AY39" s="23" t="str">
        <f>'Die Map'!AY39</f>
        <v>BP055</v>
      </c>
      <c r="AZ39" s="21" t="str">
        <f>'Die Map'!AZ39</f>
        <v>BP056</v>
      </c>
      <c r="BA39" s="22" t="str">
        <f>'Die Map'!BA39</f>
        <v>BP057</v>
      </c>
      <c r="BB39" s="22" t="str">
        <f>'Die Map'!BB39</f>
        <v>BP058</v>
      </c>
      <c r="BC39" s="22" t="str">
        <f>'Die Map'!BC39</f>
        <v>BP059</v>
      </c>
      <c r="BD39" s="23" t="str">
        <f>'Die Map'!BD39</f>
        <v>BP061</v>
      </c>
      <c r="BE39" s="21" t="str">
        <f>'Die Map'!BE39</f>
        <v>BP062</v>
      </c>
      <c r="BF39" s="22" t="str">
        <f>'Die Map'!BF39</f>
        <v>BP063</v>
      </c>
      <c r="BG39" s="22" t="str">
        <f>'Die Map'!BG39</f>
        <v>BP064</v>
      </c>
      <c r="BH39" s="22" t="str">
        <f>'Die Map'!BH39</f>
        <v>BP065</v>
      </c>
      <c r="BI39" s="23" t="str">
        <f>'Die Map'!BI39</f>
        <v>BP066</v>
      </c>
      <c r="BJ39" s="21" t="str">
        <f>'Die Map'!BJ39</f>
        <v>BP067</v>
      </c>
      <c r="BK39" s="22" t="str">
        <f>'Die Map'!BK39</f>
        <v>BP068</v>
      </c>
      <c r="BL39" s="22" t="str">
        <f>'Die Map'!BL39</f>
        <v>BP069</v>
      </c>
      <c r="BM39" s="22" t="str">
        <f>'Die Map'!BM39</f>
        <v>BP071</v>
      </c>
      <c r="BN39" s="23" t="str">
        <f>'Die Map'!BN39</f>
        <v>BP072</v>
      </c>
      <c r="BO39" s="21" t="str">
        <f>'Die Map'!BO39</f>
        <v>BP073</v>
      </c>
      <c r="BP39" s="22" t="str">
        <f>'Die Map'!BP39</f>
        <v>BP074</v>
      </c>
      <c r="BQ39" s="22" t="str">
        <f>'Die Map'!BQ39</f>
        <v>BP075</v>
      </c>
      <c r="BR39" s="22" t="str">
        <f>'Die Map'!BR39</f>
        <v>BP076</v>
      </c>
      <c r="BS39" s="23" t="str">
        <f>'Die Map'!BS39</f>
        <v>BP077</v>
      </c>
      <c r="BT39" s="21" t="str">
        <f>'Die Map'!BT39</f>
        <v>BP078</v>
      </c>
      <c r="BU39" s="22" t="str">
        <f>'Die Map'!BU39</f>
        <v>BP079</v>
      </c>
      <c r="BV39" s="22" t="str">
        <f>'Die Map'!BV39</f>
        <v>BP081</v>
      </c>
      <c r="BW39" s="22" t="str">
        <f>'Die Map'!BW39</f>
        <v>BP082</v>
      </c>
      <c r="BX39" s="23" t="str">
        <f>'Die Map'!BX39</f>
        <v>BP083</v>
      </c>
      <c r="BY39" s="21" t="str">
        <f>'Die Map'!BY39</f>
        <v>BP084</v>
      </c>
      <c r="BZ39" s="22" t="str">
        <f>'Die Map'!BZ39</f>
        <v>BP085</v>
      </c>
      <c r="CA39" s="22" t="str">
        <f>'Die Map'!CA39</f>
        <v>BP086</v>
      </c>
      <c r="CB39" s="22" t="str">
        <f>'Die Map'!CB39</f>
        <v>BP087</v>
      </c>
      <c r="CC39" s="23" t="str">
        <f>'Die Map'!CC39</f>
        <v>BP088</v>
      </c>
      <c r="CD39" s="21" t="str">
        <f>'Die Map'!CD39</f>
        <v>BP089</v>
      </c>
      <c r="CE39" s="22" t="str">
        <f>'Die Map'!CE39</f>
        <v>BP091</v>
      </c>
      <c r="CF39" s="22" t="str">
        <f>'Die Map'!CF39</f>
        <v>BP092</v>
      </c>
      <c r="CG39" s="22" t="str">
        <f>'Die Map'!CG39</f>
        <v>BP093</v>
      </c>
      <c r="CH39" s="23" t="str">
        <f>'Die Map'!CH39</f>
        <v>BP094</v>
      </c>
      <c r="CI39" s="21" t="str">
        <f>'Die Map'!CI39</f>
        <v>BP095</v>
      </c>
      <c r="CJ39" s="22" t="str">
        <f>'Die Map'!CJ39</f>
        <v>BP096</v>
      </c>
      <c r="CK39" s="22" t="str">
        <f>'Die Map'!CK39</f>
        <v>BP097</v>
      </c>
      <c r="CL39" s="22" t="str">
        <f>'Die Map'!CL39</f>
        <v>BP098</v>
      </c>
      <c r="CM39" s="23" t="str">
        <f>'Die Map'!CM39</f>
        <v>BP099</v>
      </c>
      <c r="CN39" s="21" t="str">
        <f>'Die Map'!CN39</f>
        <v>BP101</v>
      </c>
      <c r="CO39" s="22" t="str">
        <f>'Die Map'!CO39</f>
        <v>BP102</v>
      </c>
      <c r="CP39" s="22" t="str">
        <f>'Die Map'!CP39</f>
        <v>BP103</v>
      </c>
      <c r="CQ39" s="22" t="str">
        <f>'Die Map'!CQ39</f>
        <v>BP104</v>
      </c>
      <c r="CR39" s="23" t="str">
        <f>'Die Map'!CR39</f>
        <v>BP105</v>
      </c>
      <c r="CS39" s="21" t="str">
        <f>'Die Map'!CS39</f>
        <v>BP106</v>
      </c>
      <c r="CT39" s="22" t="str">
        <f>'Die Map'!CT39</f>
        <v>BP107</v>
      </c>
      <c r="CU39" s="22" t="str">
        <f>'Die Map'!CU39</f>
        <v>BP108</v>
      </c>
      <c r="CV39" s="22" t="str">
        <f>'Die Map'!CV39</f>
        <v>BP109</v>
      </c>
      <c r="CW39" s="23" t="str">
        <f>'Die Map'!CW39</f>
        <v>BP111</v>
      </c>
      <c r="CX39" s="21" t="str">
        <f>'Die Map'!CX39</f>
        <v/>
      </c>
      <c r="CY39" s="22" t="str">
        <f>'Die Map'!CY39</f>
        <v/>
      </c>
      <c r="CZ39" s="22" t="str">
        <f>'Die Map'!CZ39</f>
        <v/>
      </c>
      <c r="DA39" s="22" t="str">
        <f>'Die Map'!DA39</f>
        <v/>
      </c>
      <c r="DB39" s="23" t="str">
        <f>'Die Map'!DB39</f>
        <v/>
      </c>
    </row>
    <row r="40" spans="1:106" ht="12.75" customHeight="1" x14ac:dyDescent="0.25">
      <c r="A40" s="17">
        <v>38</v>
      </c>
      <c r="B40" s="21" t="str">
        <f>'Die Map'!B40</f>
        <v/>
      </c>
      <c r="C40" s="22" t="str">
        <f>'Die Map'!C40</f>
        <v/>
      </c>
      <c r="D40" s="22" t="str">
        <f>'Die Map'!D40</f>
        <v/>
      </c>
      <c r="E40" s="22" t="str">
        <f>'Die Map'!E40</f>
        <v/>
      </c>
      <c r="F40" s="23" t="str">
        <f>'Die Map'!F40</f>
        <v/>
      </c>
      <c r="G40" s="21" t="str">
        <f>'Die Map'!G40</f>
        <v>BR006</v>
      </c>
      <c r="H40" s="22" t="str">
        <f>'Die Map'!H40</f>
        <v>BR007</v>
      </c>
      <c r="I40" s="22" t="str">
        <f>'Die Map'!I40</f>
        <v>BR008</v>
      </c>
      <c r="J40" s="22" t="str">
        <f>'Die Map'!J40</f>
        <v>BR009</v>
      </c>
      <c r="K40" s="23" t="str">
        <f>'Die Map'!K40</f>
        <v>BR011</v>
      </c>
      <c r="L40" s="21" t="str">
        <f>'Die Map'!L40</f>
        <v>BR012</v>
      </c>
      <c r="M40" s="22" t="str">
        <f>'Die Map'!M40</f>
        <v>BR013</v>
      </c>
      <c r="N40" s="22" t="str">
        <f>'Die Map'!N40</f>
        <v>BR014</v>
      </c>
      <c r="O40" s="22" t="str">
        <f>'Die Map'!O40</f>
        <v>BR015</v>
      </c>
      <c r="P40" s="23" t="str">
        <f>'Die Map'!P40</f>
        <v>BR016</v>
      </c>
      <c r="Q40" s="21" t="str">
        <f>'Die Map'!Q40</f>
        <v>BR017</v>
      </c>
      <c r="R40" s="22" t="str">
        <f>'Die Map'!R40</f>
        <v>BR018</v>
      </c>
      <c r="S40" s="22" t="str">
        <f>'Die Map'!S40</f>
        <v>BR019</v>
      </c>
      <c r="T40" s="22" t="str">
        <f>'Die Map'!T40</f>
        <v>BR021</v>
      </c>
      <c r="U40" s="23" t="str">
        <f>'Die Map'!U40</f>
        <v>BR022</v>
      </c>
      <c r="V40" s="21" t="str">
        <f>'Die Map'!V40</f>
        <v>BR023</v>
      </c>
      <c r="W40" s="22" t="str">
        <f>'Die Map'!W40</f>
        <v>BR024</v>
      </c>
      <c r="X40" s="22" t="str">
        <f>'Die Map'!X40</f>
        <v>BR025</v>
      </c>
      <c r="Y40" s="22" t="str">
        <f>'Die Map'!Y40</f>
        <v>BR026</v>
      </c>
      <c r="Z40" s="23" t="str">
        <f>'Die Map'!Z40</f>
        <v>BR027</v>
      </c>
      <c r="AA40" s="21" t="str">
        <f>'Die Map'!AA40</f>
        <v>BR028</v>
      </c>
      <c r="AB40" s="22" t="str">
        <f>'Die Map'!AB40</f>
        <v>BR029</v>
      </c>
      <c r="AC40" s="22" t="str">
        <f>'Die Map'!AC40</f>
        <v>BR031</v>
      </c>
      <c r="AD40" s="22" t="str">
        <f>'Die Map'!AD40</f>
        <v>BR032</v>
      </c>
      <c r="AE40" s="23" t="str">
        <f>'Die Map'!AE40</f>
        <v>BR033</v>
      </c>
      <c r="AF40" s="21" t="str">
        <f>'Die Map'!AF40</f>
        <v>BR034</v>
      </c>
      <c r="AG40" s="22" t="str">
        <f>'Die Map'!AG40</f>
        <v>BR035</v>
      </c>
      <c r="AH40" s="22" t="str">
        <f>'Die Map'!AH40</f>
        <v>BR036</v>
      </c>
      <c r="AI40" s="22" t="str">
        <f>'Die Map'!AI40</f>
        <v>BR037</v>
      </c>
      <c r="AJ40" s="23" t="str">
        <f>'Die Map'!AJ40</f>
        <v>BR038</v>
      </c>
      <c r="AK40" s="21" t="str">
        <f>'Die Map'!AK40</f>
        <v>BR039</v>
      </c>
      <c r="AL40" s="22" t="str">
        <f>'Die Map'!AL40</f>
        <v>BR041</v>
      </c>
      <c r="AM40" s="22" t="str">
        <f>'Die Map'!AM40</f>
        <v>BR042</v>
      </c>
      <c r="AN40" s="22" t="str">
        <f>'Die Map'!AN40</f>
        <v>BR043</v>
      </c>
      <c r="AO40" s="23" t="str">
        <f>'Die Map'!AO40</f>
        <v>BR044</v>
      </c>
      <c r="AP40" s="21" t="str">
        <f>'Die Map'!AP40</f>
        <v>BR045</v>
      </c>
      <c r="AQ40" s="22" t="str">
        <f>'Die Map'!AQ40</f>
        <v>BR046</v>
      </c>
      <c r="AR40" s="22" t="str">
        <f>'Die Map'!AR40</f>
        <v>BR047</v>
      </c>
      <c r="AS40" s="22" t="str">
        <f>'Die Map'!AS40</f>
        <v>BR048</v>
      </c>
      <c r="AT40" s="23" t="str">
        <f>'Die Map'!AT40</f>
        <v>BR049</v>
      </c>
      <c r="AU40" s="21" t="str">
        <f>'Die Map'!AU40</f>
        <v>BR051</v>
      </c>
      <c r="AV40" s="22" t="str">
        <f>'Die Map'!AV40</f>
        <v>BR052</v>
      </c>
      <c r="AW40" s="22" t="str">
        <f>'Die Map'!AW40</f>
        <v>BR053</v>
      </c>
      <c r="AX40" s="22" t="str">
        <f>'Die Map'!AX40</f>
        <v>BR054</v>
      </c>
      <c r="AY40" s="23" t="str">
        <f>'Die Map'!AY40</f>
        <v>BR055</v>
      </c>
      <c r="AZ40" s="21" t="str">
        <f>'Die Map'!AZ40</f>
        <v>BR056</v>
      </c>
      <c r="BA40" s="22" t="str">
        <f>'Die Map'!BA40</f>
        <v>BR057</v>
      </c>
      <c r="BB40" s="22" t="str">
        <f>'Die Map'!BB40</f>
        <v>BR058</v>
      </c>
      <c r="BC40" s="22" t="str">
        <f>'Die Map'!BC40</f>
        <v>BR059</v>
      </c>
      <c r="BD40" s="23" t="str">
        <f>'Die Map'!BD40</f>
        <v>BR061</v>
      </c>
      <c r="BE40" s="21" t="str">
        <f>'Die Map'!BE40</f>
        <v>BR062</v>
      </c>
      <c r="BF40" s="22" t="str">
        <f>'Die Map'!BF40</f>
        <v>BR063</v>
      </c>
      <c r="BG40" s="22" t="str">
        <f>'Die Map'!BG40</f>
        <v>BR064</v>
      </c>
      <c r="BH40" s="22" t="str">
        <f>'Die Map'!BH40</f>
        <v>BR065</v>
      </c>
      <c r="BI40" s="23" t="str">
        <f>'Die Map'!BI40</f>
        <v>BR066</v>
      </c>
      <c r="BJ40" s="21" t="str">
        <f>'Die Map'!BJ40</f>
        <v>BR067</v>
      </c>
      <c r="BK40" s="22" t="str">
        <f>'Die Map'!BK40</f>
        <v>BR068</v>
      </c>
      <c r="BL40" s="22" t="str">
        <f>'Die Map'!BL40</f>
        <v>BR069</v>
      </c>
      <c r="BM40" s="22" t="str">
        <f>'Die Map'!BM40</f>
        <v>BR071</v>
      </c>
      <c r="BN40" s="23" t="str">
        <f>'Die Map'!BN40</f>
        <v>BR072</v>
      </c>
      <c r="BO40" s="21" t="str">
        <f>'Die Map'!BO40</f>
        <v>BR073</v>
      </c>
      <c r="BP40" s="22" t="str">
        <f>'Die Map'!BP40</f>
        <v>BR074</v>
      </c>
      <c r="BQ40" s="22" t="str">
        <f>'Die Map'!BQ40</f>
        <v>BR075</v>
      </c>
      <c r="BR40" s="22" t="str">
        <f>'Die Map'!BR40</f>
        <v>BR076</v>
      </c>
      <c r="BS40" s="23" t="str">
        <f>'Die Map'!BS40</f>
        <v>BR077</v>
      </c>
      <c r="BT40" s="21" t="str">
        <f>'Die Map'!BT40</f>
        <v>BR078</v>
      </c>
      <c r="BU40" s="22" t="str">
        <f>'Die Map'!BU40</f>
        <v>BR079</v>
      </c>
      <c r="BV40" s="22" t="str">
        <f>'Die Map'!BV40</f>
        <v>BR081</v>
      </c>
      <c r="BW40" s="22" t="str">
        <f>'Die Map'!BW40</f>
        <v>BR082</v>
      </c>
      <c r="BX40" s="23" t="str">
        <f>'Die Map'!BX40</f>
        <v>BR083</v>
      </c>
      <c r="BY40" s="21" t="str">
        <f>'Die Map'!BY40</f>
        <v>BR084</v>
      </c>
      <c r="BZ40" s="22" t="str">
        <f>'Die Map'!BZ40</f>
        <v>BR085</v>
      </c>
      <c r="CA40" s="22" t="str">
        <f>'Die Map'!CA40</f>
        <v>BR086</v>
      </c>
      <c r="CB40" s="22" t="str">
        <f>'Die Map'!CB40</f>
        <v>BR087</v>
      </c>
      <c r="CC40" s="23" t="str">
        <f>'Die Map'!CC40</f>
        <v>BR088</v>
      </c>
      <c r="CD40" s="21" t="str">
        <f>'Die Map'!CD40</f>
        <v>BR089</v>
      </c>
      <c r="CE40" s="22" t="str">
        <f>'Die Map'!CE40</f>
        <v>BR091</v>
      </c>
      <c r="CF40" s="22" t="str">
        <f>'Die Map'!CF40</f>
        <v>BR092</v>
      </c>
      <c r="CG40" s="22" t="str">
        <f>'Die Map'!CG40</f>
        <v>BR093</v>
      </c>
      <c r="CH40" s="23" t="str">
        <f>'Die Map'!CH40</f>
        <v>BR094</v>
      </c>
      <c r="CI40" s="21" t="str">
        <f>'Die Map'!CI40</f>
        <v>BR095</v>
      </c>
      <c r="CJ40" s="22" t="str">
        <f>'Die Map'!CJ40</f>
        <v>BR096</v>
      </c>
      <c r="CK40" s="22" t="str">
        <f>'Die Map'!CK40</f>
        <v>BR097</v>
      </c>
      <c r="CL40" s="22" t="str">
        <f>'Die Map'!CL40</f>
        <v>BR098</v>
      </c>
      <c r="CM40" s="23" t="str">
        <f>'Die Map'!CM40</f>
        <v>BR099</v>
      </c>
      <c r="CN40" s="21" t="str">
        <f>'Die Map'!CN40</f>
        <v>BR101</v>
      </c>
      <c r="CO40" s="22" t="str">
        <f>'Die Map'!CO40</f>
        <v>BR102</v>
      </c>
      <c r="CP40" s="22" t="str">
        <f>'Die Map'!CP40</f>
        <v>BR103</v>
      </c>
      <c r="CQ40" s="22" t="str">
        <f>'Die Map'!CQ40</f>
        <v>BR104</v>
      </c>
      <c r="CR40" s="23" t="str">
        <f>'Die Map'!CR40</f>
        <v>BR105</v>
      </c>
      <c r="CS40" s="21" t="str">
        <f>'Die Map'!CS40</f>
        <v>BR106</v>
      </c>
      <c r="CT40" s="22" t="str">
        <f>'Die Map'!CT40</f>
        <v>BR107</v>
      </c>
      <c r="CU40" s="22" t="str">
        <f>'Die Map'!CU40</f>
        <v>BR108</v>
      </c>
      <c r="CV40" s="22" t="str">
        <f>'Die Map'!CV40</f>
        <v>BR109</v>
      </c>
      <c r="CW40" s="23" t="str">
        <f>'Die Map'!CW40</f>
        <v>BR111</v>
      </c>
      <c r="CX40" s="21" t="str">
        <f>'Die Map'!CX40</f>
        <v/>
      </c>
      <c r="CY40" s="22" t="str">
        <f>'Die Map'!CY40</f>
        <v/>
      </c>
      <c r="CZ40" s="22" t="str">
        <f>'Die Map'!CZ40</f>
        <v/>
      </c>
      <c r="DA40" s="22" t="str">
        <f>'Die Map'!DA40</f>
        <v/>
      </c>
      <c r="DB40" s="23" t="str">
        <f>'Die Map'!DB40</f>
        <v/>
      </c>
    </row>
    <row r="41" spans="1:106" ht="12.75" customHeight="1" x14ac:dyDescent="0.25">
      <c r="A41" s="17">
        <v>39</v>
      </c>
      <c r="B41" s="21" t="str">
        <f>'Die Map'!B41</f>
        <v/>
      </c>
      <c r="C41" s="22" t="str">
        <f>'Die Map'!C41</f>
        <v/>
      </c>
      <c r="D41" s="22" t="str">
        <f>'Die Map'!D41</f>
        <v/>
      </c>
      <c r="E41" s="22" t="str">
        <f>'Die Map'!E41</f>
        <v/>
      </c>
      <c r="F41" s="23" t="str">
        <f>'Die Map'!F41</f>
        <v/>
      </c>
      <c r="G41" s="21" t="str">
        <f>'Die Map'!G41</f>
        <v>BS006</v>
      </c>
      <c r="H41" s="22" t="str">
        <f>'Die Map'!H41</f>
        <v>BS007</v>
      </c>
      <c r="I41" s="22" t="str">
        <f>'Die Map'!I41</f>
        <v>BS008</v>
      </c>
      <c r="J41" s="22" t="str">
        <f>'Die Map'!J41</f>
        <v>BS009</v>
      </c>
      <c r="K41" s="23" t="str">
        <f>'Die Map'!K41</f>
        <v>BS011</v>
      </c>
      <c r="L41" s="21" t="str">
        <f>'Die Map'!L41</f>
        <v>BS012</v>
      </c>
      <c r="M41" s="22" t="str">
        <f>'Die Map'!M41</f>
        <v>BS013</v>
      </c>
      <c r="N41" s="22" t="str">
        <f>'Die Map'!N41</f>
        <v>BS014</v>
      </c>
      <c r="O41" s="22" t="str">
        <f>'Die Map'!O41</f>
        <v>BS015</v>
      </c>
      <c r="P41" s="23" t="str">
        <f>'Die Map'!P41</f>
        <v>BS016</v>
      </c>
      <c r="Q41" s="21" t="str">
        <f>'Die Map'!Q41</f>
        <v>BS017</v>
      </c>
      <c r="R41" s="22" t="str">
        <f>'Die Map'!R41</f>
        <v>BS018</v>
      </c>
      <c r="S41" s="22" t="str">
        <f>'Die Map'!S41</f>
        <v>BS019</v>
      </c>
      <c r="T41" s="22" t="str">
        <f>'Die Map'!T41</f>
        <v>BS021</v>
      </c>
      <c r="U41" s="23" t="str">
        <f>'Die Map'!U41</f>
        <v>BS022</v>
      </c>
      <c r="V41" s="21" t="str">
        <f>'Die Map'!V41</f>
        <v>BS023</v>
      </c>
      <c r="W41" s="22" t="str">
        <f>'Die Map'!W41</f>
        <v>BS024</v>
      </c>
      <c r="X41" s="22" t="str">
        <f>'Die Map'!X41</f>
        <v>BS025</v>
      </c>
      <c r="Y41" s="22" t="str">
        <f>'Die Map'!Y41</f>
        <v>BS026</v>
      </c>
      <c r="Z41" s="23" t="str">
        <f>'Die Map'!Z41</f>
        <v>BS027</v>
      </c>
      <c r="AA41" s="21" t="str">
        <f>'Die Map'!AA41</f>
        <v>BS028</v>
      </c>
      <c r="AB41" s="22" t="str">
        <f>'Die Map'!AB41</f>
        <v>BS029</v>
      </c>
      <c r="AC41" s="22" t="str">
        <f>'Die Map'!AC41</f>
        <v>BS031</v>
      </c>
      <c r="AD41" s="22" t="str">
        <f>'Die Map'!AD41</f>
        <v>BS032</v>
      </c>
      <c r="AE41" s="23" t="str">
        <f>'Die Map'!AE41</f>
        <v>BS033</v>
      </c>
      <c r="AF41" s="21" t="str">
        <f>'Die Map'!AF41</f>
        <v>BS034</v>
      </c>
      <c r="AG41" s="22" t="str">
        <f>'Die Map'!AG41</f>
        <v>BS035</v>
      </c>
      <c r="AH41" s="22" t="str">
        <f>'Die Map'!AH41</f>
        <v>BS036</v>
      </c>
      <c r="AI41" s="22" t="str">
        <f>'Die Map'!AI41</f>
        <v>BS037</v>
      </c>
      <c r="AJ41" s="23" t="str">
        <f>'Die Map'!AJ41</f>
        <v>BS038</v>
      </c>
      <c r="AK41" s="21" t="str">
        <f>'Die Map'!AK41</f>
        <v>BS039</v>
      </c>
      <c r="AL41" s="22" t="str">
        <f>'Die Map'!AL41</f>
        <v>BS041</v>
      </c>
      <c r="AM41" s="22" t="str">
        <f>'Die Map'!AM41</f>
        <v>BS042</v>
      </c>
      <c r="AN41" s="22" t="str">
        <f>'Die Map'!AN41</f>
        <v>BS043</v>
      </c>
      <c r="AO41" s="23" t="str">
        <f>'Die Map'!AO41</f>
        <v>BS044</v>
      </c>
      <c r="AP41" s="21" t="str">
        <f>'Die Map'!AP41</f>
        <v>BS045</v>
      </c>
      <c r="AQ41" s="22" t="str">
        <f>'Die Map'!AQ41</f>
        <v>BS046</v>
      </c>
      <c r="AR41" s="22" t="str">
        <f>'Die Map'!AR41</f>
        <v>BS047</v>
      </c>
      <c r="AS41" s="22" t="str">
        <f>'Die Map'!AS41</f>
        <v>BS048</v>
      </c>
      <c r="AT41" s="23" t="str">
        <f>'Die Map'!AT41</f>
        <v>BS049</v>
      </c>
      <c r="AU41" s="21" t="str">
        <f>'Die Map'!AU41</f>
        <v>BS051</v>
      </c>
      <c r="AV41" s="22" t="str">
        <f>'Die Map'!AV41</f>
        <v>BS052</v>
      </c>
      <c r="AW41" s="22" t="str">
        <f>'Die Map'!AW41</f>
        <v>BS053</v>
      </c>
      <c r="AX41" s="22" t="str">
        <f>'Die Map'!AX41</f>
        <v>BS054</v>
      </c>
      <c r="AY41" s="23" t="str">
        <f>'Die Map'!AY41</f>
        <v>BS055</v>
      </c>
      <c r="AZ41" s="21" t="str">
        <f>'Die Map'!AZ41</f>
        <v>BS056</v>
      </c>
      <c r="BA41" s="22" t="str">
        <f>'Die Map'!BA41</f>
        <v>BS057</v>
      </c>
      <c r="BB41" s="22" t="str">
        <f>'Die Map'!BB41</f>
        <v>BS058</v>
      </c>
      <c r="BC41" s="22" t="str">
        <f>'Die Map'!BC41</f>
        <v>BS059</v>
      </c>
      <c r="BD41" s="23" t="str">
        <f>'Die Map'!BD41</f>
        <v>BS061</v>
      </c>
      <c r="BE41" s="21" t="str">
        <f>'Die Map'!BE41</f>
        <v>BS062</v>
      </c>
      <c r="BF41" s="22" t="str">
        <f>'Die Map'!BF41</f>
        <v>BS063</v>
      </c>
      <c r="BG41" s="22" t="str">
        <f>'Die Map'!BG41</f>
        <v>BS064</v>
      </c>
      <c r="BH41" s="22" t="str">
        <f>'Die Map'!BH41</f>
        <v>BS065</v>
      </c>
      <c r="BI41" s="23" t="str">
        <f>'Die Map'!BI41</f>
        <v>BS066</v>
      </c>
      <c r="BJ41" s="21" t="str">
        <f>'Die Map'!BJ41</f>
        <v>BS067</v>
      </c>
      <c r="BK41" s="22" t="str">
        <f>'Die Map'!BK41</f>
        <v>BS068</v>
      </c>
      <c r="BL41" s="22" t="str">
        <f>'Die Map'!BL41</f>
        <v>BS069</v>
      </c>
      <c r="BM41" s="22" t="str">
        <f>'Die Map'!BM41</f>
        <v>BS071</v>
      </c>
      <c r="BN41" s="23" t="str">
        <f>'Die Map'!BN41</f>
        <v>BS072</v>
      </c>
      <c r="BO41" s="21" t="str">
        <f>'Die Map'!BO41</f>
        <v>BS073</v>
      </c>
      <c r="BP41" s="22" t="str">
        <f>'Die Map'!BP41</f>
        <v>BS074</v>
      </c>
      <c r="BQ41" s="22" t="str">
        <f>'Die Map'!BQ41</f>
        <v>BS075</v>
      </c>
      <c r="BR41" s="22" t="str">
        <f>'Die Map'!BR41</f>
        <v>BS076</v>
      </c>
      <c r="BS41" s="23" t="str">
        <f>'Die Map'!BS41</f>
        <v>BS077</v>
      </c>
      <c r="BT41" s="21" t="str">
        <f>'Die Map'!BT41</f>
        <v>BS078</v>
      </c>
      <c r="BU41" s="22" t="str">
        <f>'Die Map'!BU41</f>
        <v>BS079</v>
      </c>
      <c r="BV41" s="22" t="str">
        <f>'Die Map'!BV41</f>
        <v>BS081</v>
      </c>
      <c r="BW41" s="22" t="str">
        <f>'Die Map'!BW41</f>
        <v>BS082</v>
      </c>
      <c r="BX41" s="23" t="str">
        <f>'Die Map'!BX41</f>
        <v>BS083</v>
      </c>
      <c r="BY41" s="21" t="str">
        <f>'Die Map'!BY41</f>
        <v>BS084</v>
      </c>
      <c r="BZ41" s="22" t="str">
        <f>'Die Map'!BZ41</f>
        <v>BS085</v>
      </c>
      <c r="CA41" s="22" t="str">
        <f>'Die Map'!CA41</f>
        <v>BS086</v>
      </c>
      <c r="CB41" s="22" t="str">
        <f>'Die Map'!CB41</f>
        <v>BS087</v>
      </c>
      <c r="CC41" s="23" t="str">
        <f>'Die Map'!CC41</f>
        <v>BS088</v>
      </c>
      <c r="CD41" s="21" t="str">
        <f>'Die Map'!CD41</f>
        <v>BS089</v>
      </c>
      <c r="CE41" s="22" t="str">
        <f>'Die Map'!CE41</f>
        <v>BS091</v>
      </c>
      <c r="CF41" s="22" t="str">
        <f>'Die Map'!CF41</f>
        <v>BS092</v>
      </c>
      <c r="CG41" s="22" t="str">
        <f>'Die Map'!CG41</f>
        <v>BS093</v>
      </c>
      <c r="CH41" s="23" t="str">
        <f>'Die Map'!CH41</f>
        <v>BS094</v>
      </c>
      <c r="CI41" s="21" t="str">
        <f>'Die Map'!CI41</f>
        <v>BS095</v>
      </c>
      <c r="CJ41" s="22" t="str">
        <f>'Die Map'!CJ41</f>
        <v>BS096</v>
      </c>
      <c r="CK41" s="22" t="str">
        <f>'Die Map'!CK41</f>
        <v>BS097</v>
      </c>
      <c r="CL41" s="22" t="str">
        <f>'Die Map'!CL41</f>
        <v>BS098</v>
      </c>
      <c r="CM41" s="23" t="str">
        <f>'Die Map'!CM41</f>
        <v>BS099</v>
      </c>
      <c r="CN41" s="21" t="str">
        <f>'Die Map'!CN41</f>
        <v>BS101</v>
      </c>
      <c r="CO41" s="22" t="str">
        <f>'Die Map'!CO41</f>
        <v>BS102</v>
      </c>
      <c r="CP41" s="22" t="str">
        <f>'Die Map'!CP41</f>
        <v>BS103</v>
      </c>
      <c r="CQ41" s="22" t="str">
        <f>'Die Map'!CQ41</f>
        <v>BS104</v>
      </c>
      <c r="CR41" s="23" t="str">
        <f>'Die Map'!CR41</f>
        <v>BS105</v>
      </c>
      <c r="CS41" s="21" t="str">
        <f>'Die Map'!CS41</f>
        <v>BS106</v>
      </c>
      <c r="CT41" s="22" t="str">
        <f>'Die Map'!CT41</f>
        <v>BS107</v>
      </c>
      <c r="CU41" s="22" t="str">
        <f>'Die Map'!CU41</f>
        <v>BS108</v>
      </c>
      <c r="CV41" s="22" t="str">
        <f>'Die Map'!CV41</f>
        <v>BS109</v>
      </c>
      <c r="CW41" s="23" t="str">
        <f>'Die Map'!CW41</f>
        <v>BS111</v>
      </c>
      <c r="CX41" s="21" t="str">
        <f>'Die Map'!CX41</f>
        <v/>
      </c>
      <c r="CY41" s="22" t="str">
        <f>'Die Map'!CY41</f>
        <v/>
      </c>
      <c r="CZ41" s="22" t="str">
        <f>'Die Map'!CZ41</f>
        <v/>
      </c>
      <c r="DA41" s="22" t="str">
        <f>'Die Map'!DA41</f>
        <v/>
      </c>
      <c r="DB41" s="23" t="str">
        <f>'Die Map'!DB41</f>
        <v/>
      </c>
    </row>
    <row r="42" spans="1:106" ht="12.75" customHeight="1" x14ac:dyDescent="0.25">
      <c r="A42" s="17">
        <v>40</v>
      </c>
      <c r="B42" s="24" t="str">
        <f>'Die Map'!B42</f>
        <v/>
      </c>
      <c r="C42" s="25" t="str">
        <f>'Die Map'!C42</f>
        <v/>
      </c>
      <c r="D42" s="25" t="str">
        <f>'Die Map'!D42</f>
        <v/>
      </c>
      <c r="E42" s="25" t="str">
        <f>'Die Map'!E42</f>
        <v/>
      </c>
      <c r="F42" s="26" t="str">
        <f>'Die Map'!F42</f>
        <v/>
      </c>
      <c r="G42" s="24" t="str">
        <f>'Die Map'!G42</f>
        <v>BT006</v>
      </c>
      <c r="H42" s="25" t="str">
        <f>'Die Map'!H42</f>
        <v>BT007</v>
      </c>
      <c r="I42" s="25" t="str">
        <f>'Die Map'!I42</f>
        <v>BT008</v>
      </c>
      <c r="J42" s="25" t="str">
        <f>'Die Map'!J42</f>
        <v>BT009</v>
      </c>
      <c r="K42" s="26" t="str">
        <f>'Die Map'!K42</f>
        <v>BT011</v>
      </c>
      <c r="L42" s="24" t="str">
        <f>'Die Map'!L42</f>
        <v>BT012</v>
      </c>
      <c r="M42" s="25" t="str">
        <f>'Die Map'!M42</f>
        <v>BT013</v>
      </c>
      <c r="N42" s="25" t="str">
        <f>'Die Map'!N42</f>
        <v>BT014</v>
      </c>
      <c r="O42" s="25" t="str">
        <f>'Die Map'!O42</f>
        <v>BT015</v>
      </c>
      <c r="P42" s="26" t="str">
        <f>'Die Map'!P42</f>
        <v>BT016</v>
      </c>
      <c r="Q42" s="24" t="str">
        <f>'Die Map'!Q42</f>
        <v>BT017</v>
      </c>
      <c r="R42" s="25" t="str">
        <f>'Die Map'!R42</f>
        <v>BT018</v>
      </c>
      <c r="S42" s="25" t="str">
        <f>'Die Map'!S42</f>
        <v>BT019</v>
      </c>
      <c r="T42" s="25" t="str">
        <f>'Die Map'!T42</f>
        <v>BT021</v>
      </c>
      <c r="U42" s="26" t="str">
        <f>'Die Map'!U42</f>
        <v>BT022</v>
      </c>
      <c r="V42" s="24" t="str">
        <f>'Die Map'!V42</f>
        <v>BT023</v>
      </c>
      <c r="W42" s="25" t="str">
        <f>'Die Map'!W42</f>
        <v>BT024</v>
      </c>
      <c r="X42" s="25" t="str">
        <f>'Die Map'!X42</f>
        <v>BT025</v>
      </c>
      <c r="Y42" s="25" t="str">
        <f>'Die Map'!Y42</f>
        <v>BT026</v>
      </c>
      <c r="Z42" s="26" t="str">
        <f>'Die Map'!Z42</f>
        <v>BT027</v>
      </c>
      <c r="AA42" s="24" t="str">
        <f>'Die Map'!AA42</f>
        <v>BT028</v>
      </c>
      <c r="AB42" s="25" t="str">
        <f>'Die Map'!AB42</f>
        <v>BT029</v>
      </c>
      <c r="AC42" s="25" t="str">
        <f>'Die Map'!AC42</f>
        <v>BT031</v>
      </c>
      <c r="AD42" s="25" t="str">
        <f>'Die Map'!AD42</f>
        <v>BT032</v>
      </c>
      <c r="AE42" s="26" t="str">
        <f>'Die Map'!AE42</f>
        <v>BT033</v>
      </c>
      <c r="AF42" s="24" t="str">
        <f>'Die Map'!AF42</f>
        <v>BT034</v>
      </c>
      <c r="AG42" s="25" t="str">
        <f>'Die Map'!AG42</f>
        <v>BT035</v>
      </c>
      <c r="AH42" s="25" t="str">
        <f>'Die Map'!AH42</f>
        <v>BT036</v>
      </c>
      <c r="AI42" s="25" t="str">
        <f>'Die Map'!AI42</f>
        <v>BT037</v>
      </c>
      <c r="AJ42" s="26" t="str">
        <f>'Die Map'!AJ42</f>
        <v>BT038</v>
      </c>
      <c r="AK42" s="24" t="str">
        <f>'Die Map'!AK42</f>
        <v>BT039</v>
      </c>
      <c r="AL42" s="25" t="str">
        <f>'Die Map'!AL42</f>
        <v>BT041</v>
      </c>
      <c r="AM42" s="25" t="str">
        <f>'Die Map'!AM42</f>
        <v>BT042</v>
      </c>
      <c r="AN42" s="25" t="str">
        <f>'Die Map'!AN42</f>
        <v>BT043</v>
      </c>
      <c r="AO42" s="26" t="str">
        <f>'Die Map'!AO42</f>
        <v>BT044</v>
      </c>
      <c r="AP42" s="24" t="str">
        <f>'Die Map'!AP42</f>
        <v>BT045</v>
      </c>
      <c r="AQ42" s="25" t="str">
        <f>'Die Map'!AQ42</f>
        <v>BT046</v>
      </c>
      <c r="AR42" s="25" t="str">
        <f>'Die Map'!AR42</f>
        <v>BT047</v>
      </c>
      <c r="AS42" s="25" t="str">
        <f>'Die Map'!AS42</f>
        <v>BT048</v>
      </c>
      <c r="AT42" s="26" t="str">
        <f>'Die Map'!AT42</f>
        <v>BT049</v>
      </c>
      <c r="AU42" s="24" t="str">
        <f>'Die Map'!AU42</f>
        <v>BT051</v>
      </c>
      <c r="AV42" s="25" t="str">
        <f>'Die Map'!AV42</f>
        <v>BT052</v>
      </c>
      <c r="AW42" s="25" t="str">
        <f>'Die Map'!AW42</f>
        <v>BT053</v>
      </c>
      <c r="AX42" s="25" t="str">
        <f>'Die Map'!AX42</f>
        <v>BT054</v>
      </c>
      <c r="AY42" s="26" t="str">
        <f>'Die Map'!AY42</f>
        <v>BT055</v>
      </c>
      <c r="AZ42" s="24" t="str">
        <f>'Die Map'!AZ42</f>
        <v>BT056</v>
      </c>
      <c r="BA42" s="25" t="str">
        <f>'Die Map'!BA42</f>
        <v>BT057</v>
      </c>
      <c r="BB42" s="25" t="str">
        <f>'Die Map'!BB42</f>
        <v>BT058</v>
      </c>
      <c r="BC42" s="25" t="str">
        <f>'Die Map'!BC42</f>
        <v>BT059</v>
      </c>
      <c r="BD42" s="26" t="str">
        <f>'Die Map'!BD42</f>
        <v>BT061</v>
      </c>
      <c r="BE42" s="24" t="str">
        <f>'Die Map'!BE42</f>
        <v>BT062</v>
      </c>
      <c r="BF42" s="25" t="str">
        <f>'Die Map'!BF42</f>
        <v>BT063</v>
      </c>
      <c r="BG42" s="25" t="str">
        <f>'Die Map'!BG42</f>
        <v>BT064</v>
      </c>
      <c r="BH42" s="25" t="str">
        <f>'Die Map'!BH42</f>
        <v>BT065</v>
      </c>
      <c r="BI42" s="26" t="str">
        <f>'Die Map'!BI42</f>
        <v>BT066</v>
      </c>
      <c r="BJ42" s="24" t="str">
        <f>'Die Map'!BJ42</f>
        <v>BT067</v>
      </c>
      <c r="BK42" s="25" t="str">
        <f>'Die Map'!BK42</f>
        <v>BT068</v>
      </c>
      <c r="BL42" s="25" t="str">
        <f>'Die Map'!BL42</f>
        <v>BT069</v>
      </c>
      <c r="BM42" s="25" t="str">
        <f>'Die Map'!BM42</f>
        <v>BT071</v>
      </c>
      <c r="BN42" s="26" t="str">
        <f>'Die Map'!BN42</f>
        <v>BT072</v>
      </c>
      <c r="BO42" s="24" t="str">
        <f>'Die Map'!BO42</f>
        <v>BT073</v>
      </c>
      <c r="BP42" s="25" t="str">
        <f>'Die Map'!BP42</f>
        <v>BT074</v>
      </c>
      <c r="BQ42" s="25" t="str">
        <f>'Die Map'!BQ42</f>
        <v>BT075</v>
      </c>
      <c r="BR42" s="25" t="str">
        <f>'Die Map'!BR42</f>
        <v>BT076</v>
      </c>
      <c r="BS42" s="26" t="str">
        <f>'Die Map'!BS42</f>
        <v>BT077</v>
      </c>
      <c r="BT42" s="24" t="str">
        <f>'Die Map'!BT42</f>
        <v>BT078</v>
      </c>
      <c r="BU42" s="25" t="str">
        <f>'Die Map'!BU42</f>
        <v>BT079</v>
      </c>
      <c r="BV42" s="25" t="str">
        <f>'Die Map'!BV42</f>
        <v>BT081</v>
      </c>
      <c r="BW42" s="25" t="str">
        <f>'Die Map'!BW42</f>
        <v>BT082</v>
      </c>
      <c r="BX42" s="26" t="str">
        <f>'Die Map'!BX42</f>
        <v>BT083</v>
      </c>
      <c r="BY42" s="24" t="str">
        <f>'Die Map'!BY42</f>
        <v>BT084</v>
      </c>
      <c r="BZ42" s="25" t="str">
        <f>'Die Map'!BZ42</f>
        <v>BT085</v>
      </c>
      <c r="CA42" s="25" t="str">
        <f>'Die Map'!CA42</f>
        <v>BT086</v>
      </c>
      <c r="CB42" s="25" t="str">
        <f>'Die Map'!CB42</f>
        <v>BT087</v>
      </c>
      <c r="CC42" s="26" t="str">
        <f>'Die Map'!CC42</f>
        <v>BT088</v>
      </c>
      <c r="CD42" s="24" t="str">
        <f>'Die Map'!CD42</f>
        <v>BT089</v>
      </c>
      <c r="CE42" s="25" t="str">
        <f>'Die Map'!CE42</f>
        <v>BT091</v>
      </c>
      <c r="CF42" s="25" t="str">
        <f>'Die Map'!CF42</f>
        <v>BT092</v>
      </c>
      <c r="CG42" s="25" t="str">
        <f>'Die Map'!CG42</f>
        <v>BT093</v>
      </c>
      <c r="CH42" s="26" t="str">
        <f>'Die Map'!CH42</f>
        <v>BT094</v>
      </c>
      <c r="CI42" s="24" t="str">
        <f>'Die Map'!CI42</f>
        <v>BT095</v>
      </c>
      <c r="CJ42" s="25" t="str">
        <f>'Die Map'!CJ42</f>
        <v>BT096</v>
      </c>
      <c r="CK42" s="25" t="str">
        <f>'Die Map'!CK42</f>
        <v>BT097</v>
      </c>
      <c r="CL42" s="25" t="str">
        <f>'Die Map'!CL42</f>
        <v>BT098</v>
      </c>
      <c r="CM42" s="26" t="str">
        <f>'Die Map'!CM42</f>
        <v>BT099</v>
      </c>
      <c r="CN42" s="24" t="str">
        <f>'Die Map'!CN42</f>
        <v>BT101</v>
      </c>
      <c r="CO42" s="25" t="str">
        <f>'Die Map'!CO42</f>
        <v>BT102</v>
      </c>
      <c r="CP42" s="25" t="str">
        <f>'Die Map'!CP42</f>
        <v>BT103</v>
      </c>
      <c r="CQ42" s="25" t="str">
        <f>'Die Map'!CQ42</f>
        <v>BT104</v>
      </c>
      <c r="CR42" s="26" t="str">
        <f>'Die Map'!CR42</f>
        <v>BT105</v>
      </c>
      <c r="CS42" s="24" t="str">
        <f>'Die Map'!CS42</f>
        <v>BT106</v>
      </c>
      <c r="CT42" s="25" t="str">
        <f>'Die Map'!CT42</f>
        <v>BT107</v>
      </c>
      <c r="CU42" s="25" t="str">
        <f>'Die Map'!CU42</f>
        <v>BT108</v>
      </c>
      <c r="CV42" s="25" t="str">
        <f>'Die Map'!CV42</f>
        <v>BT109</v>
      </c>
      <c r="CW42" s="26" t="str">
        <f>'Die Map'!CW42</f>
        <v>BT111</v>
      </c>
      <c r="CX42" s="24" t="str">
        <f>'Die Map'!CX42</f>
        <v/>
      </c>
      <c r="CY42" s="25" t="str">
        <f>'Die Map'!CY42</f>
        <v/>
      </c>
      <c r="CZ42" s="25" t="str">
        <f>'Die Map'!CZ42</f>
        <v/>
      </c>
      <c r="DA42" s="25" t="str">
        <f>'Die Map'!DA42</f>
        <v/>
      </c>
      <c r="DB42" s="26" t="str">
        <f>'Die Map'!DB42</f>
        <v/>
      </c>
    </row>
    <row r="43" spans="1:106" ht="12.75" customHeight="1" x14ac:dyDescent="0.25">
      <c r="A43" s="17">
        <v>41</v>
      </c>
      <c r="B43" s="18" t="str">
        <f>'Die Map'!B43</f>
        <v/>
      </c>
      <c r="C43" s="19" t="str">
        <f>'Die Map'!C43</f>
        <v/>
      </c>
      <c r="D43" s="19" t="str">
        <f>'Die Map'!D43</f>
        <v/>
      </c>
      <c r="E43" s="19" t="str">
        <f>'Die Map'!E43</f>
        <v/>
      </c>
      <c r="F43" s="20" t="str">
        <f>'Die Map'!F43</f>
        <v/>
      </c>
      <c r="G43" s="18" t="str">
        <f>'Die Map'!G43</f>
        <v>BU006</v>
      </c>
      <c r="H43" s="19" t="str">
        <f>'Die Map'!H43</f>
        <v>BU007</v>
      </c>
      <c r="I43" s="19" t="str">
        <f>'Die Map'!I43</f>
        <v>BU008</v>
      </c>
      <c r="J43" s="19" t="str">
        <f>'Die Map'!J43</f>
        <v>BU009</v>
      </c>
      <c r="K43" s="20" t="str">
        <f>'Die Map'!K43</f>
        <v>BU011</v>
      </c>
      <c r="L43" s="18" t="str">
        <f>'Die Map'!L43</f>
        <v>BU012</v>
      </c>
      <c r="M43" s="19" t="str">
        <f>'Die Map'!M43</f>
        <v>BU013</v>
      </c>
      <c r="N43" s="19" t="str">
        <f>'Die Map'!N43</f>
        <v>BU014</v>
      </c>
      <c r="O43" s="19" t="str">
        <f>'Die Map'!O43</f>
        <v>BU015</v>
      </c>
      <c r="P43" s="20" t="str">
        <f>'Die Map'!P43</f>
        <v>BU016</v>
      </c>
      <c r="Q43" s="18" t="str">
        <f>'Die Map'!Q43</f>
        <v>BU017</v>
      </c>
      <c r="R43" s="19" t="str">
        <f>'Die Map'!R43</f>
        <v>BU018</v>
      </c>
      <c r="S43" s="19" t="str">
        <f>'Die Map'!S43</f>
        <v>BU019</v>
      </c>
      <c r="T43" s="19" t="str">
        <f>'Die Map'!T43</f>
        <v>BU021</v>
      </c>
      <c r="U43" s="20" t="str">
        <f>'Die Map'!U43</f>
        <v>BU022</v>
      </c>
      <c r="V43" s="18" t="str">
        <f>'Die Map'!V43</f>
        <v>BU023</v>
      </c>
      <c r="W43" s="19" t="str">
        <f>'Die Map'!W43</f>
        <v>BU024</v>
      </c>
      <c r="X43" s="19" t="str">
        <f>'Die Map'!X43</f>
        <v>BU025</v>
      </c>
      <c r="Y43" s="19" t="str">
        <f>'Die Map'!Y43</f>
        <v>BU026</v>
      </c>
      <c r="Z43" s="20" t="str">
        <f>'Die Map'!Z43</f>
        <v>BU027</v>
      </c>
      <c r="AA43" s="18" t="str">
        <f>'Die Map'!AA43</f>
        <v>BU028</v>
      </c>
      <c r="AB43" s="19" t="str">
        <f>'Die Map'!AB43</f>
        <v>BU029</v>
      </c>
      <c r="AC43" s="19" t="str">
        <f>'Die Map'!AC43</f>
        <v>BU031</v>
      </c>
      <c r="AD43" s="19" t="str">
        <f>'Die Map'!AD43</f>
        <v>BU032</v>
      </c>
      <c r="AE43" s="20" t="str">
        <f>'Die Map'!AE43</f>
        <v>BU033</v>
      </c>
      <c r="AF43" s="18" t="str">
        <f>'Die Map'!AF43</f>
        <v>BU034</v>
      </c>
      <c r="AG43" s="19" t="str">
        <f>'Die Map'!AG43</f>
        <v>BU035</v>
      </c>
      <c r="AH43" s="19" t="str">
        <f>'Die Map'!AH43</f>
        <v>BU036</v>
      </c>
      <c r="AI43" s="19" t="str">
        <f>'Die Map'!AI43</f>
        <v>BU037</v>
      </c>
      <c r="AJ43" s="20" t="str">
        <f>'Die Map'!AJ43</f>
        <v>BU038</v>
      </c>
      <c r="AK43" s="18" t="str">
        <f>'Die Map'!AK43</f>
        <v>BU039</v>
      </c>
      <c r="AL43" s="19" t="str">
        <f>'Die Map'!AL43</f>
        <v>BU041</v>
      </c>
      <c r="AM43" s="19" t="str">
        <f>'Die Map'!AM43</f>
        <v>BU042</v>
      </c>
      <c r="AN43" s="19" t="str">
        <f>'Die Map'!AN43</f>
        <v>BU043</v>
      </c>
      <c r="AO43" s="20" t="str">
        <f>'Die Map'!AO43</f>
        <v>BU044</v>
      </c>
      <c r="AP43" s="18" t="str">
        <f>'Die Map'!AP43</f>
        <v>BU045</v>
      </c>
      <c r="AQ43" s="19" t="str">
        <f>'Die Map'!AQ43</f>
        <v>BU046</v>
      </c>
      <c r="AR43" s="19" t="str">
        <f>'Die Map'!AR43</f>
        <v>BU047</v>
      </c>
      <c r="AS43" s="19" t="str">
        <f>'Die Map'!AS43</f>
        <v>BU048</v>
      </c>
      <c r="AT43" s="20" t="str">
        <f>'Die Map'!AT43</f>
        <v>BU049</v>
      </c>
      <c r="AU43" s="18" t="str">
        <f>'Die Map'!AU43</f>
        <v>BU051</v>
      </c>
      <c r="AV43" s="19" t="str">
        <f>'Die Map'!AV43</f>
        <v>BU052</v>
      </c>
      <c r="AW43" s="19" t="str">
        <f>'Die Map'!AW43</f>
        <v>BU053</v>
      </c>
      <c r="AX43" s="19" t="str">
        <f>'Die Map'!AX43</f>
        <v>BU054</v>
      </c>
      <c r="AY43" s="20" t="str">
        <f>'Die Map'!AY43</f>
        <v>BU055</v>
      </c>
      <c r="AZ43" s="18" t="str">
        <f>'Die Map'!AZ43</f>
        <v>BU056</v>
      </c>
      <c r="BA43" s="19" t="str">
        <f>'Die Map'!BA43</f>
        <v>BU057</v>
      </c>
      <c r="BB43" s="19" t="str">
        <f>'Die Map'!BB43</f>
        <v>BU058</v>
      </c>
      <c r="BC43" s="19" t="str">
        <f>'Die Map'!BC43</f>
        <v>BU059</v>
      </c>
      <c r="BD43" s="20" t="str">
        <f>'Die Map'!BD43</f>
        <v>BU061</v>
      </c>
      <c r="BE43" s="18" t="str">
        <f>'Die Map'!BE43</f>
        <v>BU062</v>
      </c>
      <c r="BF43" s="19" t="str">
        <f>'Die Map'!BF43</f>
        <v>BU063</v>
      </c>
      <c r="BG43" s="19" t="str">
        <f>'Die Map'!BG43</f>
        <v>BU064</v>
      </c>
      <c r="BH43" s="19" t="str">
        <f>'Die Map'!BH43</f>
        <v>BU065</v>
      </c>
      <c r="BI43" s="20" t="str">
        <f>'Die Map'!BI43</f>
        <v>BU066</v>
      </c>
      <c r="BJ43" s="18" t="str">
        <f>'Die Map'!BJ43</f>
        <v>BU067</v>
      </c>
      <c r="BK43" s="19" t="str">
        <f>'Die Map'!BK43</f>
        <v>BU068</v>
      </c>
      <c r="BL43" s="19" t="str">
        <f>'Die Map'!BL43</f>
        <v>BU069</v>
      </c>
      <c r="BM43" s="19" t="str">
        <f>'Die Map'!BM43</f>
        <v>BU071</v>
      </c>
      <c r="BN43" s="20" t="str">
        <f>'Die Map'!BN43</f>
        <v>BU072</v>
      </c>
      <c r="BO43" s="18" t="str">
        <f>'Die Map'!BO43</f>
        <v>BU073</v>
      </c>
      <c r="BP43" s="19" t="str">
        <f>'Die Map'!BP43</f>
        <v>BU074</v>
      </c>
      <c r="BQ43" s="19" t="str">
        <f>'Die Map'!BQ43</f>
        <v>BU075</v>
      </c>
      <c r="BR43" s="19" t="str">
        <f>'Die Map'!BR43</f>
        <v>BU076</v>
      </c>
      <c r="BS43" s="20" t="str">
        <f>'Die Map'!BS43</f>
        <v>BU077</v>
      </c>
      <c r="BT43" s="18" t="str">
        <f>'Die Map'!BT43</f>
        <v>BU078</v>
      </c>
      <c r="BU43" s="19" t="str">
        <f>'Die Map'!BU43</f>
        <v>BU079</v>
      </c>
      <c r="BV43" s="19" t="str">
        <f>'Die Map'!BV43</f>
        <v>BU081</v>
      </c>
      <c r="BW43" s="19" t="str">
        <f>'Die Map'!BW43</f>
        <v>BU082</v>
      </c>
      <c r="BX43" s="20" t="str">
        <f>'Die Map'!BX43</f>
        <v>BU083</v>
      </c>
      <c r="BY43" s="18" t="str">
        <f>'Die Map'!BY43</f>
        <v>BU084</v>
      </c>
      <c r="BZ43" s="19" t="str">
        <f>'Die Map'!BZ43</f>
        <v>BU085</v>
      </c>
      <c r="CA43" s="19" t="str">
        <f>'Die Map'!CA43</f>
        <v>BU086</v>
      </c>
      <c r="CB43" s="19" t="str">
        <f>'Die Map'!CB43</f>
        <v>BU087</v>
      </c>
      <c r="CC43" s="20" t="str">
        <f>'Die Map'!CC43</f>
        <v>BU088</v>
      </c>
      <c r="CD43" s="18" t="str">
        <f>'Die Map'!CD43</f>
        <v>BU089</v>
      </c>
      <c r="CE43" s="19" t="str">
        <f>'Die Map'!CE43</f>
        <v>BU091</v>
      </c>
      <c r="CF43" s="19" t="str">
        <f>'Die Map'!CF43</f>
        <v>BU092</v>
      </c>
      <c r="CG43" s="19" t="str">
        <f>'Die Map'!CG43</f>
        <v>BU093</v>
      </c>
      <c r="CH43" s="20" t="str">
        <f>'Die Map'!CH43</f>
        <v>BU094</v>
      </c>
      <c r="CI43" s="18" t="str">
        <f>'Die Map'!CI43</f>
        <v>BU095</v>
      </c>
      <c r="CJ43" s="19" t="str">
        <f>'Die Map'!CJ43</f>
        <v>BU096</v>
      </c>
      <c r="CK43" s="19" t="str">
        <f>'Die Map'!CK43</f>
        <v>BU097</v>
      </c>
      <c r="CL43" s="19" t="str">
        <f>'Die Map'!CL43</f>
        <v>BU098</v>
      </c>
      <c r="CM43" s="20" t="str">
        <f>'Die Map'!CM43</f>
        <v>BU099</v>
      </c>
      <c r="CN43" s="18" t="str">
        <f>'Die Map'!CN43</f>
        <v>BU101</v>
      </c>
      <c r="CO43" s="19" t="str">
        <f>'Die Map'!CO43</f>
        <v>BU102</v>
      </c>
      <c r="CP43" s="19" t="str">
        <f>'Die Map'!CP43</f>
        <v>BU103</v>
      </c>
      <c r="CQ43" s="19" t="str">
        <f>'Die Map'!CQ43</f>
        <v>BU104</v>
      </c>
      <c r="CR43" s="20" t="str">
        <f>'Die Map'!CR43</f>
        <v>BU105</v>
      </c>
      <c r="CS43" s="18" t="str">
        <f>'Die Map'!CS43</f>
        <v>BU106</v>
      </c>
      <c r="CT43" s="19" t="str">
        <f>'Die Map'!CT43</f>
        <v>BU107</v>
      </c>
      <c r="CU43" s="19" t="str">
        <f>'Die Map'!CU43</f>
        <v>BU108</v>
      </c>
      <c r="CV43" s="19" t="str">
        <f>'Die Map'!CV43</f>
        <v>BU109</v>
      </c>
      <c r="CW43" s="20" t="str">
        <f>'Die Map'!CW43</f>
        <v>BU111</v>
      </c>
      <c r="CX43" s="18" t="str">
        <f>'Die Map'!CX43</f>
        <v/>
      </c>
      <c r="CY43" s="19" t="str">
        <f>'Die Map'!CY43</f>
        <v/>
      </c>
      <c r="CZ43" s="19" t="str">
        <f>'Die Map'!CZ43</f>
        <v/>
      </c>
      <c r="DA43" s="19" t="str">
        <f>'Die Map'!DA43</f>
        <v/>
      </c>
      <c r="DB43" s="20" t="str">
        <f>'Die Map'!DB43</f>
        <v/>
      </c>
    </row>
    <row r="44" spans="1:106" ht="12.75" customHeight="1" x14ac:dyDescent="0.25">
      <c r="A44" s="17">
        <v>42</v>
      </c>
      <c r="B44" s="21" t="str">
        <f>'Die Map'!B44</f>
        <v/>
      </c>
      <c r="C44" s="22" t="str">
        <f>'Die Map'!C44</f>
        <v/>
      </c>
      <c r="D44" s="22" t="str">
        <f>'Die Map'!D44</f>
        <v/>
      </c>
      <c r="E44" s="22" t="str">
        <f>'Die Map'!E44</f>
        <v/>
      </c>
      <c r="F44" s="23" t="str">
        <f>'Die Map'!F44</f>
        <v/>
      </c>
      <c r="G44" s="21" t="str">
        <f>'Die Map'!G44</f>
        <v>BV006</v>
      </c>
      <c r="H44" s="22" t="str">
        <f>'Die Map'!H44</f>
        <v>BV007</v>
      </c>
      <c r="I44" s="22" t="str">
        <f>'Die Map'!I44</f>
        <v>BV008</v>
      </c>
      <c r="J44" s="22" t="str">
        <f>'Die Map'!J44</f>
        <v>BV009</v>
      </c>
      <c r="K44" s="23" t="str">
        <f>'Die Map'!K44</f>
        <v>BV011</v>
      </c>
      <c r="L44" s="21" t="str">
        <f>'Die Map'!L44</f>
        <v>BV012</v>
      </c>
      <c r="M44" s="22" t="str">
        <f>'Die Map'!M44</f>
        <v>BV013</v>
      </c>
      <c r="N44" s="22" t="str">
        <f>'Die Map'!N44</f>
        <v>BV014</v>
      </c>
      <c r="O44" s="22" t="str">
        <f>'Die Map'!O44</f>
        <v>BV015</v>
      </c>
      <c r="P44" s="23" t="str">
        <f>'Die Map'!P44</f>
        <v>BV016</v>
      </c>
      <c r="Q44" s="21" t="str">
        <f>'Die Map'!Q44</f>
        <v>BV017</v>
      </c>
      <c r="R44" s="22" t="str">
        <f>'Die Map'!R44</f>
        <v>BV018</v>
      </c>
      <c r="S44" s="22" t="str">
        <f>'Die Map'!S44</f>
        <v>BV019</v>
      </c>
      <c r="T44" s="22" t="str">
        <f>'Die Map'!T44</f>
        <v>BV021</v>
      </c>
      <c r="U44" s="23" t="str">
        <f>'Die Map'!U44</f>
        <v>BV022</v>
      </c>
      <c r="V44" s="21" t="str">
        <f>'Die Map'!V44</f>
        <v>BV023</v>
      </c>
      <c r="W44" s="22" t="str">
        <f>'Die Map'!W44</f>
        <v>BV024</v>
      </c>
      <c r="X44" s="22" t="str">
        <f>'Die Map'!X44</f>
        <v>BV025</v>
      </c>
      <c r="Y44" s="22" t="str">
        <f>'Die Map'!Y44</f>
        <v>BV026</v>
      </c>
      <c r="Z44" s="23" t="str">
        <f>'Die Map'!Z44</f>
        <v>BV027</v>
      </c>
      <c r="AA44" s="21" t="str">
        <f>'Die Map'!AA44</f>
        <v>BV028</v>
      </c>
      <c r="AB44" s="22" t="str">
        <f>'Die Map'!AB44</f>
        <v>BV029</v>
      </c>
      <c r="AC44" s="22" t="str">
        <f>'Die Map'!AC44</f>
        <v>BV031</v>
      </c>
      <c r="AD44" s="22" t="str">
        <f>'Die Map'!AD44</f>
        <v>BV032</v>
      </c>
      <c r="AE44" s="23" t="str">
        <f>'Die Map'!AE44</f>
        <v>BV033</v>
      </c>
      <c r="AF44" s="21" t="str">
        <f>'Die Map'!AF44</f>
        <v>BV034</v>
      </c>
      <c r="AG44" s="22" t="str">
        <f>'Die Map'!AG44</f>
        <v>BV035</v>
      </c>
      <c r="AH44" s="22" t="str">
        <f>'Die Map'!AH44</f>
        <v>BV036</v>
      </c>
      <c r="AI44" s="22" t="str">
        <f>'Die Map'!AI44</f>
        <v>BV037</v>
      </c>
      <c r="AJ44" s="23" t="str">
        <f>'Die Map'!AJ44</f>
        <v>BV038</v>
      </c>
      <c r="AK44" s="21" t="str">
        <f>'Die Map'!AK44</f>
        <v>BV039</v>
      </c>
      <c r="AL44" s="22" t="str">
        <f>'Die Map'!AL44</f>
        <v>BV041</v>
      </c>
      <c r="AM44" s="22" t="str">
        <f>'Die Map'!AM44</f>
        <v>BV042</v>
      </c>
      <c r="AN44" s="22" t="str">
        <f>'Die Map'!AN44</f>
        <v>BV043</v>
      </c>
      <c r="AO44" s="23" t="str">
        <f>'Die Map'!AO44</f>
        <v>BV044</v>
      </c>
      <c r="AP44" s="21" t="str">
        <f>'Die Map'!AP44</f>
        <v>BV045</v>
      </c>
      <c r="AQ44" s="22" t="str">
        <f>'Die Map'!AQ44</f>
        <v>BV046</v>
      </c>
      <c r="AR44" s="22" t="str">
        <f>'Die Map'!AR44</f>
        <v>BV047</v>
      </c>
      <c r="AS44" s="22" t="str">
        <f>'Die Map'!AS44</f>
        <v>BV048</v>
      </c>
      <c r="AT44" s="23" t="str">
        <f>'Die Map'!AT44</f>
        <v>BV049</v>
      </c>
      <c r="AU44" s="21" t="str">
        <f>'Die Map'!AU44</f>
        <v>BV051</v>
      </c>
      <c r="AV44" s="22" t="str">
        <f>'Die Map'!AV44</f>
        <v>BV052</v>
      </c>
      <c r="AW44" s="22" t="str">
        <f>'Die Map'!AW44</f>
        <v>BV053</v>
      </c>
      <c r="AX44" s="22" t="str">
        <f>'Die Map'!AX44</f>
        <v>BV054</v>
      </c>
      <c r="AY44" s="23" t="str">
        <f>'Die Map'!AY44</f>
        <v>BV055</v>
      </c>
      <c r="AZ44" s="21" t="str">
        <f>'Die Map'!AZ44</f>
        <v>BV056</v>
      </c>
      <c r="BA44" s="22" t="str">
        <f>'Die Map'!BA44</f>
        <v>BV057</v>
      </c>
      <c r="BB44" s="22" t="str">
        <f>'Die Map'!BB44</f>
        <v>BV058</v>
      </c>
      <c r="BC44" s="22" t="str">
        <f>'Die Map'!BC44</f>
        <v>BV059</v>
      </c>
      <c r="BD44" s="23" t="str">
        <f>'Die Map'!BD44</f>
        <v>BV061</v>
      </c>
      <c r="BE44" s="21" t="str">
        <f>'Die Map'!BE44</f>
        <v>BV062</v>
      </c>
      <c r="BF44" s="22" t="str">
        <f>'Die Map'!BF44</f>
        <v>BV063</v>
      </c>
      <c r="BG44" s="22" t="str">
        <f>'Die Map'!BG44</f>
        <v>BV064</v>
      </c>
      <c r="BH44" s="22" t="str">
        <f>'Die Map'!BH44</f>
        <v>BV065</v>
      </c>
      <c r="BI44" s="23" t="str">
        <f>'Die Map'!BI44</f>
        <v>BV066</v>
      </c>
      <c r="BJ44" s="21" t="str">
        <f>'Die Map'!BJ44</f>
        <v>BV067</v>
      </c>
      <c r="BK44" s="22" t="str">
        <f>'Die Map'!BK44</f>
        <v>BV068</v>
      </c>
      <c r="BL44" s="22" t="str">
        <f>'Die Map'!BL44</f>
        <v>BV069</v>
      </c>
      <c r="BM44" s="22" t="str">
        <f>'Die Map'!BM44</f>
        <v>BV071</v>
      </c>
      <c r="BN44" s="23" t="str">
        <f>'Die Map'!BN44</f>
        <v>BV072</v>
      </c>
      <c r="BO44" s="21" t="str">
        <f>'Die Map'!BO44</f>
        <v>BV073</v>
      </c>
      <c r="BP44" s="22" t="str">
        <f>'Die Map'!BP44</f>
        <v>BV074</v>
      </c>
      <c r="BQ44" s="22" t="str">
        <f>'Die Map'!BQ44</f>
        <v>BV075</v>
      </c>
      <c r="BR44" s="22" t="str">
        <f>'Die Map'!BR44</f>
        <v>BV076</v>
      </c>
      <c r="BS44" s="23" t="str">
        <f>'Die Map'!BS44</f>
        <v>BV077</v>
      </c>
      <c r="BT44" s="21" t="str">
        <f>'Die Map'!BT44</f>
        <v>BV078</v>
      </c>
      <c r="BU44" s="22" t="str">
        <f>'Die Map'!BU44</f>
        <v>BV079</v>
      </c>
      <c r="BV44" s="22" t="str">
        <f>'Die Map'!BV44</f>
        <v>BV081</v>
      </c>
      <c r="BW44" s="22" t="str">
        <f>'Die Map'!BW44</f>
        <v>BV082</v>
      </c>
      <c r="BX44" s="23" t="str">
        <f>'Die Map'!BX44</f>
        <v>BV083</v>
      </c>
      <c r="BY44" s="21" t="str">
        <f>'Die Map'!BY44</f>
        <v>BV084</v>
      </c>
      <c r="BZ44" s="22" t="str">
        <f>'Die Map'!BZ44</f>
        <v>BV085</v>
      </c>
      <c r="CA44" s="22" t="str">
        <f>'Die Map'!CA44</f>
        <v>BV086</v>
      </c>
      <c r="CB44" s="22" t="str">
        <f>'Die Map'!CB44</f>
        <v>BV087</v>
      </c>
      <c r="CC44" s="23" t="str">
        <f>'Die Map'!CC44</f>
        <v>BV088</v>
      </c>
      <c r="CD44" s="21" t="str">
        <f>'Die Map'!CD44</f>
        <v>BV089</v>
      </c>
      <c r="CE44" s="22" t="str">
        <f>'Die Map'!CE44</f>
        <v>BV091</v>
      </c>
      <c r="CF44" s="22" t="str">
        <f>'Die Map'!CF44</f>
        <v>BV092</v>
      </c>
      <c r="CG44" s="22" t="str">
        <f>'Die Map'!CG44</f>
        <v>BV093</v>
      </c>
      <c r="CH44" s="23" t="str">
        <f>'Die Map'!CH44</f>
        <v>BV094</v>
      </c>
      <c r="CI44" s="21" t="str">
        <f>'Die Map'!CI44</f>
        <v>BV095</v>
      </c>
      <c r="CJ44" s="22" t="str">
        <f>'Die Map'!CJ44</f>
        <v>BV096</v>
      </c>
      <c r="CK44" s="22" t="str">
        <f>'Die Map'!CK44</f>
        <v>BV097</v>
      </c>
      <c r="CL44" s="22" t="str">
        <f>'Die Map'!CL44</f>
        <v>BV098</v>
      </c>
      <c r="CM44" s="23" t="str">
        <f>'Die Map'!CM44</f>
        <v>BV099</v>
      </c>
      <c r="CN44" s="21" t="str">
        <f>'Die Map'!CN44</f>
        <v>BV101</v>
      </c>
      <c r="CO44" s="22" t="str">
        <f>'Die Map'!CO44</f>
        <v>BV102</v>
      </c>
      <c r="CP44" s="22" t="str">
        <f>'Die Map'!CP44</f>
        <v>BV103</v>
      </c>
      <c r="CQ44" s="22" t="str">
        <f>'Die Map'!CQ44</f>
        <v>BV104</v>
      </c>
      <c r="CR44" s="23" t="str">
        <f>'Die Map'!CR44</f>
        <v>BV105</v>
      </c>
      <c r="CS44" s="21" t="str">
        <f>'Die Map'!CS44</f>
        <v>BV106</v>
      </c>
      <c r="CT44" s="22" t="str">
        <f>'Die Map'!CT44</f>
        <v>BV107</v>
      </c>
      <c r="CU44" s="22" t="str">
        <f>'Die Map'!CU44</f>
        <v>BV108</v>
      </c>
      <c r="CV44" s="22" t="str">
        <f>'Die Map'!CV44</f>
        <v>BV109</v>
      </c>
      <c r="CW44" s="23" t="str">
        <f>'Die Map'!CW44</f>
        <v>BV111</v>
      </c>
      <c r="CX44" s="21" t="str">
        <f>'Die Map'!CX44</f>
        <v/>
      </c>
      <c r="CY44" s="22" t="str">
        <f>'Die Map'!CY44</f>
        <v/>
      </c>
      <c r="CZ44" s="22" t="str">
        <f>'Die Map'!CZ44</f>
        <v/>
      </c>
      <c r="DA44" s="22" t="str">
        <f>'Die Map'!DA44</f>
        <v/>
      </c>
      <c r="DB44" s="23" t="str">
        <f>'Die Map'!DB44</f>
        <v/>
      </c>
    </row>
    <row r="45" spans="1:106" ht="12.75" customHeight="1" x14ac:dyDescent="0.25">
      <c r="A45" s="17">
        <v>43</v>
      </c>
      <c r="B45" s="21" t="str">
        <f>'Die Map'!B45</f>
        <v/>
      </c>
      <c r="C45" s="22" t="str">
        <f>'Die Map'!C45</f>
        <v/>
      </c>
      <c r="D45" s="22" t="str">
        <f>'Die Map'!D45</f>
        <v/>
      </c>
      <c r="E45" s="22" t="str">
        <f>'Die Map'!E45</f>
        <v/>
      </c>
      <c r="F45" s="23" t="str">
        <f>'Die Map'!F45</f>
        <v/>
      </c>
      <c r="G45" s="21" t="str">
        <f>'Die Map'!G45</f>
        <v>BW006</v>
      </c>
      <c r="H45" s="22" t="str">
        <f>'Die Map'!H45</f>
        <v>BW007</v>
      </c>
      <c r="I45" s="22" t="str">
        <f>'Die Map'!I45</f>
        <v>BW008</v>
      </c>
      <c r="J45" s="22" t="str">
        <f>'Die Map'!J45</f>
        <v>BW009</v>
      </c>
      <c r="K45" s="23" t="str">
        <f>'Die Map'!K45</f>
        <v>BW011</v>
      </c>
      <c r="L45" s="21" t="str">
        <f>'Die Map'!L45</f>
        <v>BW012</v>
      </c>
      <c r="M45" s="22" t="str">
        <f>'Die Map'!M45</f>
        <v>BW013</v>
      </c>
      <c r="N45" s="22" t="str">
        <f>'Die Map'!N45</f>
        <v>BW014</v>
      </c>
      <c r="O45" s="22" t="str">
        <f>'Die Map'!O45</f>
        <v>BW015</v>
      </c>
      <c r="P45" s="23" t="str">
        <f>'Die Map'!P45</f>
        <v>BW016</v>
      </c>
      <c r="Q45" s="21" t="str">
        <f>'Die Map'!Q45</f>
        <v>BW017</v>
      </c>
      <c r="R45" s="22" t="str">
        <f>'Die Map'!R45</f>
        <v>BW018</v>
      </c>
      <c r="S45" s="22" t="str">
        <f>'Die Map'!S45</f>
        <v>BW019</v>
      </c>
      <c r="T45" s="22" t="str">
        <f>'Die Map'!T45</f>
        <v>BW021</v>
      </c>
      <c r="U45" s="23" t="str">
        <f>'Die Map'!U45</f>
        <v>BW022</v>
      </c>
      <c r="V45" s="21" t="str">
        <f>'Die Map'!V45</f>
        <v>BW023</v>
      </c>
      <c r="W45" s="22" t="str">
        <f>'Die Map'!W45</f>
        <v>BW024</v>
      </c>
      <c r="X45" s="22" t="str">
        <f>'Die Map'!X45</f>
        <v>BW025</v>
      </c>
      <c r="Y45" s="22" t="str">
        <f>'Die Map'!Y45</f>
        <v>BW026</v>
      </c>
      <c r="Z45" s="23" t="str">
        <f>'Die Map'!Z45</f>
        <v>BW027</v>
      </c>
      <c r="AA45" s="21" t="str">
        <f>'Die Map'!AA45</f>
        <v>BW028</v>
      </c>
      <c r="AB45" s="22" t="str">
        <f>'Die Map'!AB45</f>
        <v>BW029</v>
      </c>
      <c r="AC45" s="22" t="str">
        <f>'Die Map'!AC45</f>
        <v>BW031</v>
      </c>
      <c r="AD45" s="22" t="str">
        <f>'Die Map'!AD45</f>
        <v>BW032</v>
      </c>
      <c r="AE45" s="23" t="str">
        <f>'Die Map'!AE45</f>
        <v>BW033</v>
      </c>
      <c r="AF45" s="21" t="str">
        <f>'Die Map'!AF45</f>
        <v>BW034</v>
      </c>
      <c r="AG45" s="22" t="str">
        <f>'Die Map'!AG45</f>
        <v>BW035</v>
      </c>
      <c r="AH45" s="22" t="str">
        <f>'Die Map'!AH45</f>
        <v>BW036</v>
      </c>
      <c r="AI45" s="22" t="str">
        <f>'Die Map'!AI45</f>
        <v>BW037</v>
      </c>
      <c r="AJ45" s="23" t="str">
        <f>'Die Map'!AJ45</f>
        <v>BW038</v>
      </c>
      <c r="AK45" s="21" t="str">
        <f>'Die Map'!AK45</f>
        <v>BW039</v>
      </c>
      <c r="AL45" s="22" t="str">
        <f>'Die Map'!AL45</f>
        <v>BW041</v>
      </c>
      <c r="AM45" s="22" t="str">
        <f>'Die Map'!AM45</f>
        <v>BW042</v>
      </c>
      <c r="AN45" s="22" t="str">
        <f>'Die Map'!AN45</f>
        <v>BW043</v>
      </c>
      <c r="AO45" s="23" t="str">
        <f>'Die Map'!AO45</f>
        <v>BW044</v>
      </c>
      <c r="AP45" s="21" t="str">
        <f>'Die Map'!AP45</f>
        <v>BW045</v>
      </c>
      <c r="AQ45" s="22" t="str">
        <f>'Die Map'!AQ45</f>
        <v>BW046</v>
      </c>
      <c r="AR45" s="22" t="str">
        <f>'Die Map'!AR45</f>
        <v>BW047</v>
      </c>
      <c r="AS45" s="22" t="str">
        <f>'Die Map'!AS45</f>
        <v>BW048</v>
      </c>
      <c r="AT45" s="23" t="str">
        <f>'Die Map'!AT45</f>
        <v>BW049</v>
      </c>
      <c r="AU45" s="21" t="str">
        <f>'Die Map'!AU45</f>
        <v>BW051</v>
      </c>
      <c r="AV45" s="22" t="str">
        <f>'Die Map'!AV45</f>
        <v>BW052</v>
      </c>
      <c r="AW45" s="22" t="str">
        <f>'Die Map'!AW45</f>
        <v>BW053</v>
      </c>
      <c r="AX45" s="22" t="str">
        <f>'Die Map'!AX45</f>
        <v>BW054</v>
      </c>
      <c r="AY45" s="23" t="str">
        <f>'Die Map'!AY45</f>
        <v>BW055</v>
      </c>
      <c r="AZ45" s="21" t="str">
        <f>'Die Map'!AZ45</f>
        <v>BW056</v>
      </c>
      <c r="BA45" s="22" t="str">
        <f>'Die Map'!BA45</f>
        <v>BW057</v>
      </c>
      <c r="BB45" s="22" t="str">
        <f>'Die Map'!BB45</f>
        <v>BW058</v>
      </c>
      <c r="BC45" s="22" t="str">
        <f>'Die Map'!BC45</f>
        <v>BW059</v>
      </c>
      <c r="BD45" s="23" t="str">
        <f>'Die Map'!BD45</f>
        <v>BW061</v>
      </c>
      <c r="BE45" s="21" t="str">
        <f>'Die Map'!BE45</f>
        <v>BW062</v>
      </c>
      <c r="BF45" s="22" t="str">
        <f>'Die Map'!BF45</f>
        <v>BW063</v>
      </c>
      <c r="BG45" s="22" t="str">
        <f>'Die Map'!BG45</f>
        <v>BW064</v>
      </c>
      <c r="BH45" s="22" t="str">
        <f>'Die Map'!BH45</f>
        <v>BW065</v>
      </c>
      <c r="BI45" s="23" t="str">
        <f>'Die Map'!BI45</f>
        <v>BW066</v>
      </c>
      <c r="BJ45" s="21" t="str">
        <f>'Die Map'!BJ45</f>
        <v>BW067</v>
      </c>
      <c r="BK45" s="22" t="str">
        <f>'Die Map'!BK45</f>
        <v>BW068</v>
      </c>
      <c r="BL45" s="22" t="str">
        <f>'Die Map'!BL45</f>
        <v>BW069</v>
      </c>
      <c r="BM45" s="22" t="str">
        <f>'Die Map'!BM45</f>
        <v>BW071</v>
      </c>
      <c r="BN45" s="23" t="str">
        <f>'Die Map'!BN45</f>
        <v>BW072</v>
      </c>
      <c r="BO45" s="21" t="str">
        <f>'Die Map'!BO45</f>
        <v>BW073</v>
      </c>
      <c r="BP45" s="22" t="str">
        <f>'Die Map'!BP45</f>
        <v>BW074</v>
      </c>
      <c r="BQ45" s="22" t="str">
        <f>'Die Map'!BQ45</f>
        <v>BW075</v>
      </c>
      <c r="BR45" s="22" t="str">
        <f>'Die Map'!BR45</f>
        <v>BW076</v>
      </c>
      <c r="BS45" s="23" t="str">
        <f>'Die Map'!BS45</f>
        <v>BW077</v>
      </c>
      <c r="BT45" s="21" t="str">
        <f>'Die Map'!BT45</f>
        <v>BW078</v>
      </c>
      <c r="BU45" s="22" t="str">
        <f>'Die Map'!BU45</f>
        <v>BW079</v>
      </c>
      <c r="BV45" s="22" t="str">
        <f>'Die Map'!BV45</f>
        <v>BW081</v>
      </c>
      <c r="BW45" s="22" t="str">
        <f>'Die Map'!BW45</f>
        <v>BW082</v>
      </c>
      <c r="BX45" s="23" t="str">
        <f>'Die Map'!BX45</f>
        <v>BW083</v>
      </c>
      <c r="BY45" s="21" t="str">
        <f>'Die Map'!BY45</f>
        <v>BW084</v>
      </c>
      <c r="BZ45" s="22" t="str">
        <f>'Die Map'!BZ45</f>
        <v>BW085</v>
      </c>
      <c r="CA45" s="22" t="str">
        <f>'Die Map'!CA45</f>
        <v>BW086</v>
      </c>
      <c r="CB45" s="22" t="str">
        <f>'Die Map'!CB45</f>
        <v>BW087</v>
      </c>
      <c r="CC45" s="23" t="str">
        <f>'Die Map'!CC45</f>
        <v>BW088</v>
      </c>
      <c r="CD45" s="21" t="str">
        <f>'Die Map'!CD45</f>
        <v>BW089</v>
      </c>
      <c r="CE45" s="22" t="str">
        <f>'Die Map'!CE45</f>
        <v>BW091</v>
      </c>
      <c r="CF45" s="22" t="str">
        <f>'Die Map'!CF45</f>
        <v>BW092</v>
      </c>
      <c r="CG45" s="22" t="str">
        <f>'Die Map'!CG45</f>
        <v>BW093</v>
      </c>
      <c r="CH45" s="23" t="str">
        <f>'Die Map'!CH45</f>
        <v>BW094</v>
      </c>
      <c r="CI45" s="21" t="str">
        <f>'Die Map'!CI45</f>
        <v>BW095</v>
      </c>
      <c r="CJ45" s="22" t="str">
        <f>'Die Map'!CJ45</f>
        <v>BW096</v>
      </c>
      <c r="CK45" s="22" t="str">
        <f>'Die Map'!CK45</f>
        <v>BW097</v>
      </c>
      <c r="CL45" s="22" t="str">
        <f>'Die Map'!CL45</f>
        <v>BW098</v>
      </c>
      <c r="CM45" s="23" t="str">
        <f>'Die Map'!CM45</f>
        <v>BW099</v>
      </c>
      <c r="CN45" s="21" t="str">
        <f>'Die Map'!CN45</f>
        <v>BW101</v>
      </c>
      <c r="CO45" s="22" t="str">
        <f>'Die Map'!CO45</f>
        <v>BW102</v>
      </c>
      <c r="CP45" s="22" t="str">
        <f>'Die Map'!CP45</f>
        <v>BW103</v>
      </c>
      <c r="CQ45" s="22" t="str">
        <f>'Die Map'!CQ45</f>
        <v>BW104</v>
      </c>
      <c r="CR45" s="23" t="str">
        <f>'Die Map'!CR45</f>
        <v>BW105</v>
      </c>
      <c r="CS45" s="21" t="str">
        <f>'Die Map'!CS45</f>
        <v>BW106</v>
      </c>
      <c r="CT45" s="22" t="str">
        <f>'Die Map'!CT45</f>
        <v>BW107</v>
      </c>
      <c r="CU45" s="22" t="str">
        <f>'Die Map'!CU45</f>
        <v>BW108</v>
      </c>
      <c r="CV45" s="22" t="str">
        <f>'Die Map'!CV45</f>
        <v>BW109</v>
      </c>
      <c r="CW45" s="23" t="str">
        <f>'Die Map'!CW45</f>
        <v>BW111</v>
      </c>
      <c r="CX45" s="21" t="str">
        <f>'Die Map'!CX45</f>
        <v/>
      </c>
      <c r="CY45" s="22" t="str">
        <f>'Die Map'!CY45</f>
        <v/>
      </c>
      <c r="CZ45" s="22" t="str">
        <f>'Die Map'!CZ45</f>
        <v/>
      </c>
      <c r="DA45" s="22" t="str">
        <f>'Die Map'!DA45</f>
        <v/>
      </c>
      <c r="DB45" s="23" t="str">
        <f>'Die Map'!DB45</f>
        <v/>
      </c>
    </row>
    <row r="46" spans="1:106" ht="12.75" customHeight="1" x14ac:dyDescent="0.25">
      <c r="A46" s="17">
        <v>44</v>
      </c>
      <c r="B46" s="21" t="str">
        <f>'Die Map'!B46</f>
        <v/>
      </c>
      <c r="C46" s="22" t="str">
        <f>'Die Map'!C46</f>
        <v/>
      </c>
      <c r="D46" s="22" t="str">
        <f>'Die Map'!D46</f>
        <v/>
      </c>
      <c r="E46" s="22" t="str">
        <f>'Die Map'!E46</f>
        <v/>
      </c>
      <c r="F46" s="23" t="str">
        <f>'Die Map'!F46</f>
        <v/>
      </c>
      <c r="G46" s="21" t="str">
        <f>'Die Map'!G46</f>
        <v>BX006</v>
      </c>
      <c r="H46" s="22" t="str">
        <f>'Die Map'!H46</f>
        <v>BX007</v>
      </c>
      <c r="I46" s="22" t="str">
        <f>'Die Map'!I46</f>
        <v>BX008</v>
      </c>
      <c r="J46" s="22" t="str">
        <f>'Die Map'!J46</f>
        <v>BX009</v>
      </c>
      <c r="K46" s="23" t="str">
        <f>'Die Map'!K46</f>
        <v>BX011</v>
      </c>
      <c r="L46" s="21" t="str">
        <f>'Die Map'!L46</f>
        <v>BX012</v>
      </c>
      <c r="M46" s="22" t="str">
        <f>'Die Map'!M46</f>
        <v>BX013</v>
      </c>
      <c r="N46" s="22" t="str">
        <f>'Die Map'!N46</f>
        <v>BX014</v>
      </c>
      <c r="O46" s="22" t="str">
        <f>'Die Map'!O46</f>
        <v>BX015</v>
      </c>
      <c r="P46" s="23" t="str">
        <f>'Die Map'!P46</f>
        <v>BX016</v>
      </c>
      <c r="Q46" s="21" t="str">
        <f>'Die Map'!Q46</f>
        <v>BX017</v>
      </c>
      <c r="R46" s="22" t="str">
        <f>'Die Map'!R46</f>
        <v>BX018</v>
      </c>
      <c r="S46" s="22" t="str">
        <f>'Die Map'!S46</f>
        <v>BX019</v>
      </c>
      <c r="T46" s="22" t="str">
        <f>'Die Map'!T46</f>
        <v>BX021</v>
      </c>
      <c r="U46" s="23" t="str">
        <f>'Die Map'!U46</f>
        <v>BX022</v>
      </c>
      <c r="V46" s="21" t="str">
        <f>'Die Map'!V46</f>
        <v>BX023</v>
      </c>
      <c r="W46" s="22" t="str">
        <f>'Die Map'!W46</f>
        <v>BX024</v>
      </c>
      <c r="X46" s="22" t="str">
        <f>'Die Map'!X46</f>
        <v>BX025</v>
      </c>
      <c r="Y46" s="22" t="str">
        <f>'Die Map'!Y46</f>
        <v>BX026</v>
      </c>
      <c r="Z46" s="23" t="str">
        <f>'Die Map'!Z46</f>
        <v>BX027</v>
      </c>
      <c r="AA46" s="21" t="str">
        <f>'Die Map'!AA46</f>
        <v>BX028</v>
      </c>
      <c r="AB46" s="22" t="str">
        <f>'Die Map'!AB46</f>
        <v>BX029</v>
      </c>
      <c r="AC46" s="22" t="str">
        <f>'Die Map'!AC46</f>
        <v>BX031</v>
      </c>
      <c r="AD46" s="22" t="str">
        <f>'Die Map'!AD46</f>
        <v>BX032</v>
      </c>
      <c r="AE46" s="23" t="str">
        <f>'Die Map'!AE46</f>
        <v>BX033</v>
      </c>
      <c r="AF46" s="21" t="str">
        <f>'Die Map'!AF46</f>
        <v>BX034</v>
      </c>
      <c r="AG46" s="22" t="str">
        <f>'Die Map'!AG46</f>
        <v>BX035</v>
      </c>
      <c r="AH46" s="22" t="str">
        <f>'Die Map'!AH46</f>
        <v>BX036</v>
      </c>
      <c r="AI46" s="22" t="str">
        <f>'Die Map'!AI46</f>
        <v>BX037</v>
      </c>
      <c r="AJ46" s="23" t="str">
        <f>'Die Map'!AJ46</f>
        <v>BX038</v>
      </c>
      <c r="AK46" s="21" t="str">
        <f>'Die Map'!AK46</f>
        <v>BX039</v>
      </c>
      <c r="AL46" s="22" t="str">
        <f>'Die Map'!AL46</f>
        <v>BX041</v>
      </c>
      <c r="AM46" s="22" t="str">
        <f>'Die Map'!AM46</f>
        <v>BX042</v>
      </c>
      <c r="AN46" s="22" t="str">
        <f>'Die Map'!AN46</f>
        <v>BX043</v>
      </c>
      <c r="AO46" s="23" t="str">
        <f>'Die Map'!AO46</f>
        <v>BX044</v>
      </c>
      <c r="AP46" s="21" t="str">
        <f>'Die Map'!AP46</f>
        <v>BX045</v>
      </c>
      <c r="AQ46" s="22" t="str">
        <f>'Die Map'!AQ46</f>
        <v>BX046</v>
      </c>
      <c r="AR46" s="22" t="str">
        <f>'Die Map'!AR46</f>
        <v>BX047</v>
      </c>
      <c r="AS46" s="22" t="str">
        <f>'Die Map'!AS46</f>
        <v>BX048</v>
      </c>
      <c r="AT46" s="23" t="str">
        <f>'Die Map'!AT46</f>
        <v>BX049</v>
      </c>
      <c r="AU46" s="21" t="str">
        <f>'Die Map'!AU46</f>
        <v>BX051</v>
      </c>
      <c r="AV46" s="22" t="str">
        <f>'Die Map'!AV46</f>
        <v>BX052</v>
      </c>
      <c r="AW46" s="22" t="str">
        <f>'Die Map'!AW46</f>
        <v>BX053</v>
      </c>
      <c r="AX46" s="22" t="str">
        <f>'Die Map'!AX46</f>
        <v>BX054</v>
      </c>
      <c r="AY46" s="23" t="str">
        <f>'Die Map'!AY46</f>
        <v>BX055</v>
      </c>
      <c r="AZ46" s="21" t="str">
        <f>'Die Map'!AZ46</f>
        <v>BX056</v>
      </c>
      <c r="BA46" s="22" t="str">
        <f>'Die Map'!BA46</f>
        <v>BX057</v>
      </c>
      <c r="BB46" s="22" t="str">
        <f>'Die Map'!BB46</f>
        <v>BX058</v>
      </c>
      <c r="BC46" s="22" t="str">
        <f>'Die Map'!BC46</f>
        <v>BX059</v>
      </c>
      <c r="BD46" s="23" t="str">
        <f>'Die Map'!BD46</f>
        <v>BX061</v>
      </c>
      <c r="BE46" s="21" t="str">
        <f>'Die Map'!BE46</f>
        <v>BX062</v>
      </c>
      <c r="BF46" s="22" t="str">
        <f>'Die Map'!BF46</f>
        <v>BX063</v>
      </c>
      <c r="BG46" s="22" t="str">
        <f>'Die Map'!BG46</f>
        <v>BX064</v>
      </c>
      <c r="BH46" s="22" t="str">
        <f>'Die Map'!BH46</f>
        <v>BX065</v>
      </c>
      <c r="BI46" s="23" t="str">
        <f>'Die Map'!BI46</f>
        <v>BX066</v>
      </c>
      <c r="BJ46" s="21" t="str">
        <f>'Die Map'!BJ46</f>
        <v>BX067</v>
      </c>
      <c r="BK46" s="22" t="str">
        <f>'Die Map'!BK46</f>
        <v>BX068</v>
      </c>
      <c r="BL46" s="22" t="str">
        <f>'Die Map'!BL46</f>
        <v>BX069</v>
      </c>
      <c r="BM46" s="22" t="str">
        <f>'Die Map'!BM46</f>
        <v>BX071</v>
      </c>
      <c r="BN46" s="23" t="str">
        <f>'Die Map'!BN46</f>
        <v>BX072</v>
      </c>
      <c r="BO46" s="21" t="str">
        <f>'Die Map'!BO46</f>
        <v>BX073</v>
      </c>
      <c r="BP46" s="22" t="str">
        <f>'Die Map'!BP46</f>
        <v>BX074</v>
      </c>
      <c r="BQ46" s="22" t="str">
        <f>'Die Map'!BQ46</f>
        <v>BX075</v>
      </c>
      <c r="BR46" s="22" t="str">
        <f>'Die Map'!BR46</f>
        <v>BX076</v>
      </c>
      <c r="BS46" s="23" t="str">
        <f>'Die Map'!BS46</f>
        <v>BX077</v>
      </c>
      <c r="BT46" s="21" t="str">
        <f>'Die Map'!BT46</f>
        <v>BX078</v>
      </c>
      <c r="BU46" s="22" t="str">
        <f>'Die Map'!BU46</f>
        <v>BX079</v>
      </c>
      <c r="BV46" s="22" t="str">
        <f>'Die Map'!BV46</f>
        <v>BX081</v>
      </c>
      <c r="BW46" s="22" t="str">
        <f>'Die Map'!BW46</f>
        <v>BX082</v>
      </c>
      <c r="BX46" s="23" t="str">
        <f>'Die Map'!BX46</f>
        <v>BX083</v>
      </c>
      <c r="BY46" s="21" t="str">
        <f>'Die Map'!BY46</f>
        <v>BX084</v>
      </c>
      <c r="BZ46" s="22" t="str">
        <f>'Die Map'!BZ46</f>
        <v>BX085</v>
      </c>
      <c r="CA46" s="22" t="str">
        <f>'Die Map'!CA46</f>
        <v>BX086</v>
      </c>
      <c r="CB46" s="22" t="str">
        <f>'Die Map'!CB46</f>
        <v>BX087</v>
      </c>
      <c r="CC46" s="23" t="str">
        <f>'Die Map'!CC46</f>
        <v>BX088</v>
      </c>
      <c r="CD46" s="21" t="str">
        <f>'Die Map'!CD46</f>
        <v>BX089</v>
      </c>
      <c r="CE46" s="22" t="str">
        <f>'Die Map'!CE46</f>
        <v>BX091</v>
      </c>
      <c r="CF46" s="22" t="str">
        <f>'Die Map'!CF46</f>
        <v>BX092</v>
      </c>
      <c r="CG46" s="22" t="str">
        <f>'Die Map'!CG46</f>
        <v>BX093</v>
      </c>
      <c r="CH46" s="23" t="str">
        <f>'Die Map'!CH46</f>
        <v>BX094</v>
      </c>
      <c r="CI46" s="21" t="str">
        <f>'Die Map'!CI46</f>
        <v>BX095</v>
      </c>
      <c r="CJ46" s="22" t="str">
        <f>'Die Map'!CJ46</f>
        <v>BX096</v>
      </c>
      <c r="CK46" s="22" t="str">
        <f>'Die Map'!CK46</f>
        <v>BX097</v>
      </c>
      <c r="CL46" s="22" t="str">
        <f>'Die Map'!CL46</f>
        <v>BX098</v>
      </c>
      <c r="CM46" s="23" t="str">
        <f>'Die Map'!CM46</f>
        <v>BX099</v>
      </c>
      <c r="CN46" s="21" t="str">
        <f>'Die Map'!CN46</f>
        <v>BX101</v>
      </c>
      <c r="CO46" s="22" t="str">
        <f>'Die Map'!CO46</f>
        <v>BX102</v>
      </c>
      <c r="CP46" s="22" t="str">
        <f>'Die Map'!CP46</f>
        <v>BX103</v>
      </c>
      <c r="CQ46" s="22" t="str">
        <f>'Die Map'!CQ46</f>
        <v>BX104</v>
      </c>
      <c r="CR46" s="23" t="str">
        <f>'Die Map'!CR46</f>
        <v>BX105</v>
      </c>
      <c r="CS46" s="21" t="str">
        <f>'Die Map'!CS46</f>
        <v>BX106</v>
      </c>
      <c r="CT46" s="22" t="str">
        <f>'Die Map'!CT46</f>
        <v>BX107</v>
      </c>
      <c r="CU46" s="22" t="str">
        <f>'Die Map'!CU46</f>
        <v>BX108</v>
      </c>
      <c r="CV46" s="22" t="str">
        <f>'Die Map'!CV46</f>
        <v>BX109</v>
      </c>
      <c r="CW46" s="23" t="str">
        <f>'Die Map'!CW46</f>
        <v>BX111</v>
      </c>
      <c r="CX46" s="21" t="str">
        <f>'Die Map'!CX46</f>
        <v/>
      </c>
      <c r="CY46" s="22" t="str">
        <f>'Die Map'!CY46</f>
        <v/>
      </c>
      <c r="CZ46" s="22" t="str">
        <f>'Die Map'!CZ46</f>
        <v/>
      </c>
      <c r="DA46" s="22" t="str">
        <f>'Die Map'!DA46</f>
        <v/>
      </c>
      <c r="DB46" s="23" t="str">
        <f>'Die Map'!DB46</f>
        <v/>
      </c>
    </row>
    <row r="47" spans="1:106" ht="12.75" customHeight="1" x14ac:dyDescent="0.25">
      <c r="A47" s="17">
        <v>45</v>
      </c>
      <c r="B47" s="24" t="str">
        <f>'Die Map'!B47</f>
        <v/>
      </c>
      <c r="C47" s="25" t="str">
        <f>'Die Map'!C47</f>
        <v/>
      </c>
      <c r="D47" s="25" t="str">
        <f>'Die Map'!D47</f>
        <v/>
      </c>
      <c r="E47" s="25" t="str">
        <f>'Die Map'!E47</f>
        <v/>
      </c>
      <c r="F47" s="26" t="str">
        <f>'Die Map'!F47</f>
        <v/>
      </c>
      <c r="G47" s="24" t="str">
        <f>'Die Map'!G47</f>
        <v>BY006</v>
      </c>
      <c r="H47" s="25" t="str">
        <f>'Die Map'!H47</f>
        <v>BY007</v>
      </c>
      <c r="I47" s="25" t="str">
        <f>'Die Map'!I47</f>
        <v>BY008</v>
      </c>
      <c r="J47" s="25" t="str">
        <f>'Die Map'!J47</f>
        <v>BY009</v>
      </c>
      <c r="K47" s="26" t="str">
        <f>'Die Map'!K47</f>
        <v>BY011</v>
      </c>
      <c r="L47" s="24" t="str">
        <f>'Die Map'!L47</f>
        <v>BY012</v>
      </c>
      <c r="M47" s="25" t="str">
        <f>'Die Map'!M47</f>
        <v>BY013</v>
      </c>
      <c r="N47" s="25" t="str">
        <f>'Die Map'!N47</f>
        <v>BY014</v>
      </c>
      <c r="O47" s="25" t="str">
        <f>'Die Map'!O47</f>
        <v>BY015</v>
      </c>
      <c r="P47" s="26" t="str">
        <f>'Die Map'!P47</f>
        <v>BY016</v>
      </c>
      <c r="Q47" s="24" t="str">
        <f>'Die Map'!Q47</f>
        <v>BY017</v>
      </c>
      <c r="R47" s="25" t="str">
        <f>'Die Map'!R47</f>
        <v>BY018</v>
      </c>
      <c r="S47" s="25" t="str">
        <f>'Die Map'!S47</f>
        <v>BY019</v>
      </c>
      <c r="T47" s="25" t="str">
        <f>'Die Map'!T47</f>
        <v>BY021</v>
      </c>
      <c r="U47" s="26" t="str">
        <f>'Die Map'!U47</f>
        <v>BY022</v>
      </c>
      <c r="V47" s="24" t="str">
        <f>'Die Map'!V47</f>
        <v>BY023</v>
      </c>
      <c r="W47" s="25" t="str">
        <f>'Die Map'!W47</f>
        <v>BY024</v>
      </c>
      <c r="X47" s="25" t="str">
        <f>'Die Map'!X47</f>
        <v>BY025</v>
      </c>
      <c r="Y47" s="25" t="str">
        <f>'Die Map'!Y47</f>
        <v>BY026</v>
      </c>
      <c r="Z47" s="26" t="str">
        <f>'Die Map'!Z47</f>
        <v>BY027</v>
      </c>
      <c r="AA47" s="24" t="str">
        <f>'Die Map'!AA47</f>
        <v>BY028</v>
      </c>
      <c r="AB47" s="25" t="str">
        <f>'Die Map'!AB47</f>
        <v>BY029</v>
      </c>
      <c r="AC47" s="25" t="str">
        <f>'Die Map'!AC47</f>
        <v>BY031</v>
      </c>
      <c r="AD47" s="25" t="str">
        <f>'Die Map'!AD47</f>
        <v>BY032</v>
      </c>
      <c r="AE47" s="26" t="str">
        <f>'Die Map'!AE47</f>
        <v>BY033</v>
      </c>
      <c r="AF47" s="24" t="str">
        <f>'Die Map'!AF47</f>
        <v>BY034</v>
      </c>
      <c r="AG47" s="25" t="str">
        <f>'Die Map'!AG47</f>
        <v>BY035</v>
      </c>
      <c r="AH47" s="25" t="str">
        <f>'Die Map'!AH47</f>
        <v>BY036</v>
      </c>
      <c r="AI47" s="25" t="str">
        <f>'Die Map'!AI47</f>
        <v>BY037</v>
      </c>
      <c r="AJ47" s="26" t="str">
        <f>'Die Map'!AJ47</f>
        <v>BY038</v>
      </c>
      <c r="AK47" s="24" t="str">
        <f>'Die Map'!AK47</f>
        <v>BY039</v>
      </c>
      <c r="AL47" s="25" t="str">
        <f>'Die Map'!AL47</f>
        <v>BY041</v>
      </c>
      <c r="AM47" s="25" t="str">
        <f>'Die Map'!AM47</f>
        <v>BY042</v>
      </c>
      <c r="AN47" s="25" t="str">
        <f>'Die Map'!AN47</f>
        <v>BY043</v>
      </c>
      <c r="AO47" s="26" t="str">
        <f>'Die Map'!AO47</f>
        <v>BY044</v>
      </c>
      <c r="AP47" s="24" t="str">
        <f>'Die Map'!AP47</f>
        <v>BY045</v>
      </c>
      <c r="AQ47" s="25" t="str">
        <f>'Die Map'!AQ47</f>
        <v>BY046</v>
      </c>
      <c r="AR47" s="25" t="str">
        <f>'Die Map'!AR47</f>
        <v>BY047</v>
      </c>
      <c r="AS47" s="25" t="str">
        <f>'Die Map'!AS47</f>
        <v>BY048</v>
      </c>
      <c r="AT47" s="26" t="str">
        <f>'Die Map'!AT47</f>
        <v>BY049</v>
      </c>
      <c r="AU47" s="24" t="str">
        <f>'Die Map'!AU47</f>
        <v>BY051</v>
      </c>
      <c r="AV47" s="25" t="str">
        <f>'Die Map'!AV47</f>
        <v>BY052</v>
      </c>
      <c r="AW47" s="25" t="str">
        <f>'Die Map'!AW47</f>
        <v>BY053</v>
      </c>
      <c r="AX47" s="25" t="str">
        <f>'Die Map'!AX47</f>
        <v>BY054</v>
      </c>
      <c r="AY47" s="26" t="str">
        <f>'Die Map'!AY47</f>
        <v>BY055</v>
      </c>
      <c r="AZ47" s="24" t="str">
        <f>'Die Map'!AZ47</f>
        <v>BY056</v>
      </c>
      <c r="BA47" s="25" t="str">
        <f>'Die Map'!BA47</f>
        <v>BY057</v>
      </c>
      <c r="BB47" s="25" t="str">
        <f>'Die Map'!BB47</f>
        <v>BY058</v>
      </c>
      <c r="BC47" s="25" t="str">
        <f>'Die Map'!BC47</f>
        <v>BY059</v>
      </c>
      <c r="BD47" s="26" t="str">
        <f>'Die Map'!BD47</f>
        <v>BY061</v>
      </c>
      <c r="BE47" s="24" t="str">
        <f>'Die Map'!BE47</f>
        <v>BY062</v>
      </c>
      <c r="BF47" s="25" t="str">
        <f>'Die Map'!BF47</f>
        <v>BY063</v>
      </c>
      <c r="BG47" s="25" t="str">
        <f>'Die Map'!BG47</f>
        <v>BY064</v>
      </c>
      <c r="BH47" s="25" t="str">
        <f>'Die Map'!BH47</f>
        <v>BY065</v>
      </c>
      <c r="BI47" s="26" t="str">
        <f>'Die Map'!BI47</f>
        <v>BY066</v>
      </c>
      <c r="BJ47" s="24" t="str">
        <f>'Die Map'!BJ47</f>
        <v>BY067</v>
      </c>
      <c r="BK47" s="25" t="str">
        <f>'Die Map'!BK47</f>
        <v>BY068</v>
      </c>
      <c r="BL47" s="25" t="str">
        <f>'Die Map'!BL47</f>
        <v>BY069</v>
      </c>
      <c r="BM47" s="25" t="str">
        <f>'Die Map'!BM47</f>
        <v>BY071</v>
      </c>
      <c r="BN47" s="26" t="str">
        <f>'Die Map'!BN47</f>
        <v>BY072</v>
      </c>
      <c r="BO47" s="24" t="str">
        <f>'Die Map'!BO47</f>
        <v>BY073</v>
      </c>
      <c r="BP47" s="25" t="str">
        <f>'Die Map'!BP47</f>
        <v>BY074</v>
      </c>
      <c r="BQ47" s="25" t="str">
        <f>'Die Map'!BQ47</f>
        <v>BY075</v>
      </c>
      <c r="BR47" s="25" t="str">
        <f>'Die Map'!BR47</f>
        <v>BY076</v>
      </c>
      <c r="BS47" s="26" t="str">
        <f>'Die Map'!BS47</f>
        <v>BY077</v>
      </c>
      <c r="BT47" s="24" t="str">
        <f>'Die Map'!BT47</f>
        <v>BY078</v>
      </c>
      <c r="BU47" s="25" t="str">
        <f>'Die Map'!BU47</f>
        <v>BY079</v>
      </c>
      <c r="BV47" s="25" t="str">
        <f>'Die Map'!BV47</f>
        <v>BY081</v>
      </c>
      <c r="BW47" s="25" t="str">
        <f>'Die Map'!BW47</f>
        <v>BY082</v>
      </c>
      <c r="BX47" s="26" t="str">
        <f>'Die Map'!BX47</f>
        <v>BY083</v>
      </c>
      <c r="BY47" s="24" t="str">
        <f>'Die Map'!BY47</f>
        <v>BY084</v>
      </c>
      <c r="BZ47" s="25" t="str">
        <f>'Die Map'!BZ47</f>
        <v>BY085</v>
      </c>
      <c r="CA47" s="25" t="str">
        <f>'Die Map'!CA47</f>
        <v>BY086</v>
      </c>
      <c r="CB47" s="25" t="str">
        <f>'Die Map'!CB47</f>
        <v>BY087</v>
      </c>
      <c r="CC47" s="26" t="str">
        <f>'Die Map'!CC47</f>
        <v>BY088</v>
      </c>
      <c r="CD47" s="24" t="str">
        <f>'Die Map'!CD47</f>
        <v>BY089</v>
      </c>
      <c r="CE47" s="25" t="str">
        <f>'Die Map'!CE47</f>
        <v>BY091</v>
      </c>
      <c r="CF47" s="25" t="str">
        <f>'Die Map'!CF47</f>
        <v>BY092</v>
      </c>
      <c r="CG47" s="25" t="str">
        <f>'Die Map'!CG47</f>
        <v>BY093</v>
      </c>
      <c r="CH47" s="26" t="str">
        <f>'Die Map'!CH47</f>
        <v>BY094</v>
      </c>
      <c r="CI47" s="24" t="str">
        <f>'Die Map'!CI47</f>
        <v>BY095</v>
      </c>
      <c r="CJ47" s="25" t="str">
        <f>'Die Map'!CJ47</f>
        <v>BY096</v>
      </c>
      <c r="CK47" s="25" t="str">
        <f>'Die Map'!CK47</f>
        <v>BY097</v>
      </c>
      <c r="CL47" s="25" t="str">
        <f>'Die Map'!CL47</f>
        <v>BY098</v>
      </c>
      <c r="CM47" s="26" t="str">
        <f>'Die Map'!CM47</f>
        <v>BY099</v>
      </c>
      <c r="CN47" s="24" t="str">
        <f>'Die Map'!CN47</f>
        <v>BY101</v>
      </c>
      <c r="CO47" s="25" t="str">
        <f>'Die Map'!CO47</f>
        <v>BY102</v>
      </c>
      <c r="CP47" s="25" t="str">
        <f>'Die Map'!CP47</f>
        <v>BY103</v>
      </c>
      <c r="CQ47" s="25" t="str">
        <f>'Die Map'!CQ47</f>
        <v>BY104</v>
      </c>
      <c r="CR47" s="26" t="str">
        <f>'Die Map'!CR47</f>
        <v>BY105</v>
      </c>
      <c r="CS47" s="24" t="str">
        <f>'Die Map'!CS47</f>
        <v>BY106</v>
      </c>
      <c r="CT47" s="25" t="str">
        <f>'Die Map'!CT47</f>
        <v>BY107</v>
      </c>
      <c r="CU47" s="25" t="str">
        <f>'Die Map'!CU47</f>
        <v>BY108</v>
      </c>
      <c r="CV47" s="25" t="str">
        <f>'Die Map'!CV47</f>
        <v>BY109</v>
      </c>
      <c r="CW47" s="26" t="str">
        <f>'Die Map'!CW47</f>
        <v>BY111</v>
      </c>
      <c r="CX47" s="24" t="str">
        <f>'Die Map'!CX47</f>
        <v/>
      </c>
      <c r="CY47" s="25" t="str">
        <f>'Die Map'!CY47</f>
        <v/>
      </c>
      <c r="CZ47" s="25" t="str">
        <f>'Die Map'!CZ47</f>
        <v/>
      </c>
      <c r="DA47" s="25" t="str">
        <f>'Die Map'!DA47</f>
        <v/>
      </c>
      <c r="DB47" s="26" t="str">
        <f>'Die Map'!DB47</f>
        <v/>
      </c>
    </row>
    <row r="48" spans="1:106" ht="12.75" customHeight="1" x14ac:dyDescent="0.25">
      <c r="A48" s="17">
        <v>46</v>
      </c>
      <c r="B48" s="18" t="str">
        <f>'Die Map'!B48</f>
        <v>BZ001</v>
      </c>
      <c r="C48" s="19" t="str">
        <f>'Die Map'!C48</f>
        <v>BZ002</v>
      </c>
      <c r="D48" s="19" t="str">
        <f>'Die Map'!D48</f>
        <v>BZ003</v>
      </c>
      <c r="E48" s="19" t="str">
        <f>'Die Map'!E48</f>
        <v>BZ004</v>
      </c>
      <c r="F48" s="20" t="str">
        <f>'Die Map'!F48</f>
        <v>BZ005</v>
      </c>
      <c r="G48" s="18" t="str">
        <f>'Die Map'!G48</f>
        <v>BZ006</v>
      </c>
      <c r="H48" s="19" t="str">
        <f>'Die Map'!H48</f>
        <v>BZ007</v>
      </c>
      <c r="I48" s="19" t="str">
        <f>'Die Map'!I48</f>
        <v>BZ008</v>
      </c>
      <c r="J48" s="19" t="str">
        <f>'Die Map'!J48</f>
        <v>BZ009</v>
      </c>
      <c r="K48" s="20" t="str">
        <f>'Die Map'!K48</f>
        <v>BZ011</v>
      </c>
      <c r="L48" s="18" t="str">
        <f>'Die Map'!L48</f>
        <v>BZ012</v>
      </c>
      <c r="M48" s="19" t="str">
        <f>'Die Map'!M48</f>
        <v>BZ013</v>
      </c>
      <c r="N48" s="19" t="str">
        <f>'Die Map'!N48</f>
        <v>BZ014</v>
      </c>
      <c r="O48" s="19" t="str">
        <f>'Die Map'!O48</f>
        <v>BZ015</v>
      </c>
      <c r="P48" s="20" t="str">
        <f>'Die Map'!P48</f>
        <v>BZ016</v>
      </c>
      <c r="Q48" s="18" t="str">
        <f>'Die Map'!Q48</f>
        <v>BZ017</v>
      </c>
      <c r="R48" s="19" t="str">
        <f>'Die Map'!R48</f>
        <v>BZ018</v>
      </c>
      <c r="S48" s="19" t="str">
        <f>'Die Map'!S48</f>
        <v>BZ019</v>
      </c>
      <c r="T48" s="19" t="str">
        <f>'Die Map'!T48</f>
        <v>BZ021</v>
      </c>
      <c r="U48" s="20" t="str">
        <f>'Die Map'!U48</f>
        <v>BZ022</v>
      </c>
      <c r="V48" s="18" t="str">
        <f>'Die Map'!V48</f>
        <v>BZ023</v>
      </c>
      <c r="W48" s="19" t="str">
        <f>'Die Map'!W48</f>
        <v>BZ024</v>
      </c>
      <c r="X48" s="19" t="str">
        <f>'Die Map'!X48</f>
        <v>BZ025</v>
      </c>
      <c r="Y48" s="19" t="str">
        <f>'Die Map'!Y48</f>
        <v>BZ026</v>
      </c>
      <c r="Z48" s="20" t="str">
        <f>'Die Map'!Z48</f>
        <v>BZ027</v>
      </c>
      <c r="AA48" s="18" t="str">
        <f>'Die Map'!AA48</f>
        <v>BZ028</v>
      </c>
      <c r="AB48" s="19" t="str">
        <f>'Die Map'!AB48</f>
        <v>BZ029</v>
      </c>
      <c r="AC48" s="19" t="str">
        <f>'Die Map'!AC48</f>
        <v>BZ031</v>
      </c>
      <c r="AD48" s="19" t="str">
        <f>'Die Map'!AD48</f>
        <v>BZ032</v>
      </c>
      <c r="AE48" s="20" t="str">
        <f>'Die Map'!AE48</f>
        <v>BZ033</v>
      </c>
      <c r="AF48" s="18" t="str">
        <f>'Die Map'!AF48</f>
        <v>BZ034</v>
      </c>
      <c r="AG48" s="19" t="str">
        <f>'Die Map'!AG48</f>
        <v>BZ035</v>
      </c>
      <c r="AH48" s="19" t="str">
        <f>'Die Map'!AH48</f>
        <v>BZ036</v>
      </c>
      <c r="AI48" s="19" t="str">
        <f>'Die Map'!AI48</f>
        <v>BZ037</v>
      </c>
      <c r="AJ48" s="20" t="str">
        <f>'Die Map'!AJ48</f>
        <v>BZ038</v>
      </c>
      <c r="AK48" s="18" t="str">
        <f>'Die Map'!AK48</f>
        <v>BZ039</v>
      </c>
      <c r="AL48" s="19" t="str">
        <f>'Die Map'!AL48</f>
        <v>BZ041</v>
      </c>
      <c r="AM48" s="19" t="str">
        <f>'Die Map'!AM48</f>
        <v>BZ042</v>
      </c>
      <c r="AN48" s="19" t="str">
        <f>'Die Map'!AN48</f>
        <v>BZ043</v>
      </c>
      <c r="AO48" s="20" t="str">
        <f>'Die Map'!AO48</f>
        <v>BZ044</v>
      </c>
      <c r="AP48" s="18" t="str">
        <f>'Die Map'!AP48</f>
        <v>BZ045</v>
      </c>
      <c r="AQ48" s="19" t="str">
        <f>'Die Map'!AQ48</f>
        <v>BZ046</v>
      </c>
      <c r="AR48" s="19" t="str">
        <f>'Die Map'!AR48</f>
        <v>BZ047</v>
      </c>
      <c r="AS48" s="19" t="str">
        <f>'Die Map'!AS48</f>
        <v>BZ048</v>
      </c>
      <c r="AT48" s="20" t="str">
        <f>'Die Map'!AT48</f>
        <v>BZ049</v>
      </c>
      <c r="AU48" s="18" t="str">
        <f>'Die Map'!AU48</f>
        <v>BZ051</v>
      </c>
      <c r="AV48" s="19" t="str">
        <f>'Die Map'!AV48</f>
        <v>BZ052</v>
      </c>
      <c r="AW48" s="19" t="str">
        <f>'Die Map'!AW48</f>
        <v>BZ053</v>
      </c>
      <c r="AX48" s="19" t="str">
        <f>'Die Map'!AX48</f>
        <v>BZ054</v>
      </c>
      <c r="AY48" s="20" t="str">
        <f>'Die Map'!AY48</f>
        <v>BZ055</v>
      </c>
      <c r="AZ48" s="18" t="str">
        <f>'Die Map'!AZ48</f>
        <v>BZ056</v>
      </c>
      <c r="BA48" s="19" t="str">
        <f>'Die Map'!BA48</f>
        <v>BZ057</v>
      </c>
      <c r="BB48" s="19" t="str">
        <f>'Die Map'!BB48</f>
        <v>BZ058</v>
      </c>
      <c r="BC48" s="19" t="str">
        <f>'Die Map'!BC48</f>
        <v>BZ059</v>
      </c>
      <c r="BD48" s="20" t="str">
        <f>'Die Map'!BD48</f>
        <v>BZ061</v>
      </c>
      <c r="BE48" s="18" t="str">
        <f>'Die Map'!BE48</f>
        <v>BZ062</v>
      </c>
      <c r="BF48" s="19" t="str">
        <f>'Die Map'!BF48</f>
        <v>BZ063</v>
      </c>
      <c r="BG48" s="19" t="str">
        <f>'Die Map'!BG48</f>
        <v>BZ064</v>
      </c>
      <c r="BH48" s="19" t="str">
        <f>'Die Map'!BH48</f>
        <v>BZ065</v>
      </c>
      <c r="BI48" s="20" t="str">
        <f>'Die Map'!BI48</f>
        <v>BZ066</v>
      </c>
      <c r="BJ48" s="18" t="str">
        <f>'Die Map'!BJ48</f>
        <v>BZ067</v>
      </c>
      <c r="BK48" s="19" t="str">
        <f>'Die Map'!BK48</f>
        <v>BZ068</v>
      </c>
      <c r="BL48" s="19" t="str">
        <f>'Die Map'!BL48</f>
        <v>BZ069</v>
      </c>
      <c r="BM48" s="19" t="str">
        <f>'Die Map'!BM48</f>
        <v>BZ071</v>
      </c>
      <c r="BN48" s="20" t="str">
        <f>'Die Map'!BN48</f>
        <v>BZ072</v>
      </c>
      <c r="BO48" s="18" t="str">
        <f>'Die Map'!BO48</f>
        <v>BZ073</v>
      </c>
      <c r="BP48" s="19" t="str">
        <f>'Die Map'!BP48</f>
        <v>BZ074</v>
      </c>
      <c r="BQ48" s="19" t="str">
        <f>'Die Map'!BQ48</f>
        <v>BZ075</v>
      </c>
      <c r="BR48" s="19" t="str">
        <f>'Die Map'!BR48</f>
        <v>BZ076</v>
      </c>
      <c r="BS48" s="20" t="str">
        <f>'Die Map'!BS48</f>
        <v>BZ077</v>
      </c>
      <c r="BT48" s="18" t="str">
        <f>'Die Map'!BT48</f>
        <v>BZ078</v>
      </c>
      <c r="BU48" s="19" t="str">
        <f>'Die Map'!BU48</f>
        <v>BZ079</v>
      </c>
      <c r="BV48" s="19" t="str">
        <f>'Die Map'!BV48</f>
        <v>BZ081</v>
      </c>
      <c r="BW48" s="19" t="str">
        <f>'Die Map'!BW48</f>
        <v>BZ082</v>
      </c>
      <c r="BX48" s="20" t="str">
        <f>'Die Map'!BX48</f>
        <v>BZ083</v>
      </c>
      <c r="BY48" s="18" t="str">
        <f>'Die Map'!BY48</f>
        <v>BZ084</v>
      </c>
      <c r="BZ48" s="19" t="str">
        <f>'Die Map'!BZ48</f>
        <v>BZ085</v>
      </c>
      <c r="CA48" s="19" t="str">
        <f>'Die Map'!CA48</f>
        <v>BZ086</v>
      </c>
      <c r="CB48" s="19" t="str">
        <f>'Die Map'!CB48</f>
        <v>BZ087</v>
      </c>
      <c r="CC48" s="20" t="str">
        <f>'Die Map'!CC48</f>
        <v>BZ088</v>
      </c>
      <c r="CD48" s="18" t="str">
        <f>'Die Map'!CD48</f>
        <v>BZ089</v>
      </c>
      <c r="CE48" s="19" t="str">
        <f>'Die Map'!CE48</f>
        <v>BZ091</v>
      </c>
      <c r="CF48" s="19" t="str">
        <f>'Die Map'!CF48</f>
        <v>BZ092</v>
      </c>
      <c r="CG48" s="19" t="str">
        <f>'Die Map'!CG48</f>
        <v>BZ093</v>
      </c>
      <c r="CH48" s="20" t="str">
        <f>'Die Map'!CH48</f>
        <v>BZ094</v>
      </c>
      <c r="CI48" s="18" t="str">
        <f>'Die Map'!CI48</f>
        <v>BZ095</v>
      </c>
      <c r="CJ48" s="19" t="str">
        <f>'Die Map'!CJ48</f>
        <v>BZ096</v>
      </c>
      <c r="CK48" s="19" t="str">
        <f>'Die Map'!CK48</f>
        <v>BZ097</v>
      </c>
      <c r="CL48" s="19" t="str">
        <f>'Die Map'!CL48</f>
        <v>BZ098</v>
      </c>
      <c r="CM48" s="20" t="str">
        <f>'Die Map'!CM48</f>
        <v>BZ099</v>
      </c>
      <c r="CN48" s="18" t="str">
        <f>'Die Map'!CN48</f>
        <v>BZ101</v>
      </c>
      <c r="CO48" s="19" t="str">
        <f>'Die Map'!CO48</f>
        <v>BZ102</v>
      </c>
      <c r="CP48" s="19" t="str">
        <f>'Die Map'!CP48</f>
        <v>BZ103</v>
      </c>
      <c r="CQ48" s="19" t="str">
        <f>'Die Map'!CQ48</f>
        <v>BZ104</v>
      </c>
      <c r="CR48" s="20" t="str">
        <f>'Die Map'!CR48</f>
        <v>BZ105</v>
      </c>
      <c r="CS48" s="18" t="str">
        <f>'Die Map'!CS48</f>
        <v>BZ106</v>
      </c>
      <c r="CT48" s="19" t="str">
        <f>'Die Map'!CT48</f>
        <v>BZ107</v>
      </c>
      <c r="CU48" s="19" t="str">
        <f>'Die Map'!CU48</f>
        <v>BZ108</v>
      </c>
      <c r="CV48" s="19" t="str">
        <f>'Die Map'!CV48</f>
        <v>BZ109</v>
      </c>
      <c r="CW48" s="20" t="str">
        <f>'Die Map'!CW48</f>
        <v>BZ111</v>
      </c>
      <c r="CX48" s="18" t="str">
        <f>'Die Map'!CX48</f>
        <v>BZ112</v>
      </c>
      <c r="CY48" s="19" t="str">
        <f>'Die Map'!CY48</f>
        <v>BZ113</v>
      </c>
      <c r="CZ48" s="19" t="str">
        <f>'Die Map'!CZ48</f>
        <v>BZ114</v>
      </c>
      <c r="DA48" s="19" t="str">
        <f>'Die Map'!DA48</f>
        <v>BZ115</v>
      </c>
      <c r="DB48" s="20" t="str">
        <f>'Die Map'!DB48</f>
        <v>BZ116</v>
      </c>
    </row>
    <row r="49" spans="1:106" ht="12.75" customHeight="1" x14ac:dyDescent="0.25">
      <c r="A49" s="17">
        <v>47</v>
      </c>
      <c r="B49" s="21" t="str">
        <f>'Die Map'!B49</f>
        <v>CA001</v>
      </c>
      <c r="C49" s="22" t="str">
        <f>'Die Map'!C49</f>
        <v>CA002</v>
      </c>
      <c r="D49" s="22" t="str">
        <f>'Die Map'!D49</f>
        <v>CA003</v>
      </c>
      <c r="E49" s="22" t="str">
        <f>'Die Map'!E49</f>
        <v>CA004</v>
      </c>
      <c r="F49" s="23" t="str">
        <f>'Die Map'!F49</f>
        <v>CA005</v>
      </c>
      <c r="G49" s="21" t="str">
        <f>'Die Map'!G49</f>
        <v>CA006</v>
      </c>
      <c r="H49" s="22" t="str">
        <f>'Die Map'!H49</f>
        <v>CA007</v>
      </c>
      <c r="I49" s="22" t="str">
        <f>'Die Map'!I49</f>
        <v>CA008</v>
      </c>
      <c r="J49" s="22" t="str">
        <f>'Die Map'!J49</f>
        <v>CA009</v>
      </c>
      <c r="K49" s="23" t="str">
        <f>'Die Map'!K49</f>
        <v>CA011</v>
      </c>
      <c r="L49" s="21" t="str">
        <f>'Die Map'!L49</f>
        <v>CA012</v>
      </c>
      <c r="M49" s="22" t="str">
        <f>'Die Map'!M49</f>
        <v>CA013</v>
      </c>
      <c r="N49" s="22" t="str">
        <f>'Die Map'!N49</f>
        <v>CA014</v>
      </c>
      <c r="O49" s="22" t="str">
        <f>'Die Map'!O49</f>
        <v>CA015</v>
      </c>
      <c r="P49" s="23" t="str">
        <f>'Die Map'!P49</f>
        <v>CA016</v>
      </c>
      <c r="Q49" s="21" t="str">
        <f>'Die Map'!Q49</f>
        <v>CA017</v>
      </c>
      <c r="R49" s="22" t="str">
        <f>'Die Map'!R49</f>
        <v>CA018</v>
      </c>
      <c r="S49" s="22" t="str">
        <f>'Die Map'!S49</f>
        <v>CA019</v>
      </c>
      <c r="T49" s="22" t="str">
        <f>'Die Map'!T49</f>
        <v>CA021</v>
      </c>
      <c r="U49" s="23" t="str">
        <f>'Die Map'!U49</f>
        <v>CA022</v>
      </c>
      <c r="V49" s="21" t="str">
        <f>'Die Map'!V49</f>
        <v>CA023</v>
      </c>
      <c r="W49" s="22" t="str">
        <f>'Die Map'!W49</f>
        <v>CA024</v>
      </c>
      <c r="X49" s="22" t="str">
        <f>'Die Map'!X49</f>
        <v>CA025</v>
      </c>
      <c r="Y49" s="22" t="str">
        <f>'Die Map'!Y49</f>
        <v>CA026</v>
      </c>
      <c r="Z49" s="23" t="str">
        <f>'Die Map'!Z49</f>
        <v>CA027</v>
      </c>
      <c r="AA49" s="21" t="str">
        <f>'Die Map'!AA49</f>
        <v>CA028</v>
      </c>
      <c r="AB49" s="22" t="str">
        <f>'Die Map'!AB49</f>
        <v>CA029</v>
      </c>
      <c r="AC49" s="22" t="str">
        <f>'Die Map'!AC49</f>
        <v>CA031</v>
      </c>
      <c r="AD49" s="22" t="str">
        <f>'Die Map'!AD49</f>
        <v>CA032</v>
      </c>
      <c r="AE49" s="23" t="str">
        <f>'Die Map'!AE49</f>
        <v>CA033</v>
      </c>
      <c r="AF49" s="21" t="str">
        <f>'Die Map'!AF49</f>
        <v>CA034</v>
      </c>
      <c r="AG49" s="22" t="str">
        <f>'Die Map'!AG49</f>
        <v>CA035</v>
      </c>
      <c r="AH49" s="22" t="str">
        <f>'Die Map'!AH49</f>
        <v>CA036</v>
      </c>
      <c r="AI49" s="22" t="str">
        <f>'Die Map'!AI49</f>
        <v>CA037</v>
      </c>
      <c r="AJ49" s="23" t="str">
        <f>'Die Map'!AJ49</f>
        <v>CA038</v>
      </c>
      <c r="AK49" s="21" t="str">
        <f>'Die Map'!AK49</f>
        <v>CA039</v>
      </c>
      <c r="AL49" s="22" t="str">
        <f>'Die Map'!AL49</f>
        <v>CA041</v>
      </c>
      <c r="AM49" s="22" t="str">
        <f>'Die Map'!AM49</f>
        <v>CA042</v>
      </c>
      <c r="AN49" s="22" t="str">
        <f>'Die Map'!AN49</f>
        <v>CA043</v>
      </c>
      <c r="AO49" s="23" t="str">
        <f>'Die Map'!AO49</f>
        <v>CA044</v>
      </c>
      <c r="AP49" s="21" t="str">
        <f>'Die Map'!AP49</f>
        <v>CA045</v>
      </c>
      <c r="AQ49" s="22" t="str">
        <f>'Die Map'!AQ49</f>
        <v>CA046</v>
      </c>
      <c r="AR49" s="22" t="str">
        <f>'Die Map'!AR49</f>
        <v>CA047</v>
      </c>
      <c r="AS49" s="22" t="str">
        <f>'Die Map'!AS49</f>
        <v>CA048</v>
      </c>
      <c r="AT49" s="23" t="str">
        <f>'Die Map'!AT49</f>
        <v>CA049</v>
      </c>
      <c r="AU49" s="21" t="str">
        <f>'Die Map'!AU49</f>
        <v>CA051</v>
      </c>
      <c r="AV49" s="22" t="str">
        <f>'Die Map'!AV49</f>
        <v>CA052</v>
      </c>
      <c r="AW49" s="22" t="str">
        <f>'Die Map'!AW49</f>
        <v>CA053</v>
      </c>
      <c r="AX49" s="22" t="str">
        <f>'Die Map'!AX49</f>
        <v>CA054</v>
      </c>
      <c r="AY49" s="23" t="str">
        <f>'Die Map'!AY49</f>
        <v>CA055</v>
      </c>
      <c r="AZ49" s="21" t="str">
        <f>'Die Map'!AZ49</f>
        <v>CA056</v>
      </c>
      <c r="BA49" s="22" t="str">
        <f>'Die Map'!BA49</f>
        <v>CA057</v>
      </c>
      <c r="BB49" s="22" t="str">
        <f>'Die Map'!BB49</f>
        <v>CA058</v>
      </c>
      <c r="BC49" s="22" t="str">
        <f>'Die Map'!BC49</f>
        <v>CA059</v>
      </c>
      <c r="BD49" s="23" t="str">
        <f>'Die Map'!BD49</f>
        <v>CA061</v>
      </c>
      <c r="BE49" s="21" t="str">
        <f>'Die Map'!BE49</f>
        <v>CA062</v>
      </c>
      <c r="BF49" s="22" t="str">
        <f>'Die Map'!BF49</f>
        <v>CA063</v>
      </c>
      <c r="BG49" s="22" t="str">
        <f>'Die Map'!BG49</f>
        <v>CA064</v>
      </c>
      <c r="BH49" s="22" t="str">
        <f>'Die Map'!BH49</f>
        <v>CA065</v>
      </c>
      <c r="BI49" s="23" t="str">
        <f>'Die Map'!BI49</f>
        <v>CA066</v>
      </c>
      <c r="BJ49" s="21" t="str">
        <f>'Die Map'!BJ49</f>
        <v>CA067</v>
      </c>
      <c r="BK49" s="22" t="str">
        <f>'Die Map'!BK49</f>
        <v>CA068</v>
      </c>
      <c r="BL49" s="22" t="str">
        <f>'Die Map'!BL49</f>
        <v>CA069</v>
      </c>
      <c r="BM49" s="22" t="str">
        <f>'Die Map'!BM49</f>
        <v>CA071</v>
      </c>
      <c r="BN49" s="23" t="str">
        <f>'Die Map'!BN49</f>
        <v>CA072</v>
      </c>
      <c r="BO49" s="21" t="str">
        <f>'Die Map'!BO49</f>
        <v>CA073</v>
      </c>
      <c r="BP49" s="22" t="str">
        <f>'Die Map'!BP49</f>
        <v>CA074</v>
      </c>
      <c r="BQ49" s="22" t="str">
        <f>'Die Map'!BQ49</f>
        <v>CA075</v>
      </c>
      <c r="BR49" s="22" t="str">
        <f>'Die Map'!BR49</f>
        <v>CA076</v>
      </c>
      <c r="BS49" s="23" t="str">
        <f>'Die Map'!BS49</f>
        <v>CA077</v>
      </c>
      <c r="BT49" s="21" t="str">
        <f>'Die Map'!BT49</f>
        <v>CA078</v>
      </c>
      <c r="BU49" s="22" t="str">
        <f>'Die Map'!BU49</f>
        <v>CA079</v>
      </c>
      <c r="BV49" s="22" t="str">
        <f>'Die Map'!BV49</f>
        <v>CA081</v>
      </c>
      <c r="BW49" s="22" t="str">
        <f>'Die Map'!BW49</f>
        <v>CA082</v>
      </c>
      <c r="BX49" s="23" t="str">
        <f>'Die Map'!BX49</f>
        <v>CA083</v>
      </c>
      <c r="BY49" s="21" t="str">
        <f>'Die Map'!BY49</f>
        <v>CA084</v>
      </c>
      <c r="BZ49" s="22" t="str">
        <f>'Die Map'!BZ49</f>
        <v>CA085</v>
      </c>
      <c r="CA49" s="22" t="str">
        <f>'Die Map'!CA49</f>
        <v>CA086</v>
      </c>
      <c r="CB49" s="22" t="str">
        <f>'Die Map'!CB49</f>
        <v>CA087</v>
      </c>
      <c r="CC49" s="23" t="str">
        <f>'Die Map'!CC49</f>
        <v>CA088</v>
      </c>
      <c r="CD49" s="21" t="str">
        <f>'Die Map'!CD49</f>
        <v>CA089</v>
      </c>
      <c r="CE49" s="22" t="str">
        <f>'Die Map'!CE49</f>
        <v>CA091</v>
      </c>
      <c r="CF49" s="22" t="str">
        <f>'Die Map'!CF49</f>
        <v>CA092</v>
      </c>
      <c r="CG49" s="22" t="str">
        <f>'Die Map'!CG49</f>
        <v>CA093</v>
      </c>
      <c r="CH49" s="23" t="str">
        <f>'Die Map'!CH49</f>
        <v>CA094</v>
      </c>
      <c r="CI49" s="21" t="str">
        <f>'Die Map'!CI49</f>
        <v>CA095</v>
      </c>
      <c r="CJ49" s="22" t="str">
        <f>'Die Map'!CJ49</f>
        <v>CA096</v>
      </c>
      <c r="CK49" s="22" t="str">
        <f>'Die Map'!CK49</f>
        <v>CA097</v>
      </c>
      <c r="CL49" s="22" t="str">
        <f>'Die Map'!CL49</f>
        <v>CA098</v>
      </c>
      <c r="CM49" s="23" t="str">
        <f>'Die Map'!CM49</f>
        <v>CA099</v>
      </c>
      <c r="CN49" s="21" t="str">
        <f>'Die Map'!CN49</f>
        <v>CA101</v>
      </c>
      <c r="CO49" s="22" t="str">
        <f>'Die Map'!CO49</f>
        <v>CA102</v>
      </c>
      <c r="CP49" s="22" t="str">
        <f>'Die Map'!CP49</f>
        <v>CA103</v>
      </c>
      <c r="CQ49" s="22" t="str">
        <f>'Die Map'!CQ49</f>
        <v>CA104</v>
      </c>
      <c r="CR49" s="23" t="str">
        <f>'Die Map'!CR49</f>
        <v>CA105</v>
      </c>
      <c r="CS49" s="21" t="str">
        <f>'Die Map'!CS49</f>
        <v>CA106</v>
      </c>
      <c r="CT49" s="22" t="str">
        <f>'Die Map'!CT49</f>
        <v>CA107</v>
      </c>
      <c r="CU49" s="22" t="str">
        <f>'Die Map'!CU49</f>
        <v>CA108</v>
      </c>
      <c r="CV49" s="22" t="str">
        <f>'Die Map'!CV49</f>
        <v>CA109</v>
      </c>
      <c r="CW49" s="23" t="str">
        <f>'Die Map'!CW49</f>
        <v>CA111</v>
      </c>
      <c r="CX49" s="21" t="str">
        <f>'Die Map'!CX49</f>
        <v>CA112</v>
      </c>
      <c r="CY49" s="22" t="str">
        <f>'Die Map'!CY49</f>
        <v>CA113</v>
      </c>
      <c r="CZ49" s="22" t="str">
        <f>'Die Map'!CZ49</f>
        <v>CA114</v>
      </c>
      <c r="DA49" s="22" t="str">
        <f>'Die Map'!DA49</f>
        <v>CA115</v>
      </c>
      <c r="DB49" s="23" t="str">
        <f>'Die Map'!DB49</f>
        <v>CA116</v>
      </c>
    </row>
    <row r="50" spans="1:106" ht="12.75" customHeight="1" x14ac:dyDescent="0.25">
      <c r="A50" s="17">
        <v>48</v>
      </c>
      <c r="B50" s="21" t="str">
        <f>'Die Map'!B50</f>
        <v>CB001</v>
      </c>
      <c r="C50" s="22" t="str">
        <f>'Die Map'!C50</f>
        <v>CB002</v>
      </c>
      <c r="D50" s="22" t="str">
        <f>'Die Map'!D50</f>
        <v>CB003</v>
      </c>
      <c r="E50" s="22" t="str">
        <f>'Die Map'!E50</f>
        <v>CB004</v>
      </c>
      <c r="F50" s="23" t="str">
        <f>'Die Map'!F50</f>
        <v>CB005</v>
      </c>
      <c r="G50" s="21" t="str">
        <f>'Die Map'!G50</f>
        <v>CB006</v>
      </c>
      <c r="H50" s="22" t="str">
        <f>'Die Map'!H50</f>
        <v>CB007</v>
      </c>
      <c r="I50" s="22" t="str">
        <f>'Die Map'!I50</f>
        <v>CB008</v>
      </c>
      <c r="J50" s="22" t="str">
        <f>'Die Map'!J50</f>
        <v>CB009</v>
      </c>
      <c r="K50" s="23" t="str">
        <f>'Die Map'!K50</f>
        <v>CB011</v>
      </c>
      <c r="L50" s="21" t="str">
        <f>'Die Map'!L50</f>
        <v>CB012</v>
      </c>
      <c r="M50" s="22" t="str">
        <f>'Die Map'!M50</f>
        <v>CB013</v>
      </c>
      <c r="N50" s="22" t="str">
        <f>'Die Map'!N50</f>
        <v>CB014</v>
      </c>
      <c r="O50" s="22" t="str">
        <f>'Die Map'!O50</f>
        <v>CB015</v>
      </c>
      <c r="P50" s="23" t="str">
        <f>'Die Map'!P50</f>
        <v>CB016</v>
      </c>
      <c r="Q50" s="21" t="str">
        <f>'Die Map'!Q50</f>
        <v>CB017</v>
      </c>
      <c r="R50" s="22" t="str">
        <f>'Die Map'!R50</f>
        <v>CB018</v>
      </c>
      <c r="S50" s="22" t="str">
        <f>'Die Map'!S50</f>
        <v>CB019</v>
      </c>
      <c r="T50" s="22" t="str">
        <f>'Die Map'!T50</f>
        <v>CB021</v>
      </c>
      <c r="U50" s="23" t="str">
        <f>'Die Map'!U50</f>
        <v>CB022</v>
      </c>
      <c r="V50" s="21" t="str">
        <f>'Die Map'!V50</f>
        <v>CB023</v>
      </c>
      <c r="W50" s="22" t="str">
        <f>'Die Map'!W50</f>
        <v>CB024</v>
      </c>
      <c r="X50" s="22" t="str">
        <f>'Die Map'!X50</f>
        <v>CB025</v>
      </c>
      <c r="Y50" s="22" t="str">
        <f>'Die Map'!Y50</f>
        <v>CB026</v>
      </c>
      <c r="Z50" s="23" t="str">
        <f>'Die Map'!Z50</f>
        <v>CB027</v>
      </c>
      <c r="AA50" s="21" t="str">
        <f>'Die Map'!AA50</f>
        <v>CB028</v>
      </c>
      <c r="AB50" s="22" t="str">
        <f>'Die Map'!AB50</f>
        <v>CB029</v>
      </c>
      <c r="AC50" s="22" t="str">
        <f>'Die Map'!AC50</f>
        <v>CB031</v>
      </c>
      <c r="AD50" s="22" t="str">
        <f>'Die Map'!AD50</f>
        <v>CB032</v>
      </c>
      <c r="AE50" s="23" t="str">
        <f>'Die Map'!AE50</f>
        <v>CB033</v>
      </c>
      <c r="AF50" s="21" t="str">
        <f>'Die Map'!AF50</f>
        <v>CB034</v>
      </c>
      <c r="AG50" s="22" t="str">
        <f>'Die Map'!AG50</f>
        <v>CB035</v>
      </c>
      <c r="AH50" s="22" t="str">
        <f>'Die Map'!AH50</f>
        <v>CB036</v>
      </c>
      <c r="AI50" s="22" t="str">
        <f>'Die Map'!AI50</f>
        <v>CB037</v>
      </c>
      <c r="AJ50" s="23" t="str">
        <f>'Die Map'!AJ50</f>
        <v>CB038</v>
      </c>
      <c r="AK50" s="21" t="str">
        <f>'Die Map'!AK50</f>
        <v>CB039</v>
      </c>
      <c r="AL50" s="22" t="str">
        <f>'Die Map'!AL50</f>
        <v>CB041</v>
      </c>
      <c r="AM50" s="22" t="str">
        <f>'Die Map'!AM50</f>
        <v>CB042</v>
      </c>
      <c r="AN50" s="22" t="str">
        <f>'Die Map'!AN50</f>
        <v>CB043</v>
      </c>
      <c r="AO50" s="23" t="str">
        <f>'Die Map'!AO50</f>
        <v>CB044</v>
      </c>
      <c r="AP50" s="21" t="str">
        <f>'Die Map'!AP50</f>
        <v>CB045</v>
      </c>
      <c r="AQ50" s="22" t="str">
        <f>'Die Map'!AQ50</f>
        <v>CB046</v>
      </c>
      <c r="AR50" s="22" t="str">
        <f>'Die Map'!AR50</f>
        <v>CB047</v>
      </c>
      <c r="AS50" s="22" t="str">
        <f>'Die Map'!AS50</f>
        <v>CB048</v>
      </c>
      <c r="AT50" s="23" t="str">
        <f>'Die Map'!AT50</f>
        <v>CB049</v>
      </c>
      <c r="AU50" s="21" t="str">
        <f>'Die Map'!AU50</f>
        <v>CB051</v>
      </c>
      <c r="AV50" s="22" t="str">
        <f>'Die Map'!AV50</f>
        <v>CB052</v>
      </c>
      <c r="AW50" s="22" t="str">
        <f>'Die Map'!AW50</f>
        <v>CB053</v>
      </c>
      <c r="AX50" s="22" t="str">
        <f>'Die Map'!AX50</f>
        <v>CB054</v>
      </c>
      <c r="AY50" s="23" t="str">
        <f>'Die Map'!AY50</f>
        <v>CB055</v>
      </c>
      <c r="AZ50" s="21" t="str">
        <f>'Die Map'!AZ50</f>
        <v>CB056</v>
      </c>
      <c r="BA50" s="22" t="str">
        <f>'Die Map'!BA50</f>
        <v>CB057</v>
      </c>
      <c r="BB50" s="22" t="str">
        <f>'Die Map'!BB50</f>
        <v>CB058</v>
      </c>
      <c r="BC50" s="22" t="str">
        <f>'Die Map'!BC50</f>
        <v>CB059</v>
      </c>
      <c r="BD50" s="23" t="str">
        <f>'Die Map'!BD50</f>
        <v>CB061</v>
      </c>
      <c r="BE50" s="21" t="str">
        <f>'Die Map'!BE50</f>
        <v>CB062</v>
      </c>
      <c r="BF50" s="22" t="str">
        <f>'Die Map'!BF50</f>
        <v>CB063</v>
      </c>
      <c r="BG50" s="22" t="str">
        <f>'Die Map'!BG50</f>
        <v>CB064</v>
      </c>
      <c r="BH50" s="22" t="str">
        <f>'Die Map'!BH50</f>
        <v>CB065</v>
      </c>
      <c r="BI50" s="23" t="str">
        <f>'Die Map'!BI50</f>
        <v>CB066</v>
      </c>
      <c r="BJ50" s="21" t="str">
        <f>'Die Map'!BJ50</f>
        <v>CB067</v>
      </c>
      <c r="BK50" s="22" t="str">
        <f>'Die Map'!BK50</f>
        <v>CB068</v>
      </c>
      <c r="BL50" s="22" t="str">
        <f>'Die Map'!BL50</f>
        <v>CB069</v>
      </c>
      <c r="BM50" s="22" t="str">
        <f>'Die Map'!BM50</f>
        <v>CB071</v>
      </c>
      <c r="BN50" s="23" t="str">
        <f>'Die Map'!BN50</f>
        <v>CB072</v>
      </c>
      <c r="BO50" s="21" t="str">
        <f>'Die Map'!BO50</f>
        <v>CB073</v>
      </c>
      <c r="BP50" s="22" t="str">
        <f>'Die Map'!BP50</f>
        <v>CB074</v>
      </c>
      <c r="BQ50" s="22" t="str">
        <f>'Die Map'!BQ50</f>
        <v>CB075</v>
      </c>
      <c r="BR50" s="22" t="str">
        <f>'Die Map'!BR50</f>
        <v>CB076</v>
      </c>
      <c r="BS50" s="23" t="str">
        <f>'Die Map'!BS50</f>
        <v>CB077</v>
      </c>
      <c r="BT50" s="21" t="str">
        <f>'Die Map'!BT50</f>
        <v>CB078</v>
      </c>
      <c r="BU50" s="22" t="str">
        <f>'Die Map'!BU50</f>
        <v>CB079</v>
      </c>
      <c r="BV50" s="22" t="str">
        <f>'Die Map'!BV50</f>
        <v>CB081</v>
      </c>
      <c r="BW50" s="22" t="str">
        <f>'Die Map'!BW50</f>
        <v>CB082</v>
      </c>
      <c r="BX50" s="23" t="str">
        <f>'Die Map'!BX50</f>
        <v>CB083</v>
      </c>
      <c r="BY50" s="21" t="str">
        <f>'Die Map'!BY50</f>
        <v>CB084</v>
      </c>
      <c r="BZ50" s="22" t="str">
        <f>'Die Map'!BZ50</f>
        <v>CB085</v>
      </c>
      <c r="CA50" s="22" t="str">
        <f>'Die Map'!CA50</f>
        <v>CB086</v>
      </c>
      <c r="CB50" s="22" t="str">
        <f>'Die Map'!CB50</f>
        <v>CB087</v>
      </c>
      <c r="CC50" s="23" t="str">
        <f>'Die Map'!CC50</f>
        <v>CB088</v>
      </c>
      <c r="CD50" s="21" t="str">
        <f>'Die Map'!CD50</f>
        <v>CB089</v>
      </c>
      <c r="CE50" s="22" t="str">
        <f>'Die Map'!CE50</f>
        <v>CB091</v>
      </c>
      <c r="CF50" s="22" t="str">
        <f>'Die Map'!CF50</f>
        <v>CB092</v>
      </c>
      <c r="CG50" s="22" t="str">
        <f>'Die Map'!CG50</f>
        <v>CB093</v>
      </c>
      <c r="CH50" s="23" t="str">
        <f>'Die Map'!CH50</f>
        <v>CB094</v>
      </c>
      <c r="CI50" s="21" t="str">
        <f>'Die Map'!CI50</f>
        <v>CB095</v>
      </c>
      <c r="CJ50" s="22" t="str">
        <f>'Die Map'!CJ50</f>
        <v>CB096</v>
      </c>
      <c r="CK50" s="22" t="str">
        <f>'Die Map'!CK50</f>
        <v>CB097</v>
      </c>
      <c r="CL50" s="22" t="str">
        <f>'Die Map'!CL50</f>
        <v>CB098</v>
      </c>
      <c r="CM50" s="23" t="str">
        <f>'Die Map'!CM50</f>
        <v>CB099</v>
      </c>
      <c r="CN50" s="21" t="str">
        <f>'Die Map'!CN50</f>
        <v>CB101</v>
      </c>
      <c r="CO50" s="22" t="str">
        <f>'Die Map'!CO50</f>
        <v>CB102</v>
      </c>
      <c r="CP50" s="22" t="str">
        <f>'Die Map'!CP50</f>
        <v>CB103</v>
      </c>
      <c r="CQ50" s="22" t="str">
        <f>'Die Map'!CQ50</f>
        <v>CB104</v>
      </c>
      <c r="CR50" s="23" t="str">
        <f>'Die Map'!CR50</f>
        <v>CB105</v>
      </c>
      <c r="CS50" s="21" t="str">
        <f>'Die Map'!CS50</f>
        <v>CB106</v>
      </c>
      <c r="CT50" s="22" t="str">
        <f>'Die Map'!CT50</f>
        <v>CB107</v>
      </c>
      <c r="CU50" s="22" t="str">
        <f>'Die Map'!CU50</f>
        <v>CB108</v>
      </c>
      <c r="CV50" s="22" t="str">
        <f>'Die Map'!CV50</f>
        <v>CB109</v>
      </c>
      <c r="CW50" s="23" t="str">
        <f>'Die Map'!CW50</f>
        <v>CB111</v>
      </c>
      <c r="CX50" s="21" t="str">
        <f>'Die Map'!CX50</f>
        <v>CB112</v>
      </c>
      <c r="CY50" s="22" t="str">
        <f>'Die Map'!CY50</f>
        <v>CB113</v>
      </c>
      <c r="CZ50" s="22" t="str">
        <f>'Die Map'!CZ50</f>
        <v>CB114</v>
      </c>
      <c r="DA50" s="22" t="str">
        <f>'Die Map'!DA50</f>
        <v>CB115</v>
      </c>
      <c r="DB50" s="23" t="str">
        <f>'Die Map'!DB50</f>
        <v>CB116</v>
      </c>
    </row>
    <row r="51" spans="1:106" ht="12.75" customHeight="1" x14ac:dyDescent="0.25">
      <c r="A51" s="17">
        <v>49</v>
      </c>
      <c r="B51" s="21" t="str">
        <f>'Die Map'!B51</f>
        <v>CC001</v>
      </c>
      <c r="C51" s="22" t="str">
        <f>'Die Map'!C51</f>
        <v>CC002</v>
      </c>
      <c r="D51" s="22" t="str">
        <f>'Die Map'!D51</f>
        <v>CC003</v>
      </c>
      <c r="E51" s="22" t="str">
        <f>'Die Map'!E51</f>
        <v>CC004</v>
      </c>
      <c r="F51" s="23" t="str">
        <f>'Die Map'!F51</f>
        <v>CC005</v>
      </c>
      <c r="G51" s="21" t="str">
        <f>'Die Map'!G51</f>
        <v>CC006</v>
      </c>
      <c r="H51" s="22" t="str">
        <f>'Die Map'!H51</f>
        <v>CC007</v>
      </c>
      <c r="I51" s="22" t="str">
        <f>'Die Map'!I51</f>
        <v>CC008</v>
      </c>
      <c r="J51" s="22" t="str">
        <f>'Die Map'!J51</f>
        <v>CC009</v>
      </c>
      <c r="K51" s="23" t="str">
        <f>'Die Map'!K51</f>
        <v>CC011</v>
      </c>
      <c r="L51" s="21" t="str">
        <f>'Die Map'!L51</f>
        <v>CC012</v>
      </c>
      <c r="M51" s="22" t="str">
        <f>'Die Map'!M51</f>
        <v>CC013</v>
      </c>
      <c r="N51" s="22" t="str">
        <f>'Die Map'!N51</f>
        <v>CC014</v>
      </c>
      <c r="O51" s="22" t="str">
        <f>'Die Map'!O51</f>
        <v>CC015</v>
      </c>
      <c r="P51" s="23" t="str">
        <f>'Die Map'!P51</f>
        <v>CC016</v>
      </c>
      <c r="Q51" s="21" t="str">
        <f>'Die Map'!Q51</f>
        <v>CC017</v>
      </c>
      <c r="R51" s="22" t="str">
        <f>'Die Map'!R51</f>
        <v>CC018</v>
      </c>
      <c r="S51" s="22" t="str">
        <f>'Die Map'!S51</f>
        <v>CC019</v>
      </c>
      <c r="T51" s="22" t="str">
        <f>'Die Map'!T51</f>
        <v>CC021</v>
      </c>
      <c r="U51" s="23" t="str">
        <f>'Die Map'!U51</f>
        <v>CC022</v>
      </c>
      <c r="V51" s="21" t="str">
        <f>'Die Map'!V51</f>
        <v>CC023</v>
      </c>
      <c r="W51" s="22" t="str">
        <f>'Die Map'!W51</f>
        <v>CC024</v>
      </c>
      <c r="X51" s="22" t="str">
        <f>'Die Map'!X51</f>
        <v>CC025</v>
      </c>
      <c r="Y51" s="22" t="str">
        <f>'Die Map'!Y51</f>
        <v>CC026</v>
      </c>
      <c r="Z51" s="23" t="str">
        <f>'Die Map'!Z51</f>
        <v>CC027</v>
      </c>
      <c r="AA51" s="21" t="str">
        <f>'Die Map'!AA51</f>
        <v>CC028</v>
      </c>
      <c r="AB51" s="22" t="str">
        <f>'Die Map'!AB51</f>
        <v>CC029</v>
      </c>
      <c r="AC51" s="22" t="str">
        <f>'Die Map'!AC51</f>
        <v>CC031</v>
      </c>
      <c r="AD51" s="22" t="str">
        <f>'Die Map'!AD51</f>
        <v>CC032</v>
      </c>
      <c r="AE51" s="23" t="str">
        <f>'Die Map'!AE51</f>
        <v>CC033</v>
      </c>
      <c r="AF51" s="21" t="str">
        <f>'Die Map'!AF51</f>
        <v>CC034</v>
      </c>
      <c r="AG51" s="22" t="str">
        <f>'Die Map'!AG51</f>
        <v>CC035</v>
      </c>
      <c r="AH51" s="22" t="str">
        <f>'Die Map'!AH51</f>
        <v>CC036</v>
      </c>
      <c r="AI51" s="22" t="str">
        <f>'Die Map'!AI51</f>
        <v>CC037</v>
      </c>
      <c r="AJ51" s="23" t="str">
        <f>'Die Map'!AJ51</f>
        <v>CC038</v>
      </c>
      <c r="AK51" s="21" t="str">
        <f>'Die Map'!AK51</f>
        <v>CC039</v>
      </c>
      <c r="AL51" s="22" t="str">
        <f>'Die Map'!AL51</f>
        <v>CC041</v>
      </c>
      <c r="AM51" s="22" t="str">
        <f>'Die Map'!AM51</f>
        <v>CC042</v>
      </c>
      <c r="AN51" s="22" t="str">
        <f>'Die Map'!AN51</f>
        <v>CC043</v>
      </c>
      <c r="AO51" s="23" t="str">
        <f>'Die Map'!AO51</f>
        <v>CC044</v>
      </c>
      <c r="AP51" s="21" t="str">
        <f>'Die Map'!AP51</f>
        <v>CC045</v>
      </c>
      <c r="AQ51" s="22" t="str">
        <f>'Die Map'!AQ51</f>
        <v>CC046</v>
      </c>
      <c r="AR51" s="22" t="str">
        <f>'Die Map'!AR51</f>
        <v>CC047</v>
      </c>
      <c r="AS51" s="22" t="str">
        <f>'Die Map'!AS51</f>
        <v>CC048</v>
      </c>
      <c r="AT51" s="23" t="str">
        <f>'Die Map'!AT51</f>
        <v>CC049</v>
      </c>
      <c r="AU51" s="21" t="str">
        <f>'Die Map'!AU51</f>
        <v>CC051</v>
      </c>
      <c r="AV51" s="22" t="str">
        <f>'Die Map'!AV51</f>
        <v>CC052</v>
      </c>
      <c r="AW51" s="22" t="str">
        <f>'Die Map'!AW51</f>
        <v>CC053</v>
      </c>
      <c r="AX51" s="22" t="str">
        <f>'Die Map'!AX51</f>
        <v>CC054</v>
      </c>
      <c r="AY51" s="23" t="str">
        <f>'Die Map'!AY51</f>
        <v>CC055</v>
      </c>
      <c r="AZ51" s="21" t="str">
        <f>'Die Map'!AZ51</f>
        <v>CC056</v>
      </c>
      <c r="BA51" s="22" t="str">
        <f>'Die Map'!BA51</f>
        <v>CC057</v>
      </c>
      <c r="BB51" s="22" t="str">
        <f>'Die Map'!BB51</f>
        <v>CC058</v>
      </c>
      <c r="BC51" s="22" t="str">
        <f>'Die Map'!BC51</f>
        <v>CC059</v>
      </c>
      <c r="BD51" s="23" t="str">
        <f>'Die Map'!BD51</f>
        <v>CC061</v>
      </c>
      <c r="BE51" s="21" t="str">
        <f>'Die Map'!BE51</f>
        <v>CC062</v>
      </c>
      <c r="BF51" s="22" t="str">
        <f>'Die Map'!BF51</f>
        <v>CC063</v>
      </c>
      <c r="BG51" s="22" t="str">
        <f>'Die Map'!BG51</f>
        <v>CC064</v>
      </c>
      <c r="BH51" s="22" t="str">
        <f>'Die Map'!BH51</f>
        <v>CC065</v>
      </c>
      <c r="BI51" s="23" t="str">
        <f>'Die Map'!BI51</f>
        <v>CC066</v>
      </c>
      <c r="BJ51" s="21" t="str">
        <f>'Die Map'!BJ51</f>
        <v>CC067</v>
      </c>
      <c r="BK51" s="22" t="str">
        <f>'Die Map'!BK51</f>
        <v>CC068</v>
      </c>
      <c r="BL51" s="22" t="str">
        <f>'Die Map'!BL51</f>
        <v>CC069</v>
      </c>
      <c r="BM51" s="22" t="str">
        <f>'Die Map'!BM51</f>
        <v>CC071</v>
      </c>
      <c r="BN51" s="23" t="str">
        <f>'Die Map'!BN51</f>
        <v>CC072</v>
      </c>
      <c r="BO51" s="21" t="str">
        <f>'Die Map'!BO51</f>
        <v>CC073</v>
      </c>
      <c r="BP51" s="22" t="str">
        <f>'Die Map'!BP51</f>
        <v>CC074</v>
      </c>
      <c r="BQ51" s="22" t="str">
        <f>'Die Map'!BQ51</f>
        <v>CC075</v>
      </c>
      <c r="BR51" s="22" t="str">
        <f>'Die Map'!BR51</f>
        <v>CC076</v>
      </c>
      <c r="BS51" s="23" t="str">
        <f>'Die Map'!BS51</f>
        <v>CC077</v>
      </c>
      <c r="BT51" s="21" t="str">
        <f>'Die Map'!BT51</f>
        <v>CC078</v>
      </c>
      <c r="BU51" s="22" t="str">
        <f>'Die Map'!BU51</f>
        <v>CC079</v>
      </c>
      <c r="BV51" s="22" t="str">
        <f>'Die Map'!BV51</f>
        <v>CC081</v>
      </c>
      <c r="BW51" s="22" t="str">
        <f>'Die Map'!BW51</f>
        <v>CC082</v>
      </c>
      <c r="BX51" s="23" t="str">
        <f>'Die Map'!BX51</f>
        <v>CC083</v>
      </c>
      <c r="BY51" s="21" t="str">
        <f>'Die Map'!BY51</f>
        <v>CC084</v>
      </c>
      <c r="BZ51" s="22" t="str">
        <f>'Die Map'!BZ51</f>
        <v>CC085</v>
      </c>
      <c r="CA51" s="22" t="str">
        <f>'Die Map'!CA51</f>
        <v>CC086</v>
      </c>
      <c r="CB51" s="22" t="str">
        <f>'Die Map'!CB51</f>
        <v>CC087</v>
      </c>
      <c r="CC51" s="23" t="str">
        <f>'Die Map'!CC51</f>
        <v>CC088</v>
      </c>
      <c r="CD51" s="21" t="str">
        <f>'Die Map'!CD51</f>
        <v>CC089</v>
      </c>
      <c r="CE51" s="22" t="str">
        <f>'Die Map'!CE51</f>
        <v>CC091</v>
      </c>
      <c r="CF51" s="22" t="str">
        <f>'Die Map'!CF51</f>
        <v>CC092</v>
      </c>
      <c r="CG51" s="22" t="str">
        <f>'Die Map'!CG51</f>
        <v>CC093</v>
      </c>
      <c r="CH51" s="23" t="str">
        <f>'Die Map'!CH51</f>
        <v>CC094</v>
      </c>
      <c r="CI51" s="21" t="str">
        <f>'Die Map'!CI51</f>
        <v>CC095</v>
      </c>
      <c r="CJ51" s="22" t="str">
        <f>'Die Map'!CJ51</f>
        <v>CC096</v>
      </c>
      <c r="CK51" s="22" t="str">
        <f>'Die Map'!CK51</f>
        <v>CC097</v>
      </c>
      <c r="CL51" s="22" t="str">
        <f>'Die Map'!CL51</f>
        <v>CC098</v>
      </c>
      <c r="CM51" s="23" t="str">
        <f>'Die Map'!CM51</f>
        <v>CC099</v>
      </c>
      <c r="CN51" s="21" t="str">
        <f>'Die Map'!CN51</f>
        <v>CC101</v>
      </c>
      <c r="CO51" s="22" t="str">
        <f>'Die Map'!CO51</f>
        <v>CC102</v>
      </c>
      <c r="CP51" s="22" t="str">
        <f>'Die Map'!CP51</f>
        <v>CC103</v>
      </c>
      <c r="CQ51" s="22" t="str">
        <f>'Die Map'!CQ51</f>
        <v>CC104</v>
      </c>
      <c r="CR51" s="23" t="str">
        <f>'Die Map'!CR51</f>
        <v>CC105</v>
      </c>
      <c r="CS51" s="21" t="str">
        <f>'Die Map'!CS51</f>
        <v>CC106</v>
      </c>
      <c r="CT51" s="22" t="str">
        <f>'Die Map'!CT51</f>
        <v>CC107</v>
      </c>
      <c r="CU51" s="22" t="str">
        <f>'Die Map'!CU51</f>
        <v>CC108</v>
      </c>
      <c r="CV51" s="22" t="str">
        <f>'Die Map'!CV51</f>
        <v>CC109</v>
      </c>
      <c r="CW51" s="23" t="str">
        <f>'Die Map'!CW51</f>
        <v>CC111</v>
      </c>
      <c r="CX51" s="21" t="str">
        <f>'Die Map'!CX51</f>
        <v>CC112</v>
      </c>
      <c r="CY51" s="22" t="str">
        <f>'Die Map'!CY51</f>
        <v>CC113</v>
      </c>
      <c r="CZ51" s="22" t="str">
        <f>'Die Map'!CZ51</f>
        <v>CC114</v>
      </c>
      <c r="DA51" s="22" t="str">
        <f>'Die Map'!DA51</f>
        <v>CC115</v>
      </c>
      <c r="DB51" s="23" t="str">
        <f>'Die Map'!DB51</f>
        <v>CC116</v>
      </c>
    </row>
    <row r="52" spans="1:106" ht="12.75" customHeight="1" x14ac:dyDescent="0.25">
      <c r="A52" s="17">
        <v>50</v>
      </c>
      <c r="B52" s="24" t="str">
        <f>'Die Map'!B52</f>
        <v>CD001</v>
      </c>
      <c r="C52" s="25" t="str">
        <f>'Die Map'!C52</f>
        <v>CD002</v>
      </c>
      <c r="D52" s="25" t="str">
        <f>'Die Map'!D52</f>
        <v>CD003</v>
      </c>
      <c r="E52" s="25" t="str">
        <f>'Die Map'!E52</f>
        <v>CD004</v>
      </c>
      <c r="F52" s="26" t="str">
        <f>'Die Map'!F52</f>
        <v>CD005</v>
      </c>
      <c r="G52" s="24" t="str">
        <f>'Die Map'!G52</f>
        <v>CD006</v>
      </c>
      <c r="H52" s="25" t="str">
        <f>'Die Map'!H52</f>
        <v>CD007</v>
      </c>
      <c r="I52" s="25" t="str">
        <f>'Die Map'!I52</f>
        <v>CD008</v>
      </c>
      <c r="J52" s="25" t="str">
        <f>'Die Map'!J52</f>
        <v>CD009</v>
      </c>
      <c r="K52" s="26" t="str">
        <f>'Die Map'!K52</f>
        <v>CD011</v>
      </c>
      <c r="L52" s="24" t="str">
        <f>'Die Map'!L52</f>
        <v>CD012</v>
      </c>
      <c r="M52" s="25" t="str">
        <f>'Die Map'!M52</f>
        <v>CD013</v>
      </c>
      <c r="N52" s="25" t="str">
        <f>'Die Map'!N52</f>
        <v>CD014</v>
      </c>
      <c r="O52" s="25" t="str">
        <f>'Die Map'!O52</f>
        <v>CD015</v>
      </c>
      <c r="P52" s="26" t="str">
        <f>'Die Map'!P52</f>
        <v>CD016</v>
      </c>
      <c r="Q52" s="24" t="str">
        <f>'Die Map'!Q52</f>
        <v>CD017</v>
      </c>
      <c r="R52" s="25" t="str">
        <f>'Die Map'!R52</f>
        <v>CD018</v>
      </c>
      <c r="S52" s="25" t="str">
        <f>'Die Map'!S52</f>
        <v>CD019</v>
      </c>
      <c r="T52" s="25" t="str">
        <f>'Die Map'!T52</f>
        <v>CD021</v>
      </c>
      <c r="U52" s="26" t="str">
        <f>'Die Map'!U52</f>
        <v>CD022</v>
      </c>
      <c r="V52" s="24" t="str">
        <f>'Die Map'!V52</f>
        <v>CD023</v>
      </c>
      <c r="W52" s="25" t="str">
        <f>'Die Map'!W52</f>
        <v>CD024</v>
      </c>
      <c r="X52" s="25" t="str">
        <f>'Die Map'!X52</f>
        <v>CD025</v>
      </c>
      <c r="Y52" s="25" t="str">
        <f>'Die Map'!Y52</f>
        <v>CD026</v>
      </c>
      <c r="Z52" s="26" t="str">
        <f>'Die Map'!Z52</f>
        <v>CD027</v>
      </c>
      <c r="AA52" s="24" t="str">
        <f>'Die Map'!AA52</f>
        <v>CD028</v>
      </c>
      <c r="AB52" s="25" t="str">
        <f>'Die Map'!AB52</f>
        <v>CD029</v>
      </c>
      <c r="AC52" s="25" t="str">
        <f>'Die Map'!AC52</f>
        <v>CD031</v>
      </c>
      <c r="AD52" s="25" t="str">
        <f>'Die Map'!AD52</f>
        <v>CD032</v>
      </c>
      <c r="AE52" s="26" t="str">
        <f>'Die Map'!AE52</f>
        <v>CD033</v>
      </c>
      <c r="AF52" s="24" t="str">
        <f>'Die Map'!AF52</f>
        <v>CD034</v>
      </c>
      <c r="AG52" s="25" t="str">
        <f>'Die Map'!AG52</f>
        <v>CD035</v>
      </c>
      <c r="AH52" s="25" t="str">
        <f>'Die Map'!AH52</f>
        <v>CD036</v>
      </c>
      <c r="AI52" s="25" t="str">
        <f>'Die Map'!AI52</f>
        <v>CD037</v>
      </c>
      <c r="AJ52" s="26" t="str">
        <f>'Die Map'!AJ52</f>
        <v>CD038</v>
      </c>
      <c r="AK52" s="24" t="str">
        <f>'Die Map'!AK52</f>
        <v>CD039</v>
      </c>
      <c r="AL52" s="25" t="str">
        <f>'Die Map'!AL52</f>
        <v>CD041</v>
      </c>
      <c r="AM52" s="25" t="str">
        <f>'Die Map'!AM52</f>
        <v>CD042</v>
      </c>
      <c r="AN52" s="25" t="str">
        <f>'Die Map'!AN52</f>
        <v>CD043</v>
      </c>
      <c r="AO52" s="26" t="str">
        <f>'Die Map'!AO52</f>
        <v>CD044</v>
      </c>
      <c r="AP52" s="24" t="str">
        <f>'Die Map'!AP52</f>
        <v>CD045</v>
      </c>
      <c r="AQ52" s="25" t="str">
        <f>'Die Map'!AQ52</f>
        <v>CD046</v>
      </c>
      <c r="AR52" s="25" t="str">
        <f>'Die Map'!AR52</f>
        <v>CD047</v>
      </c>
      <c r="AS52" s="25" t="str">
        <f>'Die Map'!AS52</f>
        <v>CD048</v>
      </c>
      <c r="AT52" s="26" t="str">
        <f>'Die Map'!AT52</f>
        <v>CD049</v>
      </c>
      <c r="AU52" s="24" t="str">
        <f>'Die Map'!AU52</f>
        <v>CD051</v>
      </c>
      <c r="AV52" s="25" t="str">
        <f>'Die Map'!AV52</f>
        <v>CD052</v>
      </c>
      <c r="AW52" s="25" t="str">
        <f>'Die Map'!AW52</f>
        <v>CD053</v>
      </c>
      <c r="AX52" s="25" t="str">
        <f>'Die Map'!AX52</f>
        <v>CD054</v>
      </c>
      <c r="AY52" s="26" t="str">
        <f>'Die Map'!AY52</f>
        <v>CD055</v>
      </c>
      <c r="AZ52" s="24" t="str">
        <f>'Die Map'!AZ52</f>
        <v>CD056</v>
      </c>
      <c r="BA52" s="25" t="str">
        <f>'Die Map'!BA52</f>
        <v>CD057</v>
      </c>
      <c r="BB52" s="25" t="str">
        <f>'Die Map'!BB52</f>
        <v>CD058</v>
      </c>
      <c r="BC52" s="25" t="str">
        <f>'Die Map'!BC52</f>
        <v>CD059</v>
      </c>
      <c r="BD52" s="26" t="str">
        <f>'Die Map'!BD52</f>
        <v>CD061</v>
      </c>
      <c r="BE52" s="24" t="str">
        <f>'Die Map'!BE52</f>
        <v>CD062</v>
      </c>
      <c r="BF52" s="25" t="str">
        <f>'Die Map'!BF52</f>
        <v>CD063</v>
      </c>
      <c r="BG52" s="25" t="str">
        <f>'Die Map'!BG52</f>
        <v>CD064</v>
      </c>
      <c r="BH52" s="25" t="str">
        <f>'Die Map'!BH52</f>
        <v>CD065</v>
      </c>
      <c r="BI52" s="26" t="str">
        <f>'Die Map'!BI52</f>
        <v>CD066</v>
      </c>
      <c r="BJ52" s="24" t="str">
        <f>'Die Map'!BJ52</f>
        <v>CD067</v>
      </c>
      <c r="BK52" s="25" t="str">
        <f>'Die Map'!BK52</f>
        <v>CD068</v>
      </c>
      <c r="BL52" s="25" t="str">
        <f>'Die Map'!BL52</f>
        <v>CD069</v>
      </c>
      <c r="BM52" s="25" t="str">
        <f>'Die Map'!BM52</f>
        <v>CD071</v>
      </c>
      <c r="BN52" s="26" t="str">
        <f>'Die Map'!BN52</f>
        <v>CD072</v>
      </c>
      <c r="BO52" s="24" t="str">
        <f>'Die Map'!BO52</f>
        <v>CD073</v>
      </c>
      <c r="BP52" s="25" t="str">
        <f>'Die Map'!BP52</f>
        <v>CD074</v>
      </c>
      <c r="BQ52" s="25" t="str">
        <f>'Die Map'!BQ52</f>
        <v>CD075</v>
      </c>
      <c r="BR52" s="25" t="str">
        <f>'Die Map'!BR52</f>
        <v>CD076</v>
      </c>
      <c r="BS52" s="26" t="str">
        <f>'Die Map'!BS52</f>
        <v>CD077</v>
      </c>
      <c r="BT52" s="24" t="str">
        <f>'Die Map'!BT52</f>
        <v>CD078</v>
      </c>
      <c r="BU52" s="25" t="str">
        <f>'Die Map'!BU52</f>
        <v>CD079</v>
      </c>
      <c r="BV52" s="25" t="str">
        <f>'Die Map'!BV52</f>
        <v>CD081</v>
      </c>
      <c r="BW52" s="25" t="str">
        <f>'Die Map'!BW52</f>
        <v>CD082</v>
      </c>
      <c r="BX52" s="26" t="str">
        <f>'Die Map'!BX52</f>
        <v>CD083</v>
      </c>
      <c r="BY52" s="24" t="str">
        <f>'Die Map'!BY52</f>
        <v>CD084</v>
      </c>
      <c r="BZ52" s="25" t="str">
        <f>'Die Map'!BZ52</f>
        <v>CD085</v>
      </c>
      <c r="CA52" s="25" t="str">
        <f>'Die Map'!CA52</f>
        <v>CD086</v>
      </c>
      <c r="CB52" s="25" t="str">
        <f>'Die Map'!CB52</f>
        <v>CD087</v>
      </c>
      <c r="CC52" s="26" t="str">
        <f>'Die Map'!CC52</f>
        <v>CD088</v>
      </c>
      <c r="CD52" s="24" t="str">
        <f>'Die Map'!CD52</f>
        <v>CD089</v>
      </c>
      <c r="CE52" s="25" t="str">
        <f>'Die Map'!CE52</f>
        <v>CD091</v>
      </c>
      <c r="CF52" s="25" t="str">
        <f>'Die Map'!CF52</f>
        <v>CD092</v>
      </c>
      <c r="CG52" s="25" t="str">
        <f>'Die Map'!CG52</f>
        <v>CD093</v>
      </c>
      <c r="CH52" s="26" t="str">
        <f>'Die Map'!CH52</f>
        <v>CD094</v>
      </c>
      <c r="CI52" s="24" t="str">
        <f>'Die Map'!CI52</f>
        <v>CD095</v>
      </c>
      <c r="CJ52" s="25" t="str">
        <f>'Die Map'!CJ52</f>
        <v>CD096</v>
      </c>
      <c r="CK52" s="25" t="str">
        <f>'Die Map'!CK52</f>
        <v>CD097</v>
      </c>
      <c r="CL52" s="25" t="str">
        <f>'Die Map'!CL52</f>
        <v>CD098</v>
      </c>
      <c r="CM52" s="26" t="str">
        <f>'Die Map'!CM52</f>
        <v>CD099</v>
      </c>
      <c r="CN52" s="24" t="str">
        <f>'Die Map'!CN52</f>
        <v>CD101</v>
      </c>
      <c r="CO52" s="25" t="str">
        <f>'Die Map'!CO52</f>
        <v>CD102</v>
      </c>
      <c r="CP52" s="25" t="str">
        <f>'Die Map'!CP52</f>
        <v>CD103</v>
      </c>
      <c r="CQ52" s="25" t="str">
        <f>'Die Map'!CQ52</f>
        <v>CD104</v>
      </c>
      <c r="CR52" s="26" t="str">
        <f>'Die Map'!CR52</f>
        <v>CD105</v>
      </c>
      <c r="CS52" s="24" t="str">
        <f>'Die Map'!CS52</f>
        <v>CD106</v>
      </c>
      <c r="CT52" s="25" t="str">
        <f>'Die Map'!CT52</f>
        <v>CD107</v>
      </c>
      <c r="CU52" s="25" t="str">
        <f>'Die Map'!CU52</f>
        <v>CD108</v>
      </c>
      <c r="CV52" s="25" t="str">
        <f>'Die Map'!CV52</f>
        <v>CD109</v>
      </c>
      <c r="CW52" s="26" t="str">
        <f>'Die Map'!CW52</f>
        <v>CD111</v>
      </c>
      <c r="CX52" s="24" t="str">
        <f>'Die Map'!CX52</f>
        <v>CD112</v>
      </c>
      <c r="CY52" s="25" t="str">
        <f>'Die Map'!CY52</f>
        <v>CD113</v>
      </c>
      <c r="CZ52" s="25" t="str">
        <f>'Die Map'!CZ52</f>
        <v>CD114</v>
      </c>
      <c r="DA52" s="25" t="str">
        <f>'Die Map'!DA52</f>
        <v>CD115</v>
      </c>
      <c r="DB52" s="26" t="str">
        <f>'Die Map'!DB52</f>
        <v>CD116</v>
      </c>
    </row>
    <row r="53" spans="1:106" ht="12.75" customHeight="1" x14ac:dyDescent="0.25">
      <c r="A53" s="17">
        <v>51</v>
      </c>
      <c r="B53" s="18" t="str">
        <f>'Die Map'!B53</f>
        <v>CE001</v>
      </c>
      <c r="C53" s="19" t="str">
        <f>'Die Map'!C53</f>
        <v>CE002</v>
      </c>
      <c r="D53" s="19" t="str">
        <f>'Die Map'!D53</f>
        <v>CE003</v>
      </c>
      <c r="E53" s="19" t="str">
        <f>'Die Map'!E53</f>
        <v>CE004</v>
      </c>
      <c r="F53" s="20" t="str">
        <f>'Die Map'!F53</f>
        <v>CE005</v>
      </c>
      <c r="G53" s="18" t="str">
        <f>'Die Map'!G53</f>
        <v>CE006</v>
      </c>
      <c r="H53" s="19" t="str">
        <f>'Die Map'!H53</f>
        <v>CE007</v>
      </c>
      <c r="I53" s="19" t="str">
        <f>'Die Map'!I53</f>
        <v>CE008</v>
      </c>
      <c r="J53" s="19" t="str">
        <f>'Die Map'!J53</f>
        <v>CE009</v>
      </c>
      <c r="K53" s="20" t="str">
        <f>'Die Map'!K53</f>
        <v>CE011</v>
      </c>
      <c r="L53" s="18" t="str">
        <f>'Die Map'!L53</f>
        <v>CE012</v>
      </c>
      <c r="M53" s="19" t="str">
        <f>'Die Map'!M53</f>
        <v>CE013</v>
      </c>
      <c r="N53" s="19" t="str">
        <f>'Die Map'!N53</f>
        <v>CE014</v>
      </c>
      <c r="O53" s="19" t="str">
        <f>'Die Map'!O53</f>
        <v>CE015</v>
      </c>
      <c r="P53" s="20" t="str">
        <f>'Die Map'!P53</f>
        <v>CE016</v>
      </c>
      <c r="Q53" s="18" t="str">
        <f>'Die Map'!Q53</f>
        <v>CE017</v>
      </c>
      <c r="R53" s="19" t="str">
        <f>'Die Map'!R53</f>
        <v>CE018</v>
      </c>
      <c r="S53" s="19" t="str">
        <f>'Die Map'!S53</f>
        <v>CE019</v>
      </c>
      <c r="T53" s="19" t="str">
        <f>'Die Map'!T53</f>
        <v>CE021</v>
      </c>
      <c r="U53" s="20" t="str">
        <f>'Die Map'!U53</f>
        <v>CE022</v>
      </c>
      <c r="V53" s="18" t="str">
        <f>'Die Map'!V53</f>
        <v>CE023</v>
      </c>
      <c r="W53" s="19" t="str">
        <f>'Die Map'!W53</f>
        <v>CE024</v>
      </c>
      <c r="X53" s="19" t="str">
        <f>'Die Map'!X53</f>
        <v>CE025</v>
      </c>
      <c r="Y53" s="19" t="str">
        <f>'Die Map'!Y53</f>
        <v>CE026</v>
      </c>
      <c r="Z53" s="20" t="str">
        <f>'Die Map'!Z53</f>
        <v>CE027</v>
      </c>
      <c r="AA53" s="18" t="str">
        <f>'Die Map'!AA53</f>
        <v>CE028</v>
      </c>
      <c r="AB53" s="19" t="str">
        <f>'Die Map'!AB53</f>
        <v>CE029</v>
      </c>
      <c r="AC53" s="19" t="str">
        <f>'Die Map'!AC53</f>
        <v>CE031</v>
      </c>
      <c r="AD53" s="19" t="str">
        <f>'Die Map'!AD53</f>
        <v>CE032</v>
      </c>
      <c r="AE53" s="20" t="str">
        <f>'Die Map'!AE53</f>
        <v>CE033</v>
      </c>
      <c r="AF53" s="18" t="str">
        <f>'Die Map'!AF53</f>
        <v>CE034</v>
      </c>
      <c r="AG53" s="19" t="str">
        <f>'Die Map'!AG53</f>
        <v>CE035</v>
      </c>
      <c r="AH53" s="19" t="str">
        <f>'Die Map'!AH53</f>
        <v>CE036</v>
      </c>
      <c r="AI53" s="19" t="str">
        <f>'Die Map'!AI53</f>
        <v>CE037</v>
      </c>
      <c r="AJ53" s="20" t="str">
        <f>'Die Map'!AJ53</f>
        <v>CE038</v>
      </c>
      <c r="AK53" s="18" t="str">
        <f>'Die Map'!AK53</f>
        <v>CE039</v>
      </c>
      <c r="AL53" s="19" t="str">
        <f>'Die Map'!AL53</f>
        <v>CE041</v>
      </c>
      <c r="AM53" s="19" t="str">
        <f>'Die Map'!AM53</f>
        <v>CE042</v>
      </c>
      <c r="AN53" s="19" t="str">
        <f>'Die Map'!AN53</f>
        <v>CE043</v>
      </c>
      <c r="AO53" s="20" t="str">
        <f>'Die Map'!AO53</f>
        <v>CE044</v>
      </c>
      <c r="AP53" s="18" t="str">
        <f>'Die Map'!AP53</f>
        <v>CE045</v>
      </c>
      <c r="AQ53" s="19" t="str">
        <f>'Die Map'!AQ53</f>
        <v>CE046</v>
      </c>
      <c r="AR53" s="19" t="str">
        <f>'Die Map'!AR53</f>
        <v>CE047</v>
      </c>
      <c r="AS53" s="19" t="str">
        <f>'Die Map'!AS53</f>
        <v>CE048</v>
      </c>
      <c r="AT53" s="20" t="str">
        <f>'Die Map'!AT53</f>
        <v>CE049</v>
      </c>
      <c r="AU53" s="18" t="str">
        <f>'Die Map'!AU53</f>
        <v>CE051</v>
      </c>
      <c r="AV53" s="19" t="str">
        <f>'Die Map'!AV53</f>
        <v>CE052</v>
      </c>
      <c r="AW53" s="19" t="str">
        <f>'Die Map'!AW53</f>
        <v>CE053</v>
      </c>
      <c r="AX53" s="19" t="str">
        <f>'Die Map'!AX53</f>
        <v>CE054</v>
      </c>
      <c r="AY53" s="20" t="str">
        <f>'Die Map'!AY53</f>
        <v>CE055</v>
      </c>
      <c r="AZ53" s="18" t="str">
        <f>'Die Map'!AZ53</f>
        <v>CE056</v>
      </c>
      <c r="BA53" s="19" t="str">
        <f>'Die Map'!BA53</f>
        <v>CE057</v>
      </c>
      <c r="BB53" s="19" t="str">
        <f>'Die Map'!BB53</f>
        <v>CE058</v>
      </c>
      <c r="BC53" s="19" t="str">
        <f>'Die Map'!BC53</f>
        <v>CE059</v>
      </c>
      <c r="BD53" s="20" t="str">
        <f>'Die Map'!BD53</f>
        <v>CE061</v>
      </c>
      <c r="BE53" s="18" t="str">
        <f>'Die Map'!BE53</f>
        <v>CE062</v>
      </c>
      <c r="BF53" s="19" t="str">
        <f>'Die Map'!BF53</f>
        <v>CE063</v>
      </c>
      <c r="BG53" s="19" t="str">
        <f>'Die Map'!BG53</f>
        <v>CE064</v>
      </c>
      <c r="BH53" s="19" t="str">
        <f>'Die Map'!BH53</f>
        <v>CE065</v>
      </c>
      <c r="BI53" s="20" t="str">
        <f>'Die Map'!BI53</f>
        <v>CE066</v>
      </c>
      <c r="BJ53" s="18" t="str">
        <f>'Die Map'!BJ53</f>
        <v>CE067</v>
      </c>
      <c r="BK53" s="19" t="str">
        <f>'Die Map'!BK53</f>
        <v>CE068</v>
      </c>
      <c r="BL53" s="19" t="str">
        <f>'Die Map'!BL53</f>
        <v>CE069</v>
      </c>
      <c r="BM53" s="19" t="str">
        <f>'Die Map'!BM53</f>
        <v>CE071</v>
      </c>
      <c r="BN53" s="20" t="str">
        <f>'Die Map'!BN53</f>
        <v>CE072</v>
      </c>
      <c r="BO53" s="18" t="str">
        <f>'Die Map'!BO53</f>
        <v>CE073</v>
      </c>
      <c r="BP53" s="19" t="str">
        <f>'Die Map'!BP53</f>
        <v>CE074</v>
      </c>
      <c r="BQ53" s="19" t="str">
        <f>'Die Map'!BQ53</f>
        <v>CE075</v>
      </c>
      <c r="BR53" s="19" t="str">
        <f>'Die Map'!BR53</f>
        <v>CE076</v>
      </c>
      <c r="BS53" s="20" t="str">
        <f>'Die Map'!BS53</f>
        <v>CE077</v>
      </c>
      <c r="BT53" s="18" t="str">
        <f>'Die Map'!BT53</f>
        <v>CE078</v>
      </c>
      <c r="BU53" s="19" t="str">
        <f>'Die Map'!BU53</f>
        <v>CE079</v>
      </c>
      <c r="BV53" s="19" t="str">
        <f>'Die Map'!BV53</f>
        <v>CE081</v>
      </c>
      <c r="BW53" s="19" t="str">
        <f>'Die Map'!BW53</f>
        <v>CE082</v>
      </c>
      <c r="BX53" s="20" t="str">
        <f>'Die Map'!BX53</f>
        <v>CE083</v>
      </c>
      <c r="BY53" s="18" t="str">
        <f>'Die Map'!BY53</f>
        <v>CE084</v>
      </c>
      <c r="BZ53" s="19" t="str">
        <f>'Die Map'!BZ53</f>
        <v>CE085</v>
      </c>
      <c r="CA53" s="19" t="str">
        <f>'Die Map'!CA53</f>
        <v>CE086</v>
      </c>
      <c r="CB53" s="19" t="str">
        <f>'Die Map'!CB53</f>
        <v>CE087</v>
      </c>
      <c r="CC53" s="20" t="str">
        <f>'Die Map'!CC53</f>
        <v>CE088</v>
      </c>
      <c r="CD53" s="18" t="str">
        <f>'Die Map'!CD53</f>
        <v>CE089</v>
      </c>
      <c r="CE53" s="19" t="str">
        <f>'Die Map'!CE53</f>
        <v>CE091</v>
      </c>
      <c r="CF53" s="19" t="str">
        <f>'Die Map'!CF53</f>
        <v>CE092</v>
      </c>
      <c r="CG53" s="19" t="str">
        <f>'Die Map'!CG53</f>
        <v>CE093</v>
      </c>
      <c r="CH53" s="20" t="str">
        <f>'Die Map'!CH53</f>
        <v>CE094</v>
      </c>
      <c r="CI53" s="18" t="str">
        <f>'Die Map'!CI53</f>
        <v>CE095</v>
      </c>
      <c r="CJ53" s="19" t="str">
        <f>'Die Map'!CJ53</f>
        <v>CE096</v>
      </c>
      <c r="CK53" s="19" t="str">
        <f>'Die Map'!CK53</f>
        <v>CE097</v>
      </c>
      <c r="CL53" s="19" t="str">
        <f>'Die Map'!CL53</f>
        <v>CE098</v>
      </c>
      <c r="CM53" s="20" t="str">
        <f>'Die Map'!CM53</f>
        <v>CE099</v>
      </c>
      <c r="CN53" s="18" t="str">
        <f>'Die Map'!CN53</f>
        <v>CE101</v>
      </c>
      <c r="CO53" s="19" t="str">
        <f>'Die Map'!CO53</f>
        <v>CE102</v>
      </c>
      <c r="CP53" s="19" t="str">
        <f>'Die Map'!CP53</f>
        <v>CE103</v>
      </c>
      <c r="CQ53" s="19" t="str">
        <f>'Die Map'!CQ53</f>
        <v>CE104</v>
      </c>
      <c r="CR53" s="20" t="str">
        <f>'Die Map'!CR53</f>
        <v>CE105</v>
      </c>
      <c r="CS53" s="18" t="str">
        <f>'Die Map'!CS53</f>
        <v>CE106</v>
      </c>
      <c r="CT53" s="19" t="str">
        <f>'Die Map'!CT53</f>
        <v>CE107</v>
      </c>
      <c r="CU53" s="19" t="str">
        <f>'Die Map'!CU53</f>
        <v>CE108</v>
      </c>
      <c r="CV53" s="19" t="str">
        <f>'Die Map'!CV53</f>
        <v>CE109</v>
      </c>
      <c r="CW53" s="20" t="str">
        <f>'Die Map'!CW53</f>
        <v>CE111</v>
      </c>
      <c r="CX53" s="18" t="str">
        <f>'Die Map'!CX53</f>
        <v>CE112</v>
      </c>
      <c r="CY53" s="19" t="str">
        <f>'Die Map'!CY53</f>
        <v>CE113</v>
      </c>
      <c r="CZ53" s="19" t="str">
        <f>'Die Map'!CZ53</f>
        <v>CE114</v>
      </c>
      <c r="DA53" s="19" t="str">
        <f>'Die Map'!DA53</f>
        <v>CE115</v>
      </c>
      <c r="DB53" s="20" t="str">
        <f>'Die Map'!DB53</f>
        <v>CE116</v>
      </c>
    </row>
    <row r="54" spans="1:106" ht="12.75" customHeight="1" x14ac:dyDescent="0.25">
      <c r="A54" s="17">
        <v>52</v>
      </c>
      <c r="B54" s="21" t="str">
        <f>'Die Map'!B54</f>
        <v>CF001</v>
      </c>
      <c r="C54" s="22" t="str">
        <f>'Die Map'!C54</f>
        <v>CF002</v>
      </c>
      <c r="D54" s="22" t="str">
        <f>'Die Map'!D54</f>
        <v>CF003</v>
      </c>
      <c r="E54" s="22" t="str">
        <f>'Die Map'!E54</f>
        <v>CF004</v>
      </c>
      <c r="F54" s="23" t="str">
        <f>'Die Map'!F54</f>
        <v>CF005</v>
      </c>
      <c r="G54" s="21" t="str">
        <f>'Die Map'!G54</f>
        <v>CF006</v>
      </c>
      <c r="H54" s="22" t="str">
        <f>'Die Map'!H54</f>
        <v>CF007</v>
      </c>
      <c r="I54" s="22" t="str">
        <f>'Die Map'!I54</f>
        <v>CF008</v>
      </c>
      <c r="J54" s="22" t="str">
        <f>'Die Map'!J54</f>
        <v>CF009</v>
      </c>
      <c r="K54" s="23" t="str">
        <f>'Die Map'!K54</f>
        <v>CF011</v>
      </c>
      <c r="L54" s="21" t="str">
        <f>'Die Map'!L54</f>
        <v>CF012</v>
      </c>
      <c r="M54" s="22" t="str">
        <f>'Die Map'!M54</f>
        <v>CF013</v>
      </c>
      <c r="N54" s="22" t="str">
        <f>'Die Map'!N54</f>
        <v>CF014</v>
      </c>
      <c r="O54" s="22" t="str">
        <f>'Die Map'!O54</f>
        <v>CF015</v>
      </c>
      <c r="P54" s="23" t="str">
        <f>'Die Map'!P54</f>
        <v>CF016</v>
      </c>
      <c r="Q54" s="21" t="str">
        <f>'Die Map'!Q54</f>
        <v>CF017</v>
      </c>
      <c r="R54" s="22" t="str">
        <f>'Die Map'!R54</f>
        <v>CF018</v>
      </c>
      <c r="S54" s="22" t="str">
        <f>'Die Map'!S54</f>
        <v>CF019</v>
      </c>
      <c r="T54" s="22" t="str">
        <f>'Die Map'!T54</f>
        <v>CF021</v>
      </c>
      <c r="U54" s="23" t="str">
        <f>'Die Map'!U54</f>
        <v>CF022</v>
      </c>
      <c r="V54" s="21" t="str">
        <f>'Die Map'!V54</f>
        <v>CF023</v>
      </c>
      <c r="W54" s="22" t="str">
        <f>'Die Map'!W54</f>
        <v>CF024</v>
      </c>
      <c r="X54" s="22" t="str">
        <f>'Die Map'!X54</f>
        <v>CF025</v>
      </c>
      <c r="Y54" s="22" t="str">
        <f>'Die Map'!Y54</f>
        <v>CF026</v>
      </c>
      <c r="Z54" s="23" t="str">
        <f>'Die Map'!Z54</f>
        <v>CF027</v>
      </c>
      <c r="AA54" s="21" t="str">
        <f>'Die Map'!AA54</f>
        <v>CF028</v>
      </c>
      <c r="AB54" s="22" t="str">
        <f>'Die Map'!AB54</f>
        <v>CF029</v>
      </c>
      <c r="AC54" s="22" t="str">
        <f>'Die Map'!AC54</f>
        <v>CF031</v>
      </c>
      <c r="AD54" s="22" t="str">
        <f>'Die Map'!AD54</f>
        <v>CF032</v>
      </c>
      <c r="AE54" s="23" t="str">
        <f>'Die Map'!AE54</f>
        <v>CF033</v>
      </c>
      <c r="AF54" s="21" t="str">
        <f>'Die Map'!AF54</f>
        <v>CF034</v>
      </c>
      <c r="AG54" s="22" t="str">
        <f>'Die Map'!AG54</f>
        <v>CF035</v>
      </c>
      <c r="AH54" s="22" t="str">
        <f>'Die Map'!AH54</f>
        <v>CF036</v>
      </c>
      <c r="AI54" s="22" t="str">
        <f>'Die Map'!AI54</f>
        <v>CF037</v>
      </c>
      <c r="AJ54" s="23" t="str">
        <f>'Die Map'!AJ54</f>
        <v>CF038</v>
      </c>
      <c r="AK54" s="21" t="str">
        <f>'Die Map'!AK54</f>
        <v>CF039</v>
      </c>
      <c r="AL54" s="22" t="str">
        <f>'Die Map'!AL54</f>
        <v>CF041</v>
      </c>
      <c r="AM54" s="22" t="str">
        <f>'Die Map'!AM54</f>
        <v>CF042</v>
      </c>
      <c r="AN54" s="22" t="str">
        <f>'Die Map'!AN54</f>
        <v>CF043</v>
      </c>
      <c r="AO54" s="23" t="str">
        <f>'Die Map'!AO54</f>
        <v>CF044</v>
      </c>
      <c r="AP54" s="21" t="str">
        <f>'Die Map'!AP54</f>
        <v>CF045</v>
      </c>
      <c r="AQ54" s="22" t="str">
        <f>'Die Map'!AQ54</f>
        <v>CF046</v>
      </c>
      <c r="AR54" s="22" t="str">
        <f>'Die Map'!AR54</f>
        <v>CF047</v>
      </c>
      <c r="AS54" s="22" t="str">
        <f>'Die Map'!AS54</f>
        <v>CF048</v>
      </c>
      <c r="AT54" s="23" t="str">
        <f>'Die Map'!AT54</f>
        <v>CF049</v>
      </c>
      <c r="AU54" s="21" t="str">
        <f>'Die Map'!AU54</f>
        <v>CF051</v>
      </c>
      <c r="AV54" s="22" t="str">
        <f>'Die Map'!AV54</f>
        <v>CF052</v>
      </c>
      <c r="AW54" s="22" t="str">
        <f>'Die Map'!AW54</f>
        <v>CF053</v>
      </c>
      <c r="AX54" s="22" t="str">
        <f>'Die Map'!AX54</f>
        <v>CF054</v>
      </c>
      <c r="AY54" s="23" t="str">
        <f>'Die Map'!AY54</f>
        <v>CF055</v>
      </c>
      <c r="AZ54" s="21" t="str">
        <f>'Die Map'!AZ54</f>
        <v>CF056</v>
      </c>
      <c r="BA54" s="22" t="str">
        <f>'Die Map'!BA54</f>
        <v>CF057</v>
      </c>
      <c r="BB54" s="22" t="str">
        <f>'Die Map'!BB54</f>
        <v>CF058</v>
      </c>
      <c r="BC54" s="22" t="str">
        <f>'Die Map'!BC54</f>
        <v>CF059</v>
      </c>
      <c r="BD54" s="23" t="str">
        <f>'Die Map'!BD54</f>
        <v>CF061</v>
      </c>
      <c r="BE54" s="21" t="str">
        <f>'Die Map'!BE54</f>
        <v>CF062</v>
      </c>
      <c r="BF54" s="22" t="str">
        <f>'Die Map'!BF54</f>
        <v>CF063</v>
      </c>
      <c r="BG54" s="22" t="str">
        <f>'Die Map'!BG54</f>
        <v>CF064</v>
      </c>
      <c r="BH54" s="22" t="str">
        <f>'Die Map'!BH54</f>
        <v>CF065</v>
      </c>
      <c r="BI54" s="23" t="str">
        <f>'Die Map'!BI54</f>
        <v>CF066</v>
      </c>
      <c r="BJ54" s="21" t="str">
        <f>'Die Map'!BJ54</f>
        <v>CF067</v>
      </c>
      <c r="BK54" s="22" t="str">
        <f>'Die Map'!BK54</f>
        <v>CF068</v>
      </c>
      <c r="BL54" s="22" t="str">
        <f>'Die Map'!BL54</f>
        <v>CF069</v>
      </c>
      <c r="BM54" s="22" t="str">
        <f>'Die Map'!BM54</f>
        <v>CF071</v>
      </c>
      <c r="BN54" s="23" t="str">
        <f>'Die Map'!BN54</f>
        <v>CF072</v>
      </c>
      <c r="BO54" s="21" t="str">
        <f>'Die Map'!BO54</f>
        <v>CF073</v>
      </c>
      <c r="BP54" s="22" t="str">
        <f>'Die Map'!BP54</f>
        <v>CF074</v>
      </c>
      <c r="BQ54" s="22" t="str">
        <f>'Die Map'!BQ54</f>
        <v>CF075</v>
      </c>
      <c r="BR54" s="22" t="str">
        <f>'Die Map'!BR54</f>
        <v>CF076</v>
      </c>
      <c r="BS54" s="23" t="str">
        <f>'Die Map'!BS54</f>
        <v>CF077</v>
      </c>
      <c r="BT54" s="21" t="str">
        <f>'Die Map'!BT54</f>
        <v>CF078</v>
      </c>
      <c r="BU54" s="22" t="str">
        <f>'Die Map'!BU54</f>
        <v>CF079</v>
      </c>
      <c r="BV54" s="22" t="str">
        <f>'Die Map'!BV54</f>
        <v>CF081</v>
      </c>
      <c r="BW54" s="22" t="str">
        <f>'Die Map'!BW54</f>
        <v>CF082</v>
      </c>
      <c r="BX54" s="23" t="str">
        <f>'Die Map'!BX54</f>
        <v>CF083</v>
      </c>
      <c r="BY54" s="21" t="str">
        <f>'Die Map'!BY54</f>
        <v>CF084</v>
      </c>
      <c r="BZ54" s="22" t="str">
        <f>'Die Map'!BZ54</f>
        <v>CF085</v>
      </c>
      <c r="CA54" s="22" t="str">
        <f>'Die Map'!CA54</f>
        <v>CF086</v>
      </c>
      <c r="CB54" s="22" t="str">
        <f>'Die Map'!CB54</f>
        <v>CF087</v>
      </c>
      <c r="CC54" s="23" t="str">
        <f>'Die Map'!CC54</f>
        <v>CF088</v>
      </c>
      <c r="CD54" s="21" t="str">
        <f>'Die Map'!CD54</f>
        <v>CF089</v>
      </c>
      <c r="CE54" s="22" t="str">
        <f>'Die Map'!CE54</f>
        <v>CF091</v>
      </c>
      <c r="CF54" s="22" t="str">
        <f>'Die Map'!CF54</f>
        <v>CF092</v>
      </c>
      <c r="CG54" s="22" t="str">
        <f>'Die Map'!CG54</f>
        <v>CF093</v>
      </c>
      <c r="CH54" s="23" t="str">
        <f>'Die Map'!CH54</f>
        <v>CF094</v>
      </c>
      <c r="CI54" s="21" t="str">
        <f>'Die Map'!CI54</f>
        <v>CF095</v>
      </c>
      <c r="CJ54" s="22" t="str">
        <f>'Die Map'!CJ54</f>
        <v>CF096</v>
      </c>
      <c r="CK54" s="22" t="str">
        <f>'Die Map'!CK54</f>
        <v>CF097</v>
      </c>
      <c r="CL54" s="22" t="str">
        <f>'Die Map'!CL54</f>
        <v>CF098</v>
      </c>
      <c r="CM54" s="23" t="str">
        <f>'Die Map'!CM54</f>
        <v>CF099</v>
      </c>
      <c r="CN54" s="21" t="str">
        <f>'Die Map'!CN54</f>
        <v>CF101</v>
      </c>
      <c r="CO54" s="22" t="str">
        <f>'Die Map'!CO54</f>
        <v>CF102</v>
      </c>
      <c r="CP54" s="22" t="str">
        <f>'Die Map'!CP54</f>
        <v>CF103</v>
      </c>
      <c r="CQ54" s="22" t="str">
        <f>'Die Map'!CQ54</f>
        <v>CF104</v>
      </c>
      <c r="CR54" s="23" t="str">
        <f>'Die Map'!CR54</f>
        <v>CF105</v>
      </c>
      <c r="CS54" s="21" t="str">
        <f>'Die Map'!CS54</f>
        <v>CF106</v>
      </c>
      <c r="CT54" s="22" t="str">
        <f>'Die Map'!CT54</f>
        <v>CF107</v>
      </c>
      <c r="CU54" s="22" t="str">
        <f>'Die Map'!CU54</f>
        <v>CF108</v>
      </c>
      <c r="CV54" s="22" t="str">
        <f>'Die Map'!CV54</f>
        <v>CF109</v>
      </c>
      <c r="CW54" s="23" t="str">
        <f>'Die Map'!CW54</f>
        <v>CF111</v>
      </c>
      <c r="CX54" s="21" t="str">
        <f>'Die Map'!CX54</f>
        <v>CF112</v>
      </c>
      <c r="CY54" s="22" t="str">
        <f>'Die Map'!CY54</f>
        <v>CF113</v>
      </c>
      <c r="CZ54" s="22" t="str">
        <f>'Die Map'!CZ54</f>
        <v>CF114</v>
      </c>
      <c r="DA54" s="22" t="str">
        <f>'Die Map'!DA54</f>
        <v>CF115</v>
      </c>
      <c r="DB54" s="23" t="str">
        <f>'Die Map'!DB54</f>
        <v>CF116</v>
      </c>
    </row>
    <row r="55" spans="1:106" ht="12.75" customHeight="1" x14ac:dyDescent="0.25">
      <c r="A55" s="17">
        <v>53</v>
      </c>
      <c r="B55" s="21" t="str">
        <f>'Die Map'!B55</f>
        <v>CG001</v>
      </c>
      <c r="C55" s="22" t="str">
        <f>'Die Map'!C55</f>
        <v>CG002</v>
      </c>
      <c r="D55" s="22" t="str">
        <f>'Die Map'!D55</f>
        <v>CG003</v>
      </c>
      <c r="E55" s="22" t="str">
        <f>'Die Map'!E55</f>
        <v>CG004</v>
      </c>
      <c r="F55" s="23" t="str">
        <f>'Die Map'!F55</f>
        <v>CG005</v>
      </c>
      <c r="G55" s="21" t="str">
        <f>'Die Map'!G55</f>
        <v>CG006</v>
      </c>
      <c r="H55" s="22" t="str">
        <f>'Die Map'!H55</f>
        <v>CG007</v>
      </c>
      <c r="I55" s="22" t="str">
        <f>'Die Map'!I55</f>
        <v>CG008</v>
      </c>
      <c r="J55" s="22" t="str">
        <f>'Die Map'!J55</f>
        <v>CG009</v>
      </c>
      <c r="K55" s="23" t="str">
        <f>'Die Map'!K55</f>
        <v>CG011</v>
      </c>
      <c r="L55" s="21" t="str">
        <f>'Die Map'!L55</f>
        <v>CG012</v>
      </c>
      <c r="M55" s="22" t="str">
        <f>'Die Map'!M55</f>
        <v>CG013</v>
      </c>
      <c r="N55" s="22" t="str">
        <f>'Die Map'!N55</f>
        <v>CG014</v>
      </c>
      <c r="O55" s="22" t="str">
        <f>'Die Map'!O55</f>
        <v>CG015</v>
      </c>
      <c r="P55" s="23" t="str">
        <f>'Die Map'!P55</f>
        <v>CG016</v>
      </c>
      <c r="Q55" s="21" t="str">
        <f>'Die Map'!Q55</f>
        <v>CG017</v>
      </c>
      <c r="R55" s="22" t="str">
        <f>'Die Map'!R55</f>
        <v>CG018</v>
      </c>
      <c r="S55" s="22" t="str">
        <f>'Die Map'!S55</f>
        <v>CG019</v>
      </c>
      <c r="T55" s="22" t="str">
        <f>'Die Map'!T55</f>
        <v>CG021</v>
      </c>
      <c r="U55" s="23" t="str">
        <f>'Die Map'!U55</f>
        <v>CG022</v>
      </c>
      <c r="V55" s="21" t="str">
        <f>'Die Map'!V55</f>
        <v>CG023</v>
      </c>
      <c r="W55" s="22" t="str">
        <f>'Die Map'!W55</f>
        <v>CG024</v>
      </c>
      <c r="X55" s="22" t="str">
        <f>'Die Map'!X55</f>
        <v>CG025</v>
      </c>
      <c r="Y55" s="22" t="str">
        <f>'Die Map'!Y55</f>
        <v>CG026</v>
      </c>
      <c r="Z55" s="23" t="str">
        <f>'Die Map'!Z55</f>
        <v>CG027</v>
      </c>
      <c r="AA55" s="21" t="str">
        <f>'Die Map'!AA55</f>
        <v>CG028</v>
      </c>
      <c r="AB55" s="22" t="str">
        <f>'Die Map'!AB55</f>
        <v>CG029</v>
      </c>
      <c r="AC55" s="22" t="str">
        <f>'Die Map'!AC55</f>
        <v>CG031</v>
      </c>
      <c r="AD55" s="22" t="str">
        <f>'Die Map'!AD55</f>
        <v>CG032</v>
      </c>
      <c r="AE55" s="23" t="str">
        <f>'Die Map'!AE55</f>
        <v>CG033</v>
      </c>
      <c r="AF55" s="21" t="str">
        <f>'Die Map'!AF55</f>
        <v>CG034</v>
      </c>
      <c r="AG55" s="22" t="str">
        <f>'Die Map'!AG55</f>
        <v>CG035</v>
      </c>
      <c r="AH55" s="22" t="str">
        <f>'Die Map'!AH55</f>
        <v>CG036</v>
      </c>
      <c r="AI55" s="22" t="str">
        <f>'Die Map'!AI55</f>
        <v>CG037</v>
      </c>
      <c r="AJ55" s="23" t="str">
        <f>'Die Map'!AJ55</f>
        <v>CG038</v>
      </c>
      <c r="AK55" s="21" t="str">
        <f>'Die Map'!AK55</f>
        <v>CG039</v>
      </c>
      <c r="AL55" s="22" t="str">
        <f>'Die Map'!AL55</f>
        <v>CG041</v>
      </c>
      <c r="AM55" s="22" t="str">
        <f>'Die Map'!AM55</f>
        <v>CG042</v>
      </c>
      <c r="AN55" s="22" t="str">
        <f>'Die Map'!AN55</f>
        <v>CG043</v>
      </c>
      <c r="AO55" s="23" t="str">
        <f>'Die Map'!AO55</f>
        <v>CG044</v>
      </c>
      <c r="AP55" s="21" t="str">
        <f>'Die Map'!AP55</f>
        <v>CG045</v>
      </c>
      <c r="AQ55" s="22" t="str">
        <f>'Die Map'!AQ55</f>
        <v>CG046</v>
      </c>
      <c r="AR55" s="22" t="str">
        <f>'Die Map'!AR55</f>
        <v>CG047</v>
      </c>
      <c r="AS55" s="22" t="str">
        <f>'Die Map'!AS55</f>
        <v>CG048</v>
      </c>
      <c r="AT55" s="23" t="str">
        <f>'Die Map'!AT55</f>
        <v>CG049</v>
      </c>
      <c r="AU55" s="21" t="str">
        <f>'Die Map'!AU55</f>
        <v>CG051</v>
      </c>
      <c r="AV55" s="22" t="str">
        <f>'Die Map'!AV55</f>
        <v>CG052</v>
      </c>
      <c r="AW55" s="22" t="str">
        <f>'Die Map'!AW55</f>
        <v>CG053</v>
      </c>
      <c r="AX55" s="22" t="str">
        <f>'Die Map'!AX55</f>
        <v>CG054</v>
      </c>
      <c r="AY55" s="23" t="str">
        <f>'Die Map'!AY55</f>
        <v>CG055</v>
      </c>
      <c r="AZ55" s="21" t="str">
        <f>'Die Map'!AZ55</f>
        <v>CG056</v>
      </c>
      <c r="BA55" s="22" t="str">
        <f>'Die Map'!BA55</f>
        <v>CG057</v>
      </c>
      <c r="BB55" s="22" t="str">
        <f>'Die Map'!BB55</f>
        <v>CG058</v>
      </c>
      <c r="BC55" s="22" t="str">
        <f>'Die Map'!BC55</f>
        <v>CG059</v>
      </c>
      <c r="BD55" s="23" t="str">
        <f>'Die Map'!BD55</f>
        <v>CG061</v>
      </c>
      <c r="BE55" s="21" t="str">
        <f>'Die Map'!BE55</f>
        <v>CG062</v>
      </c>
      <c r="BF55" s="22" t="str">
        <f>'Die Map'!BF55</f>
        <v>CG063</v>
      </c>
      <c r="BG55" s="22" t="str">
        <f>'Die Map'!BG55</f>
        <v>CG064</v>
      </c>
      <c r="BH55" s="22" t="str">
        <f>'Die Map'!BH55</f>
        <v>CG065</v>
      </c>
      <c r="BI55" s="23" t="str">
        <f>'Die Map'!BI55</f>
        <v>CG066</v>
      </c>
      <c r="BJ55" s="21" t="str">
        <f>'Die Map'!BJ55</f>
        <v>CG067</v>
      </c>
      <c r="BK55" s="22" t="str">
        <f>'Die Map'!BK55</f>
        <v>CG068</v>
      </c>
      <c r="BL55" s="22" t="str">
        <f>'Die Map'!BL55</f>
        <v>CG069</v>
      </c>
      <c r="BM55" s="22" t="str">
        <f>'Die Map'!BM55</f>
        <v>CG071</v>
      </c>
      <c r="BN55" s="23" t="str">
        <f>'Die Map'!BN55</f>
        <v>CG072</v>
      </c>
      <c r="BO55" s="21" t="str">
        <f>'Die Map'!BO55</f>
        <v>CG073</v>
      </c>
      <c r="BP55" s="22" t="str">
        <f>'Die Map'!BP55</f>
        <v>CG074</v>
      </c>
      <c r="BQ55" s="22" t="str">
        <f>'Die Map'!BQ55</f>
        <v>CG075</v>
      </c>
      <c r="BR55" s="22" t="str">
        <f>'Die Map'!BR55</f>
        <v>CG076</v>
      </c>
      <c r="BS55" s="23" t="str">
        <f>'Die Map'!BS55</f>
        <v>CG077</v>
      </c>
      <c r="BT55" s="21" t="str">
        <f>'Die Map'!BT55</f>
        <v>CG078</v>
      </c>
      <c r="BU55" s="22" t="str">
        <f>'Die Map'!BU55</f>
        <v>CG079</v>
      </c>
      <c r="BV55" s="22" t="str">
        <f>'Die Map'!BV55</f>
        <v>CG081</v>
      </c>
      <c r="BW55" s="22" t="str">
        <f>'Die Map'!BW55</f>
        <v>CG082</v>
      </c>
      <c r="BX55" s="23" t="str">
        <f>'Die Map'!BX55</f>
        <v>CG083</v>
      </c>
      <c r="BY55" s="21" t="str">
        <f>'Die Map'!BY55</f>
        <v>CG084</v>
      </c>
      <c r="BZ55" s="22" t="str">
        <f>'Die Map'!BZ55</f>
        <v>CG085</v>
      </c>
      <c r="CA55" s="22" t="str">
        <f>'Die Map'!CA55</f>
        <v>CG086</v>
      </c>
      <c r="CB55" s="22" t="str">
        <f>'Die Map'!CB55</f>
        <v>CG087</v>
      </c>
      <c r="CC55" s="23" t="str">
        <f>'Die Map'!CC55</f>
        <v>CG088</v>
      </c>
      <c r="CD55" s="21" t="str">
        <f>'Die Map'!CD55</f>
        <v>CG089</v>
      </c>
      <c r="CE55" s="22" t="str">
        <f>'Die Map'!CE55</f>
        <v>CG091</v>
      </c>
      <c r="CF55" s="22" t="str">
        <f>'Die Map'!CF55</f>
        <v>CG092</v>
      </c>
      <c r="CG55" s="22" t="str">
        <f>'Die Map'!CG55</f>
        <v>CG093</v>
      </c>
      <c r="CH55" s="23" t="str">
        <f>'Die Map'!CH55</f>
        <v>CG094</v>
      </c>
      <c r="CI55" s="21" t="str">
        <f>'Die Map'!CI55</f>
        <v>CG095</v>
      </c>
      <c r="CJ55" s="22" t="str">
        <f>'Die Map'!CJ55</f>
        <v>CG096</v>
      </c>
      <c r="CK55" s="22" t="str">
        <f>'Die Map'!CK55</f>
        <v>CG097</v>
      </c>
      <c r="CL55" s="22" t="str">
        <f>'Die Map'!CL55</f>
        <v>CG098</v>
      </c>
      <c r="CM55" s="23" t="str">
        <f>'Die Map'!CM55</f>
        <v>CG099</v>
      </c>
      <c r="CN55" s="21" t="str">
        <f>'Die Map'!CN55</f>
        <v>CG101</v>
      </c>
      <c r="CO55" s="22" t="str">
        <f>'Die Map'!CO55</f>
        <v>CG102</v>
      </c>
      <c r="CP55" s="22" t="str">
        <f>'Die Map'!CP55</f>
        <v>CG103</v>
      </c>
      <c r="CQ55" s="22" t="str">
        <f>'Die Map'!CQ55</f>
        <v>CG104</v>
      </c>
      <c r="CR55" s="23" t="str">
        <f>'Die Map'!CR55</f>
        <v>CG105</v>
      </c>
      <c r="CS55" s="21" t="str">
        <f>'Die Map'!CS55</f>
        <v>CG106</v>
      </c>
      <c r="CT55" s="22" t="str">
        <f>'Die Map'!CT55</f>
        <v>CG107</v>
      </c>
      <c r="CU55" s="22" t="str">
        <f>'Die Map'!CU55</f>
        <v>CG108</v>
      </c>
      <c r="CV55" s="22" t="str">
        <f>'Die Map'!CV55</f>
        <v>CG109</v>
      </c>
      <c r="CW55" s="23" t="str">
        <f>'Die Map'!CW55</f>
        <v>CG111</v>
      </c>
      <c r="CX55" s="21" t="str">
        <f>'Die Map'!CX55</f>
        <v>CG112</v>
      </c>
      <c r="CY55" s="22" t="str">
        <f>'Die Map'!CY55</f>
        <v>CG113</v>
      </c>
      <c r="CZ55" s="22" t="str">
        <f>'Die Map'!CZ55</f>
        <v>CG114</v>
      </c>
      <c r="DA55" s="22" t="str">
        <f>'Die Map'!DA55</f>
        <v>CG115</v>
      </c>
      <c r="DB55" s="23" t="str">
        <f>'Die Map'!DB55</f>
        <v>CG116</v>
      </c>
    </row>
    <row r="56" spans="1:106" ht="12.75" customHeight="1" x14ac:dyDescent="0.25">
      <c r="A56" s="17">
        <v>54</v>
      </c>
      <c r="B56" s="21" t="str">
        <f>'Die Map'!B56</f>
        <v>CH001</v>
      </c>
      <c r="C56" s="22" t="str">
        <f>'Die Map'!C56</f>
        <v>CH002</v>
      </c>
      <c r="D56" s="22" t="str">
        <f>'Die Map'!D56</f>
        <v>CH003</v>
      </c>
      <c r="E56" s="22" t="str">
        <f>'Die Map'!E56</f>
        <v>CH004</v>
      </c>
      <c r="F56" s="23" t="str">
        <f>'Die Map'!F56</f>
        <v>CH005</v>
      </c>
      <c r="G56" s="21" t="str">
        <f>'Die Map'!G56</f>
        <v>CH006</v>
      </c>
      <c r="H56" s="22" t="str">
        <f>'Die Map'!H56</f>
        <v>CH007</v>
      </c>
      <c r="I56" s="22" t="str">
        <f>'Die Map'!I56</f>
        <v>CH008</v>
      </c>
      <c r="J56" s="22" t="str">
        <f>'Die Map'!J56</f>
        <v>CH009</v>
      </c>
      <c r="K56" s="23" t="str">
        <f>'Die Map'!K56</f>
        <v>CH011</v>
      </c>
      <c r="L56" s="21" t="str">
        <f>'Die Map'!L56</f>
        <v>CH012</v>
      </c>
      <c r="M56" s="22" t="str">
        <f>'Die Map'!M56</f>
        <v>CH013</v>
      </c>
      <c r="N56" s="22" t="str">
        <f>'Die Map'!N56</f>
        <v>CH014</v>
      </c>
      <c r="O56" s="22" t="str">
        <f>'Die Map'!O56</f>
        <v>CH015</v>
      </c>
      <c r="P56" s="23" t="str">
        <f>'Die Map'!P56</f>
        <v>CH016</v>
      </c>
      <c r="Q56" s="21" t="str">
        <f>'Die Map'!Q56</f>
        <v>CH017</v>
      </c>
      <c r="R56" s="22" t="str">
        <f>'Die Map'!R56</f>
        <v>CH018</v>
      </c>
      <c r="S56" s="22" t="str">
        <f>'Die Map'!S56</f>
        <v>CH019</v>
      </c>
      <c r="T56" s="22" t="str">
        <f>'Die Map'!T56</f>
        <v>CH021</v>
      </c>
      <c r="U56" s="23" t="str">
        <f>'Die Map'!U56</f>
        <v>CH022</v>
      </c>
      <c r="V56" s="21" t="str">
        <f>'Die Map'!V56</f>
        <v>CH023</v>
      </c>
      <c r="W56" s="22" t="str">
        <f>'Die Map'!W56</f>
        <v>CH024</v>
      </c>
      <c r="X56" s="22" t="str">
        <f>'Die Map'!X56</f>
        <v>CH025</v>
      </c>
      <c r="Y56" s="22" t="str">
        <f>'Die Map'!Y56</f>
        <v>CH026</v>
      </c>
      <c r="Z56" s="23" t="str">
        <f>'Die Map'!Z56</f>
        <v>CH027</v>
      </c>
      <c r="AA56" s="21" t="str">
        <f>'Die Map'!AA56</f>
        <v>CH028</v>
      </c>
      <c r="AB56" s="22" t="str">
        <f>'Die Map'!AB56</f>
        <v>CH029</v>
      </c>
      <c r="AC56" s="22" t="str">
        <f>'Die Map'!AC56</f>
        <v>CH031</v>
      </c>
      <c r="AD56" s="22" t="str">
        <f>'Die Map'!AD56</f>
        <v>CH032</v>
      </c>
      <c r="AE56" s="23" t="str">
        <f>'Die Map'!AE56</f>
        <v>CH033</v>
      </c>
      <c r="AF56" s="21" t="str">
        <f>'Die Map'!AF56</f>
        <v>CH034</v>
      </c>
      <c r="AG56" s="22" t="str">
        <f>'Die Map'!AG56</f>
        <v>CH035</v>
      </c>
      <c r="AH56" s="22" t="str">
        <f>'Die Map'!AH56</f>
        <v>CH036</v>
      </c>
      <c r="AI56" s="22" t="str">
        <f>'Die Map'!AI56</f>
        <v>CH037</v>
      </c>
      <c r="AJ56" s="23" t="str">
        <f>'Die Map'!AJ56</f>
        <v>CH038</v>
      </c>
      <c r="AK56" s="21" t="str">
        <f>'Die Map'!AK56</f>
        <v>CH039</v>
      </c>
      <c r="AL56" s="22" t="str">
        <f>'Die Map'!AL56</f>
        <v>CH041</v>
      </c>
      <c r="AM56" s="22" t="str">
        <f>'Die Map'!AM56</f>
        <v>CH042</v>
      </c>
      <c r="AN56" s="22" t="str">
        <f>'Die Map'!AN56</f>
        <v>CH043</v>
      </c>
      <c r="AO56" s="23" t="str">
        <f>'Die Map'!AO56</f>
        <v>CH044</v>
      </c>
      <c r="AP56" s="21" t="str">
        <f>'Die Map'!AP56</f>
        <v>CH045</v>
      </c>
      <c r="AQ56" s="22" t="str">
        <f>'Die Map'!AQ56</f>
        <v>CH046</v>
      </c>
      <c r="AR56" s="22" t="str">
        <f>'Die Map'!AR56</f>
        <v>CH047</v>
      </c>
      <c r="AS56" s="22" t="str">
        <f>'Die Map'!AS56</f>
        <v>CH048</v>
      </c>
      <c r="AT56" s="23" t="str">
        <f>'Die Map'!AT56</f>
        <v>CH049</v>
      </c>
      <c r="AU56" s="21" t="str">
        <f>'Die Map'!AU56</f>
        <v>CH051</v>
      </c>
      <c r="AV56" s="22" t="str">
        <f>'Die Map'!AV56</f>
        <v>CH052</v>
      </c>
      <c r="AW56" s="22" t="str">
        <f>'Die Map'!AW56</f>
        <v>CH053</v>
      </c>
      <c r="AX56" s="22" t="str">
        <f>'Die Map'!AX56</f>
        <v>CH054</v>
      </c>
      <c r="AY56" s="23" t="str">
        <f>'Die Map'!AY56</f>
        <v>CH055</v>
      </c>
      <c r="AZ56" s="21" t="str">
        <f>'Die Map'!AZ56</f>
        <v>CH056</v>
      </c>
      <c r="BA56" s="22" t="str">
        <f>'Die Map'!BA56</f>
        <v>CH057</v>
      </c>
      <c r="BB56" s="22" t="str">
        <f>'Die Map'!BB56</f>
        <v>CH058</v>
      </c>
      <c r="BC56" s="22" t="str">
        <f>'Die Map'!BC56</f>
        <v>CH059</v>
      </c>
      <c r="BD56" s="23" t="str">
        <f>'Die Map'!BD56</f>
        <v>CH061</v>
      </c>
      <c r="BE56" s="21" t="str">
        <f>'Die Map'!BE56</f>
        <v>CH062</v>
      </c>
      <c r="BF56" s="22" t="str">
        <f>'Die Map'!BF56</f>
        <v>CH063</v>
      </c>
      <c r="BG56" s="22" t="str">
        <f>'Die Map'!BG56</f>
        <v>CH064</v>
      </c>
      <c r="BH56" s="22" t="str">
        <f>'Die Map'!BH56</f>
        <v>CH065</v>
      </c>
      <c r="BI56" s="23" t="str">
        <f>'Die Map'!BI56</f>
        <v>CH066</v>
      </c>
      <c r="BJ56" s="21" t="str">
        <f>'Die Map'!BJ56</f>
        <v>CH067</v>
      </c>
      <c r="BK56" s="22" t="str">
        <f>'Die Map'!BK56</f>
        <v>CH068</v>
      </c>
      <c r="BL56" s="22" t="str">
        <f>'Die Map'!BL56</f>
        <v>CH069</v>
      </c>
      <c r="BM56" s="22" t="str">
        <f>'Die Map'!BM56</f>
        <v>CH071</v>
      </c>
      <c r="BN56" s="23" t="str">
        <f>'Die Map'!BN56</f>
        <v>CH072</v>
      </c>
      <c r="BO56" s="21" t="str">
        <f>'Die Map'!BO56</f>
        <v>CH073</v>
      </c>
      <c r="BP56" s="22" t="str">
        <f>'Die Map'!BP56</f>
        <v>CH074</v>
      </c>
      <c r="BQ56" s="22" t="str">
        <f>'Die Map'!BQ56</f>
        <v>CH075</v>
      </c>
      <c r="BR56" s="22" t="str">
        <f>'Die Map'!BR56</f>
        <v>CH076</v>
      </c>
      <c r="BS56" s="23" t="str">
        <f>'Die Map'!BS56</f>
        <v>CH077</v>
      </c>
      <c r="BT56" s="21" t="str">
        <f>'Die Map'!BT56</f>
        <v>CH078</v>
      </c>
      <c r="BU56" s="22" t="str">
        <f>'Die Map'!BU56</f>
        <v>CH079</v>
      </c>
      <c r="BV56" s="22" t="str">
        <f>'Die Map'!BV56</f>
        <v>CH081</v>
      </c>
      <c r="BW56" s="22" t="str">
        <f>'Die Map'!BW56</f>
        <v>CH082</v>
      </c>
      <c r="BX56" s="23" t="str">
        <f>'Die Map'!BX56</f>
        <v>CH083</v>
      </c>
      <c r="BY56" s="21" t="str">
        <f>'Die Map'!BY56</f>
        <v>CH084</v>
      </c>
      <c r="BZ56" s="22" t="str">
        <f>'Die Map'!BZ56</f>
        <v>CH085</v>
      </c>
      <c r="CA56" s="22" t="str">
        <f>'Die Map'!CA56</f>
        <v>CH086</v>
      </c>
      <c r="CB56" s="22" t="str">
        <f>'Die Map'!CB56</f>
        <v>CH087</v>
      </c>
      <c r="CC56" s="23" t="str">
        <f>'Die Map'!CC56</f>
        <v>CH088</v>
      </c>
      <c r="CD56" s="21" t="str">
        <f>'Die Map'!CD56</f>
        <v>CH089</v>
      </c>
      <c r="CE56" s="22" t="str">
        <f>'Die Map'!CE56</f>
        <v>CH091</v>
      </c>
      <c r="CF56" s="22" t="str">
        <f>'Die Map'!CF56</f>
        <v>CH092</v>
      </c>
      <c r="CG56" s="22" t="str">
        <f>'Die Map'!CG56</f>
        <v>CH093</v>
      </c>
      <c r="CH56" s="23" t="str">
        <f>'Die Map'!CH56</f>
        <v>CH094</v>
      </c>
      <c r="CI56" s="21" t="str">
        <f>'Die Map'!CI56</f>
        <v>CH095</v>
      </c>
      <c r="CJ56" s="22" t="str">
        <f>'Die Map'!CJ56</f>
        <v>CH096</v>
      </c>
      <c r="CK56" s="22" t="str">
        <f>'Die Map'!CK56</f>
        <v>CH097</v>
      </c>
      <c r="CL56" s="22" t="str">
        <f>'Die Map'!CL56</f>
        <v>CH098</v>
      </c>
      <c r="CM56" s="23" t="str">
        <f>'Die Map'!CM56</f>
        <v>CH099</v>
      </c>
      <c r="CN56" s="21" t="str">
        <f>'Die Map'!CN56</f>
        <v>CH101</v>
      </c>
      <c r="CO56" s="22" t="str">
        <f>'Die Map'!CO56</f>
        <v>CH102</v>
      </c>
      <c r="CP56" s="22" t="str">
        <f>'Die Map'!CP56</f>
        <v>CH103</v>
      </c>
      <c r="CQ56" s="22" t="str">
        <f>'Die Map'!CQ56</f>
        <v>CH104</v>
      </c>
      <c r="CR56" s="23" t="str">
        <f>'Die Map'!CR56</f>
        <v>CH105</v>
      </c>
      <c r="CS56" s="21" t="str">
        <f>'Die Map'!CS56</f>
        <v>CH106</v>
      </c>
      <c r="CT56" s="22" t="str">
        <f>'Die Map'!CT56</f>
        <v>CH107</v>
      </c>
      <c r="CU56" s="22" t="str">
        <f>'Die Map'!CU56</f>
        <v>CH108</v>
      </c>
      <c r="CV56" s="22" t="str">
        <f>'Die Map'!CV56</f>
        <v>CH109</v>
      </c>
      <c r="CW56" s="23" t="str">
        <f>'Die Map'!CW56</f>
        <v>CH111</v>
      </c>
      <c r="CX56" s="21" t="str">
        <f>'Die Map'!CX56</f>
        <v>CH112</v>
      </c>
      <c r="CY56" s="22" t="str">
        <f>'Die Map'!CY56</f>
        <v>CH113</v>
      </c>
      <c r="CZ56" s="22" t="str">
        <f>'Die Map'!CZ56</f>
        <v>CH114</v>
      </c>
      <c r="DA56" s="22" t="str">
        <f>'Die Map'!DA56</f>
        <v>CH115</v>
      </c>
      <c r="DB56" s="23" t="str">
        <f>'Die Map'!DB56</f>
        <v>CH116</v>
      </c>
    </row>
    <row r="57" spans="1:106" ht="12.75" customHeight="1" x14ac:dyDescent="0.25">
      <c r="A57" s="17">
        <v>55</v>
      </c>
      <c r="B57" s="24" t="str">
        <f>'Die Map'!B57</f>
        <v>CJ001</v>
      </c>
      <c r="C57" s="25" t="str">
        <f>'Die Map'!C57</f>
        <v>CJ002</v>
      </c>
      <c r="D57" s="25" t="str">
        <f>'Die Map'!D57</f>
        <v>CJ003</v>
      </c>
      <c r="E57" s="25" t="str">
        <f>'Die Map'!E57</f>
        <v>CJ004</v>
      </c>
      <c r="F57" s="26" t="str">
        <f>'Die Map'!F57</f>
        <v>CJ005</v>
      </c>
      <c r="G57" s="24" t="str">
        <f>'Die Map'!G57</f>
        <v>CJ006</v>
      </c>
      <c r="H57" s="25" t="str">
        <f>'Die Map'!H57</f>
        <v>CJ007</v>
      </c>
      <c r="I57" s="25" t="str">
        <f>'Die Map'!I57</f>
        <v>CJ008</v>
      </c>
      <c r="J57" s="25" t="str">
        <f>'Die Map'!J57</f>
        <v>CJ009</v>
      </c>
      <c r="K57" s="26" t="str">
        <f>'Die Map'!K57</f>
        <v>CJ011</v>
      </c>
      <c r="L57" s="24" t="str">
        <f>'Die Map'!L57</f>
        <v>CJ012</v>
      </c>
      <c r="M57" s="25" t="str">
        <f>'Die Map'!M57</f>
        <v>CJ013</v>
      </c>
      <c r="N57" s="25" t="str">
        <f>'Die Map'!N57</f>
        <v>CJ014</v>
      </c>
      <c r="O57" s="25" t="str">
        <f>'Die Map'!O57</f>
        <v>CJ015</v>
      </c>
      <c r="P57" s="26" t="str">
        <f>'Die Map'!P57</f>
        <v>CJ016</v>
      </c>
      <c r="Q57" s="24" t="str">
        <f>'Die Map'!Q57</f>
        <v>CJ017</v>
      </c>
      <c r="R57" s="25" t="str">
        <f>'Die Map'!R57</f>
        <v>CJ018</v>
      </c>
      <c r="S57" s="25" t="str">
        <f>'Die Map'!S57</f>
        <v>CJ019</v>
      </c>
      <c r="T57" s="25" t="str">
        <f>'Die Map'!T57</f>
        <v>CJ021</v>
      </c>
      <c r="U57" s="26" t="str">
        <f>'Die Map'!U57</f>
        <v>CJ022</v>
      </c>
      <c r="V57" s="24" t="str">
        <f>'Die Map'!V57</f>
        <v>CJ023</v>
      </c>
      <c r="W57" s="25" t="str">
        <f>'Die Map'!W57</f>
        <v>CJ024</v>
      </c>
      <c r="X57" s="25" t="str">
        <f>'Die Map'!X57</f>
        <v>CJ025</v>
      </c>
      <c r="Y57" s="25" t="str">
        <f>'Die Map'!Y57</f>
        <v>CJ026</v>
      </c>
      <c r="Z57" s="26" t="str">
        <f>'Die Map'!Z57</f>
        <v>CJ027</v>
      </c>
      <c r="AA57" s="24" t="str">
        <f>'Die Map'!AA57</f>
        <v>CJ028</v>
      </c>
      <c r="AB57" s="25" t="str">
        <f>'Die Map'!AB57</f>
        <v>CJ029</v>
      </c>
      <c r="AC57" s="25" t="str">
        <f>'Die Map'!AC57</f>
        <v>CJ031</v>
      </c>
      <c r="AD57" s="25" t="str">
        <f>'Die Map'!AD57</f>
        <v>CJ032</v>
      </c>
      <c r="AE57" s="26" t="str">
        <f>'Die Map'!AE57</f>
        <v>CJ033</v>
      </c>
      <c r="AF57" s="24" t="str">
        <f>'Die Map'!AF57</f>
        <v>CJ034</v>
      </c>
      <c r="AG57" s="25" t="str">
        <f>'Die Map'!AG57</f>
        <v>CJ035</v>
      </c>
      <c r="AH57" s="25" t="str">
        <f>'Die Map'!AH57</f>
        <v>CJ036</v>
      </c>
      <c r="AI57" s="25" t="str">
        <f>'Die Map'!AI57</f>
        <v>CJ037</v>
      </c>
      <c r="AJ57" s="26" t="str">
        <f>'Die Map'!AJ57</f>
        <v>CJ038</v>
      </c>
      <c r="AK57" s="24" t="str">
        <f>'Die Map'!AK57</f>
        <v>CJ039</v>
      </c>
      <c r="AL57" s="25" t="str">
        <f>'Die Map'!AL57</f>
        <v>CJ041</v>
      </c>
      <c r="AM57" s="25" t="str">
        <f>'Die Map'!AM57</f>
        <v>CJ042</v>
      </c>
      <c r="AN57" s="25" t="str">
        <f>'Die Map'!AN57</f>
        <v>CJ043</v>
      </c>
      <c r="AO57" s="26" t="str">
        <f>'Die Map'!AO57</f>
        <v>CJ044</v>
      </c>
      <c r="AP57" s="24" t="str">
        <f>'Die Map'!AP57</f>
        <v>CJ045</v>
      </c>
      <c r="AQ57" s="25" t="str">
        <f>'Die Map'!AQ57</f>
        <v>CJ046</v>
      </c>
      <c r="AR57" s="25" t="str">
        <f>'Die Map'!AR57</f>
        <v>CJ047</v>
      </c>
      <c r="AS57" s="25" t="str">
        <f>'Die Map'!AS57</f>
        <v>CJ048</v>
      </c>
      <c r="AT57" s="26" t="str">
        <f>'Die Map'!AT57</f>
        <v>CJ049</v>
      </c>
      <c r="AU57" s="24" t="str">
        <f>'Die Map'!AU57</f>
        <v>CJ051</v>
      </c>
      <c r="AV57" s="25" t="str">
        <f>'Die Map'!AV57</f>
        <v>CJ052</v>
      </c>
      <c r="AW57" s="25" t="str">
        <f>'Die Map'!AW57</f>
        <v>CJ053</v>
      </c>
      <c r="AX57" s="25" t="str">
        <f>'Die Map'!AX57</f>
        <v>CJ054</v>
      </c>
      <c r="AY57" s="26" t="str">
        <f>'Die Map'!AY57</f>
        <v>CJ055</v>
      </c>
      <c r="AZ57" s="24" t="str">
        <f>'Die Map'!AZ57</f>
        <v>CJ056</v>
      </c>
      <c r="BA57" s="25" t="str">
        <f>'Die Map'!BA57</f>
        <v>CJ057</v>
      </c>
      <c r="BB57" s="25" t="str">
        <f>'Die Map'!BB57</f>
        <v>CJ058</v>
      </c>
      <c r="BC57" s="25" t="str">
        <f>'Die Map'!BC57</f>
        <v>CJ059</v>
      </c>
      <c r="BD57" s="26" t="str">
        <f>'Die Map'!BD57</f>
        <v>CJ061</v>
      </c>
      <c r="BE57" s="24" t="str">
        <f>'Die Map'!BE57</f>
        <v>CJ062</v>
      </c>
      <c r="BF57" s="25" t="str">
        <f>'Die Map'!BF57</f>
        <v>CJ063</v>
      </c>
      <c r="BG57" s="25" t="str">
        <f>'Die Map'!BG57</f>
        <v>CJ064</v>
      </c>
      <c r="BH57" s="25" t="str">
        <f>'Die Map'!BH57</f>
        <v>CJ065</v>
      </c>
      <c r="BI57" s="26" t="str">
        <f>'Die Map'!BI57</f>
        <v>CJ066</v>
      </c>
      <c r="BJ57" s="24" t="str">
        <f>'Die Map'!BJ57</f>
        <v>CJ067</v>
      </c>
      <c r="BK57" s="25" t="str">
        <f>'Die Map'!BK57</f>
        <v>CJ068</v>
      </c>
      <c r="BL57" s="25" t="str">
        <f>'Die Map'!BL57</f>
        <v>CJ069</v>
      </c>
      <c r="BM57" s="25" t="str">
        <f>'Die Map'!BM57</f>
        <v>CJ071</v>
      </c>
      <c r="BN57" s="26" t="str">
        <f>'Die Map'!BN57</f>
        <v>CJ072</v>
      </c>
      <c r="BO57" s="24" t="str">
        <f>'Die Map'!BO57</f>
        <v>CJ073</v>
      </c>
      <c r="BP57" s="25" t="str">
        <f>'Die Map'!BP57</f>
        <v>CJ074</v>
      </c>
      <c r="BQ57" s="25" t="str">
        <f>'Die Map'!BQ57</f>
        <v>CJ075</v>
      </c>
      <c r="BR57" s="25" t="str">
        <f>'Die Map'!BR57</f>
        <v>CJ076</v>
      </c>
      <c r="BS57" s="26" t="str">
        <f>'Die Map'!BS57</f>
        <v>CJ077</v>
      </c>
      <c r="BT57" s="24" t="str">
        <f>'Die Map'!BT57</f>
        <v>CJ078</v>
      </c>
      <c r="BU57" s="25" t="str">
        <f>'Die Map'!BU57</f>
        <v>CJ079</v>
      </c>
      <c r="BV57" s="25" t="str">
        <f>'Die Map'!BV57</f>
        <v>CJ081</v>
      </c>
      <c r="BW57" s="25" t="str">
        <f>'Die Map'!BW57</f>
        <v>CJ082</v>
      </c>
      <c r="BX57" s="26" t="str">
        <f>'Die Map'!BX57</f>
        <v>CJ083</v>
      </c>
      <c r="BY57" s="24" t="str">
        <f>'Die Map'!BY57</f>
        <v>CJ084</v>
      </c>
      <c r="BZ57" s="25" t="str">
        <f>'Die Map'!BZ57</f>
        <v>CJ085</v>
      </c>
      <c r="CA57" s="25" t="str">
        <f>'Die Map'!CA57</f>
        <v>CJ086</v>
      </c>
      <c r="CB57" s="25" t="str">
        <f>'Die Map'!CB57</f>
        <v>CJ087</v>
      </c>
      <c r="CC57" s="26" t="str">
        <f>'Die Map'!CC57</f>
        <v>CJ088</v>
      </c>
      <c r="CD57" s="24" t="str">
        <f>'Die Map'!CD57</f>
        <v>CJ089</v>
      </c>
      <c r="CE57" s="25" t="str">
        <f>'Die Map'!CE57</f>
        <v>CJ091</v>
      </c>
      <c r="CF57" s="25" t="str">
        <f>'Die Map'!CF57</f>
        <v>CJ092</v>
      </c>
      <c r="CG57" s="25" t="str">
        <f>'Die Map'!CG57</f>
        <v>CJ093</v>
      </c>
      <c r="CH57" s="26" t="str">
        <f>'Die Map'!CH57</f>
        <v>CJ094</v>
      </c>
      <c r="CI57" s="24" t="str">
        <f>'Die Map'!CI57</f>
        <v>CJ095</v>
      </c>
      <c r="CJ57" s="25" t="str">
        <f>'Die Map'!CJ57</f>
        <v>CJ096</v>
      </c>
      <c r="CK57" s="25" t="str">
        <f>'Die Map'!CK57</f>
        <v>CJ097</v>
      </c>
      <c r="CL57" s="25" t="str">
        <f>'Die Map'!CL57</f>
        <v>CJ098</v>
      </c>
      <c r="CM57" s="26" t="str">
        <f>'Die Map'!CM57</f>
        <v>CJ099</v>
      </c>
      <c r="CN57" s="24" t="str">
        <f>'Die Map'!CN57</f>
        <v>CJ101</v>
      </c>
      <c r="CO57" s="25" t="str">
        <f>'Die Map'!CO57</f>
        <v>CJ102</v>
      </c>
      <c r="CP57" s="25" t="str">
        <f>'Die Map'!CP57</f>
        <v>CJ103</v>
      </c>
      <c r="CQ57" s="25" t="str">
        <f>'Die Map'!CQ57</f>
        <v>CJ104</v>
      </c>
      <c r="CR57" s="26" t="str">
        <f>'Die Map'!CR57</f>
        <v>CJ105</v>
      </c>
      <c r="CS57" s="24" t="str">
        <f>'Die Map'!CS57</f>
        <v>CJ106</v>
      </c>
      <c r="CT57" s="25" t="str">
        <f>'Die Map'!CT57</f>
        <v>CJ107</v>
      </c>
      <c r="CU57" s="25" t="str">
        <f>'Die Map'!CU57</f>
        <v>CJ108</v>
      </c>
      <c r="CV57" s="25" t="str">
        <f>'Die Map'!CV57</f>
        <v>CJ109</v>
      </c>
      <c r="CW57" s="26" t="str">
        <f>'Die Map'!CW57</f>
        <v>CJ111</v>
      </c>
      <c r="CX57" s="24" t="str">
        <f>'Die Map'!CX57</f>
        <v>CJ112</v>
      </c>
      <c r="CY57" s="25" t="str">
        <f>'Die Map'!CY57</f>
        <v>CJ113</v>
      </c>
      <c r="CZ57" s="25" t="str">
        <f>'Die Map'!CZ57</f>
        <v>CJ114</v>
      </c>
      <c r="DA57" s="25" t="str">
        <f>'Die Map'!DA57</f>
        <v>CJ115</v>
      </c>
      <c r="DB57" s="26" t="str">
        <f>'Die Map'!DB57</f>
        <v>CJ116</v>
      </c>
    </row>
    <row r="58" spans="1:106" ht="12.75" customHeight="1" x14ac:dyDescent="0.25">
      <c r="A58" s="17">
        <v>56</v>
      </c>
      <c r="B58" s="18" t="str">
        <f>'Die Map'!B58</f>
        <v>CK001</v>
      </c>
      <c r="C58" s="19" t="str">
        <f>'Die Map'!C58</f>
        <v>CK002</v>
      </c>
      <c r="D58" s="19" t="str">
        <f>'Die Map'!D58</f>
        <v>CK003</v>
      </c>
      <c r="E58" s="19" t="str">
        <f>'Die Map'!E58</f>
        <v>CK004</v>
      </c>
      <c r="F58" s="20" t="str">
        <f>'Die Map'!F58</f>
        <v>CK005</v>
      </c>
      <c r="G58" s="18" t="str">
        <f>'Die Map'!G58</f>
        <v>CK006</v>
      </c>
      <c r="H58" s="19" t="str">
        <f>'Die Map'!H58</f>
        <v>CK007</v>
      </c>
      <c r="I58" s="19" t="str">
        <f>'Die Map'!I58</f>
        <v>CK008</v>
      </c>
      <c r="J58" s="19" t="str">
        <f>'Die Map'!J58</f>
        <v>CK009</v>
      </c>
      <c r="K58" s="20" t="str">
        <f>'Die Map'!K58</f>
        <v>CK011</v>
      </c>
      <c r="L58" s="18" t="str">
        <f>'Die Map'!L58</f>
        <v>CK012</v>
      </c>
      <c r="M58" s="19" t="str">
        <f>'Die Map'!M58</f>
        <v>CK013</v>
      </c>
      <c r="N58" s="19" t="str">
        <f>'Die Map'!N58</f>
        <v>CK014</v>
      </c>
      <c r="O58" s="19" t="str">
        <f>'Die Map'!O58</f>
        <v>CK015</v>
      </c>
      <c r="P58" s="20" t="str">
        <f>'Die Map'!P58</f>
        <v>CK016</v>
      </c>
      <c r="Q58" s="18" t="str">
        <f>'Die Map'!Q58</f>
        <v>CK017</v>
      </c>
      <c r="R58" s="19" t="str">
        <f>'Die Map'!R58</f>
        <v>CK018</v>
      </c>
      <c r="S58" s="19" t="str">
        <f>'Die Map'!S58</f>
        <v>CK019</v>
      </c>
      <c r="T58" s="19" t="str">
        <f>'Die Map'!T58</f>
        <v>CK021</v>
      </c>
      <c r="U58" s="20" t="str">
        <f>'Die Map'!U58</f>
        <v>CK022</v>
      </c>
      <c r="V58" s="18" t="str">
        <f>'Die Map'!V58</f>
        <v>CK023</v>
      </c>
      <c r="W58" s="19" t="str">
        <f>'Die Map'!W58</f>
        <v>CK024</v>
      </c>
      <c r="X58" s="19" t="str">
        <f>'Die Map'!X58</f>
        <v>CK025</v>
      </c>
      <c r="Y58" s="19" t="str">
        <f>'Die Map'!Y58</f>
        <v>CK026</v>
      </c>
      <c r="Z58" s="20" t="str">
        <f>'Die Map'!Z58</f>
        <v>CK027</v>
      </c>
      <c r="AA58" s="18" t="str">
        <f>'Die Map'!AA58</f>
        <v>CK028</v>
      </c>
      <c r="AB58" s="19" t="str">
        <f>'Die Map'!AB58</f>
        <v>CK029</v>
      </c>
      <c r="AC58" s="19" t="str">
        <f>'Die Map'!AC58</f>
        <v>CK031</v>
      </c>
      <c r="AD58" s="19" t="str">
        <f>'Die Map'!AD58</f>
        <v>CK032</v>
      </c>
      <c r="AE58" s="20" t="str">
        <f>'Die Map'!AE58</f>
        <v>CK033</v>
      </c>
      <c r="AF58" s="18" t="str">
        <f>'Die Map'!AF58</f>
        <v>CK034</v>
      </c>
      <c r="AG58" s="19" t="str">
        <f>'Die Map'!AG58</f>
        <v>CK035</v>
      </c>
      <c r="AH58" s="19" t="str">
        <f>'Die Map'!AH58</f>
        <v>CK036</v>
      </c>
      <c r="AI58" s="19" t="str">
        <f>'Die Map'!AI58</f>
        <v>CK037</v>
      </c>
      <c r="AJ58" s="20" t="str">
        <f>'Die Map'!AJ58</f>
        <v>CK038</v>
      </c>
      <c r="AK58" s="18" t="str">
        <f>'Die Map'!AK58</f>
        <v>CK039</v>
      </c>
      <c r="AL58" s="19" t="str">
        <f>'Die Map'!AL58</f>
        <v>CK041</v>
      </c>
      <c r="AM58" s="19" t="str">
        <f>'Die Map'!AM58</f>
        <v>CK042</v>
      </c>
      <c r="AN58" s="19" t="str">
        <f>'Die Map'!AN58</f>
        <v>CK043</v>
      </c>
      <c r="AO58" s="20" t="str">
        <f>'Die Map'!AO58</f>
        <v>CK044</v>
      </c>
      <c r="AP58" s="18" t="str">
        <f>'Die Map'!AP58</f>
        <v>CK045</v>
      </c>
      <c r="AQ58" s="19" t="str">
        <f>'Die Map'!AQ58</f>
        <v>CK046</v>
      </c>
      <c r="AR58" s="19" t="str">
        <f>'Die Map'!AR58</f>
        <v>CK047</v>
      </c>
      <c r="AS58" s="19" t="str">
        <f>'Die Map'!AS58</f>
        <v>CK048</v>
      </c>
      <c r="AT58" s="20" t="str">
        <f>'Die Map'!AT58</f>
        <v>CK049</v>
      </c>
      <c r="AU58" s="18" t="str">
        <f>'Die Map'!AU58</f>
        <v>CK051</v>
      </c>
      <c r="AV58" s="19" t="str">
        <f>'Die Map'!AV58</f>
        <v>CK052</v>
      </c>
      <c r="AW58" s="19" t="str">
        <f>'Die Map'!AW58</f>
        <v>CK053</v>
      </c>
      <c r="AX58" s="19" t="str">
        <f>'Die Map'!AX58</f>
        <v>CK054</v>
      </c>
      <c r="AY58" s="20" t="str">
        <f>'Die Map'!AY58</f>
        <v>CK055</v>
      </c>
      <c r="AZ58" s="18" t="str">
        <f>'Die Map'!AZ58</f>
        <v>CK056</v>
      </c>
      <c r="BA58" s="19" t="str">
        <f>'Die Map'!BA58</f>
        <v>CK057</v>
      </c>
      <c r="BB58" s="19" t="str">
        <f>'Die Map'!BB58</f>
        <v>CK058</v>
      </c>
      <c r="BC58" s="19" t="str">
        <f>'Die Map'!BC58</f>
        <v>CK059</v>
      </c>
      <c r="BD58" s="20" t="str">
        <f>'Die Map'!BD58</f>
        <v>CK061</v>
      </c>
      <c r="BE58" s="18" t="str">
        <f>'Die Map'!BE58</f>
        <v>CK062</v>
      </c>
      <c r="BF58" s="19" t="str">
        <f>'Die Map'!BF58</f>
        <v>CK063</v>
      </c>
      <c r="BG58" s="19" t="str">
        <f>'Die Map'!BG58</f>
        <v>CK064</v>
      </c>
      <c r="BH58" s="19" t="str">
        <f>'Die Map'!BH58</f>
        <v>CK065</v>
      </c>
      <c r="BI58" s="20" t="str">
        <f>'Die Map'!BI58</f>
        <v>CK066</v>
      </c>
      <c r="BJ58" s="18" t="str">
        <f>'Die Map'!BJ58</f>
        <v>CK067</v>
      </c>
      <c r="BK58" s="19" t="str">
        <f>'Die Map'!BK58</f>
        <v>CK068</v>
      </c>
      <c r="BL58" s="19" t="str">
        <f>'Die Map'!BL58</f>
        <v>CK069</v>
      </c>
      <c r="BM58" s="19" t="str">
        <f>'Die Map'!BM58</f>
        <v>CK071</v>
      </c>
      <c r="BN58" s="20" t="str">
        <f>'Die Map'!BN58</f>
        <v>CK072</v>
      </c>
      <c r="BO58" s="18" t="str">
        <f>'Die Map'!BO58</f>
        <v>CK073</v>
      </c>
      <c r="BP58" s="19" t="str">
        <f>'Die Map'!BP58</f>
        <v>CK074</v>
      </c>
      <c r="BQ58" s="19" t="str">
        <f>'Die Map'!BQ58</f>
        <v>CK075</v>
      </c>
      <c r="BR58" s="19" t="str">
        <f>'Die Map'!BR58</f>
        <v>CK076</v>
      </c>
      <c r="BS58" s="20" t="str">
        <f>'Die Map'!BS58</f>
        <v>CK077</v>
      </c>
      <c r="BT58" s="18" t="str">
        <f>'Die Map'!BT58</f>
        <v>CK078</v>
      </c>
      <c r="BU58" s="19" t="str">
        <f>'Die Map'!BU58</f>
        <v>CK079</v>
      </c>
      <c r="BV58" s="19" t="str">
        <f>'Die Map'!BV58</f>
        <v>CK081</v>
      </c>
      <c r="BW58" s="19" t="str">
        <f>'Die Map'!BW58</f>
        <v>CK082</v>
      </c>
      <c r="BX58" s="20" t="str">
        <f>'Die Map'!BX58</f>
        <v>CK083</v>
      </c>
      <c r="BY58" s="18" t="str">
        <f>'Die Map'!BY58</f>
        <v>CK084</v>
      </c>
      <c r="BZ58" s="19" t="str">
        <f>'Die Map'!BZ58</f>
        <v>CK085</v>
      </c>
      <c r="CA58" s="19" t="str">
        <f>'Die Map'!CA58</f>
        <v>CK086</v>
      </c>
      <c r="CB58" s="19" t="str">
        <f>'Die Map'!CB58</f>
        <v>CK087</v>
      </c>
      <c r="CC58" s="20" t="str">
        <f>'Die Map'!CC58</f>
        <v>CK088</v>
      </c>
      <c r="CD58" s="18" t="str">
        <f>'Die Map'!CD58</f>
        <v>CK089</v>
      </c>
      <c r="CE58" s="19" t="str">
        <f>'Die Map'!CE58</f>
        <v>CK091</v>
      </c>
      <c r="CF58" s="19" t="str">
        <f>'Die Map'!CF58</f>
        <v>CK092</v>
      </c>
      <c r="CG58" s="19" t="str">
        <f>'Die Map'!CG58</f>
        <v>CK093</v>
      </c>
      <c r="CH58" s="20" t="str">
        <f>'Die Map'!CH58</f>
        <v>CK094</v>
      </c>
      <c r="CI58" s="18" t="str">
        <f>'Die Map'!CI58</f>
        <v>CK095</v>
      </c>
      <c r="CJ58" s="19" t="str">
        <f>'Die Map'!CJ58</f>
        <v>CK096</v>
      </c>
      <c r="CK58" s="19" t="str">
        <f>'Die Map'!CK58</f>
        <v>CK097</v>
      </c>
      <c r="CL58" s="19" t="str">
        <f>'Die Map'!CL58</f>
        <v>CK098</v>
      </c>
      <c r="CM58" s="20" t="str">
        <f>'Die Map'!CM58</f>
        <v>CK099</v>
      </c>
      <c r="CN58" s="18" t="str">
        <f>'Die Map'!CN58</f>
        <v>CK101</v>
      </c>
      <c r="CO58" s="19" t="str">
        <f>'Die Map'!CO58</f>
        <v>CK102</v>
      </c>
      <c r="CP58" s="19" t="str">
        <f>'Die Map'!CP58</f>
        <v>CK103</v>
      </c>
      <c r="CQ58" s="19" t="str">
        <f>'Die Map'!CQ58</f>
        <v>CK104</v>
      </c>
      <c r="CR58" s="20" t="str">
        <f>'Die Map'!CR58</f>
        <v>CK105</v>
      </c>
      <c r="CS58" s="18" t="str">
        <f>'Die Map'!CS58</f>
        <v>CK106</v>
      </c>
      <c r="CT58" s="19" t="str">
        <f>'Die Map'!CT58</f>
        <v>CK107</v>
      </c>
      <c r="CU58" s="19" t="str">
        <f>'Die Map'!CU58</f>
        <v>CK108</v>
      </c>
      <c r="CV58" s="19" t="str">
        <f>'Die Map'!CV58</f>
        <v>CK109</v>
      </c>
      <c r="CW58" s="20" t="str">
        <f>'Die Map'!CW58</f>
        <v>CK111</v>
      </c>
      <c r="CX58" s="18" t="str">
        <f>'Die Map'!CX58</f>
        <v>CK112</v>
      </c>
      <c r="CY58" s="19" t="str">
        <f>'Die Map'!CY58</f>
        <v>CK113</v>
      </c>
      <c r="CZ58" s="19" t="str">
        <f>'Die Map'!CZ58</f>
        <v>CK114</v>
      </c>
      <c r="DA58" s="19" t="str">
        <f>'Die Map'!DA58</f>
        <v>CK115</v>
      </c>
      <c r="DB58" s="20" t="str">
        <f>'Die Map'!DB58</f>
        <v>CK116</v>
      </c>
    </row>
    <row r="59" spans="1:106" ht="12.75" customHeight="1" x14ac:dyDescent="0.25">
      <c r="A59" s="17">
        <v>57</v>
      </c>
      <c r="B59" s="21" t="str">
        <f>'Die Map'!B59</f>
        <v>CL001</v>
      </c>
      <c r="C59" s="22" t="str">
        <f>'Die Map'!C59</f>
        <v>CL002</v>
      </c>
      <c r="D59" s="22" t="str">
        <f>'Die Map'!D59</f>
        <v>CL003</v>
      </c>
      <c r="E59" s="22" t="str">
        <f>'Die Map'!E59</f>
        <v>CL004</v>
      </c>
      <c r="F59" s="23" t="str">
        <f>'Die Map'!F59</f>
        <v>CL005</v>
      </c>
      <c r="G59" s="21" t="str">
        <f>'Die Map'!G59</f>
        <v>CL006</v>
      </c>
      <c r="H59" s="22" t="str">
        <f>'Die Map'!H59</f>
        <v>CL007</v>
      </c>
      <c r="I59" s="22" t="str">
        <f>'Die Map'!I59</f>
        <v>CL008</v>
      </c>
      <c r="J59" s="22" t="str">
        <f>'Die Map'!J59</f>
        <v>CL009</v>
      </c>
      <c r="K59" s="23" t="str">
        <f>'Die Map'!K59</f>
        <v>CL011</v>
      </c>
      <c r="L59" s="21" t="str">
        <f>'Die Map'!L59</f>
        <v>CL012</v>
      </c>
      <c r="M59" s="22" t="str">
        <f>'Die Map'!M59</f>
        <v>CL013</v>
      </c>
      <c r="N59" s="22" t="str">
        <f>'Die Map'!N59</f>
        <v>CL014</v>
      </c>
      <c r="O59" s="22" t="str">
        <f>'Die Map'!O59</f>
        <v>CL015</v>
      </c>
      <c r="P59" s="23" t="str">
        <f>'Die Map'!P59</f>
        <v>CL016</v>
      </c>
      <c r="Q59" s="21" t="str">
        <f>'Die Map'!Q59</f>
        <v>CL017</v>
      </c>
      <c r="R59" s="22" t="str">
        <f>'Die Map'!R59</f>
        <v>CL018</v>
      </c>
      <c r="S59" s="22" t="str">
        <f>'Die Map'!S59</f>
        <v>CL019</v>
      </c>
      <c r="T59" s="22" t="str">
        <f>'Die Map'!T59</f>
        <v>CL021</v>
      </c>
      <c r="U59" s="23" t="str">
        <f>'Die Map'!U59</f>
        <v>CL022</v>
      </c>
      <c r="V59" s="21" t="str">
        <f>'Die Map'!V59</f>
        <v>CL023</v>
      </c>
      <c r="W59" s="22" t="str">
        <f>'Die Map'!W59</f>
        <v>CL024</v>
      </c>
      <c r="X59" s="22" t="str">
        <f>'Die Map'!X59</f>
        <v>CL025</v>
      </c>
      <c r="Y59" s="22" t="str">
        <f>'Die Map'!Y59</f>
        <v>CL026</v>
      </c>
      <c r="Z59" s="23" t="str">
        <f>'Die Map'!Z59</f>
        <v>CL027</v>
      </c>
      <c r="AA59" s="21" t="str">
        <f>'Die Map'!AA59</f>
        <v>CL028</v>
      </c>
      <c r="AB59" s="22" t="str">
        <f>'Die Map'!AB59</f>
        <v>CL029</v>
      </c>
      <c r="AC59" s="22" t="str">
        <f>'Die Map'!AC59</f>
        <v>CL031</v>
      </c>
      <c r="AD59" s="22" t="str">
        <f>'Die Map'!AD59</f>
        <v>CL032</v>
      </c>
      <c r="AE59" s="23" t="str">
        <f>'Die Map'!AE59</f>
        <v>CL033</v>
      </c>
      <c r="AF59" s="21" t="str">
        <f>'Die Map'!AF59</f>
        <v>CL034</v>
      </c>
      <c r="AG59" s="22" t="str">
        <f>'Die Map'!AG59</f>
        <v>CL035</v>
      </c>
      <c r="AH59" s="22" t="str">
        <f>'Die Map'!AH59</f>
        <v>CL036</v>
      </c>
      <c r="AI59" s="22" t="str">
        <f>'Die Map'!AI59</f>
        <v>CL037</v>
      </c>
      <c r="AJ59" s="23" t="str">
        <f>'Die Map'!AJ59</f>
        <v>CL038</v>
      </c>
      <c r="AK59" s="21" t="str">
        <f>'Die Map'!AK59</f>
        <v>CL039</v>
      </c>
      <c r="AL59" s="22" t="str">
        <f>'Die Map'!AL59</f>
        <v>CL041</v>
      </c>
      <c r="AM59" s="22" t="str">
        <f>'Die Map'!AM59</f>
        <v>CL042</v>
      </c>
      <c r="AN59" s="22" t="str">
        <f>'Die Map'!AN59</f>
        <v>CL043</v>
      </c>
      <c r="AO59" s="23" t="str">
        <f>'Die Map'!AO59</f>
        <v>CL044</v>
      </c>
      <c r="AP59" s="21" t="str">
        <f>'Die Map'!AP59</f>
        <v>CL045</v>
      </c>
      <c r="AQ59" s="22" t="str">
        <f>'Die Map'!AQ59</f>
        <v>CL046</v>
      </c>
      <c r="AR59" s="22" t="str">
        <f>'Die Map'!AR59</f>
        <v>CL047</v>
      </c>
      <c r="AS59" s="22" t="str">
        <f>'Die Map'!AS59</f>
        <v>CL048</v>
      </c>
      <c r="AT59" s="23" t="str">
        <f>'Die Map'!AT59</f>
        <v>CL049</v>
      </c>
      <c r="AU59" s="21" t="str">
        <f>'Die Map'!AU59</f>
        <v>CL051</v>
      </c>
      <c r="AV59" s="22" t="str">
        <f>'Die Map'!AV59</f>
        <v>CL052</v>
      </c>
      <c r="AW59" s="22" t="str">
        <f>'Die Map'!AW59</f>
        <v>CL053</v>
      </c>
      <c r="AX59" s="22" t="str">
        <f>'Die Map'!AX59</f>
        <v>CL054</v>
      </c>
      <c r="AY59" s="23" t="str">
        <f>'Die Map'!AY59</f>
        <v>CL055</v>
      </c>
      <c r="AZ59" s="21" t="str">
        <f>'Die Map'!AZ59</f>
        <v>CL056</v>
      </c>
      <c r="BA59" s="22" t="str">
        <f>'Die Map'!BA59</f>
        <v>CL057</v>
      </c>
      <c r="BB59" s="22" t="str">
        <f>'Die Map'!BB59</f>
        <v>CL058</v>
      </c>
      <c r="BC59" s="22" t="str">
        <f>'Die Map'!BC59</f>
        <v>CL059</v>
      </c>
      <c r="BD59" s="23" t="str">
        <f>'Die Map'!BD59</f>
        <v>CL061</v>
      </c>
      <c r="BE59" s="21" t="str">
        <f>'Die Map'!BE59</f>
        <v>CL062</v>
      </c>
      <c r="BF59" s="22" t="str">
        <f>'Die Map'!BF59</f>
        <v>CL063</v>
      </c>
      <c r="BG59" s="22" t="str">
        <f>'Die Map'!BG59</f>
        <v>CL064</v>
      </c>
      <c r="BH59" s="22" t="str">
        <f>'Die Map'!BH59</f>
        <v>CL065</v>
      </c>
      <c r="BI59" s="23" t="str">
        <f>'Die Map'!BI59</f>
        <v>CL066</v>
      </c>
      <c r="BJ59" s="21" t="str">
        <f>'Die Map'!BJ59</f>
        <v>CL067</v>
      </c>
      <c r="BK59" s="22" t="str">
        <f>'Die Map'!BK59</f>
        <v>CL068</v>
      </c>
      <c r="BL59" s="22" t="str">
        <f>'Die Map'!BL59</f>
        <v>CL069</v>
      </c>
      <c r="BM59" s="22" t="str">
        <f>'Die Map'!BM59</f>
        <v>CL071</v>
      </c>
      <c r="BN59" s="23" t="str">
        <f>'Die Map'!BN59</f>
        <v>CL072</v>
      </c>
      <c r="BO59" s="21" t="str">
        <f>'Die Map'!BO59</f>
        <v>CL073</v>
      </c>
      <c r="BP59" s="22" t="str">
        <f>'Die Map'!BP59</f>
        <v>CL074</v>
      </c>
      <c r="BQ59" s="22" t="str">
        <f>'Die Map'!BQ59</f>
        <v>CL075</v>
      </c>
      <c r="BR59" s="22" t="str">
        <f>'Die Map'!BR59</f>
        <v>CL076</v>
      </c>
      <c r="BS59" s="23" t="str">
        <f>'Die Map'!BS59</f>
        <v>CL077</v>
      </c>
      <c r="BT59" s="21" t="str">
        <f>'Die Map'!BT59</f>
        <v>CL078</v>
      </c>
      <c r="BU59" s="22" t="str">
        <f>'Die Map'!BU59</f>
        <v>CL079</v>
      </c>
      <c r="BV59" s="22" t="str">
        <f>'Die Map'!BV59</f>
        <v>CL081</v>
      </c>
      <c r="BW59" s="22" t="str">
        <f>'Die Map'!BW59</f>
        <v>CL082</v>
      </c>
      <c r="BX59" s="23" t="str">
        <f>'Die Map'!BX59</f>
        <v>CL083</v>
      </c>
      <c r="BY59" s="21" t="str">
        <f>'Die Map'!BY59</f>
        <v>CL084</v>
      </c>
      <c r="BZ59" s="22" t="str">
        <f>'Die Map'!BZ59</f>
        <v>CL085</v>
      </c>
      <c r="CA59" s="22" t="str">
        <f>'Die Map'!CA59</f>
        <v>CL086</v>
      </c>
      <c r="CB59" s="22" t="str">
        <f>'Die Map'!CB59</f>
        <v>CL087</v>
      </c>
      <c r="CC59" s="23" t="str">
        <f>'Die Map'!CC59</f>
        <v>CL088</v>
      </c>
      <c r="CD59" s="21" t="str">
        <f>'Die Map'!CD59</f>
        <v>CL089</v>
      </c>
      <c r="CE59" s="22" t="str">
        <f>'Die Map'!CE59</f>
        <v>CL091</v>
      </c>
      <c r="CF59" s="22" t="str">
        <f>'Die Map'!CF59</f>
        <v>CL092</v>
      </c>
      <c r="CG59" s="22" t="str">
        <f>'Die Map'!CG59</f>
        <v>CL093</v>
      </c>
      <c r="CH59" s="23" t="str">
        <f>'Die Map'!CH59</f>
        <v>CL094</v>
      </c>
      <c r="CI59" s="21" t="str">
        <f>'Die Map'!CI59</f>
        <v>CL095</v>
      </c>
      <c r="CJ59" s="22" t="str">
        <f>'Die Map'!CJ59</f>
        <v>CL096</v>
      </c>
      <c r="CK59" s="22" t="str">
        <f>'Die Map'!CK59</f>
        <v>CL097</v>
      </c>
      <c r="CL59" s="22" t="str">
        <f>'Die Map'!CL59</f>
        <v>CL098</v>
      </c>
      <c r="CM59" s="23" t="str">
        <f>'Die Map'!CM59</f>
        <v>CL099</v>
      </c>
      <c r="CN59" s="21" t="str">
        <f>'Die Map'!CN59</f>
        <v>CL101</v>
      </c>
      <c r="CO59" s="22" t="str">
        <f>'Die Map'!CO59</f>
        <v>CL102</v>
      </c>
      <c r="CP59" s="22" t="str">
        <f>'Die Map'!CP59</f>
        <v>CL103</v>
      </c>
      <c r="CQ59" s="22" t="str">
        <f>'Die Map'!CQ59</f>
        <v>CL104</v>
      </c>
      <c r="CR59" s="23" t="str">
        <f>'Die Map'!CR59</f>
        <v>CL105</v>
      </c>
      <c r="CS59" s="21" t="str">
        <f>'Die Map'!CS59</f>
        <v>CL106</v>
      </c>
      <c r="CT59" s="22" t="str">
        <f>'Die Map'!CT59</f>
        <v>CL107</v>
      </c>
      <c r="CU59" s="22" t="str">
        <f>'Die Map'!CU59</f>
        <v>CL108</v>
      </c>
      <c r="CV59" s="22" t="str">
        <f>'Die Map'!CV59</f>
        <v>CL109</v>
      </c>
      <c r="CW59" s="23" t="str">
        <f>'Die Map'!CW59</f>
        <v>CL111</v>
      </c>
      <c r="CX59" s="21" t="str">
        <f>'Die Map'!CX59</f>
        <v>CL112</v>
      </c>
      <c r="CY59" s="22" t="str">
        <f>'Die Map'!CY59</f>
        <v>CL113</v>
      </c>
      <c r="CZ59" s="22" t="str">
        <f>'Die Map'!CZ59</f>
        <v>CL114</v>
      </c>
      <c r="DA59" s="22" t="str">
        <f>'Die Map'!DA59</f>
        <v>CL115</v>
      </c>
      <c r="DB59" s="23" t="str">
        <f>'Die Map'!DB59</f>
        <v>CL116</v>
      </c>
    </row>
    <row r="60" spans="1:106" ht="12.75" customHeight="1" x14ac:dyDescent="0.25">
      <c r="A60" s="17">
        <v>58</v>
      </c>
      <c r="B60" s="21" t="str">
        <f>'Die Map'!B60</f>
        <v>CM001</v>
      </c>
      <c r="C60" s="22" t="str">
        <f>'Die Map'!C60</f>
        <v>CM002</v>
      </c>
      <c r="D60" s="22" t="str">
        <f>'Die Map'!D60</f>
        <v>CM003</v>
      </c>
      <c r="E60" s="22" t="str">
        <f>'Die Map'!E60</f>
        <v>CM004</v>
      </c>
      <c r="F60" s="23" t="str">
        <f>'Die Map'!F60</f>
        <v>CM005</v>
      </c>
      <c r="G60" s="21" t="str">
        <f>'Die Map'!G60</f>
        <v>CM006</v>
      </c>
      <c r="H60" s="22" t="str">
        <f>'Die Map'!H60</f>
        <v>CM007</v>
      </c>
      <c r="I60" s="22" t="str">
        <f>'Die Map'!I60</f>
        <v>CM008</v>
      </c>
      <c r="J60" s="22" t="str">
        <f>'Die Map'!J60</f>
        <v>CM009</v>
      </c>
      <c r="K60" s="23" t="str">
        <f>'Die Map'!K60</f>
        <v>CM011</v>
      </c>
      <c r="L60" s="21" t="str">
        <f>'Die Map'!L60</f>
        <v>CM012</v>
      </c>
      <c r="M60" s="22" t="str">
        <f>'Die Map'!M60</f>
        <v>CM013</v>
      </c>
      <c r="N60" s="22" t="str">
        <f>'Die Map'!N60</f>
        <v>CM014</v>
      </c>
      <c r="O60" s="22" t="str">
        <f>'Die Map'!O60</f>
        <v>CM015</v>
      </c>
      <c r="P60" s="23" t="str">
        <f>'Die Map'!P60</f>
        <v>CM016</v>
      </c>
      <c r="Q60" s="21" t="str">
        <f>'Die Map'!Q60</f>
        <v>CM017</v>
      </c>
      <c r="R60" s="22" t="str">
        <f>'Die Map'!R60</f>
        <v>CM018</v>
      </c>
      <c r="S60" s="22" t="str">
        <f>'Die Map'!S60</f>
        <v>CM019</v>
      </c>
      <c r="T60" s="22" t="str">
        <f>'Die Map'!T60</f>
        <v>CM021</v>
      </c>
      <c r="U60" s="23" t="str">
        <f>'Die Map'!U60</f>
        <v>CM022</v>
      </c>
      <c r="V60" s="21" t="str">
        <f>'Die Map'!V60</f>
        <v>CM023</v>
      </c>
      <c r="W60" s="22" t="str">
        <f>'Die Map'!W60</f>
        <v>CM024</v>
      </c>
      <c r="X60" s="22" t="str">
        <f>'Die Map'!X60</f>
        <v>CM025</v>
      </c>
      <c r="Y60" s="22" t="str">
        <f>'Die Map'!Y60</f>
        <v>CM026</v>
      </c>
      <c r="Z60" s="23" t="str">
        <f>'Die Map'!Z60</f>
        <v>CM027</v>
      </c>
      <c r="AA60" s="21" t="str">
        <f>'Die Map'!AA60</f>
        <v>CM028</v>
      </c>
      <c r="AB60" s="22" t="str">
        <f>'Die Map'!AB60</f>
        <v>CM029</v>
      </c>
      <c r="AC60" s="22" t="str">
        <f>'Die Map'!AC60</f>
        <v>CM031</v>
      </c>
      <c r="AD60" s="22" t="str">
        <f>'Die Map'!AD60</f>
        <v>CM032</v>
      </c>
      <c r="AE60" s="23" t="str">
        <f>'Die Map'!AE60</f>
        <v>CM033</v>
      </c>
      <c r="AF60" s="21" t="str">
        <f>'Die Map'!AF60</f>
        <v>CM034</v>
      </c>
      <c r="AG60" s="22" t="str">
        <f>'Die Map'!AG60</f>
        <v>CM035</v>
      </c>
      <c r="AH60" s="22" t="str">
        <f>'Die Map'!AH60</f>
        <v>CM036</v>
      </c>
      <c r="AI60" s="22" t="str">
        <f>'Die Map'!AI60</f>
        <v>CM037</v>
      </c>
      <c r="AJ60" s="23" t="str">
        <f>'Die Map'!AJ60</f>
        <v>CM038</v>
      </c>
      <c r="AK60" s="21" t="str">
        <f>'Die Map'!AK60</f>
        <v>CM039</v>
      </c>
      <c r="AL60" s="22" t="str">
        <f>'Die Map'!AL60</f>
        <v>CM041</v>
      </c>
      <c r="AM60" s="22" t="str">
        <f>'Die Map'!AM60</f>
        <v>CM042</v>
      </c>
      <c r="AN60" s="22" t="str">
        <f>'Die Map'!AN60</f>
        <v>CM043</v>
      </c>
      <c r="AO60" s="23" t="str">
        <f>'Die Map'!AO60</f>
        <v>CM044</v>
      </c>
      <c r="AP60" s="21" t="str">
        <f>'Die Map'!AP60</f>
        <v>CM045</v>
      </c>
      <c r="AQ60" s="22" t="str">
        <f>'Die Map'!AQ60</f>
        <v>CM046</v>
      </c>
      <c r="AR60" s="22" t="str">
        <f>'Die Map'!AR60</f>
        <v>CM047</v>
      </c>
      <c r="AS60" s="22" t="str">
        <f>'Die Map'!AS60</f>
        <v>CM048</v>
      </c>
      <c r="AT60" s="23" t="str">
        <f>'Die Map'!AT60</f>
        <v>CM049</v>
      </c>
      <c r="AU60" s="21" t="str">
        <f>'Die Map'!AU60</f>
        <v>CM051</v>
      </c>
      <c r="AV60" s="22" t="str">
        <f>'Die Map'!AV60</f>
        <v>CM052</v>
      </c>
      <c r="AW60" s="22" t="str">
        <f>'Die Map'!AW60</f>
        <v>CM053</v>
      </c>
      <c r="AX60" s="22" t="str">
        <f>'Die Map'!AX60</f>
        <v>CM054</v>
      </c>
      <c r="AY60" s="23" t="str">
        <f>'Die Map'!AY60</f>
        <v>CM055</v>
      </c>
      <c r="AZ60" s="21" t="str">
        <f>'Die Map'!AZ60</f>
        <v>CM056</v>
      </c>
      <c r="BA60" s="22" t="str">
        <f>'Die Map'!BA60</f>
        <v>CM057</v>
      </c>
      <c r="BB60" s="22" t="str">
        <f>'Die Map'!BB60</f>
        <v>CM058</v>
      </c>
      <c r="BC60" s="22" t="str">
        <f>'Die Map'!BC60</f>
        <v>CM059</v>
      </c>
      <c r="BD60" s="23" t="str">
        <f>'Die Map'!BD60</f>
        <v>CM061</v>
      </c>
      <c r="BE60" s="21" t="str">
        <f>'Die Map'!BE60</f>
        <v>CM062</v>
      </c>
      <c r="BF60" s="22" t="str">
        <f>'Die Map'!BF60</f>
        <v>CM063</v>
      </c>
      <c r="BG60" s="22" t="str">
        <f>'Die Map'!BG60</f>
        <v>CM064</v>
      </c>
      <c r="BH60" s="22" t="str">
        <f>'Die Map'!BH60</f>
        <v>CM065</v>
      </c>
      <c r="BI60" s="23" t="str">
        <f>'Die Map'!BI60</f>
        <v>CM066</v>
      </c>
      <c r="BJ60" s="21" t="str">
        <f>'Die Map'!BJ60</f>
        <v>CM067</v>
      </c>
      <c r="BK60" s="22" t="str">
        <f>'Die Map'!BK60</f>
        <v>CM068</v>
      </c>
      <c r="BL60" s="22" t="str">
        <f>'Die Map'!BL60</f>
        <v>CM069</v>
      </c>
      <c r="BM60" s="22" t="str">
        <f>'Die Map'!BM60</f>
        <v>CM071</v>
      </c>
      <c r="BN60" s="23" t="str">
        <f>'Die Map'!BN60</f>
        <v>CM072</v>
      </c>
      <c r="BO60" s="21" t="str">
        <f>'Die Map'!BO60</f>
        <v>CM073</v>
      </c>
      <c r="BP60" s="22" t="str">
        <f>'Die Map'!BP60</f>
        <v>CM074</v>
      </c>
      <c r="BQ60" s="22" t="str">
        <f>'Die Map'!BQ60</f>
        <v>CM075</v>
      </c>
      <c r="BR60" s="22" t="str">
        <f>'Die Map'!BR60</f>
        <v>CM076</v>
      </c>
      <c r="BS60" s="23" t="str">
        <f>'Die Map'!BS60</f>
        <v>CM077</v>
      </c>
      <c r="BT60" s="21" t="str">
        <f>'Die Map'!BT60</f>
        <v>CM078</v>
      </c>
      <c r="BU60" s="22" t="str">
        <f>'Die Map'!BU60</f>
        <v>CM079</v>
      </c>
      <c r="BV60" s="22" t="str">
        <f>'Die Map'!BV60</f>
        <v>CM081</v>
      </c>
      <c r="BW60" s="22" t="str">
        <f>'Die Map'!BW60</f>
        <v>CM082</v>
      </c>
      <c r="BX60" s="23" t="str">
        <f>'Die Map'!BX60</f>
        <v>CM083</v>
      </c>
      <c r="BY60" s="21" t="str">
        <f>'Die Map'!BY60</f>
        <v>CM084</v>
      </c>
      <c r="BZ60" s="22" t="str">
        <f>'Die Map'!BZ60</f>
        <v>CM085</v>
      </c>
      <c r="CA60" s="22" t="str">
        <f>'Die Map'!CA60</f>
        <v>CM086</v>
      </c>
      <c r="CB60" s="22" t="str">
        <f>'Die Map'!CB60</f>
        <v>CM087</v>
      </c>
      <c r="CC60" s="23" t="str">
        <f>'Die Map'!CC60</f>
        <v>CM088</v>
      </c>
      <c r="CD60" s="21" t="str">
        <f>'Die Map'!CD60</f>
        <v>CM089</v>
      </c>
      <c r="CE60" s="22" t="str">
        <f>'Die Map'!CE60</f>
        <v>CM091</v>
      </c>
      <c r="CF60" s="22" t="str">
        <f>'Die Map'!CF60</f>
        <v>CM092</v>
      </c>
      <c r="CG60" s="22" t="str">
        <f>'Die Map'!CG60</f>
        <v>CM093</v>
      </c>
      <c r="CH60" s="23" t="str">
        <f>'Die Map'!CH60</f>
        <v>CM094</v>
      </c>
      <c r="CI60" s="21" t="str">
        <f>'Die Map'!CI60</f>
        <v>CM095</v>
      </c>
      <c r="CJ60" s="22" t="str">
        <f>'Die Map'!CJ60</f>
        <v>CM096</v>
      </c>
      <c r="CK60" s="22" t="str">
        <f>'Die Map'!CK60</f>
        <v>CM097</v>
      </c>
      <c r="CL60" s="22" t="str">
        <f>'Die Map'!CL60</f>
        <v>CM098</v>
      </c>
      <c r="CM60" s="23" t="str">
        <f>'Die Map'!CM60</f>
        <v>CM099</v>
      </c>
      <c r="CN60" s="21" t="str">
        <f>'Die Map'!CN60</f>
        <v>CM101</v>
      </c>
      <c r="CO60" s="22" t="str">
        <f>'Die Map'!CO60</f>
        <v>CM102</v>
      </c>
      <c r="CP60" s="22" t="str">
        <f>'Die Map'!CP60</f>
        <v>CM103</v>
      </c>
      <c r="CQ60" s="22" t="str">
        <f>'Die Map'!CQ60</f>
        <v>CM104</v>
      </c>
      <c r="CR60" s="23" t="str">
        <f>'Die Map'!CR60</f>
        <v>CM105</v>
      </c>
      <c r="CS60" s="21" t="str">
        <f>'Die Map'!CS60</f>
        <v>CM106</v>
      </c>
      <c r="CT60" s="22" t="str">
        <f>'Die Map'!CT60</f>
        <v>CM107</v>
      </c>
      <c r="CU60" s="22" t="str">
        <f>'Die Map'!CU60</f>
        <v>CM108</v>
      </c>
      <c r="CV60" s="22" t="str">
        <f>'Die Map'!CV60</f>
        <v>CM109</v>
      </c>
      <c r="CW60" s="23" t="str">
        <f>'Die Map'!CW60</f>
        <v>CM111</v>
      </c>
      <c r="CX60" s="21" t="str">
        <f>'Die Map'!CX60</f>
        <v>CM112</v>
      </c>
      <c r="CY60" s="22" t="str">
        <f>'Die Map'!CY60</f>
        <v>CM113</v>
      </c>
      <c r="CZ60" s="22" t="str">
        <f>'Die Map'!CZ60</f>
        <v>CM114</v>
      </c>
      <c r="DA60" s="22" t="str">
        <f>'Die Map'!DA60</f>
        <v>CM115</v>
      </c>
      <c r="DB60" s="23" t="str">
        <f>'Die Map'!DB60</f>
        <v>CM116</v>
      </c>
    </row>
    <row r="61" spans="1:106" ht="12.75" customHeight="1" x14ac:dyDescent="0.25">
      <c r="A61" s="17">
        <v>59</v>
      </c>
      <c r="B61" s="21" t="str">
        <f>'Die Map'!B61</f>
        <v>CN001</v>
      </c>
      <c r="C61" s="22" t="str">
        <f>'Die Map'!C61</f>
        <v>CN002</v>
      </c>
      <c r="D61" s="22" t="str">
        <f>'Die Map'!D61</f>
        <v>CN003</v>
      </c>
      <c r="E61" s="22" t="str">
        <f>'Die Map'!E61</f>
        <v>CN004</v>
      </c>
      <c r="F61" s="23" t="str">
        <f>'Die Map'!F61</f>
        <v>CN005</v>
      </c>
      <c r="G61" s="21" t="str">
        <f>'Die Map'!G61</f>
        <v>CN006</v>
      </c>
      <c r="H61" s="22" t="str">
        <f>'Die Map'!H61</f>
        <v>CN007</v>
      </c>
      <c r="I61" s="22" t="str">
        <f>'Die Map'!I61</f>
        <v>CN008</v>
      </c>
      <c r="J61" s="22" t="str">
        <f>'Die Map'!J61</f>
        <v>CN009</v>
      </c>
      <c r="K61" s="23" t="str">
        <f>'Die Map'!K61</f>
        <v>CN011</v>
      </c>
      <c r="L61" s="21" t="str">
        <f>'Die Map'!L61</f>
        <v>CN012</v>
      </c>
      <c r="M61" s="22" t="str">
        <f>'Die Map'!M61</f>
        <v>CN013</v>
      </c>
      <c r="N61" s="22" t="str">
        <f>'Die Map'!N61</f>
        <v>CN014</v>
      </c>
      <c r="O61" s="22" t="str">
        <f>'Die Map'!O61</f>
        <v>CN015</v>
      </c>
      <c r="P61" s="23" t="str">
        <f>'Die Map'!P61</f>
        <v>CN016</v>
      </c>
      <c r="Q61" s="21" t="str">
        <f>'Die Map'!Q61</f>
        <v>CN017</v>
      </c>
      <c r="R61" s="22" t="str">
        <f>'Die Map'!R61</f>
        <v>CN018</v>
      </c>
      <c r="S61" s="22" t="str">
        <f>'Die Map'!S61</f>
        <v>CN019</v>
      </c>
      <c r="T61" s="22" t="str">
        <f>'Die Map'!T61</f>
        <v>CN021</v>
      </c>
      <c r="U61" s="23" t="str">
        <f>'Die Map'!U61</f>
        <v>CN022</v>
      </c>
      <c r="V61" s="21" t="str">
        <f>'Die Map'!V61</f>
        <v>CN023</v>
      </c>
      <c r="W61" s="22" t="str">
        <f>'Die Map'!W61</f>
        <v>CN024</v>
      </c>
      <c r="X61" s="22" t="str">
        <f>'Die Map'!X61</f>
        <v>CN025</v>
      </c>
      <c r="Y61" s="22" t="str">
        <f>'Die Map'!Y61</f>
        <v>CN026</v>
      </c>
      <c r="Z61" s="23" t="str">
        <f>'Die Map'!Z61</f>
        <v>CN027</v>
      </c>
      <c r="AA61" s="21" t="str">
        <f>'Die Map'!AA61</f>
        <v>CN028</v>
      </c>
      <c r="AB61" s="22" t="str">
        <f>'Die Map'!AB61</f>
        <v>CN029</v>
      </c>
      <c r="AC61" s="22" t="str">
        <f>'Die Map'!AC61</f>
        <v>CN031</v>
      </c>
      <c r="AD61" s="22" t="str">
        <f>'Die Map'!AD61</f>
        <v>CN032</v>
      </c>
      <c r="AE61" s="23" t="str">
        <f>'Die Map'!AE61</f>
        <v>CN033</v>
      </c>
      <c r="AF61" s="21" t="str">
        <f>'Die Map'!AF61</f>
        <v>CN034</v>
      </c>
      <c r="AG61" s="22" t="str">
        <f>'Die Map'!AG61</f>
        <v>CN035</v>
      </c>
      <c r="AH61" s="22" t="str">
        <f>'Die Map'!AH61</f>
        <v>CN036</v>
      </c>
      <c r="AI61" s="22" t="str">
        <f>'Die Map'!AI61</f>
        <v>CN037</v>
      </c>
      <c r="AJ61" s="23" t="str">
        <f>'Die Map'!AJ61</f>
        <v>CN038</v>
      </c>
      <c r="AK61" s="21" t="str">
        <f>'Die Map'!AK61</f>
        <v>CN039</v>
      </c>
      <c r="AL61" s="22" t="str">
        <f>'Die Map'!AL61</f>
        <v>CN041</v>
      </c>
      <c r="AM61" s="22" t="str">
        <f>'Die Map'!AM61</f>
        <v>CN042</v>
      </c>
      <c r="AN61" s="22" t="str">
        <f>'Die Map'!AN61</f>
        <v>CN043</v>
      </c>
      <c r="AO61" s="23" t="str">
        <f>'Die Map'!AO61</f>
        <v>CN044</v>
      </c>
      <c r="AP61" s="21" t="str">
        <f>'Die Map'!AP61</f>
        <v>CN045</v>
      </c>
      <c r="AQ61" s="22" t="str">
        <f>'Die Map'!AQ61</f>
        <v>CN046</v>
      </c>
      <c r="AR61" s="22" t="str">
        <f>'Die Map'!AR61</f>
        <v>CN047</v>
      </c>
      <c r="AS61" s="22" t="str">
        <f>'Die Map'!AS61</f>
        <v>CN048</v>
      </c>
      <c r="AT61" s="23" t="str">
        <f>'Die Map'!AT61</f>
        <v>CN049</v>
      </c>
      <c r="AU61" s="21" t="str">
        <f>'Die Map'!AU61</f>
        <v>CN051</v>
      </c>
      <c r="AV61" s="22" t="str">
        <f>'Die Map'!AV61</f>
        <v>CN052</v>
      </c>
      <c r="AW61" s="22" t="str">
        <f>'Die Map'!AW61</f>
        <v>CN053</v>
      </c>
      <c r="AX61" s="22" t="str">
        <f>'Die Map'!AX61</f>
        <v>CN054</v>
      </c>
      <c r="AY61" s="23" t="str">
        <f>'Die Map'!AY61</f>
        <v>CN055</v>
      </c>
      <c r="AZ61" s="21" t="str">
        <f>'Die Map'!AZ61</f>
        <v>CN056</v>
      </c>
      <c r="BA61" s="22" t="str">
        <f>'Die Map'!BA61</f>
        <v>CN057</v>
      </c>
      <c r="BB61" s="22" t="str">
        <f>'Die Map'!BB61</f>
        <v>CN058</v>
      </c>
      <c r="BC61" s="22" t="str">
        <f>'Die Map'!BC61</f>
        <v>CN059</v>
      </c>
      <c r="BD61" s="23" t="str">
        <f>'Die Map'!BD61</f>
        <v>CN061</v>
      </c>
      <c r="BE61" s="21" t="str">
        <f>'Die Map'!BE61</f>
        <v>CN062</v>
      </c>
      <c r="BF61" s="22" t="str">
        <f>'Die Map'!BF61</f>
        <v>CN063</v>
      </c>
      <c r="BG61" s="22" t="str">
        <f>'Die Map'!BG61</f>
        <v>CN064</v>
      </c>
      <c r="BH61" s="22" t="str">
        <f>'Die Map'!BH61</f>
        <v>CN065</v>
      </c>
      <c r="BI61" s="23" t="str">
        <f>'Die Map'!BI61</f>
        <v>CN066</v>
      </c>
      <c r="BJ61" s="21" t="str">
        <f>'Die Map'!BJ61</f>
        <v>CN067</v>
      </c>
      <c r="BK61" s="22" t="str">
        <f>'Die Map'!BK61</f>
        <v>CN068</v>
      </c>
      <c r="BL61" s="22" t="str">
        <f>'Die Map'!BL61</f>
        <v>CN069</v>
      </c>
      <c r="BM61" s="22" t="str">
        <f>'Die Map'!BM61</f>
        <v>CN071</v>
      </c>
      <c r="BN61" s="23" t="str">
        <f>'Die Map'!BN61</f>
        <v>CN072</v>
      </c>
      <c r="BO61" s="21" t="str">
        <f>'Die Map'!BO61</f>
        <v>CN073</v>
      </c>
      <c r="BP61" s="22" t="str">
        <f>'Die Map'!BP61</f>
        <v>CN074</v>
      </c>
      <c r="BQ61" s="22" t="str">
        <f>'Die Map'!BQ61</f>
        <v>CN075</v>
      </c>
      <c r="BR61" s="22" t="str">
        <f>'Die Map'!BR61</f>
        <v>CN076</v>
      </c>
      <c r="BS61" s="23" t="str">
        <f>'Die Map'!BS61</f>
        <v>CN077</v>
      </c>
      <c r="BT61" s="21" t="str">
        <f>'Die Map'!BT61</f>
        <v>CN078</v>
      </c>
      <c r="BU61" s="22" t="str">
        <f>'Die Map'!BU61</f>
        <v>CN079</v>
      </c>
      <c r="BV61" s="22" t="str">
        <f>'Die Map'!BV61</f>
        <v>CN081</v>
      </c>
      <c r="BW61" s="22" t="str">
        <f>'Die Map'!BW61</f>
        <v>CN082</v>
      </c>
      <c r="BX61" s="23" t="str">
        <f>'Die Map'!BX61</f>
        <v>CN083</v>
      </c>
      <c r="BY61" s="21" t="str">
        <f>'Die Map'!BY61</f>
        <v>CN084</v>
      </c>
      <c r="BZ61" s="22" t="str">
        <f>'Die Map'!BZ61</f>
        <v>CN085</v>
      </c>
      <c r="CA61" s="22" t="str">
        <f>'Die Map'!CA61</f>
        <v>CN086</v>
      </c>
      <c r="CB61" s="22" t="str">
        <f>'Die Map'!CB61</f>
        <v>CN087</v>
      </c>
      <c r="CC61" s="23" t="str">
        <f>'Die Map'!CC61</f>
        <v>CN088</v>
      </c>
      <c r="CD61" s="21" t="str">
        <f>'Die Map'!CD61</f>
        <v>CN089</v>
      </c>
      <c r="CE61" s="22" t="str">
        <f>'Die Map'!CE61</f>
        <v>CN091</v>
      </c>
      <c r="CF61" s="22" t="str">
        <f>'Die Map'!CF61</f>
        <v>CN092</v>
      </c>
      <c r="CG61" s="22" t="str">
        <f>'Die Map'!CG61</f>
        <v>CN093</v>
      </c>
      <c r="CH61" s="23" t="str">
        <f>'Die Map'!CH61</f>
        <v>CN094</v>
      </c>
      <c r="CI61" s="21" t="str">
        <f>'Die Map'!CI61</f>
        <v>CN095</v>
      </c>
      <c r="CJ61" s="22" t="str">
        <f>'Die Map'!CJ61</f>
        <v>CN096</v>
      </c>
      <c r="CK61" s="22" t="str">
        <f>'Die Map'!CK61</f>
        <v>CN097</v>
      </c>
      <c r="CL61" s="22" t="str">
        <f>'Die Map'!CL61</f>
        <v>CN098</v>
      </c>
      <c r="CM61" s="23" t="str">
        <f>'Die Map'!CM61</f>
        <v>CN099</v>
      </c>
      <c r="CN61" s="21" t="str">
        <f>'Die Map'!CN61</f>
        <v>CN101</v>
      </c>
      <c r="CO61" s="22" t="str">
        <f>'Die Map'!CO61</f>
        <v>CN102</v>
      </c>
      <c r="CP61" s="22" t="str">
        <f>'Die Map'!CP61</f>
        <v>CN103</v>
      </c>
      <c r="CQ61" s="22" t="str">
        <f>'Die Map'!CQ61</f>
        <v>CN104</v>
      </c>
      <c r="CR61" s="23" t="str">
        <f>'Die Map'!CR61</f>
        <v>CN105</v>
      </c>
      <c r="CS61" s="21" t="str">
        <f>'Die Map'!CS61</f>
        <v>CN106</v>
      </c>
      <c r="CT61" s="22" t="str">
        <f>'Die Map'!CT61</f>
        <v>CN107</v>
      </c>
      <c r="CU61" s="22" t="str">
        <f>'Die Map'!CU61</f>
        <v>CN108</v>
      </c>
      <c r="CV61" s="22" t="str">
        <f>'Die Map'!CV61</f>
        <v>CN109</v>
      </c>
      <c r="CW61" s="23" t="str">
        <f>'Die Map'!CW61</f>
        <v>CN111</v>
      </c>
      <c r="CX61" s="21" t="str">
        <f>'Die Map'!CX61</f>
        <v>CN112</v>
      </c>
      <c r="CY61" s="22" t="str">
        <f>'Die Map'!CY61</f>
        <v>CN113</v>
      </c>
      <c r="CZ61" s="22" t="str">
        <f>'Die Map'!CZ61</f>
        <v>CN114</v>
      </c>
      <c r="DA61" s="22" t="str">
        <f>'Die Map'!DA61</f>
        <v>CN115</v>
      </c>
      <c r="DB61" s="23" t="str">
        <f>'Die Map'!DB61</f>
        <v>CN116</v>
      </c>
    </row>
    <row r="62" spans="1:106" ht="12.75" customHeight="1" x14ac:dyDescent="0.25">
      <c r="A62" s="17">
        <v>60</v>
      </c>
      <c r="B62" s="24" t="str">
        <f>'Die Map'!B62</f>
        <v>CP001</v>
      </c>
      <c r="C62" s="25" t="str">
        <f>'Die Map'!C62</f>
        <v>CP002</v>
      </c>
      <c r="D62" s="25" t="str">
        <f>'Die Map'!D62</f>
        <v>CP003</v>
      </c>
      <c r="E62" s="25" t="str">
        <f>'Die Map'!E62</f>
        <v>CP004</v>
      </c>
      <c r="F62" s="26" t="str">
        <f>'Die Map'!F62</f>
        <v>CP005</v>
      </c>
      <c r="G62" s="24" t="str">
        <f>'Die Map'!G62</f>
        <v>CP006</v>
      </c>
      <c r="H62" s="25" t="str">
        <f>'Die Map'!H62</f>
        <v>CP007</v>
      </c>
      <c r="I62" s="25" t="str">
        <f>'Die Map'!I62</f>
        <v>CP008</v>
      </c>
      <c r="J62" s="25" t="str">
        <f>'Die Map'!J62</f>
        <v>CP009</v>
      </c>
      <c r="K62" s="26" t="str">
        <f>'Die Map'!K62</f>
        <v>CP011</v>
      </c>
      <c r="L62" s="24" t="str">
        <f>'Die Map'!L62</f>
        <v>CP012</v>
      </c>
      <c r="M62" s="25" t="str">
        <f>'Die Map'!M62</f>
        <v>CP013</v>
      </c>
      <c r="N62" s="25" t="str">
        <f>'Die Map'!N62</f>
        <v>CP014</v>
      </c>
      <c r="O62" s="25" t="str">
        <f>'Die Map'!O62</f>
        <v>CP015</v>
      </c>
      <c r="P62" s="26" t="str">
        <f>'Die Map'!P62</f>
        <v>CP016</v>
      </c>
      <c r="Q62" s="24" t="str">
        <f>'Die Map'!Q62</f>
        <v>CP017</v>
      </c>
      <c r="R62" s="25" t="str">
        <f>'Die Map'!R62</f>
        <v>CP018</v>
      </c>
      <c r="S62" s="25" t="str">
        <f>'Die Map'!S62</f>
        <v>CP019</v>
      </c>
      <c r="T62" s="25" t="str">
        <f>'Die Map'!T62</f>
        <v>CP021</v>
      </c>
      <c r="U62" s="26" t="str">
        <f>'Die Map'!U62</f>
        <v>CP022</v>
      </c>
      <c r="V62" s="24" t="str">
        <f>'Die Map'!V62</f>
        <v>CP023</v>
      </c>
      <c r="W62" s="25" t="str">
        <f>'Die Map'!W62</f>
        <v>CP024</v>
      </c>
      <c r="X62" s="25" t="str">
        <f>'Die Map'!X62</f>
        <v>CP025</v>
      </c>
      <c r="Y62" s="25" t="str">
        <f>'Die Map'!Y62</f>
        <v>CP026</v>
      </c>
      <c r="Z62" s="26" t="str">
        <f>'Die Map'!Z62</f>
        <v>CP027</v>
      </c>
      <c r="AA62" s="24" t="str">
        <f>'Die Map'!AA62</f>
        <v>CP028</v>
      </c>
      <c r="AB62" s="25" t="str">
        <f>'Die Map'!AB62</f>
        <v>CP029</v>
      </c>
      <c r="AC62" s="25" t="str">
        <f>'Die Map'!AC62</f>
        <v>CP031</v>
      </c>
      <c r="AD62" s="25" t="str">
        <f>'Die Map'!AD62</f>
        <v>CP032</v>
      </c>
      <c r="AE62" s="26" t="str">
        <f>'Die Map'!AE62</f>
        <v>CP033</v>
      </c>
      <c r="AF62" s="24" t="str">
        <f>'Die Map'!AF62</f>
        <v>CP034</v>
      </c>
      <c r="AG62" s="25" t="str">
        <f>'Die Map'!AG62</f>
        <v>CP035</v>
      </c>
      <c r="AH62" s="25" t="str">
        <f>'Die Map'!AH62</f>
        <v>CP036</v>
      </c>
      <c r="AI62" s="25" t="str">
        <f>'Die Map'!AI62</f>
        <v>CP037</v>
      </c>
      <c r="AJ62" s="26" t="str">
        <f>'Die Map'!AJ62</f>
        <v>CP038</v>
      </c>
      <c r="AK62" s="24" t="str">
        <f>'Die Map'!AK62</f>
        <v>CP039</v>
      </c>
      <c r="AL62" s="25" t="str">
        <f>'Die Map'!AL62</f>
        <v>CP041</v>
      </c>
      <c r="AM62" s="25" t="str">
        <f>'Die Map'!AM62</f>
        <v>CP042</v>
      </c>
      <c r="AN62" s="25" t="str">
        <f>'Die Map'!AN62</f>
        <v>CP043</v>
      </c>
      <c r="AO62" s="26" t="str">
        <f>'Die Map'!AO62</f>
        <v>CP044</v>
      </c>
      <c r="AP62" s="24" t="str">
        <f>'Die Map'!AP62</f>
        <v>CP045</v>
      </c>
      <c r="AQ62" s="25" t="str">
        <f>'Die Map'!AQ62</f>
        <v>CP046</v>
      </c>
      <c r="AR62" s="25" t="str">
        <f>'Die Map'!AR62</f>
        <v>CP047</v>
      </c>
      <c r="AS62" s="25" t="str">
        <f>'Die Map'!AS62</f>
        <v>CP048</v>
      </c>
      <c r="AT62" s="26" t="str">
        <f>'Die Map'!AT62</f>
        <v>CP049</v>
      </c>
      <c r="AU62" s="24" t="str">
        <f>'Die Map'!AU62</f>
        <v>CP051</v>
      </c>
      <c r="AV62" s="25" t="str">
        <f>'Die Map'!AV62</f>
        <v>CP052</v>
      </c>
      <c r="AW62" s="25" t="str">
        <f>'Die Map'!AW62</f>
        <v>CP053</v>
      </c>
      <c r="AX62" s="25" t="str">
        <f>'Die Map'!AX62</f>
        <v>CP054</v>
      </c>
      <c r="AY62" s="26" t="str">
        <f>'Die Map'!AY62</f>
        <v>CP055</v>
      </c>
      <c r="AZ62" s="24" t="str">
        <f>'Die Map'!AZ62</f>
        <v>CP056</v>
      </c>
      <c r="BA62" s="25" t="str">
        <f>'Die Map'!BA62</f>
        <v>CP057</v>
      </c>
      <c r="BB62" s="25" t="str">
        <f>'Die Map'!BB62</f>
        <v>CP058</v>
      </c>
      <c r="BC62" s="25" t="str">
        <f>'Die Map'!BC62</f>
        <v>CP059</v>
      </c>
      <c r="BD62" s="26" t="str">
        <f>'Die Map'!BD62</f>
        <v>CP061</v>
      </c>
      <c r="BE62" s="24" t="str">
        <f>'Die Map'!BE62</f>
        <v>CP062</v>
      </c>
      <c r="BF62" s="25" t="str">
        <f>'Die Map'!BF62</f>
        <v>CP063</v>
      </c>
      <c r="BG62" s="25" t="str">
        <f>'Die Map'!BG62</f>
        <v>CP064</v>
      </c>
      <c r="BH62" s="25" t="str">
        <f>'Die Map'!BH62</f>
        <v>CP065</v>
      </c>
      <c r="BI62" s="26" t="str">
        <f>'Die Map'!BI62</f>
        <v>CP066</v>
      </c>
      <c r="BJ62" s="24" t="str">
        <f>'Die Map'!BJ62</f>
        <v>CP067</v>
      </c>
      <c r="BK62" s="25" t="str">
        <f>'Die Map'!BK62</f>
        <v>CP068</v>
      </c>
      <c r="BL62" s="25" t="str">
        <f>'Die Map'!BL62</f>
        <v>CP069</v>
      </c>
      <c r="BM62" s="25" t="str">
        <f>'Die Map'!BM62</f>
        <v>CP071</v>
      </c>
      <c r="BN62" s="26" t="str">
        <f>'Die Map'!BN62</f>
        <v>CP072</v>
      </c>
      <c r="BO62" s="24" t="str">
        <f>'Die Map'!BO62</f>
        <v>CP073</v>
      </c>
      <c r="BP62" s="25" t="str">
        <f>'Die Map'!BP62</f>
        <v>CP074</v>
      </c>
      <c r="BQ62" s="25" t="str">
        <f>'Die Map'!BQ62</f>
        <v>CP075</v>
      </c>
      <c r="BR62" s="25" t="str">
        <f>'Die Map'!BR62</f>
        <v>CP076</v>
      </c>
      <c r="BS62" s="26" t="str">
        <f>'Die Map'!BS62</f>
        <v>CP077</v>
      </c>
      <c r="BT62" s="24" t="str">
        <f>'Die Map'!BT62</f>
        <v>CP078</v>
      </c>
      <c r="BU62" s="25" t="str">
        <f>'Die Map'!BU62</f>
        <v>CP079</v>
      </c>
      <c r="BV62" s="25" t="str">
        <f>'Die Map'!BV62</f>
        <v>CP081</v>
      </c>
      <c r="BW62" s="25" t="str">
        <f>'Die Map'!BW62</f>
        <v>CP082</v>
      </c>
      <c r="BX62" s="26" t="str">
        <f>'Die Map'!BX62</f>
        <v>CP083</v>
      </c>
      <c r="BY62" s="24" t="str">
        <f>'Die Map'!BY62</f>
        <v>CP084</v>
      </c>
      <c r="BZ62" s="25" t="str">
        <f>'Die Map'!BZ62</f>
        <v>CP085</v>
      </c>
      <c r="CA62" s="25" t="str">
        <f>'Die Map'!CA62</f>
        <v>CP086</v>
      </c>
      <c r="CB62" s="25" t="str">
        <f>'Die Map'!CB62</f>
        <v>CP087</v>
      </c>
      <c r="CC62" s="26" t="str">
        <f>'Die Map'!CC62</f>
        <v>CP088</v>
      </c>
      <c r="CD62" s="24" t="str">
        <f>'Die Map'!CD62</f>
        <v>CP089</v>
      </c>
      <c r="CE62" s="25" t="str">
        <f>'Die Map'!CE62</f>
        <v>CP091</v>
      </c>
      <c r="CF62" s="25" t="str">
        <f>'Die Map'!CF62</f>
        <v>CP092</v>
      </c>
      <c r="CG62" s="25" t="str">
        <f>'Die Map'!CG62</f>
        <v>CP093</v>
      </c>
      <c r="CH62" s="26" t="str">
        <f>'Die Map'!CH62</f>
        <v>CP094</v>
      </c>
      <c r="CI62" s="24" t="str">
        <f>'Die Map'!CI62</f>
        <v>CP095</v>
      </c>
      <c r="CJ62" s="25" t="str">
        <f>'Die Map'!CJ62</f>
        <v>CP096</v>
      </c>
      <c r="CK62" s="25" t="str">
        <f>'Die Map'!CK62</f>
        <v>CP097</v>
      </c>
      <c r="CL62" s="25" t="str">
        <f>'Die Map'!CL62</f>
        <v>CP098</v>
      </c>
      <c r="CM62" s="26" t="str">
        <f>'Die Map'!CM62</f>
        <v>CP099</v>
      </c>
      <c r="CN62" s="24" t="str">
        <f>'Die Map'!CN62</f>
        <v>CP101</v>
      </c>
      <c r="CO62" s="25" t="str">
        <f>'Die Map'!CO62</f>
        <v>CP102</v>
      </c>
      <c r="CP62" s="25" t="str">
        <f>'Die Map'!CP62</f>
        <v>CP103</v>
      </c>
      <c r="CQ62" s="25" t="str">
        <f>'Die Map'!CQ62</f>
        <v>CP104</v>
      </c>
      <c r="CR62" s="26" t="str">
        <f>'Die Map'!CR62</f>
        <v>CP105</v>
      </c>
      <c r="CS62" s="24" t="str">
        <f>'Die Map'!CS62</f>
        <v>CP106</v>
      </c>
      <c r="CT62" s="25" t="str">
        <f>'Die Map'!CT62</f>
        <v>CP107</v>
      </c>
      <c r="CU62" s="25" t="str">
        <f>'Die Map'!CU62</f>
        <v>CP108</v>
      </c>
      <c r="CV62" s="25" t="str">
        <f>'Die Map'!CV62</f>
        <v>CP109</v>
      </c>
      <c r="CW62" s="26" t="str">
        <f>'Die Map'!CW62</f>
        <v>CP111</v>
      </c>
      <c r="CX62" s="24" t="str">
        <f>'Die Map'!CX62</f>
        <v>CP112</v>
      </c>
      <c r="CY62" s="25" t="str">
        <f>'Die Map'!CY62</f>
        <v>CP113</v>
      </c>
      <c r="CZ62" s="25" t="str">
        <f>'Die Map'!CZ62</f>
        <v>CP114</v>
      </c>
      <c r="DA62" s="25" t="str">
        <f>'Die Map'!DA62</f>
        <v>CP115</v>
      </c>
      <c r="DB62" s="26" t="str">
        <f>'Die Map'!DB62</f>
        <v>CP116</v>
      </c>
    </row>
    <row r="63" spans="1:106" ht="12.75" customHeight="1" x14ac:dyDescent="0.25">
      <c r="A63" s="17">
        <v>61</v>
      </c>
      <c r="B63" s="18" t="str">
        <f>'Die Map'!B63</f>
        <v/>
      </c>
      <c r="C63" s="19" t="str">
        <f>'Die Map'!C63</f>
        <v/>
      </c>
      <c r="D63" s="19" t="str">
        <f>'Die Map'!D63</f>
        <v/>
      </c>
      <c r="E63" s="19" t="str">
        <f>'Die Map'!E63</f>
        <v/>
      </c>
      <c r="F63" s="20" t="str">
        <f>'Die Map'!F63</f>
        <v/>
      </c>
      <c r="G63" s="18" t="str">
        <f>'Die Map'!G63</f>
        <v>CR006</v>
      </c>
      <c r="H63" s="19" t="str">
        <f>'Die Map'!H63</f>
        <v>CR007</v>
      </c>
      <c r="I63" s="19" t="str">
        <f>'Die Map'!I63</f>
        <v>CR008</v>
      </c>
      <c r="J63" s="19" t="str">
        <f>'Die Map'!J63</f>
        <v>CR009</v>
      </c>
      <c r="K63" s="20" t="str">
        <f>'Die Map'!K63</f>
        <v>CR011</v>
      </c>
      <c r="L63" s="18" t="str">
        <f>'Die Map'!L63</f>
        <v>CR012</v>
      </c>
      <c r="M63" s="19" t="str">
        <f>'Die Map'!M63</f>
        <v>CR013</v>
      </c>
      <c r="N63" s="19" t="str">
        <f>'Die Map'!N63</f>
        <v>CR014</v>
      </c>
      <c r="O63" s="19" t="str">
        <f>'Die Map'!O63</f>
        <v>CR015</v>
      </c>
      <c r="P63" s="20" t="str">
        <f>'Die Map'!P63</f>
        <v>CR016</v>
      </c>
      <c r="Q63" s="18" t="str">
        <f>'Die Map'!Q63</f>
        <v>CR017</v>
      </c>
      <c r="R63" s="19" t="str">
        <f>'Die Map'!R63</f>
        <v>CR018</v>
      </c>
      <c r="S63" s="19" t="str">
        <f>'Die Map'!S63</f>
        <v>CR019</v>
      </c>
      <c r="T63" s="19" t="str">
        <f>'Die Map'!T63</f>
        <v>CR021</v>
      </c>
      <c r="U63" s="20" t="str">
        <f>'Die Map'!U63</f>
        <v>CR022</v>
      </c>
      <c r="V63" s="18" t="str">
        <f>'Die Map'!V63</f>
        <v>CR023</v>
      </c>
      <c r="W63" s="19" t="str">
        <f>'Die Map'!W63</f>
        <v>CR024</v>
      </c>
      <c r="X63" s="19" t="str">
        <f>'Die Map'!X63</f>
        <v>CR025</v>
      </c>
      <c r="Y63" s="19" t="str">
        <f>'Die Map'!Y63</f>
        <v>CR026</v>
      </c>
      <c r="Z63" s="20" t="str">
        <f>'Die Map'!Z63</f>
        <v>CR027</v>
      </c>
      <c r="AA63" s="18" t="str">
        <f>'Die Map'!AA63</f>
        <v>CR028</v>
      </c>
      <c r="AB63" s="19" t="str">
        <f>'Die Map'!AB63</f>
        <v>CR029</v>
      </c>
      <c r="AC63" s="19" t="str">
        <f>'Die Map'!AC63</f>
        <v>CR031</v>
      </c>
      <c r="AD63" s="19" t="str">
        <f>'Die Map'!AD63</f>
        <v>CR032</v>
      </c>
      <c r="AE63" s="20" t="str">
        <f>'Die Map'!AE63</f>
        <v>CR033</v>
      </c>
      <c r="AF63" s="18" t="str">
        <f>'Die Map'!AF63</f>
        <v>CR034</v>
      </c>
      <c r="AG63" s="19" t="str">
        <f>'Die Map'!AG63</f>
        <v>CR035</v>
      </c>
      <c r="AH63" s="19" t="str">
        <f>'Die Map'!AH63</f>
        <v>CR036</v>
      </c>
      <c r="AI63" s="19" t="str">
        <f>'Die Map'!AI63</f>
        <v>CR037</v>
      </c>
      <c r="AJ63" s="20" t="str">
        <f>'Die Map'!AJ63</f>
        <v>CR038</v>
      </c>
      <c r="AK63" s="18" t="str">
        <f>'Die Map'!AK63</f>
        <v>CR039</v>
      </c>
      <c r="AL63" s="19" t="str">
        <f>'Die Map'!AL63</f>
        <v>CR041</v>
      </c>
      <c r="AM63" s="19" t="str">
        <f>'Die Map'!AM63</f>
        <v>CR042</v>
      </c>
      <c r="AN63" s="19" t="str">
        <f>'Die Map'!AN63</f>
        <v>CR043</v>
      </c>
      <c r="AO63" s="20" t="str">
        <f>'Die Map'!AO63</f>
        <v>CR044</v>
      </c>
      <c r="AP63" s="18" t="str">
        <f>'Die Map'!AP63</f>
        <v>CR045</v>
      </c>
      <c r="AQ63" s="19" t="str">
        <f>'Die Map'!AQ63</f>
        <v>CR046</v>
      </c>
      <c r="AR63" s="19" t="str">
        <f>'Die Map'!AR63</f>
        <v>CR047</v>
      </c>
      <c r="AS63" s="19" t="str">
        <f>'Die Map'!AS63</f>
        <v>CR048</v>
      </c>
      <c r="AT63" s="20" t="str">
        <f>'Die Map'!AT63</f>
        <v>CR049</v>
      </c>
      <c r="AU63" s="18" t="str">
        <f>'Die Map'!AU63</f>
        <v>CR051</v>
      </c>
      <c r="AV63" s="19" t="str">
        <f>'Die Map'!AV63</f>
        <v>CR052</v>
      </c>
      <c r="AW63" s="19" t="str">
        <f>'Die Map'!AW63</f>
        <v>CR053</v>
      </c>
      <c r="AX63" s="19" t="str">
        <f>'Die Map'!AX63</f>
        <v>CR054</v>
      </c>
      <c r="AY63" s="20" t="str">
        <f>'Die Map'!AY63</f>
        <v>CR055</v>
      </c>
      <c r="AZ63" s="18" t="str">
        <f>'Die Map'!AZ63</f>
        <v>CR056</v>
      </c>
      <c r="BA63" s="19" t="str">
        <f>'Die Map'!BA63</f>
        <v>CR057</v>
      </c>
      <c r="BB63" s="19" t="str">
        <f>'Die Map'!BB63</f>
        <v>CR058</v>
      </c>
      <c r="BC63" s="19" t="str">
        <f>'Die Map'!BC63</f>
        <v>CR059</v>
      </c>
      <c r="BD63" s="20" t="str">
        <f>'Die Map'!BD63</f>
        <v>CR061</v>
      </c>
      <c r="BE63" s="18" t="str">
        <f>'Die Map'!BE63</f>
        <v>CR062</v>
      </c>
      <c r="BF63" s="19" t="str">
        <f>'Die Map'!BF63</f>
        <v>CR063</v>
      </c>
      <c r="BG63" s="19" t="str">
        <f>'Die Map'!BG63</f>
        <v>CR064</v>
      </c>
      <c r="BH63" s="19" t="str">
        <f>'Die Map'!BH63</f>
        <v>CR065</v>
      </c>
      <c r="BI63" s="20" t="str">
        <f>'Die Map'!BI63</f>
        <v>CR066</v>
      </c>
      <c r="BJ63" s="18" t="str">
        <f>'Die Map'!BJ63</f>
        <v>CR067</v>
      </c>
      <c r="BK63" s="19" t="str">
        <f>'Die Map'!BK63</f>
        <v>CR068</v>
      </c>
      <c r="BL63" s="19" t="str">
        <f>'Die Map'!BL63</f>
        <v>CR069</v>
      </c>
      <c r="BM63" s="19" t="str">
        <f>'Die Map'!BM63</f>
        <v>CR071</v>
      </c>
      <c r="BN63" s="20" t="str">
        <f>'Die Map'!BN63</f>
        <v>CR072</v>
      </c>
      <c r="BO63" s="18" t="str">
        <f>'Die Map'!BO63</f>
        <v>CR073</v>
      </c>
      <c r="BP63" s="19" t="str">
        <f>'Die Map'!BP63</f>
        <v>CR074</v>
      </c>
      <c r="BQ63" s="19" t="str">
        <f>'Die Map'!BQ63</f>
        <v>CR075</v>
      </c>
      <c r="BR63" s="19" t="str">
        <f>'Die Map'!BR63</f>
        <v>CR076</v>
      </c>
      <c r="BS63" s="20" t="str">
        <f>'Die Map'!BS63</f>
        <v>CR077</v>
      </c>
      <c r="BT63" s="18" t="str">
        <f>'Die Map'!BT63</f>
        <v>CR078</v>
      </c>
      <c r="BU63" s="19" t="str">
        <f>'Die Map'!BU63</f>
        <v>CR079</v>
      </c>
      <c r="BV63" s="19" t="str">
        <f>'Die Map'!BV63</f>
        <v>CR081</v>
      </c>
      <c r="BW63" s="19" t="str">
        <f>'Die Map'!BW63</f>
        <v>CR082</v>
      </c>
      <c r="BX63" s="20" t="str">
        <f>'Die Map'!BX63</f>
        <v>CR083</v>
      </c>
      <c r="BY63" s="18" t="str">
        <f>'Die Map'!BY63</f>
        <v>CR084</v>
      </c>
      <c r="BZ63" s="19" t="str">
        <f>'Die Map'!BZ63</f>
        <v>CR085</v>
      </c>
      <c r="CA63" s="19" t="str">
        <f>'Die Map'!CA63</f>
        <v>CR086</v>
      </c>
      <c r="CB63" s="19" t="str">
        <f>'Die Map'!CB63</f>
        <v>CR087</v>
      </c>
      <c r="CC63" s="20" t="str">
        <f>'Die Map'!CC63</f>
        <v>CR088</v>
      </c>
      <c r="CD63" s="18" t="str">
        <f>'Die Map'!CD63</f>
        <v>CR089</v>
      </c>
      <c r="CE63" s="19" t="str">
        <f>'Die Map'!CE63</f>
        <v>CR091</v>
      </c>
      <c r="CF63" s="19" t="str">
        <f>'Die Map'!CF63</f>
        <v>CR092</v>
      </c>
      <c r="CG63" s="19" t="str">
        <f>'Die Map'!CG63</f>
        <v>CR093</v>
      </c>
      <c r="CH63" s="20" t="str">
        <f>'Die Map'!CH63</f>
        <v>CR094</v>
      </c>
      <c r="CI63" s="18" t="str">
        <f>'Die Map'!CI63</f>
        <v>CR095</v>
      </c>
      <c r="CJ63" s="19" t="str">
        <f>'Die Map'!CJ63</f>
        <v>CR096</v>
      </c>
      <c r="CK63" s="19" t="str">
        <f>'Die Map'!CK63</f>
        <v>CR097</v>
      </c>
      <c r="CL63" s="19" t="str">
        <f>'Die Map'!CL63</f>
        <v>CR098</v>
      </c>
      <c r="CM63" s="20" t="str">
        <f>'Die Map'!CM63</f>
        <v>CR099</v>
      </c>
      <c r="CN63" s="18" t="str">
        <f>'Die Map'!CN63</f>
        <v>CR101</v>
      </c>
      <c r="CO63" s="19" t="str">
        <f>'Die Map'!CO63</f>
        <v>CR102</v>
      </c>
      <c r="CP63" s="19" t="str">
        <f>'Die Map'!CP63</f>
        <v>CR103</v>
      </c>
      <c r="CQ63" s="19" t="str">
        <f>'Die Map'!CQ63</f>
        <v>CR104</v>
      </c>
      <c r="CR63" s="20" t="str">
        <f>'Die Map'!CR63</f>
        <v>CR105</v>
      </c>
      <c r="CS63" s="18" t="str">
        <f>'Die Map'!CS63</f>
        <v>CR106</v>
      </c>
      <c r="CT63" s="19" t="str">
        <f>'Die Map'!CT63</f>
        <v>CR107</v>
      </c>
      <c r="CU63" s="19" t="str">
        <f>'Die Map'!CU63</f>
        <v>CR108</v>
      </c>
      <c r="CV63" s="19" t="str">
        <f>'Die Map'!CV63</f>
        <v>CR109</v>
      </c>
      <c r="CW63" s="20" t="str">
        <f>'Die Map'!CW63</f>
        <v>CR111</v>
      </c>
      <c r="CX63" s="18" t="str">
        <f>'Die Map'!CX63</f>
        <v/>
      </c>
      <c r="CY63" s="19" t="str">
        <f>'Die Map'!CY63</f>
        <v/>
      </c>
      <c r="CZ63" s="19" t="str">
        <f>'Die Map'!CZ63</f>
        <v/>
      </c>
      <c r="DA63" s="19" t="str">
        <f>'Die Map'!DA63</f>
        <v/>
      </c>
      <c r="DB63" s="20" t="str">
        <f>'Die Map'!DB63</f>
        <v/>
      </c>
    </row>
    <row r="64" spans="1:106" ht="12.75" customHeight="1" x14ac:dyDescent="0.25">
      <c r="A64" s="17">
        <v>62</v>
      </c>
      <c r="B64" s="21" t="str">
        <f>'Die Map'!B64</f>
        <v/>
      </c>
      <c r="C64" s="22" t="str">
        <f>'Die Map'!C64</f>
        <v/>
      </c>
      <c r="D64" s="22" t="str">
        <f>'Die Map'!D64</f>
        <v/>
      </c>
      <c r="E64" s="22" t="str">
        <f>'Die Map'!E64</f>
        <v/>
      </c>
      <c r="F64" s="23" t="str">
        <f>'Die Map'!F64</f>
        <v/>
      </c>
      <c r="G64" s="21" t="str">
        <f>'Die Map'!G64</f>
        <v>CS006</v>
      </c>
      <c r="H64" s="22" t="str">
        <f>'Die Map'!H64</f>
        <v>CS007</v>
      </c>
      <c r="I64" s="22" t="str">
        <f>'Die Map'!I64</f>
        <v>CS008</v>
      </c>
      <c r="J64" s="22" t="str">
        <f>'Die Map'!J64</f>
        <v>CS009</v>
      </c>
      <c r="K64" s="23" t="str">
        <f>'Die Map'!K64</f>
        <v>CS011</v>
      </c>
      <c r="L64" s="21" t="str">
        <f>'Die Map'!L64</f>
        <v>CS012</v>
      </c>
      <c r="M64" s="22" t="str">
        <f>'Die Map'!M64</f>
        <v>CS013</v>
      </c>
      <c r="N64" s="22" t="str">
        <f>'Die Map'!N64</f>
        <v>CS014</v>
      </c>
      <c r="O64" s="22" t="str">
        <f>'Die Map'!O64</f>
        <v>CS015</v>
      </c>
      <c r="P64" s="23" t="str">
        <f>'Die Map'!P64</f>
        <v>CS016</v>
      </c>
      <c r="Q64" s="21" t="str">
        <f>'Die Map'!Q64</f>
        <v>CS017</v>
      </c>
      <c r="R64" s="22" t="str">
        <f>'Die Map'!R64</f>
        <v>CS018</v>
      </c>
      <c r="S64" s="22" t="str">
        <f>'Die Map'!S64</f>
        <v>CS019</v>
      </c>
      <c r="T64" s="22" t="str">
        <f>'Die Map'!T64</f>
        <v>CS021</v>
      </c>
      <c r="U64" s="23" t="str">
        <f>'Die Map'!U64</f>
        <v>CS022</v>
      </c>
      <c r="V64" s="21" t="str">
        <f>'Die Map'!V64</f>
        <v>CS023</v>
      </c>
      <c r="W64" s="22" t="str">
        <f>'Die Map'!W64</f>
        <v>CS024</v>
      </c>
      <c r="X64" s="22" t="str">
        <f>'Die Map'!X64</f>
        <v>CS025</v>
      </c>
      <c r="Y64" s="22" t="str">
        <f>'Die Map'!Y64</f>
        <v>CS026</v>
      </c>
      <c r="Z64" s="23" t="str">
        <f>'Die Map'!Z64</f>
        <v>CS027</v>
      </c>
      <c r="AA64" s="21" t="str">
        <f>'Die Map'!AA64</f>
        <v>CS028</v>
      </c>
      <c r="AB64" s="22" t="str">
        <f>'Die Map'!AB64</f>
        <v>CS029</v>
      </c>
      <c r="AC64" s="22" t="str">
        <f>'Die Map'!AC64</f>
        <v>CS031</v>
      </c>
      <c r="AD64" s="22" t="str">
        <f>'Die Map'!AD64</f>
        <v>CS032</v>
      </c>
      <c r="AE64" s="23" t="str">
        <f>'Die Map'!AE64</f>
        <v>CS033</v>
      </c>
      <c r="AF64" s="21" t="str">
        <f>'Die Map'!AF64</f>
        <v>CS034</v>
      </c>
      <c r="AG64" s="22" t="str">
        <f>'Die Map'!AG64</f>
        <v>CS035</v>
      </c>
      <c r="AH64" s="22" t="str">
        <f>'Die Map'!AH64</f>
        <v>CS036</v>
      </c>
      <c r="AI64" s="22" t="str">
        <f>'Die Map'!AI64</f>
        <v>CS037</v>
      </c>
      <c r="AJ64" s="23" t="str">
        <f>'Die Map'!AJ64</f>
        <v>CS038</v>
      </c>
      <c r="AK64" s="21" t="str">
        <f>'Die Map'!AK64</f>
        <v>CS039</v>
      </c>
      <c r="AL64" s="22" t="str">
        <f>'Die Map'!AL64</f>
        <v>CS041</v>
      </c>
      <c r="AM64" s="22" t="str">
        <f>'Die Map'!AM64</f>
        <v>CS042</v>
      </c>
      <c r="AN64" s="22" t="str">
        <f>'Die Map'!AN64</f>
        <v>CS043</v>
      </c>
      <c r="AO64" s="23" t="str">
        <f>'Die Map'!AO64</f>
        <v>CS044</v>
      </c>
      <c r="AP64" s="21" t="str">
        <f>'Die Map'!AP64</f>
        <v>CS045</v>
      </c>
      <c r="AQ64" s="22" t="str">
        <f>'Die Map'!AQ64</f>
        <v>CS046</v>
      </c>
      <c r="AR64" s="22" t="str">
        <f>'Die Map'!AR64</f>
        <v>CS047</v>
      </c>
      <c r="AS64" s="22" t="str">
        <f>'Die Map'!AS64</f>
        <v>CS048</v>
      </c>
      <c r="AT64" s="23" t="str">
        <f>'Die Map'!AT64</f>
        <v>CS049</v>
      </c>
      <c r="AU64" s="21" t="str">
        <f>'Die Map'!AU64</f>
        <v>CS051</v>
      </c>
      <c r="AV64" s="22" t="str">
        <f>'Die Map'!AV64</f>
        <v>CS052</v>
      </c>
      <c r="AW64" s="22" t="str">
        <f>'Die Map'!AW64</f>
        <v>CS053</v>
      </c>
      <c r="AX64" s="22" t="str">
        <f>'Die Map'!AX64</f>
        <v>CS054</v>
      </c>
      <c r="AY64" s="23" t="str">
        <f>'Die Map'!AY64</f>
        <v>CS055</v>
      </c>
      <c r="AZ64" s="21" t="str">
        <f>'Die Map'!AZ64</f>
        <v>CS056</v>
      </c>
      <c r="BA64" s="22" t="str">
        <f>'Die Map'!BA64</f>
        <v>CS057</v>
      </c>
      <c r="BB64" s="22" t="str">
        <f>'Die Map'!BB64</f>
        <v>CS058</v>
      </c>
      <c r="BC64" s="22" t="str">
        <f>'Die Map'!BC64</f>
        <v>CS059</v>
      </c>
      <c r="BD64" s="23" t="str">
        <f>'Die Map'!BD64</f>
        <v>CS061</v>
      </c>
      <c r="BE64" s="21" t="str">
        <f>'Die Map'!BE64</f>
        <v>CS062</v>
      </c>
      <c r="BF64" s="22" t="str">
        <f>'Die Map'!BF64</f>
        <v>CS063</v>
      </c>
      <c r="BG64" s="22" t="str">
        <f>'Die Map'!BG64</f>
        <v>CS064</v>
      </c>
      <c r="BH64" s="22" t="str">
        <f>'Die Map'!BH64</f>
        <v>CS065</v>
      </c>
      <c r="BI64" s="23" t="str">
        <f>'Die Map'!BI64</f>
        <v>CS066</v>
      </c>
      <c r="BJ64" s="21" t="str">
        <f>'Die Map'!BJ64</f>
        <v>CS067</v>
      </c>
      <c r="BK64" s="22" t="str">
        <f>'Die Map'!BK64</f>
        <v>CS068</v>
      </c>
      <c r="BL64" s="22" t="str">
        <f>'Die Map'!BL64</f>
        <v>CS069</v>
      </c>
      <c r="BM64" s="22" t="str">
        <f>'Die Map'!BM64</f>
        <v>CS071</v>
      </c>
      <c r="BN64" s="23" t="str">
        <f>'Die Map'!BN64</f>
        <v>CS072</v>
      </c>
      <c r="BO64" s="21" t="str">
        <f>'Die Map'!BO64</f>
        <v>CS073</v>
      </c>
      <c r="BP64" s="22" t="str">
        <f>'Die Map'!BP64</f>
        <v>CS074</v>
      </c>
      <c r="BQ64" s="22" t="str">
        <f>'Die Map'!BQ64</f>
        <v>CS075</v>
      </c>
      <c r="BR64" s="22" t="str">
        <f>'Die Map'!BR64</f>
        <v>CS076</v>
      </c>
      <c r="BS64" s="23" t="str">
        <f>'Die Map'!BS64</f>
        <v>CS077</v>
      </c>
      <c r="BT64" s="21" t="str">
        <f>'Die Map'!BT64</f>
        <v>CS078</v>
      </c>
      <c r="BU64" s="22" t="str">
        <f>'Die Map'!BU64</f>
        <v>CS079</v>
      </c>
      <c r="BV64" s="22" t="str">
        <f>'Die Map'!BV64</f>
        <v>CS081</v>
      </c>
      <c r="BW64" s="22" t="str">
        <f>'Die Map'!BW64</f>
        <v>CS082</v>
      </c>
      <c r="BX64" s="23" t="str">
        <f>'Die Map'!BX64</f>
        <v>CS083</v>
      </c>
      <c r="BY64" s="21" t="str">
        <f>'Die Map'!BY64</f>
        <v>CS084</v>
      </c>
      <c r="BZ64" s="22" t="str">
        <f>'Die Map'!BZ64</f>
        <v>CS085</v>
      </c>
      <c r="CA64" s="22" t="str">
        <f>'Die Map'!CA64</f>
        <v>CS086</v>
      </c>
      <c r="CB64" s="22" t="str">
        <f>'Die Map'!CB64</f>
        <v>CS087</v>
      </c>
      <c r="CC64" s="23" t="str">
        <f>'Die Map'!CC64</f>
        <v>CS088</v>
      </c>
      <c r="CD64" s="21" t="str">
        <f>'Die Map'!CD64</f>
        <v>CS089</v>
      </c>
      <c r="CE64" s="22" t="str">
        <f>'Die Map'!CE64</f>
        <v>CS091</v>
      </c>
      <c r="CF64" s="22" t="str">
        <f>'Die Map'!CF64</f>
        <v>CS092</v>
      </c>
      <c r="CG64" s="22" t="str">
        <f>'Die Map'!CG64</f>
        <v>CS093</v>
      </c>
      <c r="CH64" s="23" t="str">
        <f>'Die Map'!CH64</f>
        <v>CS094</v>
      </c>
      <c r="CI64" s="21" t="str">
        <f>'Die Map'!CI64</f>
        <v>CS095</v>
      </c>
      <c r="CJ64" s="22" t="str">
        <f>'Die Map'!CJ64</f>
        <v>CS096</v>
      </c>
      <c r="CK64" s="22" t="str">
        <f>'Die Map'!CK64</f>
        <v>CS097</v>
      </c>
      <c r="CL64" s="22" t="str">
        <f>'Die Map'!CL64</f>
        <v>CS098</v>
      </c>
      <c r="CM64" s="23" t="str">
        <f>'Die Map'!CM64</f>
        <v>CS099</v>
      </c>
      <c r="CN64" s="21" t="str">
        <f>'Die Map'!CN64</f>
        <v>CS101</v>
      </c>
      <c r="CO64" s="22" t="str">
        <f>'Die Map'!CO64</f>
        <v>CS102</v>
      </c>
      <c r="CP64" s="22" t="str">
        <f>'Die Map'!CP64</f>
        <v>CS103</v>
      </c>
      <c r="CQ64" s="22" t="str">
        <f>'Die Map'!CQ64</f>
        <v>CS104</v>
      </c>
      <c r="CR64" s="23" t="str">
        <f>'Die Map'!CR64</f>
        <v>CS105</v>
      </c>
      <c r="CS64" s="21" t="str">
        <f>'Die Map'!CS64</f>
        <v>CS106</v>
      </c>
      <c r="CT64" s="22" t="str">
        <f>'Die Map'!CT64</f>
        <v>CS107</v>
      </c>
      <c r="CU64" s="22" t="str">
        <f>'Die Map'!CU64</f>
        <v>CS108</v>
      </c>
      <c r="CV64" s="22" t="str">
        <f>'Die Map'!CV64</f>
        <v>CS109</v>
      </c>
      <c r="CW64" s="23" t="str">
        <f>'Die Map'!CW64</f>
        <v>CS111</v>
      </c>
      <c r="CX64" s="21" t="str">
        <f>'Die Map'!CX64</f>
        <v/>
      </c>
      <c r="CY64" s="22" t="str">
        <f>'Die Map'!CY64</f>
        <v/>
      </c>
      <c r="CZ64" s="22" t="str">
        <f>'Die Map'!CZ64</f>
        <v/>
      </c>
      <c r="DA64" s="22" t="str">
        <f>'Die Map'!DA64</f>
        <v/>
      </c>
      <c r="DB64" s="23" t="str">
        <f>'Die Map'!DB64</f>
        <v/>
      </c>
    </row>
    <row r="65" spans="1:106" ht="12.75" customHeight="1" x14ac:dyDescent="0.25">
      <c r="A65" s="17">
        <v>63</v>
      </c>
      <c r="B65" s="21" t="str">
        <f>'Die Map'!B65</f>
        <v/>
      </c>
      <c r="C65" s="22" t="str">
        <f>'Die Map'!C65</f>
        <v/>
      </c>
      <c r="D65" s="22" t="str">
        <f>'Die Map'!D65</f>
        <v/>
      </c>
      <c r="E65" s="22" t="str">
        <f>'Die Map'!E65</f>
        <v/>
      </c>
      <c r="F65" s="23" t="str">
        <f>'Die Map'!F65</f>
        <v/>
      </c>
      <c r="G65" s="21" t="str">
        <f>'Die Map'!G65</f>
        <v>CT006</v>
      </c>
      <c r="H65" s="22" t="str">
        <f>'Die Map'!H65</f>
        <v>CT007</v>
      </c>
      <c r="I65" s="22" t="str">
        <f>'Die Map'!I65</f>
        <v>CT008</v>
      </c>
      <c r="J65" s="22" t="str">
        <f>'Die Map'!J65</f>
        <v>CT009</v>
      </c>
      <c r="K65" s="23" t="str">
        <f>'Die Map'!K65</f>
        <v>CT011</v>
      </c>
      <c r="L65" s="21" t="str">
        <f>'Die Map'!L65</f>
        <v>CT012</v>
      </c>
      <c r="M65" s="22" t="str">
        <f>'Die Map'!M65</f>
        <v>CT013</v>
      </c>
      <c r="N65" s="22" t="str">
        <f>'Die Map'!N65</f>
        <v>CT014</v>
      </c>
      <c r="O65" s="22" t="str">
        <f>'Die Map'!O65</f>
        <v>CT015</v>
      </c>
      <c r="P65" s="23" t="str">
        <f>'Die Map'!P65</f>
        <v>CT016</v>
      </c>
      <c r="Q65" s="21" t="str">
        <f>'Die Map'!Q65</f>
        <v>CT017</v>
      </c>
      <c r="R65" s="22" t="str">
        <f>'Die Map'!R65</f>
        <v>CT018</v>
      </c>
      <c r="S65" s="22" t="str">
        <f>'Die Map'!S65</f>
        <v>CT019</v>
      </c>
      <c r="T65" s="22" t="str">
        <f>'Die Map'!T65</f>
        <v>CT021</v>
      </c>
      <c r="U65" s="23" t="str">
        <f>'Die Map'!U65</f>
        <v>CT022</v>
      </c>
      <c r="V65" s="21" t="str">
        <f>'Die Map'!V65</f>
        <v>CT023</v>
      </c>
      <c r="W65" s="22" t="str">
        <f>'Die Map'!W65</f>
        <v>CT024</v>
      </c>
      <c r="X65" s="22" t="str">
        <f>'Die Map'!X65</f>
        <v>CT025</v>
      </c>
      <c r="Y65" s="22" t="str">
        <f>'Die Map'!Y65</f>
        <v>CT026</v>
      </c>
      <c r="Z65" s="23" t="str">
        <f>'Die Map'!Z65</f>
        <v>CT027</v>
      </c>
      <c r="AA65" s="21" t="str">
        <f>'Die Map'!AA65</f>
        <v>CT028</v>
      </c>
      <c r="AB65" s="22" t="str">
        <f>'Die Map'!AB65</f>
        <v>CT029</v>
      </c>
      <c r="AC65" s="22" t="str">
        <f>'Die Map'!AC65</f>
        <v>CT031</v>
      </c>
      <c r="AD65" s="22" t="str">
        <f>'Die Map'!AD65</f>
        <v>CT032</v>
      </c>
      <c r="AE65" s="23" t="str">
        <f>'Die Map'!AE65</f>
        <v>CT033</v>
      </c>
      <c r="AF65" s="21" t="str">
        <f>'Die Map'!AF65</f>
        <v>CT034</v>
      </c>
      <c r="AG65" s="22" t="str">
        <f>'Die Map'!AG65</f>
        <v>CT035</v>
      </c>
      <c r="AH65" s="22" t="str">
        <f>'Die Map'!AH65</f>
        <v>CT036</v>
      </c>
      <c r="AI65" s="22" t="str">
        <f>'Die Map'!AI65</f>
        <v>CT037</v>
      </c>
      <c r="AJ65" s="23" t="str">
        <f>'Die Map'!AJ65</f>
        <v>CT038</v>
      </c>
      <c r="AK65" s="21" t="str">
        <f>'Die Map'!AK65</f>
        <v>CT039</v>
      </c>
      <c r="AL65" s="22" t="str">
        <f>'Die Map'!AL65</f>
        <v>CT041</v>
      </c>
      <c r="AM65" s="22" t="str">
        <f>'Die Map'!AM65</f>
        <v>CT042</v>
      </c>
      <c r="AN65" s="22" t="str">
        <f>'Die Map'!AN65</f>
        <v>CT043</v>
      </c>
      <c r="AO65" s="23" t="str">
        <f>'Die Map'!AO65</f>
        <v>CT044</v>
      </c>
      <c r="AP65" s="21" t="str">
        <f>'Die Map'!AP65</f>
        <v>CT045</v>
      </c>
      <c r="AQ65" s="22" t="str">
        <f>'Die Map'!AQ65</f>
        <v>CT046</v>
      </c>
      <c r="AR65" s="22" t="str">
        <f>'Die Map'!AR65</f>
        <v>CT047</v>
      </c>
      <c r="AS65" s="22" t="str">
        <f>'Die Map'!AS65</f>
        <v>CT048</v>
      </c>
      <c r="AT65" s="23" t="str">
        <f>'Die Map'!AT65</f>
        <v>CT049</v>
      </c>
      <c r="AU65" s="21" t="str">
        <f>'Die Map'!AU65</f>
        <v>CT051</v>
      </c>
      <c r="AV65" s="22" t="str">
        <f>'Die Map'!AV65</f>
        <v>CT052</v>
      </c>
      <c r="AW65" s="22" t="str">
        <f>'Die Map'!AW65</f>
        <v>CT053</v>
      </c>
      <c r="AX65" s="22" t="str">
        <f>'Die Map'!AX65</f>
        <v>CT054</v>
      </c>
      <c r="AY65" s="23" t="str">
        <f>'Die Map'!AY65</f>
        <v>CT055</v>
      </c>
      <c r="AZ65" s="21" t="str">
        <f>'Die Map'!AZ65</f>
        <v>CT056</v>
      </c>
      <c r="BA65" s="22" t="str">
        <f>'Die Map'!BA65</f>
        <v>CT057</v>
      </c>
      <c r="BB65" s="22" t="str">
        <f>'Die Map'!BB65</f>
        <v>CT058</v>
      </c>
      <c r="BC65" s="22" t="str">
        <f>'Die Map'!BC65</f>
        <v>CT059</v>
      </c>
      <c r="BD65" s="23" t="str">
        <f>'Die Map'!BD65</f>
        <v>CT061</v>
      </c>
      <c r="BE65" s="21" t="str">
        <f>'Die Map'!BE65</f>
        <v>CT062</v>
      </c>
      <c r="BF65" s="22" t="str">
        <f>'Die Map'!BF65</f>
        <v>CT063</v>
      </c>
      <c r="BG65" s="22" t="str">
        <f>'Die Map'!BG65</f>
        <v>CT064</v>
      </c>
      <c r="BH65" s="22" t="str">
        <f>'Die Map'!BH65</f>
        <v>CT065</v>
      </c>
      <c r="BI65" s="23" t="str">
        <f>'Die Map'!BI65</f>
        <v>CT066</v>
      </c>
      <c r="BJ65" s="21" t="str">
        <f>'Die Map'!BJ65</f>
        <v>CT067</v>
      </c>
      <c r="BK65" s="22" t="str">
        <f>'Die Map'!BK65</f>
        <v>CT068</v>
      </c>
      <c r="BL65" s="22" t="str">
        <f>'Die Map'!BL65</f>
        <v>CT069</v>
      </c>
      <c r="BM65" s="22" t="str">
        <f>'Die Map'!BM65</f>
        <v>CT071</v>
      </c>
      <c r="BN65" s="23" t="str">
        <f>'Die Map'!BN65</f>
        <v>CT072</v>
      </c>
      <c r="BO65" s="21" t="str">
        <f>'Die Map'!BO65</f>
        <v>CT073</v>
      </c>
      <c r="BP65" s="22" t="str">
        <f>'Die Map'!BP65</f>
        <v>CT074</v>
      </c>
      <c r="BQ65" s="22" t="str">
        <f>'Die Map'!BQ65</f>
        <v>CT075</v>
      </c>
      <c r="BR65" s="22" t="str">
        <f>'Die Map'!BR65</f>
        <v>CT076</v>
      </c>
      <c r="BS65" s="23" t="str">
        <f>'Die Map'!BS65</f>
        <v>CT077</v>
      </c>
      <c r="BT65" s="21" t="str">
        <f>'Die Map'!BT65</f>
        <v>CT078</v>
      </c>
      <c r="BU65" s="22" t="str">
        <f>'Die Map'!BU65</f>
        <v>CT079</v>
      </c>
      <c r="BV65" s="22" t="str">
        <f>'Die Map'!BV65</f>
        <v>CT081</v>
      </c>
      <c r="BW65" s="22" t="str">
        <f>'Die Map'!BW65</f>
        <v>CT082</v>
      </c>
      <c r="BX65" s="23" t="str">
        <f>'Die Map'!BX65</f>
        <v>CT083</v>
      </c>
      <c r="BY65" s="21" t="str">
        <f>'Die Map'!BY65</f>
        <v>CT084</v>
      </c>
      <c r="BZ65" s="22" t="str">
        <f>'Die Map'!BZ65</f>
        <v>CT085</v>
      </c>
      <c r="CA65" s="22" t="str">
        <f>'Die Map'!CA65</f>
        <v>CT086</v>
      </c>
      <c r="CB65" s="22" t="str">
        <f>'Die Map'!CB65</f>
        <v>CT087</v>
      </c>
      <c r="CC65" s="23" t="str">
        <f>'Die Map'!CC65</f>
        <v>CT088</v>
      </c>
      <c r="CD65" s="21" t="str">
        <f>'Die Map'!CD65</f>
        <v>CT089</v>
      </c>
      <c r="CE65" s="22" t="str">
        <f>'Die Map'!CE65</f>
        <v>CT091</v>
      </c>
      <c r="CF65" s="22" t="str">
        <f>'Die Map'!CF65</f>
        <v>CT092</v>
      </c>
      <c r="CG65" s="22" t="str">
        <f>'Die Map'!CG65</f>
        <v>CT093</v>
      </c>
      <c r="CH65" s="23" t="str">
        <f>'Die Map'!CH65</f>
        <v>CT094</v>
      </c>
      <c r="CI65" s="21" t="str">
        <f>'Die Map'!CI65</f>
        <v>CT095</v>
      </c>
      <c r="CJ65" s="22" t="str">
        <f>'Die Map'!CJ65</f>
        <v>CT096</v>
      </c>
      <c r="CK65" s="22" t="str">
        <f>'Die Map'!CK65</f>
        <v>CT097</v>
      </c>
      <c r="CL65" s="22" t="str">
        <f>'Die Map'!CL65</f>
        <v>CT098</v>
      </c>
      <c r="CM65" s="23" t="str">
        <f>'Die Map'!CM65</f>
        <v>CT099</v>
      </c>
      <c r="CN65" s="21" t="str">
        <f>'Die Map'!CN65</f>
        <v>CT101</v>
      </c>
      <c r="CO65" s="22" t="str">
        <f>'Die Map'!CO65</f>
        <v>CT102</v>
      </c>
      <c r="CP65" s="22" t="str">
        <f>'Die Map'!CP65</f>
        <v>CT103</v>
      </c>
      <c r="CQ65" s="22" t="str">
        <f>'Die Map'!CQ65</f>
        <v>CT104</v>
      </c>
      <c r="CR65" s="23" t="str">
        <f>'Die Map'!CR65</f>
        <v>CT105</v>
      </c>
      <c r="CS65" s="21" t="str">
        <f>'Die Map'!CS65</f>
        <v>CT106</v>
      </c>
      <c r="CT65" s="22" t="str">
        <f>'Die Map'!CT65</f>
        <v>CT107</v>
      </c>
      <c r="CU65" s="22" t="str">
        <f>'Die Map'!CU65</f>
        <v>CT108</v>
      </c>
      <c r="CV65" s="22" t="str">
        <f>'Die Map'!CV65</f>
        <v>CT109</v>
      </c>
      <c r="CW65" s="23" t="str">
        <f>'Die Map'!CW65</f>
        <v>CT111</v>
      </c>
      <c r="CX65" s="21" t="str">
        <f>'Die Map'!CX65</f>
        <v/>
      </c>
      <c r="CY65" s="22" t="str">
        <f>'Die Map'!CY65</f>
        <v/>
      </c>
      <c r="CZ65" s="22" t="str">
        <f>'Die Map'!CZ65</f>
        <v/>
      </c>
      <c r="DA65" s="22" t="str">
        <f>'Die Map'!DA65</f>
        <v/>
      </c>
      <c r="DB65" s="23" t="str">
        <f>'Die Map'!DB65</f>
        <v/>
      </c>
    </row>
    <row r="66" spans="1:106" ht="12.75" customHeight="1" x14ac:dyDescent="0.25">
      <c r="A66" s="17">
        <v>64</v>
      </c>
      <c r="B66" s="21" t="str">
        <f>'Die Map'!B66</f>
        <v/>
      </c>
      <c r="C66" s="22" t="str">
        <f>'Die Map'!C66</f>
        <v/>
      </c>
      <c r="D66" s="22" t="str">
        <f>'Die Map'!D66</f>
        <v/>
      </c>
      <c r="E66" s="22" t="str">
        <f>'Die Map'!E66</f>
        <v/>
      </c>
      <c r="F66" s="23" t="str">
        <f>'Die Map'!F66</f>
        <v/>
      </c>
      <c r="G66" s="21" t="str">
        <f>'Die Map'!G66</f>
        <v>CU006</v>
      </c>
      <c r="H66" s="22" t="str">
        <f>'Die Map'!H66</f>
        <v>CU007</v>
      </c>
      <c r="I66" s="22" t="str">
        <f>'Die Map'!I66</f>
        <v>CU008</v>
      </c>
      <c r="J66" s="22" t="str">
        <f>'Die Map'!J66</f>
        <v>CU009</v>
      </c>
      <c r="K66" s="23" t="str">
        <f>'Die Map'!K66</f>
        <v>CU011</v>
      </c>
      <c r="L66" s="21" t="str">
        <f>'Die Map'!L66</f>
        <v>CU012</v>
      </c>
      <c r="M66" s="22" t="str">
        <f>'Die Map'!M66</f>
        <v>CU013</v>
      </c>
      <c r="N66" s="22" t="str">
        <f>'Die Map'!N66</f>
        <v>CU014</v>
      </c>
      <c r="O66" s="22" t="str">
        <f>'Die Map'!O66</f>
        <v>CU015</v>
      </c>
      <c r="P66" s="23" t="str">
        <f>'Die Map'!P66</f>
        <v>CU016</v>
      </c>
      <c r="Q66" s="21" t="str">
        <f>'Die Map'!Q66</f>
        <v>CU017</v>
      </c>
      <c r="R66" s="22" t="str">
        <f>'Die Map'!R66</f>
        <v>CU018</v>
      </c>
      <c r="S66" s="22" t="str">
        <f>'Die Map'!S66</f>
        <v>CU019</v>
      </c>
      <c r="T66" s="22" t="str">
        <f>'Die Map'!T66</f>
        <v>CU021</v>
      </c>
      <c r="U66" s="23" t="str">
        <f>'Die Map'!U66</f>
        <v>CU022</v>
      </c>
      <c r="V66" s="21" t="str">
        <f>'Die Map'!V66</f>
        <v>CU023</v>
      </c>
      <c r="W66" s="22" t="str">
        <f>'Die Map'!W66</f>
        <v>CU024</v>
      </c>
      <c r="X66" s="22" t="str">
        <f>'Die Map'!X66</f>
        <v>CU025</v>
      </c>
      <c r="Y66" s="22" t="str">
        <f>'Die Map'!Y66</f>
        <v>CU026</v>
      </c>
      <c r="Z66" s="23" t="str">
        <f>'Die Map'!Z66</f>
        <v>CU027</v>
      </c>
      <c r="AA66" s="21" t="str">
        <f>'Die Map'!AA66</f>
        <v>CU028</v>
      </c>
      <c r="AB66" s="22" t="str">
        <f>'Die Map'!AB66</f>
        <v>CU029</v>
      </c>
      <c r="AC66" s="22" t="str">
        <f>'Die Map'!AC66</f>
        <v>CU031</v>
      </c>
      <c r="AD66" s="22" t="str">
        <f>'Die Map'!AD66</f>
        <v>CU032</v>
      </c>
      <c r="AE66" s="23" t="str">
        <f>'Die Map'!AE66</f>
        <v>CU033</v>
      </c>
      <c r="AF66" s="21" t="str">
        <f>'Die Map'!AF66</f>
        <v>CU034</v>
      </c>
      <c r="AG66" s="22" t="str">
        <f>'Die Map'!AG66</f>
        <v>CU035</v>
      </c>
      <c r="AH66" s="22" t="str">
        <f>'Die Map'!AH66</f>
        <v>CU036</v>
      </c>
      <c r="AI66" s="22" t="str">
        <f>'Die Map'!AI66</f>
        <v>CU037</v>
      </c>
      <c r="AJ66" s="23" t="str">
        <f>'Die Map'!AJ66</f>
        <v>CU038</v>
      </c>
      <c r="AK66" s="21" t="str">
        <f>'Die Map'!AK66</f>
        <v>CU039</v>
      </c>
      <c r="AL66" s="22" t="str">
        <f>'Die Map'!AL66</f>
        <v>CU041</v>
      </c>
      <c r="AM66" s="22" t="str">
        <f>'Die Map'!AM66</f>
        <v>CU042</v>
      </c>
      <c r="AN66" s="22" t="str">
        <f>'Die Map'!AN66</f>
        <v>CU043</v>
      </c>
      <c r="AO66" s="23" t="str">
        <f>'Die Map'!AO66</f>
        <v>CU044</v>
      </c>
      <c r="AP66" s="21" t="str">
        <f>'Die Map'!AP66</f>
        <v>CU045</v>
      </c>
      <c r="AQ66" s="22" t="str">
        <f>'Die Map'!AQ66</f>
        <v>CU046</v>
      </c>
      <c r="AR66" s="22" t="str">
        <f>'Die Map'!AR66</f>
        <v>CU047</v>
      </c>
      <c r="AS66" s="22" t="str">
        <f>'Die Map'!AS66</f>
        <v>CU048</v>
      </c>
      <c r="AT66" s="23" t="str">
        <f>'Die Map'!AT66</f>
        <v>CU049</v>
      </c>
      <c r="AU66" s="21" t="str">
        <f>'Die Map'!AU66</f>
        <v>CU051</v>
      </c>
      <c r="AV66" s="22" t="str">
        <f>'Die Map'!AV66</f>
        <v>CU052</v>
      </c>
      <c r="AW66" s="22" t="str">
        <f>'Die Map'!AW66</f>
        <v>CU053</v>
      </c>
      <c r="AX66" s="22" t="str">
        <f>'Die Map'!AX66</f>
        <v>CU054</v>
      </c>
      <c r="AY66" s="23" t="str">
        <f>'Die Map'!AY66</f>
        <v>CU055</v>
      </c>
      <c r="AZ66" s="21" t="str">
        <f>'Die Map'!AZ66</f>
        <v>CU056</v>
      </c>
      <c r="BA66" s="22" t="str">
        <f>'Die Map'!BA66</f>
        <v>CU057</v>
      </c>
      <c r="BB66" s="22" t="str">
        <f>'Die Map'!BB66</f>
        <v>CU058</v>
      </c>
      <c r="BC66" s="22" t="str">
        <f>'Die Map'!BC66</f>
        <v>CU059</v>
      </c>
      <c r="BD66" s="23" t="str">
        <f>'Die Map'!BD66</f>
        <v>CU061</v>
      </c>
      <c r="BE66" s="21" t="str">
        <f>'Die Map'!BE66</f>
        <v>CU062</v>
      </c>
      <c r="BF66" s="22" t="str">
        <f>'Die Map'!BF66</f>
        <v>CU063</v>
      </c>
      <c r="BG66" s="22" t="str">
        <f>'Die Map'!BG66</f>
        <v>CU064</v>
      </c>
      <c r="BH66" s="22" t="str">
        <f>'Die Map'!BH66</f>
        <v>CU065</v>
      </c>
      <c r="BI66" s="23" t="str">
        <f>'Die Map'!BI66</f>
        <v>CU066</v>
      </c>
      <c r="BJ66" s="21" t="str">
        <f>'Die Map'!BJ66</f>
        <v>CU067</v>
      </c>
      <c r="BK66" s="22" t="str">
        <f>'Die Map'!BK66</f>
        <v>CU068</v>
      </c>
      <c r="BL66" s="22" t="str">
        <f>'Die Map'!BL66</f>
        <v>CU069</v>
      </c>
      <c r="BM66" s="22" t="str">
        <f>'Die Map'!BM66</f>
        <v>CU071</v>
      </c>
      <c r="BN66" s="23" t="str">
        <f>'Die Map'!BN66</f>
        <v>CU072</v>
      </c>
      <c r="BO66" s="21" t="str">
        <f>'Die Map'!BO66</f>
        <v>CU073</v>
      </c>
      <c r="BP66" s="22" t="str">
        <f>'Die Map'!BP66</f>
        <v>CU074</v>
      </c>
      <c r="BQ66" s="22" t="str">
        <f>'Die Map'!BQ66</f>
        <v>CU075</v>
      </c>
      <c r="BR66" s="22" t="str">
        <f>'Die Map'!BR66</f>
        <v>CU076</v>
      </c>
      <c r="BS66" s="23" t="str">
        <f>'Die Map'!BS66</f>
        <v>CU077</v>
      </c>
      <c r="BT66" s="21" t="str">
        <f>'Die Map'!BT66</f>
        <v>CU078</v>
      </c>
      <c r="BU66" s="22" t="str">
        <f>'Die Map'!BU66</f>
        <v>CU079</v>
      </c>
      <c r="BV66" s="22" t="str">
        <f>'Die Map'!BV66</f>
        <v>CU081</v>
      </c>
      <c r="BW66" s="22" t="str">
        <f>'Die Map'!BW66</f>
        <v>CU082</v>
      </c>
      <c r="BX66" s="23" t="str">
        <f>'Die Map'!BX66</f>
        <v>CU083</v>
      </c>
      <c r="BY66" s="21" t="str">
        <f>'Die Map'!BY66</f>
        <v>CU084</v>
      </c>
      <c r="BZ66" s="22" t="str">
        <f>'Die Map'!BZ66</f>
        <v>CU085</v>
      </c>
      <c r="CA66" s="22" t="str">
        <f>'Die Map'!CA66</f>
        <v>CU086</v>
      </c>
      <c r="CB66" s="22" t="str">
        <f>'Die Map'!CB66</f>
        <v>CU087</v>
      </c>
      <c r="CC66" s="23" t="str">
        <f>'Die Map'!CC66</f>
        <v>CU088</v>
      </c>
      <c r="CD66" s="21" t="str">
        <f>'Die Map'!CD66</f>
        <v>CU089</v>
      </c>
      <c r="CE66" s="22" t="str">
        <f>'Die Map'!CE66</f>
        <v>CU091</v>
      </c>
      <c r="CF66" s="22" t="str">
        <f>'Die Map'!CF66</f>
        <v>CU092</v>
      </c>
      <c r="CG66" s="22" t="str">
        <f>'Die Map'!CG66</f>
        <v>CU093</v>
      </c>
      <c r="CH66" s="23" t="str">
        <f>'Die Map'!CH66</f>
        <v>CU094</v>
      </c>
      <c r="CI66" s="21" t="str">
        <f>'Die Map'!CI66</f>
        <v>CU095</v>
      </c>
      <c r="CJ66" s="22" t="str">
        <f>'Die Map'!CJ66</f>
        <v>CU096</v>
      </c>
      <c r="CK66" s="22" t="str">
        <f>'Die Map'!CK66</f>
        <v>CU097</v>
      </c>
      <c r="CL66" s="22" t="str">
        <f>'Die Map'!CL66</f>
        <v>CU098</v>
      </c>
      <c r="CM66" s="23" t="str">
        <f>'Die Map'!CM66</f>
        <v>CU099</v>
      </c>
      <c r="CN66" s="21" t="str">
        <f>'Die Map'!CN66</f>
        <v>CU101</v>
      </c>
      <c r="CO66" s="22" t="str">
        <f>'Die Map'!CO66</f>
        <v>CU102</v>
      </c>
      <c r="CP66" s="22" t="str">
        <f>'Die Map'!CP66</f>
        <v>CU103</v>
      </c>
      <c r="CQ66" s="22" t="str">
        <f>'Die Map'!CQ66</f>
        <v>CU104</v>
      </c>
      <c r="CR66" s="23" t="str">
        <f>'Die Map'!CR66</f>
        <v>CU105</v>
      </c>
      <c r="CS66" s="21" t="str">
        <f>'Die Map'!CS66</f>
        <v>CU106</v>
      </c>
      <c r="CT66" s="22" t="str">
        <f>'Die Map'!CT66</f>
        <v>CU107</v>
      </c>
      <c r="CU66" s="22" t="str">
        <f>'Die Map'!CU66</f>
        <v>CU108</v>
      </c>
      <c r="CV66" s="22" t="str">
        <f>'Die Map'!CV66</f>
        <v>CU109</v>
      </c>
      <c r="CW66" s="23" t="str">
        <f>'Die Map'!CW66</f>
        <v>CU111</v>
      </c>
      <c r="CX66" s="21" t="str">
        <f>'Die Map'!CX66</f>
        <v/>
      </c>
      <c r="CY66" s="22" t="str">
        <f>'Die Map'!CY66</f>
        <v/>
      </c>
      <c r="CZ66" s="22" t="str">
        <f>'Die Map'!CZ66</f>
        <v/>
      </c>
      <c r="DA66" s="22" t="str">
        <f>'Die Map'!DA66</f>
        <v/>
      </c>
      <c r="DB66" s="23" t="str">
        <f>'Die Map'!DB66</f>
        <v/>
      </c>
    </row>
    <row r="67" spans="1:106" ht="12.75" customHeight="1" x14ac:dyDescent="0.25">
      <c r="A67" s="17">
        <v>65</v>
      </c>
      <c r="B67" s="24" t="str">
        <f>'Die Map'!B67</f>
        <v/>
      </c>
      <c r="C67" s="25" t="str">
        <f>'Die Map'!C67</f>
        <v/>
      </c>
      <c r="D67" s="25" t="str">
        <f>'Die Map'!D67</f>
        <v/>
      </c>
      <c r="E67" s="25" t="str">
        <f>'Die Map'!E67</f>
        <v/>
      </c>
      <c r="F67" s="26" t="str">
        <f>'Die Map'!F67</f>
        <v/>
      </c>
      <c r="G67" s="24" t="str">
        <f>'Die Map'!G67</f>
        <v>CV006</v>
      </c>
      <c r="H67" s="25" t="str">
        <f>'Die Map'!H67</f>
        <v>CV007</v>
      </c>
      <c r="I67" s="25" t="str">
        <f>'Die Map'!I67</f>
        <v>CV008</v>
      </c>
      <c r="J67" s="25" t="str">
        <f>'Die Map'!J67</f>
        <v>CV009</v>
      </c>
      <c r="K67" s="26" t="str">
        <f>'Die Map'!K67</f>
        <v>CV011</v>
      </c>
      <c r="L67" s="24" t="str">
        <f>'Die Map'!L67</f>
        <v>CV012</v>
      </c>
      <c r="M67" s="25" t="str">
        <f>'Die Map'!M67</f>
        <v>CV013</v>
      </c>
      <c r="N67" s="25" t="str">
        <f>'Die Map'!N67</f>
        <v>CV014</v>
      </c>
      <c r="O67" s="25" t="str">
        <f>'Die Map'!O67</f>
        <v>CV015</v>
      </c>
      <c r="P67" s="26" t="str">
        <f>'Die Map'!P67</f>
        <v>CV016</v>
      </c>
      <c r="Q67" s="24" t="str">
        <f>'Die Map'!Q67</f>
        <v>CV017</v>
      </c>
      <c r="R67" s="25" t="str">
        <f>'Die Map'!R67</f>
        <v>CV018</v>
      </c>
      <c r="S67" s="25" t="str">
        <f>'Die Map'!S67</f>
        <v>CV019</v>
      </c>
      <c r="T67" s="25" t="str">
        <f>'Die Map'!T67</f>
        <v>CV021</v>
      </c>
      <c r="U67" s="26" t="str">
        <f>'Die Map'!U67</f>
        <v>CV022</v>
      </c>
      <c r="V67" s="24" t="str">
        <f>'Die Map'!V67</f>
        <v>CV023</v>
      </c>
      <c r="W67" s="25" t="str">
        <f>'Die Map'!W67</f>
        <v>CV024</v>
      </c>
      <c r="X67" s="25" t="str">
        <f>'Die Map'!X67</f>
        <v>CV025</v>
      </c>
      <c r="Y67" s="25" t="str">
        <f>'Die Map'!Y67</f>
        <v>CV026</v>
      </c>
      <c r="Z67" s="26" t="str">
        <f>'Die Map'!Z67</f>
        <v>CV027</v>
      </c>
      <c r="AA67" s="24" t="str">
        <f>'Die Map'!AA67</f>
        <v>CV028</v>
      </c>
      <c r="AB67" s="25" t="str">
        <f>'Die Map'!AB67</f>
        <v>CV029</v>
      </c>
      <c r="AC67" s="25" t="str">
        <f>'Die Map'!AC67</f>
        <v>CV031</v>
      </c>
      <c r="AD67" s="25" t="str">
        <f>'Die Map'!AD67</f>
        <v>CV032</v>
      </c>
      <c r="AE67" s="26" t="str">
        <f>'Die Map'!AE67</f>
        <v>CV033</v>
      </c>
      <c r="AF67" s="24" t="str">
        <f>'Die Map'!AF67</f>
        <v>CV034</v>
      </c>
      <c r="AG67" s="25" t="str">
        <f>'Die Map'!AG67</f>
        <v>CV035</v>
      </c>
      <c r="AH67" s="25" t="str">
        <f>'Die Map'!AH67</f>
        <v>CV036</v>
      </c>
      <c r="AI67" s="25" t="str">
        <f>'Die Map'!AI67</f>
        <v>CV037</v>
      </c>
      <c r="AJ67" s="26" t="str">
        <f>'Die Map'!AJ67</f>
        <v>CV038</v>
      </c>
      <c r="AK67" s="24" t="str">
        <f>'Die Map'!AK67</f>
        <v>CV039</v>
      </c>
      <c r="AL67" s="25" t="str">
        <f>'Die Map'!AL67</f>
        <v>CV041</v>
      </c>
      <c r="AM67" s="25" t="str">
        <f>'Die Map'!AM67</f>
        <v>CV042</v>
      </c>
      <c r="AN67" s="25" t="str">
        <f>'Die Map'!AN67</f>
        <v>CV043</v>
      </c>
      <c r="AO67" s="26" t="str">
        <f>'Die Map'!AO67</f>
        <v>CV044</v>
      </c>
      <c r="AP67" s="24" t="str">
        <f>'Die Map'!AP67</f>
        <v>CV045</v>
      </c>
      <c r="AQ67" s="25" t="str">
        <f>'Die Map'!AQ67</f>
        <v>CV046</v>
      </c>
      <c r="AR67" s="25" t="str">
        <f>'Die Map'!AR67</f>
        <v>CV047</v>
      </c>
      <c r="AS67" s="25" t="str">
        <f>'Die Map'!AS67</f>
        <v>CV048</v>
      </c>
      <c r="AT67" s="26" t="str">
        <f>'Die Map'!AT67</f>
        <v>CV049</v>
      </c>
      <c r="AU67" s="24" t="str">
        <f>'Die Map'!AU67</f>
        <v>CV051</v>
      </c>
      <c r="AV67" s="25" t="str">
        <f>'Die Map'!AV67</f>
        <v>CV052</v>
      </c>
      <c r="AW67" s="25" t="str">
        <f>'Die Map'!AW67</f>
        <v>CV053</v>
      </c>
      <c r="AX67" s="25" t="str">
        <f>'Die Map'!AX67</f>
        <v>CV054</v>
      </c>
      <c r="AY67" s="26" t="str">
        <f>'Die Map'!AY67</f>
        <v>CV055</v>
      </c>
      <c r="AZ67" s="24" t="str">
        <f>'Die Map'!AZ67</f>
        <v>CV056</v>
      </c>
      <c r="BA67" s="25" t="str">
        <f>'Die Map'!BA67</f>
        <v>CV057</v>
      </c>
      <c r="BB67" s="25" t="str">
        <f>'Die Map'!BB67</f>
        <v>CV058</v>
      </c>
      <c r="BC67" s="25" t="str">
        <f>'Die Map'!BC67</f>
        <v>CV059</v>
      </c>
      <c r="BD67" s="26" t="str">
        <f>'Die Map'!BD67</f>
        <v>CV061</v>
      </c>
      <c r="BE67" s="24" t="str">
        <f>'Die Map'!BE67</f>
        <v>CV062</v>
      </c>
      <c r="BF67" s="25" t="str">
        <f>'Die Map'!BF67</f>
        <v>CV063</v>
      </c>
      <c r="BG67" s="25" t="str">
        <f>'Die Map'!BG67</f>
        <v>CV064</v>
      </c>
      <c r="BH67" s="25" t="str">
        <f>'Die Map'!BH67</f>
        <v>CV065</v>
      </c>
      <c r="BI67" s="26" t="str">
        <f>'Die Map'!BI67</f>
        <v>CV066</v>
      </c>
      <c r="BJ67" s="24" t="str">
        <f>'Die Map'!BJ67</f>
        <v>CV067</v>
      </c>
      <c r="BK67" s="25" t="str">
        <f>'Die Map'!BK67</f>
        <v>CV068</v>
      </c>
      <c r="BL67" s="25" t="str">
        <f>'Die Map'!BL67</f>
        <v>CV069</v>
      </c>
      <c r="BM67" s="25" t="str">
        <f>'Die Map'!BM67</f>
        <v>CV071</v>
      </c>
      <c r="BN67" s="26" t="str">
        <f>'Die Map'!BN67</f>
        <v>CV072</v>
      </c>
      <c r="BO67" s="24" t="str">
        <f>'Die Map'!BO67</f>
        <v>CV073</v>
      </c>
      <c r="BP67" s="25" t="str">
        <f>'Die Map'!BP67</f>
        <v>CV074</v>
      </c>
      <c r="BQ67" s="25" t="str">
        <f>'Die Map'!BQ67</f>
        <v>CV075</v>
      </c>
      <c r="BR67" s="25" t="str">
        <f>'Die Map'!BR67</f>
        <v>CV076</v>
      </c>
      <c r="BS67" s="26" t="str">
        <f>'Die Map'!BS67</f>
        <v>CV077</v>
      </c>
      <c r="BT67" s="24" t="str">
        <f>'Die Map'!BT67</f>
        <v>CV078</v>
      </c>
      <c r="BU67" s="25" t="str">
        <f>'Die Map'!BU67</f>
        <v>CV079</v>
      </c>
      <c r="BV67" s="25" t="str">
        <f>'Die Map'!BV67</f>
        <v>CV081</v>
      </c>
      <c r="BW67" s="25" t="str">
        <f>'Die Map'!BW67</f>
        <v>CV082</v>
      </c>
      <c r="BX67" s="26" t="str">
        <f>'Die Map'!BX67</f>
        <v>CV083</v>
      </c>
      <c r="BY67" s="24" t="str">
        <f>'Die Map'!BY67</f>
        <v>CV084</v>
      </c>
      <c r="BZ67" s="25" t="str">
        <f>'Die Map'!BZ67</f>
        <v>CV085</v>
      </c>
      <c r="CA67" s="25" t="str">
        <f>'Die Map'!CA67</f>
        <v>CV086</v>
      </c>
      <c r="CB67" s="25" t="str">
        <f>'Die Map'!CB67</f>
        <v>CV087</v>
      </c>
      <c r="CC67" s="26" t="str">
        <f>'Die Map'!CC67</f>
        <v>CV088</v>
      </c>
      <c r="CD67" s="24" t="str">
        <f>'Die Map'!CD67</f>
        <v>CV089</v>
      </c>
      <c r="CE67" s="25" t="str">
        <f>'Die Map'!CE67</f>
        <v>CV091</v>
      </c>
      <c r="CF67" s="25" t="str">
        <f>'Die Map'!CF67</f>
        <v>CV092</v>
      </c>
      <c r="CG67" s="25" t="str">
        <f>'Die Map'!CG67</f>
        <v>CV093</v>
      </c>
      <c r="CH67" s="26" t="str">
        <f>'Die Map'!CH67</f>
        <v>CV094</v>
      </c>
      <c r="CI67" s="24" t="str">
        <f>'Die Map'!CI67</f>
        <v>CV095</v>
      </c>
      <c r="CJ67" s="25" t="str">
        <f>'Die Map'!CJ67</f>
        <v>CV096</v>
      </c>
      <c r="CK67" s="25" t="str">
        <f>'Die Map'!CK67</f>
        <v>CV097</v>
      </c>
      <c r="CL67" s="25" t="str">
        <f>'Die Map'!CL67</f>
        <v>CV098</v>
      </c>
      <c r="CM67" s="26" t="str">
        <f>'Die Map'!CM67</f>
        <v>CV099</v>
      </c>
      <c r="CN67" s="24" t="str">
        <f>'Die Map'!CN67</f>
        <v>CV101</v>
      </c>
      <c r="CO67" s="25" t="str">
        <f>'Die Map'!CO67</f>
        <v>CV102</v>
      </c>
      <c r="CP67" s="25" t="str">
        <f>'Die Map'!CP67</f>
        <v>CV103</v>
      </c>
      <c r="CQ67" s="25" t="str">
        <f>'Die Map'!CQ67</f>
        <v>CV104</v>
      </c>
      <c r="CR67" s="26" t="str">
        <f>'Die Map'!CR67</f>
        <v>CV105</v>
      </c>
      <c r="CS67" s="24" t="str">
        <f>'Die Map'!CS67</f>
        <v>CV106</v>
      </c>
      <c r="CT67" s="25" t="str">
        <f>'Die Map'!CT67</f>
        <v>CV107</v>
      </c>
      <c r="CU67" s="25" t="str">
        <f>'Die Map'!CU67</f>
        <v>CV108</v>
      </c>
      <c r="CV67" s="25" t="str">
        <f>'Die Map'!CV67</f>
        <v>CV109</v>
      </c>
      <c r="CW67" s="26" t="str">
        <f>'Die Map'!CW67</f>
        <v>CV111</v>
      </c>
      <c r="CX67" s="24" t="str">
        <f>'Die Map'!CX67</f>
        <v/>
      </c>
      <c r="CY67" s="25" t="str">
        <f>'Die Map'!CY67</f>
        <v/>
      </c>
      <c r="CZ67" s="25" t="str">
        <f>'Die Map'!CZ67</f>
        <v/>
      </c>
      <c r="DA67" s="25" t="str">
        <f>'Die Map'!DA67</f>
        <v/>
      </c>
      <c r="DB67" s="26" t="str">
        <f>'Die Map'!DB67</f>
        <v/>
      </c>
    </row>
    <row r="68" spans="1:106" ht="12.75" customHeight="1" x14ac:dyDescent="0.25">
      <c r="A68" s="17">
        <v>66</v>
      </c>
      <c r="B68" s="18" t="str">
        <f>'Die Map'!B68</f>
        <v/>
      </c>
      <c r="C68" s="19" t="str">
        <f>'Die Map'!C68</f>
        <v/>
      </c>
      <c r="D68" s="19" t="str">
        <f>'Die Map'!D68</f>
        <v/>
      </c>
      <c r="E68" s="19" t="str">
        <f>'Die Map'!E68</f>
        <v/>
      </c>
      <c r="F68" s="20" t="str">
        <f>'Die Map'!F68</f>
        <v/>
      </c>
      <c r="G68" s="18" t="str">
        <f>'Die Map'!G68</f>
        <v>CW006</v>
      </c>
      <c r="H68" s="19" t="str">
        <f>'Die Map'!H68</f>
        <v>CW007</v>
      </c>
      <c r="I68" s="19" t="str">
        <f>'Die Map'!I68</f>
        <v>CW008</v>
      </c>
      <c r="J68" s="19" t="str">
        <f>'Die Map'!J68</f>
        <v>CW009</v>
      </c>
      <c r="K68" s="20" t="str">
        <f>'Die Map'!K68</f>
        <v>CW011</v>
      </c>
      <c r="L68" s="18" t="str">
        <f>'Die Map'!L68</f>
        <v>CW012</v>
      </c>
      <c r="M68" s="19" t="str">
        <f>'Die Map'!M68</f>
        <v>CW013</v>
      </c>
      <c r="N68" s="19" t="str">
        <f>'Die Map'!N68</f>
        <v>CW014</v>
      </c>
      <c r="O68" s="19" t="str">
        <f>'Die Map'!O68</f>
        <v>CW015</v>
      </c>
      <c r="P68" s="20" t="str">
        <f>'Die Map'!P68</f>
        <v>CW016</v>
      </c>
      <c r="Q68" s="18" t="str">
        <f>'Die Map'!Q68</f>
        <v>CW017</v>
      </c>
      <c r="R68" s="19" t="str">
        <f>'Die Map'!R68</f>
        <v>CW018</v>
      </c>
      <c r="S68" s="19" t="str">
        <f>'Die Map'!S68</f>
        <v>CW019</v>
      </c>
      <c r="T68" s="19" t="str">
        <f>'Die Map'!T68</f>
        <v>CW021</v>
      </c>
      <c r="U68" s="20" t="str">
        <f>'Die Map'!U68</f>
        <v>CW022</v>
      </c>
      <c r="V68" s="18" t="str">
        <f>'Die Map'!V68</f>
        <v>CW023</v>
      </c>
      <c r="W68" s="19" t="str">
        <f>'Die Map'!W68</f>
        <v>CW024</v>
      </c>
      <c r="X68" s="19" t="str">
        <f>'Die Map'!X68</f>
        <v>CW025</v>
      </c>
      <c r="Y68" s="19" t="str">
        <f>'Die Map'!Y68</f>
        <v>CW026</v>
      </c>
      <c r="Z68" s="20" t="str">
        <f>'Die Map'!Z68</f>
        <v>CW027</v>
      </c>
      <c r="AA68" s="18" t="str">
        <f>'Die Map'!AA68</f>
        <v>CW028</v>
      </c>
      <c r="AB68" s="19" t="str">
        <f>'Die Map'!AB68</f>
        <v>CW029</v>
      </c>
      <c r="AC68" s="19" t="str">
        <f>'Die Map'!AC68</f>
        <v>CW031</v>
      </c>
      <c r="AD68" s="19" t="str">
        <f>'Die Map'!AD68</f>
        <v>CW032</v>
      </c>
      <c r="AE68" s="20" t="str">
        <f>'Die Map'!AE68</f>
        <v>CW033</v>
      </c>
      <c r="AF68" s="18" t="str">
        <f>'Die Map'!AF68</f>
        <v>CW034</v>
      </c>
      <c r="AG68" s="19" t="str">
        <f>'Die Map'!AG68</f>
        <v>CW035</v>
      </c>
      <c r="AH68" s="19" t="str">
        <f>'Die Map'!AH68</f>
        <v>CW036</v>
      </c>
      <c r="AI68" s="19" t="str">
        <f>'Die Map'!AI68</f>
        <v>CW037</v>
      </c>
      <c r="AJ68" s="20" t="str">
        <f>'Die Map'!AJ68</f>
        <v>CW038</v>
      </c>
      <c r="AK68" s="18" t="str">
        <f>'Die Map'!AK68</f>
        <v>CW039</v>
      </c>
      <c r="AL68" s="19" t="str">
        <f>'Die Map'!AL68</f>
        <v>CW041</v>
      </c>
      <c r="AM68" s="19" t="str">
        <f>'Die Map'!AM68</f>
        <v>CW042</v>
      </c>
      <c r="AN68" s="19" t="str">
        <f>'Die Map'!AN68</f>
        <v>CW043</v>
      </c>
      <c r="AO68" s="20" t="str">
        <f>'Die Map'!AO68</f>
        <v>CW044</v>
      </c>
      <c r="AP68" s="18" t="str">
        <f>'Die Map'!AP68</f>
        <v>CW045</v>
      </c>
      <c r="AQ68" s="19" t="str">
        <f>'Die Map'!AQ68</f>
        <v>CW046</v>
      </c>
      <c r="AR68" s="19" t="str">
        <f>'Die Map'!AR68</f>
        <v>CW047</v>
      </c>
      <c r="AS68" s="19" t="str">
        <f>'Die Map'!AS68</f>
        <v>CW048</v>
      </c>
      <c r="AT68" s="20" t="str">
        <f>'Die Map'!AT68</f>
        <v>CW049</v>
      </c>
      <c r="AU68" s="18" t="str">
        <f>'Die Map'!AU68</f>
        <v>CW051</v>
      </c>
      <c r="AV68" s="19" t="str">
        <f>'Die Map'!AV68</f>
        <v>CW052</v>
      </c>
      <c r="AW68" s="19" t="str">
        <f>'Die Map'!AW68</f>
        <v>CW053</v>
      </c>
      <c r="AX68" s="19" t="str">
        <f>'Die Map'!AX68</f>
        <v>CW054</v>
      </c>
      <c r="AY68" s="20" t="str">
        <f>'Die Map'!AY68</f>
        <v>CW055</v>
      </c>
      <c r="AZ68" s="18" t="str">
        <f>'Die Map'!AZ68</f>
        <v>CW056</v>
      </c>
      <c r="BA68" s="19" t="str">
        <f>'Die Map'!BA68</f>
        <v>CW057</v>
      </c>
      <c r="BB68" s="19" t="str">
        <f>'Die Map'!BB68</f>
        <v>CW058</v>
      </c>
      <c r="BC68" s="19" t="str">
        <f>'Die Map'!BC68</f>
        <v>CW059</v>
      </c>
      <c r="BD68" s="20" t="str">
        <f>'Die Map'!BD68</f>
        <v>CW061</v>
      </c>
      <c r="BE68" s="18" t="str">
        <f>'Die Map'!BE68</f>
        <v>CW062</v>
      </c>
      <c r="BF68" s="19" t="str">
        <f>'Die Map'!BF68</f>
        <v>CW063</v>
      </c>
      <c r="BG68" s="19" t="str">
        <f>'Die Map'!BG68</f>
        <v>CW064</v>
      </c>
      <c r="BH68" s="19" t="str">
        <f>'Die Map'!BH68</f>
        <v>CW065</v>
      </c>
      <c r="BI68" s="20" t="str">
        <f>'Die Map'!BI68</f>
        <v>CW066</v>
      </c>
      <c r="BJ68" s="18" t="str">
        <f>'Die Map'!BJ68</f>
        <v>CW067</v>
      </c>
      <c r="BK68" s="19" t="str">
        <f>'Die Map'!BK68</f>
        <v>CW068</v>
      </c>
      <c r="BL68" s="19" t="str">
        <f>'Die Map'!BL68</f>
        <v>CW069</v>
      </c>
      <c r="BM68" s="19" t="str">
        <f>'Die Map'!BM68</f>
        <v>CW071</v>
      </c>
      <c r="BN68" s="20" t="str">
        <f>'Die Map'!BN68</f>
        <v>CW072</v>
      </c>
      <c r="BO68" s="18" t="str">
        <f>'Die Map'!BO68</f>
        <v>CW073</v>
      </c>
      <c r="BP68" s="19" t="str">
        <f>'Die Map'!BP68</f>
        <v>CW074</v>
      </c>
      <c r="BQ68" s="19" t="str">
        <f>'Die Map'!BQ68</f>
        <v>CW075</v>
      </c>
      <c r="BR68" s="19" t="str">
        <f>'Die Map'!BR68</f>
        <v>CW076</v>
      </c>
      <c r="BS68" s="20" t="str">
        <f>'Die Map'!BS68</f>
        <v>CW077</v>
      </c>
      <c r="BT68" s="18" t="str">
        <f>'Die Map'!BT68</f>
        <v>CW078</v>
      </c>
      <c r="BU68" s="19" t="str">
        <f>'Die Map'!BU68</f>
        <v>CW079</v>
      </c>
      <c r="BV68" s="19" t="str">
        <f>'Die Map'!BV68</f>
        <v>CW081</v>
      </c>
      <c r="BW68" s="19" t="str">
        <f>'Die Map'!BW68</f>
        <v>CW082</v>
      </c>
      <c r="BX68" s="20" t="str">
        <f>'Die Map'!BX68</f>
        <v>CW083</v>
      </c>
      <c r="BY68" s="18" t="str">
        <f>'Die Map'!BY68</f>
        <v>CW084</v>
      </c>
      <c r="BZ68" s="19" t="str">
        <f>'Die Map'!BZ68</f>
        <v>CW085</v>
      </c>
      <c r="CA68" s="19" t="str">
        <f>'Die Map'!CA68</f>
        <v>CW086</v>
      </c>
      <c r="CB68" s="19" t="str">
        <f>'Die Map'!CB68</f>
        <v>CW087</v>
      </c>
      <c r="CC68" s="20" t="str">
        <f>'Die Map'!CC68</f>
        <v>CW088</v>
      </c>
      <c r="CD68" s="18" t="str">
        <f>'Die Map'!CD68</f>
        <v>CW089</v>
      </c>
      <c r="CE68" s="19" t="str">
        <f>'Die Map'!CE68</f>
        <v>CW091</v>
      </c>
      <c r="CF68" s="19" t="str">
        <f>'Die Map'!CF68</f>
        <v>CW092</v>
      </c>
      <c r="CG68" s="19" t="str">
        <f>'Die Map'!CG68</f>
        <v>CW093</v>
      </c>
      <c r="CH68" s="20" t="str">
        <f>'Die Map'!CH68</f>
        <v>CW094</v>
      </c>
      <c r="CI68" s="18" t="str">
        <f>'Die Map'!CI68</f>
        <v>CW095</v>
      </c>
      <c r="CJ68" s="19" t="str">
        <f>'Die Map'!CJ68</f>
        <v>CW096</v>
      </c>
      <c r="CK68" s="19" t="str">
        <f>'Die Map'!CK68</f>
        <v>CW097</v>
      </c>
      <c r="CL68" s="19" t="str">
        <f>'Die Map'!CL68</f>
        <v>CW098</v>
      </c>
      <c r="CM68" s="20" t="str">
        <f>'Die Map'!CM68</f>
        <v>CW099</v>
      </c>
      <c r="CN68" s="18" t="str">
        <f>'Die Map'!CN68</f>
        <v>CW101</v>
      </c>
      <c r="CO68" s="19" t="str">
        <f>'Die Map'!CO68</f>
        <v>CW102</v>
      </c>
      <c r="CP68" s="19" t="str">
        <f>'Die Map'!CP68</f>
        <v>CW103</v>
      </c>
      <c r="CQ68" s="19" t="str">
        <f>'Die Map'!CQ68</f>
        <v>CW104</v>
      </c>
      <c r="CR68" s="20" t="str">
        <f>'Die Map'!CR68</f>
        <v>CW105</v>
      </c>
      <c r="CS68" s="18" t="str">
        <f>'Die Map'!CS68</f>
        <v>CW106</v>
      </c>
      <c r="CT68" s="19" t="str">
        <f>'Die Map'!CT68</f>
        <v>CW107</v>
      </c>
      <c r="CU68" s="19" t="str">
        <f>'Die Map'!CU68</f>
        <v>CW108</v>
      </c>
      <c r="CV68" s="19" t="str">
        <f>'Die Map'!CV68</f>
        <v>CW109</v>
      </c>
      <c r="CW68" s="20" t="str">
        <f>'Die Map'!CW68</f>
        <v>CW111</v>
      </c>
      <c r="CX68" s="18" t="str">
        <f>'Die Map'!CX68</f>
        <v/>
      </c>
      <c r="CY68" s="19" t="str">
        <f>'Die Map'!CY68</f>
        <v/>
      </c>
      <c r="CZ68" s="19" t="str">
        <f>'Die Map'!CZ68</f>
        <v/>
      </c>
      <c r="DA68" s="19" t="str">
        <f>'Die Map'!DA68</f>
        <v/>
      </c>
      <c r="DB68" s="20" t="str">
        <f>'Die Map'!DB68</f>
        <v/>
      </c>
    </row>
    <row r="69" spans="1:106" ht="12.75" customHeight="1" x14ac:dyDescent="0.25">
      <c r="A69" s="17">
        <v>67</v>
      </c>
      <c r="B69" s="21" t="str">
        <f>'Die Map'!B69</f>
        <v/>
      </c>
      <c r="C69" s="22" t="str">
        <f>'Die Map'!C69</f>
        <v/>
      </c>
      <c r="D69" s="22" t="str">
        <f>'Die Map'!D69</f>
        <v/>
      </c>
      <c r="E69" s="22" t="str">
        <f>'Die Map'!E69</f>
        <v/>
      </c>
      <c r="F69" s="23" t="str">
        <f>'Die Map'!F69</f>
        <v/>
      </c>
      <c r="G69" s="21" t="str">
        <f>'Die Map'!G69</f>
        <v>CX006</v>
      </c>
      <c r="H69" s="22" t="str">
        <f>'Die Map'!H69</f>
        <v>CX007</v>
      </c>
      <c r="I69" s="22" t="str">
        <f>'Die Map'!I69</f>
        <v>CX008</v>
      </c>
      <c r="J69" s="22" t="str">
        <f>'Die Map'!J69</f>
        <v>CX009</v>
      </c>
      <c r="K69" s="23" t="str">
        <f>'Die Map'!K69</f>
        <v>CX011</v>
      </c>
      <c r="L69" s="21" t="str">
        <f>'Die Map'!L69</f>
        <v>CX012</v>
      </c>
      <c r="M69" s="22" t="str">
        <f>'Die Map'!M69</f>
        <v>CX013</v>
      </c>
      <c r="N69" s="22" t="str">
        <f>'Die Map'!N69</f>
        <v>CX014</v>
      </c>
      <c r="O69" s="22" t="str">
        <f>'Die Map'!O69</f>
        <v>CX015</v>
      </c>
      <c r="P69" s="23" t="str">
        <f>'Die Map'!P69</f>
        <v>CX016</v>
      </c>
      <c r="Q69" s="21" t="str">
        <f>'Die Map'!Q69</f>
        <v>CX017</v>
      </c>
      <c r="R69" s="22" t="str">
        <f>'Die Map'!R69</f>
        <v>CX018</v>
      </c>
      <c r="S69" s="22" t="str">
        <f>'Die Map'!S69</f>
        <v>CX019</v>
      </c>
      <c r="T69" s="22" t="str">
        <f>'Die Map'!T69</f>
        <v>CX021</v>
      </c>
      <c r="U69" s="23" t="str">
        <f>'Die Map'!U69</f>
        <v>CX022</v>
      </c>
      <c r="V69" s="21" t="str">
        <f>'Die Map'!V69</f>
        <v>CX023</v>
      </c>
      <c r="W69" s="22" t="str">
        <f>'Die Map'!W69</f>
        <v>CX024</v>
      </c>
      <c r="X69" s="22" t="str">
        <f>'Die Map'!X69</f>
        <v>CX025</v>
      </c>
      <c r="Y69" s="22" t="str">
        <f>'Die Map'!Y69</f>
        <v>CX026</v>
      </c>
      <c r="Z69" s="23" t="str">
        <f>'Die Map'!Z69</f>
        <v>CX027</v>
      </c>
      <c r="AA69" s="21" t="str">
        <f>'Die Map'!AA69</f>
        <v>CX028</v>
      </c>
      <c r="AB69" s="22" t="str">
        <f>'Die Map'!AB69</f>
        <v>CX029</v>
      </c>
      <c r="AC69" s="22" t="str">
        <f>'Die Map'!AC69</f>
        <v>CX031</v>
      </c>
      <c r="AD69" s="22" t="str">
        <f>'Die Map'!AD69</f>
        <v>CX032</v>
      </c>
      <c r="AE69" s="23" t="str">
        <f>'Die Map'!AE69</f>
        <v>CX033</v>
      </c>
      <c r="AF69" s="21" t="str">
        <f>'Die Map'!AF69</f>
        <v>CX034</v>
      </c>
      <c r="AG69" s="22" t="str">
        <f>'Die Map'!AG69</f>
        <v>CX035</v>
      </c>
      <c r="AH69" s="22" t="str">
        <f>'Die Map'!AH69</f>
        <v>CX036</v>
      </c>
      <c r="AI69" s="22" t="str">
        <f>'Die Map'!AI69</f>
        <v>CX037</v>
      </c>
      <c r="AJ69" s="23" t="str">
        <f>'Die Map'!AJ69</f>
        <v>CX038</v>
      </c>
      <c r="AK69" s="21" t="str">
        <f>'Die Map'!AK69</f>
        <v>CX039</v>
      </c>
      <c r="AL69" s="22" t="str">
        <f>'Die Map'!AL69</f>
        <v>CX041</v>
      </c>
      <c r="AM69" s="22" t="str">
        <f>'Die Map'!AM69</f>
        <v>CX042</v>
      </c>
      <c r="AN69" s="22" t="str">
        <f>'Die Map'!AN69</f>
        <v>CX043</v>
      </c>
      <c r="AO69" s="23" t="str">
        <f>'Die Map'!AO69</f>
        <v>CX044</v>
      </c>
      <c r="AP69" s="21" t="str">
        <f>'Die Map'!AP69</f>
        <v>CX045</v>
      </c>
      <c r="AQ69" s="22" t="str">
        <f>'Die Map'!AQ69</f>
        <v>CX046</v>
      </c>
      <c r="AR69" s="22" t="str">
        <f>'Die Map'!AR69</f>
        <v>CX047</v>
      </c>
      <c r="AS69" s="22" t="str">
        <f>'Die Map'!AS69</f>
        <v>CX048</v>
      </c>
      <c r="AT69" s="23" t="str">
        <f>'Die Map'!AT69</f>
        <v>CX049</v>
      </c>
      <c r="AU69" s="21" t="str">
        <f>'Die Map'!AU69</f>
        <v>CX051</v>
      </c>
      <c r="AV69" s="22" t="str">
        <f>'Die Map'!AV69</f>
        <v>CX052</v>
      </c>
      <c r="AW69" s="22" t="str">
        <f>'Die Map'!AW69</f>
        <v>CX053</v>
      </c>
      <c r="AX69" s="22" t="str">
        <f>'Die Map'!AX69</f>
        <v>CX054</v>
      </c>
      <c r="AY69" s="23" t="str">
        <f>'Die Map'!AY69</f>
        <v>CX055</v>
      </c>
      <c r="AZ69" s="21" t="str">
        <f>'Die Map'!AZ69</f>
        <v>CX056</v>
      </c>
      <c r="BA69" s="22" t="str">
        <f>'Die Map'!BA69</f>
        <v>CX057</v>
      </c>
      <c r="BB69" s="22" t="str">
        <f>'Die Map'!BB69</f>
        <v>CX058</v>
      </c>
      <c r="BC69" s="22" t="str">
        <f>'Die Map'!BC69</f>
        <v>CX059</v>
      </c>
      <c r="BD69" s="23" t="str">
        <f>'Die Map'!BD69</f>
        <v>CX061</v>
      </c>
      <c r="BE69" s="21" t="str">
        <f>'Die Map'!BE69</f>
        <v>CX062</v>
      </c>
      <c r="BF69" s="22" t="str">
        <f>'Die Map'!BF69</f>
        <v>CX063</v>
      </c>
      <c r="BG69" s="22" t="str">
        <f>'Die Map'!BG69</f>
        <v>CX064</v>
      </c>
      <c r="BH69" s="22" t="str">
        <f>'Die Map'!BH69</f>
        <v>CX065</v>
      </c>
      <c r="BI69" s="23" t="str">
        <f>'Die Map'!BI69</f>
        <v>CX066</v>
      </c>
      <c r="BJ69" s="21" t="str">
        <f>'Die Map'!BJ69</f>
        <v>CX067</v>
      </c>
      <c r="BK69" s="22" t="str">
        <f>'Die Map'!BK69</f>
        <v>CX068</v>
      </c>
      <c r="BL69" s="22" t="str">
        <f>'Die Map'!BL69</f>
        <v>CX069</v>
      </c>
      <c r="BM69" s="22" t="str">
        <f>'Die Map'!BM69</f>
        <v>CX071</v>
      </c>
      <c r="BN69" s="23" t="str">
        <f>'Die Map'!BN69</f>
        <v>CX072</v>
      </c>
      <c r="BO69" s="21" t="str">
        <f>'Die Map'!BO69</f>
        <v>CX073</v>
      </c>
      <c r="BP69" s="22" t="str">
        <f>'Die Map'!BP69</f>
        <v>CX074</v>
      </c>
      <c r="BQ69" s="22" t="str">
        <f>'Die Map'!BQ69</f>
        <v>CX075</v>
      </c>
      <c r="BR69" s="22" t="str">
        <f>'Die Map'!BR69</f>
        <v>CX076</v>
      </c>
      <c r="BS69" s="23" t="str">
        <f>'Die Map'!BS69</f>
        <v>CX077</v>
      </c>
      <c r="BT69" s="21" t="str">
        <f>'Die Map'!BT69</f>
        <v>CX078</v>
      </c>
      <c r="BU69" s="22" t="str">
        <f>'Die Map'!BU69</f>
        <v>CX079</v>
      </c>
      <c r="BV69" s="22" t="str">
        <f>'Die Map'!BV69</f>
        <v>CX081</v>
      </c>
      <c r="BW69" s="22" t="str">
        <f>'Die Map'!BW69</f>
        <v>CX082</v>
      </c>
      <c r="BX69" s="23" t="str">
        <f>'Die Map'!BX69</f>
        <v>CX083</v>
      </c>
      <c r="BY69" s="21" t="str">
        <f>'Die Map'!BY69</f>
        <v>CX084</v>
      </c>
      <c r="BZ69" s="22" t="str">
        <f>'Die Map'!BZ69</f>
        <v>CX085</v>
      </c>
      <c r="CA69" s="22" t="str">
        <f>'Die Map'!CA69</f>
        <v>CX086</v>
      </c>
      <c r="CB69" s="22" t="str">
        <f>'Die Map'!CB69</f>
        <v>CX087</v>
      </c>
      <c r="CC69" s="23" t="str">
        <f>'Die Map'!CC69</f>
        <v>CX088</v>
      </c>
      <c r="CD69" s="21" t="str">
        <f>'Die Map'!CD69</f>
        <v>CX089</v>
      </c>
      <c r="CE69" s="22" t="str">
        <f>'Die Map'!CE69</f>
        <v>CX091</v>
      </c>
      <c r="CF69" s="22" t="str">
        <f>'Die Map'!CF69</f>
        <v>CX092</v>
      </c>
      <c r="CG69" s="22" t="str">
        <f>'Die Map'!CG69</f>
        <v>CX093</v>
      </c>
      <c r="CH69" s="23" t="str">
        <f>'Die Map'!CH69</f>
        <v>CX094</v>
      </c>
      <c r="CI69" s="21" t="str">
        <f>'Die Map'!CI69</f>
        <v>CX095</v>
      </c>
      <c r="CJ69" s="22" t="str">
        <f>'Die Map'!CJ69</f>
        <v>CX096</v>
      </c>
      <c r="CK69" s="22" t="str">
        <f>'Die Map'!CK69</f>
        <v>CX097</v>
      </c>
      <c r="CL69" s="22" t="str">
        <f>'Die Map'!CL69</f>
        <v>CX098</v>
      </c>
      <c r="CM69" s="23" t="str">
        <f>'Die Map'!CM69</f>
        <v>CX099</v>
      </c>
      <c r="CN69" s="21" t="str">
        <f>'Die Map'!CN69</f>
        <v>CX101</v>
      </c>
      <c r="CO69" s="22" t="str">
        <f>'Die Map'!CO69</f>
        <v>CX102</v>
      </c>
      <c r="CP69" s="22" t="str">
        <f>'Die Map'!CP69</f>
        <v>CX103</v>
      </c>
      <c r="CQ69" s="22" t="str">
        <f>'Die Map'!CQ69</f>
        <v>CX104</v>
      </c>
      <c r="CR69" s="23" t="str">
        <f>'Die Map'!CR69</f>
        <v>CX105</v>
      </c>
      <c r="CS69" s="21" t="str">
        <f>'Die Map'!CS69</f>
        <v>CX106</v>
      </c>
      <c r="CT69" s="22" t="str">
        <f>'Die Map'!CT69</f>
        <v>CX107</v>
      </c>
      <c r="CU69" s="22" t="str">
        <f>'Die Map'!CU69</f>
        <v>CX108</v>
      </c>
      <c r="CV69" s="22" t="str">
        <f>'Die Map'!CV69</f>
        <v>CX109</v>
      </c>
      <c r="CW69" s="23" t="str">
        <f>'Die Map'!CW69</f>
        <v>CX111</v>
      </c>
      <c r="CX69" s="21" t="str">
        <f>'Die Map'!CX69</f>
        <v/>
      </c>
      <c r="CY69" s="22" t="str">
        <f>'Die Map'!CY69</f>
        <v/>
      </c>
      <c r="CZ69" s="22" t="str">
        <f>'Die Map'!CZ69</f>
        <v/>
      </c>
      <c r="DA69" s="22" t="str">
        <f>'Die Map'!DA69</f>
        <v/>
      </c>
      <c r="DB69" s="23" t="str">
        <f>'Die Map'!DB69</f>
        <v/>
      </c>
    </row>
    <row r="70" spans="1:106" ht="12.75" customHeight="1" x14ac:dyDescent="0.25">
      <c r="A70" s="17">
        <v>68</v>
      </c>
      <c r="B70" s="21" t="str">
        <f>'Die Map'!B70</f>
        <v/>
      </c>
      <c r="C70" s="22" t="str">
        <f>'Die Map'!C70</f>
        <v/>
      </c>
      <c r="D70" s="22" t="str">
        <f>'Die Map'!D70</f>
        <v/>
      </c>
      <c r="E70" s="22" t="str">
        <f>'Die Map'!E70</f>
        <v/>
      </c>
      <c r="F70" s="23" t="str">
        <f>'Die Map'!F70</f>
        <v/>
      </c>
      <c r="G70" s="21" t="str">
        <f>'Die Map'!G70</f>
        <v>CY006</v>
      </c>
      <c r="H70" s="22" t="str">
        <f>'Die Map'!H70</f>
        <v>CY007</v>
      </c>
      <c r="I70" s="22" t="str">
        <f>'Die Map'!I70</f>
        <v>CY008</v>
      </c>
      <c r="J70" s="22" t="str">
        <f>'Die Map'!J70</f>
        <v>CY009</v>
      </c>
      <c r="K70" s="23" t="str">
        <f>'Die Map'!K70</f>
        <v>CY011</v>
      </c>
      <c r="L70" s="21" t="str">
        <f>'Die Map'!L70</f>
        <v>CY012</v>
      </c>
      <c r="M70" s="22" t="str">
        <f>'Die Map'!M70</f>
        <v>CY013</v>
      </c>
      <c r="N70" s="22" t="str">
        <f>'Die Map'!N70</f>
        <v>CY014</v>
      </c>
      <c r="O70" s="22" t="str">
        <f>'Die Map'!O70</f>
        <v>CY015</v>
      </c>
      <c r="P70" s="23" t="str">
        <f>'Die Map'!P70</f>
        <v>CY016</v>
      </c>
      <c r="Q70" s="21" t="str">
        <f>'Die Map'!Q70</f>
        <v>CY017</v>
      </c>
      <c r="R70" s="22" t="str">
        <f>'Die Map'!R70</f>
        <v>CY018</v>
      </c>
      <c r="S70" s="22" t="str">
        <f>'Die Map'!S70</f>
        <v>CY019</v>
      </c>
      <c r="T70" s="22" t="str">
        <f>'Die Map'!T70</f>
        <v>CY021</v>
      </c>
      <c r="U70" s="23" t="str">
        <f>'Die Map'!U70</f>
        <v>CY022</v>
      </c>
      <c r="V70" s="21" t="str">
        <f>'Die Map'!V70</f>
        <v>CY023</v>
      </c>
      <c r="W70" s="22" t="str">
        <f>'Die Map'!W70</f>
        <v>CY024</v>
      </c>
      <c r="X70" s="22" t="str">
        <f>'Die Map'!X70</f>
        <v>CY025</v>
      </c>
      <c r="Y70" s="22" t="str">
        <f>'Die Map'!Y70</f>
        <v>CY026</v>
      </c>
      <c r="Z70" s="23" t="str">
        <f>'Die Map'!Z70</f>
        <v>CY027</v>
      </c>
      <c r="AA70" s="21" t="str">
        <f>'Die Map'!AA70</f>
        <v>CY028</v>
      </c>
      <c r="AB70" s="22" t="str">
        <f>'Die Map'!AB70</f>
        <v>CY029</v>
      </c>
      <c r="AC70" s="22" t="str">
        <f>'Die Map'!AC70</f>
        <v>CY031</v>
      </c>
      <c r="AD70" s="22" t="str">
        <f>'Die Map'!AD70</f>
        <v>CY032</v>
      </c>
      <c r="AE70" s="23" t="str">
        <f>'Die Map'!AE70</f>
        <v>CY033</v>
      </c>
      <c r="AF70" s="21" t="str">
        <f>'Die Map'!AF70</f>
        <v>CY034</v>
      </c>
      <c r="AG70" s="22" t="str">
        <f>'Die Map'!AG70</f>
        <v>CY035</v>
      </c>
      <c r="AH70" s="22" t="str">
        <f>'Die Map'!AH70</f>
        <v>CY036</v>
      </c>
      <c r="AI70" s="22" t="str">
        <f>'Die Map'!AI70</f>
        <v>CY037</v>
      </c>
      <c r="AJ70" s="23" t="str">
        <f>'Die Map'!AJ70</f>
        <v>CY038</v>
      </c>
      <c r="AK70" s="21" t="str">
        <f>'Die Map'!AK70</f>
        <v>CY039</v>
      </c>
      <c r="AL70" s="22" t="str">
        <f>'Die Map'!AL70</f>
        <v>CY041</v>
      </c>
      <c r="AM70" s="22" t="str">
        <f>'Die Map'!AM70</f>
        <v>CY042</v>
      </c>
      <c r="AN70" s="22" t="str">
        <f>'Die Map'!AN70</f>
        <v>CY043</v>
      </c>
      <c r="AO70" s="23" t="str">
        <f>'Die Map'!AO70</f>
        <v>CY044</v>
      </c>
      <c r="AP70" s="21" t="str">
        <f>'Die Map'!AP70</f>
        <v>CY045</v>
      </c>
      <c r="AQ70" s="22" t="str">
        <f>'Die Map'!AQ70</f>
        <v>CY046</v>
      </c>
      <c r="AR70" s="22" t="str">
        <f>'Die Map'!AR70</f>
        <v>CY047</v>
      </c>
      <c r="AS70" s="22" t="str">
        <f>'Die Map'!AS70</f>
        <v>CY048</v>
      </c>
      <c r="AT70" s="23" t="str">
        <f>'Die Map'!AT70</f>
        <v>CY049</v>
      </c>
      <c r="AU70" s="21" t="str">
        <f>'Die Map'!AU70</f>
        <v>CY051</v>
      </c>
      <c r="AV70" s="22" t="str">
        <f>'Die Map'!AV70</f>
        <v>CY052</v>
      </c>
      <c r="AW70" s="22" t="str">
        <f>'Die Map'!AW70</f>
        <v>CY053</v>
      </c>
      <c r="AX70" s="22" t="str">
        <f>'Die Map'!AX70</f>
        <v>CY054</v>
      </c>
      <c r="AY70" s="23" t="str">
        <f>'Die Map'!AY70</f>
        <v>CY055</v>
      </c>
      <c r="AZ70" s="21" t="str">
        <f>'Die Map'!AZ70</f>
        <v>CY056</v>
      </c>
      <c r="BA70" s="22" t="str">
        <f>'Die Map'!BA70</f>
        <v>CY057</v>
      </c>
      <c r="BB70" s="22" t="str">
        <f>'Die Map'!BB70</f>
        <v>CY058</v>
      </c>
      <c r="BC70" s="22" t="str">
        <f>'Die Map'!BC70</f>
        <v>CY059</v>
      </c>
      <c r="BD70" s="23" t="str">
        <f>'Die Map'!BD70</f>
        <v>CY061</v>
      </c>
      <c r="BE70" s="21" t="str">
        <f>'Die Map'!BE70</f>
        <v>CY062</v>
      </c>
      <c r="BF70" s="22" t="str">
        <f>'Die Map'!BF70</f>
        <v>CY063</v>
      </c>
      <c r="BG70" s="22" t="str">
        <f>'Die Map'!BG70</f>
        <v>CY064</v>
      </c>
      <c r="BH70" s="22" t="str">
        <f>'Die Map'!BH70</f>
        <v>CY065</v>
      </c>
      <c r="BI70" s="23" t="str">
        <f>'Die Map'!BI70</f>
        <v>CY066</v>
      </c>
      <c r="BJ70" s="21" t="str">
        <f>'Die Map'!BJ70</f>
        <v>CY067</v>
      </c>
      <c r="BK70" s="22" t="str">
        <f>'Die Map'!BK70</f>
        <v>CY068</v>
      </c>
      <c r="BL70" s="22" t="str">
        <f>'Die Map'!BL70</f>
        <v>CY069</v>
      </c>
      <c r="BM70" s="22" t="str">
        <f>'Die Map'!BM70</f>
        <v>CY071</v>
      </c>
      <c r="BN70" s="23" t="str">
        <f>'Die Map'!BN70</f>
        <v>CY072</v>
      </c>
      <c r="BO70" s="21" t="str">
        <f>'Die Map'!BO70</f>
        <v>CY073</v>
      </c>
      <c r="BP70" s="22" t="str">
        <f>'Die Map'!BP70</f>
        <v>CY074</v>
      </c>
      <c r="BQ70" s="22" t="str">
        <f>'Die Map'!BQ70</f>
        <v>CY075</v>
      </c>
      <c r="BR70" s="22" t="str">
        <f>'Die Map'!BR70</f>
        <v>CY076</v>
      </c>
      <c r="BS70" s="23" t="str">
        <f>'Die Map'!BS70</f>
        <v>CY077</v>
      </c>
      <c r="BT70" s="21" t="str">
        <f>'Die Map'!BT70</f>
        <v>CY078</v>
      </c>
      <c r="BU70" s="22" t="str">
        <f>'Die Map'!BU70</f>
        <v>CY079</v>
      </c>
      <c r="BV70" s="22" t="str">
        <f>'Die Map'!BV70</f>
        <v>CY081</v>
      </c>
      <c r="BW70" s="22" t="str">
        <f>'Die Map'!BW70</f>
        <v>CY082</v>
      </c>
      <c r="BX70" s="23" t="str">
        <f>'Die Map'!BX70</f>
        <v>CY083</v>
      </c>
      <c r="BY70" s="21" t="str">
        <f>'Die Map'!BY70</f>
        <v>CY084</v>
      </c>
      <c r="BZ70" s="22" t="str">
        <f>'Die Map'!BZ70</f>
        <v>CY085</v>
      </c>
      <c r="CA70" s="22" t="str">
        <f>'Die Map'!CA70</f>
        <v>CY086</v>
      </c>
      <c r="CB70" s="22" t="str">
        <f>'Die Map'!CB70</f>
        <v>CY087</v>
      </c>
      <c r="CC70" s="23" t="str">
        <f>'Die Map'!CC70</f>
        <v>CY088</v>
      </c>
      <c r="CD70" s="21" t="str">
        <f>'Die Map'!CD70</f>
        <v>CY089</v>
      </c>
      <c r="CE70" s="22" t="str">
        <f>'Die Map'!CE70</f>
        <v>CY091</v>
      </c>
      <c r="CF70" s="22" t="str">
        <f>'Die Map'!CF70</f>
        <v>CY092</v>
      </c>
      <c r="CG70" s="22" t="str">
        <f>'Die Map'!CG70</f>
        <v>CY093</v>
      </c>
      <c r="CH70" s="23" t="str">
        <f>'Die Map'!CH70</f>
        <v>CY094</v>
      </c>
      <c r="CI70" s="21" t="str">
        <f>'Die Map'!CI70</f>
        <v>CY095</v>
      </c>
      <c r="CJ70" s="22" t="str">
        <f>'Die Map'!CJ70</f>
        <v>CY096</v>
      </c>
      <c r="CK70" s="22" t="str">
        <f>'Die Map'!CK70</f>
        <v>CY097</v>
      </c>
      <c r="CL70" s="22" t="str">
        <f>'Die Map'!CL70</f>
        <v>CY098</v>
      </c>
      <c r="CM70" s="23" t="str">
        <f>'Die Map'!CM70</f>
        <v>CY099</v>
      </c>
      <c r="CN70" s="21" t="str">
        <f>'Die Map'!CN70</f>
        <v>CY101</v>
      </c>
      <c r="CO70" s="22" t="str">
        <f>'Die Map'!CO70</f>
        <v>CY102</v>
      </c>
      <c r="CP70" s="22" t="str">
        <f>'Die Map'!CP70</f>
        <v>CY103</v>
      </c>
      <c r="CQ70" s="22" t="str">
        <f>'Die Map'!CQ70</f>
        <v>CY104</v>
      </c>
      <c r="CR70" s="23" t="str">
        <f>'Die Map'!CR70</f>
        <v>CY105</v>
      </c>
      <c r="CS70" s="21" t="str">
        <f>'Die Map'!CS70</f>
        <v>CY106</v>
      </c>
      <c r="CT70" s="22" t="str">
        <f>'Die Map'!CT70</f>
        <v>CY107</v>
      </c>
      <c r="CU70" s="22" t="str">
        <f>'Die Map'!CU70</f>
        <v>CY108</v>
      </c>
      <c r="CV70" s="22" t="str">
        <f>'Die Map'!CV70</f>
        <v>CY109</v>
      </c>
      <c r="CW70" s="23" t="str">
        <f>'Die Map'!CW70</f>
        <v>CY111</v>
      </c>
      <c r="CX70" s="21" t="str">
        <f>'Die Map'!CX70</f>
        <v/>
      </c>
      <c r="CY70" s="22" t="str">
        <f>'Die Map'!CY70</f>
        <v/>
      </c>
      <c r="CZ70" s="22" t="str">
        <f>'Die Map'!CZ70</f>
        <v/>
      </c>
      <c r="DA70" s="22" t="str">
        <f>'Die Map'!DA70</f>
        <v/>
      </c>
      <c r="DB70" s="23" t="str">
        <f>'Die Map'!DB70</f>
        <v/>
      </c>
    </row>
    <row r="71" spans="1:106" ht="12.75" customHeight="1" x14ac:dyDescent="0.25">
      <c r="A71" s="17">
        <v>69</v>
      </c>
      <c r="B71" s="21" t="str">
        <f>'Die Map'!B71</f>
        <v/>
      </c>
      <c r="C71" s="22" t="str">
        <f>'Die Map'!C71</f>
        <v/>
      </c>
      <c r="D71" s="22" t="str">
        <f>'Die Map'!D71</f>
        <v/>
      </c>
      <c r="E71" s="22" t="str">
        <f>'Die Map'!E71</f>
        <v/>
      </c>
      <c r="F71" s="23" t="str">
        <f>'Die Map'!F71</f>
        <v/>
      </c>
      <c r="G71" s="21" t="str">
        <f>'Die Map'!G71</f>
        <v>CZ006</v>
      </c>
      <c r="H71" s="22" t="str">
        <f>'Die Map'!H71</f>
        <v>CZ007</v>
      </c>
      <c r="I71" s="22" t="str">
        <f>'Die Map'!I71</f>
        <v>CZ008</v>
      </c>
      <c r="J71" s="22" t="str">
        <f>'Die Map'!J71</f>
        <v>CZ009</v>
      </c>
      <c r="K71" s="23" t="str">
        <f>'Die Map'!K71</f>
        <v>CZ011</v>
      </c>
      <c r="L71" s="21" t="str">
        <f>'Die Map'!L71</f>
        <v>CZ012</v>
      </c>
      <c r="M71" s="22" t="str">
        <f>'Die Map'!M71</f>
        <v>CZ013</v>
      </c>
      <c r="N71" s="22" t="str">
        <f>'Die Map'!N71</f>
        <v>CZ014</v>
      </c>
      <c r="O71" s="22" t="str">
        <f>'Die Map'!O71</f>
        <v>CZ015</v>
      </c>
      <c r="P71" s="23" t="str">
        <f>'Die Map'!P71</f>
        <v>CZ016</v>
      </c>
      <c r="Q71" s="21" t="str">
        <f>'Die Map'!Q71</f>
        <v>CZ017</v>
      </c>
      <c r="R71" s="22" t="str">
        <f>'Die Map'!R71</f>
        <v>CZ018</v>
      </c>
      <c r="S71" s="22" t="str">
        <f>'Die Map'!S71</f>
        <v>CZ019</v>
      </c>
      <c r="T71" s="22" t="str">
        <f>'Die Map'!T71</f>
        <v>CZ021</v>
      </c>
      <c r="U71" s="23" t="str">
        <f>'Die Map'!U71</f>
        <v>CZ022</v>
      </c>
      <c r="V71" s="21" t="str">
        <f>'Die Map'!V71</f>
        <v>CZ023</v>
      </c>
      <c r="W71" s="22" t="str">
        <f>'Die Map'!W71</f>
        <v>CZ024</v>
      </c>
      <c r="X71" s="22" t="str">
        <f>'Die Map'!X71</f>
        <v>CZ025</v>
      </c>
      <c r="Y71" s="22" t="str">
        <f>'Die Map'!Y71</f>
        <v>CZ026</v>
      </c>
      <c r="Z71" s="23" t="str">
        <f>'Die Map'!Z71</f>
        <v>CZ027</v>
      </c>
      <c r="AA71" s="21" t="str">
        <f>'Die Map'!AA71</f>
        <v>CZ028</v>
      </c>
      <c r="AB71" s="22" t="str">
        <f>'Die Map'!AB71</f>
        <v>CZ029</v>
      </c>
      <c r="AC71" s="22" t="str">
        <f>'Die Map'!AC71</f>
        <v>CZ031</v>
      </c>
      <c r="AD71" s="22" t="str">
        <f>'Die Map'!AD71</f>
        <v>CZ032</v>
      </c>
      <c r="AE71" s="23" t="str">
        <f>'Die Map'!AE71</f>
        <v>CZ033</v>
      </c>
      <c r="AF71" s="21" t="str">
        <f>'Die Map'!AF71</f>
        <v>CZ034</v>
      </c>
      <c r="AG71" s="22" t="str">
        <f>'Die Map'!AG71</f>
        <v>CZ035</v>
      </c>
      <c r="AH71" s="22" t="str">
        <f>'Die Map'!AH71</f>
        <v>CZ036</v>
      </c>
      <c r="AI71" s="22" t="str">
        <f>'Die Map'!AI71</f>
        <v>CZ037</v>
      </c>
      <c r="AJ71" s="23" t="str">
        <f>'Die Map'!AJ71</f>
        <v>CZ038</v>
      </c>
      <c r="AK71" s="21" t="str">
        <f>'Die Map'!AK71</f>
        <v>CZ039</v>
      </c>
      <c r="AL71" s="22" t="str">
        <f>'Die Map'!AL71</f>
        <v>CZ041</v>
      </c>
      <c r="AM71" s="22" t="str">
        <f>'Die Map'!AM71</f>
        <v>CZ042</v>
      </c>
      <c r="AN71" s="22" t="str">
        <f>'Die Map'!AN71</f>
        <v>CZ043</v>
      </c>
      <c r="AO71" s="23" t="str">
        <f>'Die Map'!AO71</f>
        <v>CZ044</v>
      </c>
      <c r="AP71" s="21" t="str">
        <f>'Die Map'!AP71</f>
        <v>CZ045</v>
      </c>
      <c r="AQ71" s="22" t="str">
        <f>'Die Map'!AQ71</f>
        <v>CZ046</v>
      </c>
      <c r="AR71" s="22" t="str">
        <f>'Die Map'!AR71</f>
        <v>CZ047</v>
      </c>
      <c r="AS71" s="22" t="str">
        <f>'Die Map'!AS71</f>
        <v>CZ048</v>
      </c>
      <c r="AT71" s="23" t="str">
        <f>'Die Map'!AT71</f>
        <v>CZ049</v>
      </c>
      <c r="AU71" s="21" t="str">
        <f>'Die Map'!AU71</f>
        <v>CZ051</v>
      </c>
      <c r="AV71" s="22" t="str">
        <f>'Die Map'!AV71</f>
        <v>CZ052</v>
      </c>
      <c r="AW71" s="22" t="str">
        <f>'Die Map'!AW71</f>
        <v>CZ053</v>
      </c>
      <c r="AX71" s="22" t="str">
        <f>'Die Map'!AX71</f>
        <v>CZ054</v>
      </c>
      <c r="AY71" s="23" t="str">
        <f>'Die Map'!AY71</f>
        <v>CZ055</v>
      </c>
      <c r="AZ71" s="21" t="str">
        <f>'Die Map'!AZ71</f>
        <v>CZ056</v>
      </c>
      <c r="BA71" s="22" t="str">
        <f>'Die Map'!BA71</f>
        <v>CZ057</v>
      </c>
      <c r="BB71" s="22" t="str">
        <f>'Die Map'!BB71</f>
        <v>CZ058</v>
      </c>
      <c r="BC71" s="22" t="str">
        <f>'Die Map'!BC71</f>
        <v>CZ059</v>
      </c>
      <c r="BD71" s="23" t="str">
        <f>'Die Map'!BD71</f>
        <v>CZ061</v>
      </c>
      <c r="BE71" s="21" t="str">
        <f>'Die Map'!BE71</f>
        <v>CZ062</v>
      </c>
      <c r="BF71" s="22" t="str">
        <f>'Die Map'!BF71</f>
        <v>CZ063</v>
      </c>
      <c r="BG71" s="22" t="str">
        <f>'Die Map'!BG71</f>
        <v>CZ064</v>
      </c>
      <c r="BH71" s="22" t="str">
        <f>'Die Map'!BH71</f>
        <v>CZ065</v>
      </c>
      <c r="BI71" s="23" t="str">
        <f>'Die Map'!BI71</f>
        <v>CZ066</v>
      </c>
      <c r="BJ71" s="21" t="str">
        <f>'Die Map'!BJ71</f>
        <v>CZ067</v>
      </c>
      <c r="BK71" s="22" t="str">
        <f>'Die Map'!BK71</f>
        <v>CZ068</v>
      </c>
      <c r="BL71" s="22" t="str">
        <f>'Die Map'!BL71</f>
        <v>CZ069</v>
      </c>
      <c r="BM71" s="22" t="str">
        <f>'Die Map'!BM71</f>
        <v>CZ071</v>
      </c>
      <c r="BN71" s="23" t="str">
        <f>'Die Map'!BN71</f>
        <v>CZ072</v>
      </c>
      <c r="BO71" s="21" t="str">
        <f>'Die Map'!BO71</f>
        <v>CZ073</v>
      </c>
      <c r="BP71" s="22" t="str">
        <f>'Die Map'!BP71</f>
        <v>CZ074</v>
      </c>
      <c r="BQ71" s="22" t="str">
        <f>'Die Map'!BQ71</f>
        <v>CZ075</v>
      </c>
      <c r="BR71" s="22" t="str">
        <f>'Die Map'!BR71</f>
        <v>CZ076</v>
      </c>
      <c r="BS71" s="23" t="str">
        <f>'Die Map'!BS71</f>
        <v>CZ077</v>
      </c>
      <c r="BT71" s="21" t="str">
        <f>'Die Map'!BT71</f>
        <v>CZ078</v>
      </c>
      <c r="BU71" s="22" t="str">
        <f>'Die Map'!BU71</f>
        <v>CZ079</v>
      </c>
      <c r="BV71" s="22" t="str">
        <f>'Die Map'!BV71</f>
        <v>CZ081</v>
      </c>
      <c r="BW71" s="22" t="str">
        <f>'Die Map'!BW71</f>
        <v>CZ082</v>
      </c>
      <c r="BX71" s="23" t="str">
        <f>'Die Map'!BX71</f>
        <v>CZ083</v>
      </c>
      <c r="BY71" s="21" t="str">
        <f>'Die Map'!BY71</f>
        <v>CZ084</v>
      </c>
      <c r="BZ71" s="22" t="str">
        <f>'Die Map'!BZ71</f>
        <v>CZ085</v>
      </c>
      <c r="CA71" s="22" t="str">
        <f>'Die Map'!CA71</f>
        <v>CZ086</v>
      </c>
      <c r="CB71" s="22" t="str">
        <f>'Die Map'!CB71</f>
        <v>CZ087</v>
      </c>
      <c r="CC71" s="23" t="str">
        <f>'Die Map'!CC71</f>
        <v>CZ088</v>
      </c>
      <c r="CD71" s="21" t="str">
        <f>'Die Map'!CD71</f>
        <v>CZ089</v>
      </c>
      <c r="CE71" s="22" t="str">
        <f>'Die Map'!CE71</f>
        <v>CZ091</v>
      </c>
      <c r="CF71" s="22" t="str">
        <f>'Die Map'!CF71</f>
        <v>CZ092</v>
      </c>
      <c r="CG71" s="22" t="str">
        <f>'Die Map'!CG71</f>
        <v>CZ093</v>
      </c>
      <c r="CH71" s="23" t="str">
        <f>'Die Map'!CH71</f>
        <v>CZ094</v>
      </c>
      <c r="CI71" s="21" t="str">
        <f>'Die Map'!CI71</f>
        <v>CZ095</v>
      </c>
      <c r="CJ71" s="22" t="str">
        <f>'Die Map'!CJ71</f>
        <v>CZ096</v>
      </c>
      <c r="CK71" s="22" t="str">
        <f>'Die Map'!CK71</f>
        <v>CZ097</v>
      </c>
      <c r="CL71" s="22" t="str">
        <f>'Die Map'!CL71</f>
        <v>CZ098</v>
      </c>
      <c r="CM71" s="23" t="str">
        <f>'Die Map'!CM71</f>
        <v>CZ099</v>
      </c>
      <c r="CN71" s="21" t="str">
        <f>'Die Map'!CN71</f>
        <v>CZ101</v>
      </c>
      <c r="CO71" s="22" t="str">
        <f>'Die Map'!CO71</f>
        <v>CZ102</v>
      </c>
      <c r="CP71" s="22" t="str">
        <f>'Die Map'!CP71</f>
        <v>CZ103</v>
      </c>
      <c r="CQ71" s="22" t="str">
        <f>'Die Map'!CQ71</f>
        <v>CZ104</v>
      </c>
      <c r="CR71" s="23" t="str">
        <f>'Die Map'!CR71</f>
        <v>CZ105</v>
      </c>
      <c r="CS71" s="21" t="str">
        <f>'Die Map'!CS71</f>
        <v>CZ106</v>
      </c>
      <c r="CT71" s="22" t="str">
        <f>'Die Map'!CT71</f>
        <v>CZ107</v>
      </c>
      <c r="CU71" s="22" t="str">
        <f>'Die Map'!CU71</f>
        <v>CZ108</v>
      </c>
      <c r="CV71" s="22" t="str">
        <f>'Die Map'!CV71</f>
        <v>CZ109</v>
      </c>
      <c r="CW71" s="23" t="str">
        <f>'Die Map'!CW71</f>
        <v>CZ111</v>
      </c>
      <c r="CX71" s="21" t="str">
        <f>'Die Map'!CX71</f>
        <v/>
      </c>
      <c r="CY71" s="22" t="str">
        <f>'Die Map'!CY71</f>
        <v/>
      </c>
      <c r="CZ71" s="22" t="str">
        <f>'Die Map'!CZ71</f>
        <v/>
      </c>
      <c r="DA71" s="22" t="str">
        <f>'Die Map'!DA71</f>
        <v/>
      </c>
      <c r="DB71" s="23" t="str">
        <f>'Die Map'!DB71</f>
        <v/>
      </c>
    </row>
    <row r="72" spans="1:106" ht="12.75" customHeight="1" x14ac:dyDescent="0.25">
      <c r="A72" s="17">
        <v>70</v>
      </c>
      <c r="B72" s="24" t="str">
        <f>'Die Map'!B72</f>
        <v/>
      </c>
      <c r="C72" s="25" t="str">
        <f>'Die Map'!C72</f>
        <v/>
      </c>
      <c r="D72" s="25" t="str">
        <f>'Die Map'!D72</f>
        <v/>
      </c>
      <c r="E72" s="25" t="str">
        <f>'Die Map'!E72</f>
        <v/>
      </c>
      <c r="F72" s="26" t="str">
        <f>'Die Map'!F72</f>
        <v/>
      </c>
      <c r="G72" s="24" t="str">
        <f>'Die Map'!G72</f>
        <v>DA006</v>
      </c>
      <c r="H72" s="25" t="str">
        <f>'Die Map'!H72</f>
        <v>DA007</v>
      </c>
      <c r="I72" s="25" t="str">
        <f>'Die Map'!I72</f>
        <v>DA008</v>
      </c>
      <c r="J72" s="25" t="str">
        <f>'Die Map'!J72</f>
        <v>DA009</v>
      </c>
      <c r="K72" s="26" t="str">
        <f>'Die Map'!K72</f>
        <v>DA011</v>
      </c>
      <c r="L72" s="24" t="str">
        <f>'Die Map'!L72</f>
        <v>DA012</v>
      </c>
      <c r="M72" s="25" t="str">
        <f>'Die Map'!M72</f>
        <v>DA013</v>
      </c>
      <c r="N72" s="25" t="str">
        <f>'Die Map'!N72</f>
        <v>DA014</v>
      </c>
      <c r="O72" s="25" t="str">
        <f>'Die Map'!O72</f>
        <v>DA015</v>
      </c>
      <c r="P72" s="26" t="str">
        <f>'Die Map'!P72</f>
        <v>DA016</v>
      </c>
      <c r="Q72" s="24" t="str">
        <f>'Die Map'!Q72</f>
        <v>DA017</v>
      </c>
      <c r="R72" s="25" t="str">
        <f>'Die Map'!R72</f>
        <v>DA018</v>
      </c>
      <c r="S72" s="25" t="str">
        <f>'Die Map'!S72</f>
        <v>DA019</v>
      </c>
      <c r="T72" s="25" t="str">
        <f>'Die Map'!T72</f>
        <v>DA021</v>
      </c>
      <c r="U72" s="26" t="str">
        <f>'Die Map'!U72</f>
        <v>DA022</v>
      </c>
      <c r="V72" s="24" t="str">
        <f>'Die Map'!V72</f>
        <v>DA023</v>
      </c>
      <c r="W72" s="25" t="str">
        <f>'Die Map'!W72</f>
        <v>DA024</v>
      </c>
      <c r="X72" s="25" t="str">
        <f>'Die Map'!X72</f>
        <v>DA025</v>
      </c>
      <c r="Y72" s="25" t="str">
        <f>'Die Map'!Y72</f>
        <v>DA026</v>
      </c>
      <c r="Z72" s="26" t="str">
        <f>'Die Map'!Z72</f>
        <v>DA027</v>
      </c>
      <c r="AA72" s="24" t="str">
        <f>'Die Map'!AA72</f>
        <v>DA028</v>
      </c>
      <c r="AB72" s="25" t="str">
        <f>'Die Map'!AB72</f>
        <v>DA029</v>
      </c>
      <c r="AC72" s="25" t="str">
        <f>'Die Map'!AC72</f>
        <v>DA031</v>
      </c>
      <c r="AD72" s="25" t="str">
        <f>'Die Map'!AD72</f>
        <v>DA032</v>
      </c>
      <c r="AE72" s="26" t="str">
        <f>'Die Map'!AE72</f>
        <v>DA033</v>
      </c>
      <c r="AF72" s="24" t="str">
        <f>'Die Map'!AF72</f>
        <v>DA034</v>
      </c>
      <c r="AG72" s="25" t="str">
        <f>'Die Map'!AG72</f>
        <v>DA035</v>
      </c>
      <c r="AH72" s="25" t="str">
        <f>'Die Map'!AH72</f>
        <v>DA036</v>
      </c>
      <c r="AI72" s="25" t="str">
        <f>'Die Map'!AI72</f>
        <v>DA037</v>
      </c>
      <c r="AJ72" s="26" t="str">
        <f>'Die Map'!AJ72</f>
        <v>DA038</v>
      </c>
      <c r="AK72" s="24" t="str">
        <f>'Die Map'!AK72</f>
        <v>DA039</v>
      </c>
      <c r="AL72" s="25" t="str">
        <f>'Die Map'!AL72</f>
        <v>DA041</v>
      </c>
      <c r="AM72" s="25" t="str">
        <f>'Die Map'!AM72</f>
        <v>DA042</v>
      </c>
      <c r="AN72" s="25" t="str">
        <f>'Die Map'!AN72</f>
        <v>DA043</v>
      </c>
      <c r="AO72" s="26" t="str">
        <f>'Die Map'!AO72</f>
        <v>DA044</v>
      </c>
      <c r="AP72" s="24" t="str">
        <f>'Die Map'!AP72</f>
        <v>DA045</v>
      </c>
      <c r="AQ72" s="25" t="str">
        <f>'Die Map'!AQ72</f>
        <v>DA046</v>
      </c>
      <c r="AR72" s="25" t="str">
        <f>'Die Map'!AR72</f>
        <v>DA047</v>
      </c>
      <c r="AS72" s="25" t="str">
        <f>'Die Map'!AS72</f>
        <v>DA048</v>
      </c>
      <c r="AT72" s="26" t="str">
        <f>'Die Map'!AT72</f>
        <v>DA049</v>
      </c>
      <c r="AU72" s="24" t="str">
        <f>'Die Map'!AU72</f>
        <v>DA051</v>
      </c>
      <c r="AV72" s="25" t="str">
        <f>'Die Map'!AV72</f>
        <v>DA052</v>
      </c>
      <c r="AW72" s="25" t="str">
        <f>'Die Map'!AW72</f>
        <v>DA053</v>
      </c>
      <c r="AX72" s="25" t="str">
        <f>'Die Map'!AX72</f>
        <v>DA054</v>
      </c>
      <c r="AY72" s="26" t="str">
        <f>'Die Map'!AY72</f>
        <v>DA055</v>
      </c>
      <c r="AZ72" s="24" t="str">
        <f>'Die Map'!AZ72</f>
        <v>DA056</v>
      </c>
      <c r="BA72" s="25" t="str">
        <f>'Die Map'!BA72</f>
        <v>DA057</v>
      </c>
      <c r="BB72" s="25" t="str">
        <f>'Die Map'!BB72</f>
        <v>DA058</v>
      </c>
      <c r="BC72" s="25" t="str">
        <f>'Die Map'!BC72</f>
        <v>DA059</v>
      </c>
      <c r="BD72" s="26" t="str">
        <f>'Die Map'!BD72</f>
        <v>DA061</v>
      </c>
      <c r="BE72" s="24" t="str">
        <f>'Die Map'!BE72</f>
        <v>DA062</v>
      </c>
      <c r="BF72" s="25" t="str">
        <f>'Die Map'!BF72</f>
        <v>DA063</v>
      </c>
      <c r="BG72" s="25" t="str">
        <f>'Die Map'!BG72</f>
        <v>DA064</v>
      </c>
      <c r="BH72" s="25" t="str">
        <f>'Die Map'!BH72</f>
        <v>DA065</v>
      </c>
      <c r="BI72" s="26" t="str">
        <f>'Die Map'!BI72</f>
        <v>DA066</v>
      </c>
      <c r="BJ72" s="24" t="str">
        <f>'Die Map'!BJ72</f>
        <v>DA067</v>
      </c>
      <c r="BK72" s="25" t="str">
        <f>'Die Map'!BK72</f>
        <v>DA068</v>
      </c>
      <c r="BL72" s="25" t="str">
        <f>'Die Map'!BL72</f>
        <v>DA069</v>
      </c>
      <c r="BM72" s="25" t="str">
        <f>'Die Map'!BM72</f>
        <v>DA071</v>
      </c>
      <c r="BN72" s="26" t="str">
        <f>'Die Map'!BN72</f>
        <v>DA072</v>
      </c>
      <c r="BO72" s="24" t="str">
        <f>'Die Map'!BO72</f>
        <v>DA073</v>
      </c>
      <c r="BP72" s="25" t="str">
        <f>'Die Map'!BP72</f>
        <v>DA074</v>
      </c>
      <c r="BQ72" s="25" t="str">
        <f>'Die Map'!BQ72</f>
        <v>DA075</v>
      </c>
      <c r="BR72" s="25" t="str">
        <f>'Die Map'!BR72</f>
        <v>DA076</v>
      </c>
      <c r="BS72" s="26" t="str">
        <f>'Die Map'!BS72</f>
        <v>DA077</v>
      </c>
      <c r="BT72" s="24" t="str">
        <f>'Die Map'!BT72</f>
        <v>DA078</v>
      </c>
      <c r="BU72" s="25" t="str">
        <f>'Die Map'!BU72</f>
        <v>DA079</v>
      </c>
      <c r="BV72" s="25" t="str">
        <f>'Die Map'!BV72</f>
        <v>DA081</v>
      </c>
      <c r="BW72" s="25" t="str">
        <f>'Die Map'!BW72</f>
        <v>DA082</v>
      </c>
      <c r="BX72" s="26" t="str">
        <f>'Die Map'!BX72</f>
        <v>DA083</v>
      </c>
      <c r="BY72" s="24" t="str">
        <f>'Die Map'!BY72</f>
        <v>DA084</v>
      </c>
      <c r="BZ72" s="25" t="str">
        <f>'Die Map'!BZ72</f>
        <v>DA085</v>
      </c>
      <c r="CA72" s="25" t="str">
        <f>'Die Map'!CA72</f>
        <v>DA086</v>
      </c>
      <c r="CB72" s="25" t="str">
        <f>'Die Map'!CB72</f>
        <v>DA087</v>
      </c>
      <c r="CC72" s="26" t="str">
        <f>'Die Map'!CC72</f>
        <v>DA088</v>
      </c>
      <c r="CD72" s="24" t="str">
        <f>'Die Map'!CD72</f>
        <v>DA089</v>
      </c>
      <c r="CE72" s="25" t="str">
        <f>'Die Map'!CE72</f>
        <v>DA091</v>
      </c>
      <c r="CF72" s="25" t="str">
        <f>'Die Map'!CF72</f>
        <v>DA092</v>
      </c>
      <c r="CG72" s="25" t="str">
        <f>'Die Map'!CG72</f>
        <v>DA093</v>
      </c>
      <c r="CH72" s="26" t="str">
        <f>'Die Map'!CH72</f>
        <v>DA094</v>
      </c>
      <c r="CI72" s="24" t="str">
        <f>'Die Map'!CI72</f>
        <v>DA095</v>
      </c>
      <c r="CJ72" s="25" t="str">
        <f>'Die Map'!CJ72</f>
        <v>DA096</v>
      </c>
      <c r="CK72" s="25" t="str">
        <f>'Die Map'!CK72</f>
        <v>DA097</v>
      </c>
      <c r="CL72" s="25" t="str">
        <f>'Die Map'!CL72</f>
        <v>DA098</v>
      </c>
      <c r="CM72" s="26" t="str">
        <f>'Die Map'!CM72</f>
        <v>DA099</v>
      </c>
      <c r="CN72" s="24" t="str">
        <f>'Die Map'!CN72</f>
        <v>DA101</v>
      </c>
      <c r="CO72" s="25" t="str">
        <f>'Die Map'!CO72</f>
        <v>DA102</v>
      </c>
      <c r="CP72" s="25" t="str">
        <f>'Die Map'!CP72</f>
        <v>DA103</v>
      </c>
      <c r="CQ72" s="25" t="str">
        <f>'Die Map'!CQ72</f>
        <v>DA104</v>
      </c>
      <c r="CR72" s="26" t="str">
        <f>'Die Map'!CR72</f>
        <v>DA105</v>
      </c>
      <c r="CS72" s="24" t="str">
        <f>'Die Map'!CS72</f>
        <v>DA106</v>
      </c>
      <c r="CT72" s="25" t="str">
        <f>'Die Map'!CT72</f>
        <v>DA107</v>
      </c>
      <c r="CU72" s="25" t="str">
        <f>'Die Map'!CU72</f>
        <v>DA108</v>
      </c>
      <c r="CV72" s="25" t="str">
        <f>'Die Map'!CV72</f>
        <v>DA109</v>
      </c>
      <c r="CW72" s="26" t="str">
        <f>'Die Map'!CW72</f>
        <v>DA111</v>
      </c>
      <c r="CX72" s="24" t="str">
        <f>'Die Map'!CX72</f>
        <v/>
      </c>
      <c r="CY72" s="25" t="str">
        <f>'Die Map'!CY72</f>
        <v/>
      </c>
      <c r="CZ72" s="25" t="str">
        <f>'Die Map'!CZ72</f>
        <v/>
      </c>
      <c r="DA72" s="25" t="str">
        <f>'Die Map'!DA72</f>
        <v/>
      </c>
      <c r="DB72" s="26" t="str">
        <f>'Die Map'!DB72</f>
        <v/>
      </c>
    </row>
    <row r="73" spans="1:106" ht="12.75" customHeight="1" x14ac:dyDescent="0.25">
      <c r="A73" s="17">
        <v>71</v>
      </c>
      <c r="B73" s="18" t="str">
        <f>'Die Map'!B73</f>
        <v/>
      </c>
      <c r="C73" s="19" t="str">
        <f>'Die Map'!C73</f>
        <v/>
      </c>
      <c r="D73" s="19" t="str">
        <f>'Die Map'!D73</f>
        <v/>
      </c>
      <c r="E73" s="19" t="str">
        <f>'Die Map'!E73</f>
        <v/>
      </c>
      <c r="F73" s="20" t="str">
        <f>'Die Map'!F73</f>
        <v/>
      </c>
      <c r="G73" s="18" t="str">
        <f>'Die Map'!G73</f>
        <v>DB006</v>
      </c>
      <c r="H73" s="19" t="str">
        <f>'Die Map'!H73</f>
        <v>DB007</v>
      </c>
      <c r="I73" s="19" t="str">
        <f>'Die Map'!I73</f>
        <v>DB008</v>
      </c>
      <c r="J73" s="19" t="str">
        <f>'Die Map'!J73</f>
        <v>DB009</v>
      </c>
      <c r="K73" s="20" t="str">
        <f>'Die Map'!K73</f>
        <v>DB011</v>
      </c>
      <c r="L73" s="18" t="str">
        <f>'Die Map'!L73</f>
        <v>DB012</v>
      </c>
      <c r="M73" s="19" t="str">
        <f>'Die Map'!M73</f>
        <v>DB013</v>
      </c>
      <c r="N73" s="19" t="str">
        <f>'Die Map'!N73</f>
        <v>DB014</v>
      </c>
      <c r="O73" s="19" t="str">
        <f>'Die Map'!O73</f>
        <v>DB015</v>
      </c>
      <c r="P73" s="20" t="str">
        <f>'Die Map'!P73</f>
        <v>DB016</v>
      </c>
      <c r="Q73" s="18" t="str">
        <f>'Die Map'!Q73</f>
        <v>DB017</v>
      </c>
      <c r="R73" s="19" t="str">
        <f>'Die Map'!R73</f>
        <v>DB018</v>
      </c>
      <c r="S73" s="19" t="str">
        <f>'Die Map'!S73</f>
        <v>DB019</v>
      </c>
      <c r="T73" s="19" t="str">
        <f>'Die Map'!T73</f>
        <v>DB021</v>
      </c>
      <c r="U73" s="20" t="str">
        <f>'Die Map'!U73</f>
        <v>DB022</v>
      </c>
      <c r="V73" s="18" t="str">
        <f>'Die Map'!V73</f>
        <v>DB023</v>
      </c>
      <c r="W73" s="19" t="str">
        <f>'Die Map'!W73</f>
        <v>DB024</v>
      </c>
      <c r="X73" s="19" t="str">
        <f>'Die Map'!X73</f>
        <v>DB025</v>
      </c>
      <c r="Y73" s="19" t="str">
        <f>'Die Map'!Y73</f>
        <v>DB026</v>
      </c>
      <c r="Z73" s="20" t="str">
        <f>'Die Map'!Z73</f>
        <v>DB027</v>
      </c>
      <c r="AA73" s="18" t="str">
        <f>'Die Map'!AA73</f>
        <v>DB028</v>
      </c>
      <c r="AB73" s="19" t="str">
        <f>'Die Map'!AB73</f>
        <v>DB029</v>
      </c>
      <c r="AC73" s="19" t="str">
        <f>'Die Map'!AC73</f>
        <v>DB031</v>
      </c>
      <c r="AD73" s="19" t="str">
        <f>'Die Map'!AD73</f>
        <v>DB032</v>
      </c>
      <c r="AE73" s="20" t="str">
        <f>'Die Map'!AE73</f>
        <v>DB033</v>
      </c>
      <c r="AF73" s="18" t="str">
        <f>'Die Map'!AF73</f>
        <v>DB034</v>
      </c>
      <c r="AG73" s="19" t="str">
        <f>'Die Map'!AG73</f>
        <v>DB035</v>
      </c>
      <c r="AH73" s="19" t="str">
        <f>'Die Map'!AH73</f>
        <v>DB036</v>
      </c>
      <c r="AI73" s="19" t="str">
        <f>'Die Map'!AI73</f>
        <v>DB037</v>
      </c>
      <c r="AJ73" s="20" t="str">
        <f>'Die Map'!AJ73</f>
        <v>DB038</v>
      </c>
      <c r="AK73" s="18" t="str">
        <f>'Die Map'!AK73</f>
        <v>DB039</v>
      </c>
      <c r="AL73" s="19" t="str">
        <f>'Die Map'!AL73</f>
        <v>DB041</v>
      </c>
      <c r="AM73" s="19" t="str">
        <f>'Die Map'!AM73</f>
        <v>DB042</v>
      </c>
      <c r="AN73" s="19" t="str">
        <f>'Die Map'!AN73</f>
        <v>DB043</v>
      </c>
      <c r="AO73" s="20" t="str">
        <f>'Die Map'!AO73</f>
        <v>DB044</v>
      </c>
      <c r="AP73" s="18" t="str">
        <f>'Die Map'!AP73</f>
        <v>DB045</v>
      </c>
      <c r="AQ73" s="19" t="str">
        <f>'Die Map'!AQ73</f>
        <v>DB046</v>
      </c>
      <c r="AR73" s="19" t="str">
        <f>'Die Map'!AR73</f>
        <v>DB047</v>
      </c>
      <c r="AS73" s="19" t="str">
        <f>'Die Map'!AS73</f>
        <v>DB048</v>
      </c>
      <c r="AT73" s="20" t="str">
        <f>'Die Map'!AT73</f>
        <v>DB049</v>
      </c>
      <c r="AU73" s="18" t="str">
        <f>'Die Map'!AU73</f>
        <v>DB051</v>
      </c>
      <c r="AV73" s="19" t="str">
        <f>'Die Map'!AV73</f>
        <v>DB052</v>
      </c>
      <c r="AW73" s="19" t="str">
        <f>'Die Map'!AW73</f>
        <v>DB053</v>
      </c>
      <c r="AX73" s="19" t="str">
        <f>'Die Map'!AX73</f>
        <v>DB054</v>
      </c>
      <c r="AY73" s="20" t="str">
        <f>'Die Map'!AY73</f>
        <v>DB055</v>
      </c>
      <c r="AZ73" s="18" t="str">
        <f>'Die Map'!AZ73</f>
        <v>DB056</v>
      </c>
      <c r="BA73" s="19" t="str">
        <f>'Die Map'!BA73</f>
        <v>DB057</v>
      </c>
      <c r="BB73" s="19" t="str">
        <f>'Die Map'!BB73</f>
        <v>DB058</v>
      </c>
      <c r="BC73" s="19" t="str">
        <f>'Die Map'!BC73</f>
        <v>DB059</v>
      </c>
      <c r="BD73" s="20" t="str">
        <f>'Die Map'!BD73</f>
        <v>DB061</v>
      </c>
      <c r="BE73" s="18" t="str">
        <f>'Die Map'!BE73</f>
        <v>DB062</v>
      </c>
      <c r="BF73" s="19" t="str">
        <f>'Die Map'!BF73</f>
        <v>DB063</v>
      </c>
      <c r="BG73" s="19" t="str">
        <f>'Die Map'!BG73</f>
        <v>DB064</v>
      </c>
      <c r="BH73" s="19" t="str">
        <f>'Die Map'!BH73</f>
        <v>DB065</v>
      </c>
      <c r="BI73" s="20" t="str">
        <f>'Die Map'!BI73</f>
        <v>DB066</v>
      </c>
      <c r="BJ73" s="18" t="str">
        <f>'Die Map'!BJ73</f>
        <v>DB067</v>
      </c>
      <c r="BK73" s="19" t="str">
        <f>'Die Map'!BK73</f>
        <v>DB068</v>
      </c>
      <c r="BL73" s="19" t="str">
        <f>'Die Map'!BL73</f>
        <v>DB069</v>
      </c>
      <c r="BM73" s="19" t="str">
        <f>'Die Map'!BM73</f>
        <v>DB071</v>
      </c>
      <c r="BN73" s="20" t="str">
        <f>'Die Map'!BN73</f>
        <v>DB072</v>
      </c>
      <c r="BO73" s="18" t="str">
        <f>'Die Map'!BO73</f>
        <v>DB073</v>
      </c>
      <c r="BP73" s="19" t="str">
        <f>'Die Map'!BP73</f>
        <v>DB074</v>
      </c>
      <c r="BQ73" s="19" t="str">
        <f>'Die Map'!BQ73</f>
        <v>DB075</v>
      </c>
      <c r="BR73" s="19" t="str">
        <f>'Die Map'!BR73</f>
        <v>DB076</v>
      </c>
      <c r="BS73" s="20" t="str">
        <f>'Die Map'!BS73</f>
        <v>DB077</v>
      </c>
      <c r="BT73" s="18" t="str">
        <f>'Die Map'!BT73</f>
        <v>DB078</v>
      </c>
      <c r="BU73" s="19" t="str">
        <f>'Die Map'!BU73</f>
        <v>DB079</v>
      </c>
      <c r="BV73" s="19" t="str">
        <f>'Die Map'!BV73</f>
        <v>DB081</v>
      </c>
      <c r="BW73" s="19" t="str">
        <f>'Die Map'!BW73</f>
        <v>DB082</v>
      </c>
      <c r="BX73" s="20" t="str">
        <f>'Die Map'!BX73</f>
        <v>DB083</v>
      </c>
      <c r="BY73" s="18" t="str">
        <f>'Die Map'!BY73</f>
        <v>DB084</v>
      </c>
      <c r="BZ73" s="19" t="str">
        <f>'Die Map'!BZ73</f>
        <v>DB085</v>
      </c>
      <c r="CA73" s="19" t="str">
        <f>'Die Map'!CA73</f>
        <v>DB086</v>
      </c>
      <c r="CB73" s="19" t="str">
        <f>'Die Map'!CB73</f>
        <v>DB087</v>
      </c>
      <c r="CC73" s="20" t="str">
        <f>'Die Map'!CC73</f>
        <v>DB088</v>
      </c>
      <c r="CD73" s="18" t="str">
        <f>'Die Map'!CD73</f>
        <v>DB089</v>
      </c>
      <c r="CE73" s="19" t="str">
        <f>'Die Map'!CE73</f>
        <v>DB091</v>
      </c>
      <c r="CF73" s="19" t="str">
        <f>'Die Map'!CF73</f>
        <v>DB092</v>
      </c>
      <c r="CG73" s="19" t="str">
        <f>'Die Map'!CG73</f>
        <v>DB093</v>
      </c>
      <c r="CH73" s="20" t="str">
        <f>'Die Map'!CH73</f>
        <v>DB094</v>
      </c>
      <c r="CI73" s="18" t="str">
        <f>'Die Map'!CI73</f>
        <v>DB095</v>
      </c>
      <c r="CJ73" s="19" t="str">
        <f>'Die Map'!CJ73</f>
        <v>DB096</v>
      </c>
      <c r="CK73" s="19" t="str">
        <f>'Die Map'!CK73</f>
        <v>DB097</v>
      </c>
      <c r="CL73" s="19" t="str">
        <f>'Die Map'!CL73</f>
        <v>DB098</v>
      </c>
      <c r="CM73" s="20" t="str">
        <f>'Die Map'!CM73</f>
        <v>DB099</v>
      </c>
      <c r="CN73" s="18" t="str">
        <f>'Die Map'!CN73</f>
        <v>DB101</v>
      </c>
      <c r="CO73" s="19" t="str">
        <f>'Die Map'!CO73</f>
        <v>DB102</v>
      </c>
      <c r="CP73" s="19" t="str">
        <f>'Die Map'!CP73</f>
        <v>DB103</v>
      </c>
      <c r="CQ73" s="19" t="str">
        <f>'Die Map'!CQ73</f>
        <v>DB104</v>
      </c>
      <c r="CR73" s="20" t="str">
        <f>'Die Map'!CR73</f>
        <v>DB105</v>
      </c>
      <c r="CS73" s="18" t="str">
        <f>'Die Map'!CS73</f>
        <v>DB106</v>
      </c>
      <c r="CT73" s="19" t="str">
        <f>'Die Map'!CT73</f>
        <v>DB107</v>
      </c>
      <c r="CU73" s="19" t="str">
        <f>'Die Map'!CU73</f>
        <v>DB108</v>
      </c>
      <c r="CV73" s="19" t="str">
        <f>'Die Map'!CV73</f>
        <v>DB109</v>
      </c>
      <c r="CW73" s="20" t="str">
        <f>'Die Map'!CW73</f>
        <v>DB111</v>
      </c>
      <c r="CX73" s="18" t="str">
        <f>'Die Map'!CX73</f>
        <v/>
      </c>
      <c r="CY73" s="19" t="str">
        <f>'Die Map'!CY73</f>
        <v/>
      </c>
      <c r="CZ73" s="19" t="str">
        <f>'Die Map'!CZ73</f>
        <v/>
      </c>
      <c r="DA73" s="19" t="str">
        <f>'Die Map'!DA73</f>
        <v/>
      </c>
      <c r="DB73" s="20" t="str">
        <f>'Die Map'!DB73</f>
        <v/>
      </c>
    </row>
    <row r="74" spans="1:106" ht="12.75" customHeight="1" x14ac:dyDescent="0.25">
      <c r="A74" s="17">
        <v>72</v>
      </c>
      <c r="B74" s="21" t="str">
        <f>'Die Map'!B74</f>
        <v/>
      </c>
      <c r="C74" s="22" t="str">
        <f>'Die Map'!C74</f>
        <v/>
      </c>
      <c r="D74" s="22" t="str">
        <f>'Die Map'!D74</f>
        <v/>
      </c>
      <c r="E74" s="22" t="str">
        <f>'Die Map'!E74</f>
        <v/>
      </c>
      <c r="F74" s="23" t="str">
        <f>'Die Map'!F74</f>
        <v/>
      </c>
      <c r="G74" s="21" t="str">
        <f>'Die Map'!G74</f>
        <v>DC006</v>
      </c>
      <c r="H74" s="22" t="str">
        <f>'Die Map'!H74</f>
        <v>DC007</v>
      </c>
      <c r="I74" s="22" t="str">
        <f>'Die Map'!I74</f>
        <v>DC008</v>
      </c>
      <c r="J74" s="22" t="str">
        <f>'Die Map'!J74</f>
        <v>DC009</v>
      </c>
      <c r="K74" s="23" t="str">
        <f>'Die Map'!K74</f>
        <v>DC011</v>
      </c>
      <c r="L74" s="21" t="str">
        <f>'Die Map'!L74</f>
        <v>DC012</v>
      </c>
      <c r="M74" s="22" t="str">
        <f>'Die Map'!M74</f>
        <v>DC013</v>
      </c>
      <c r="N74" s="22" t="str">
        <f>'Die Map'!N74</f>
        <v>DC014</v>
      </c>
      <c r="O74" s="22" t="str">
        <f>'Die Map'!O74</f>
        <v>DC015</v>
      </c>
      <c r="P74" s="23" t="str">
        <f>'Die Map'!P74</f>
        <v>DC016</v>
      </c>
      <c r="Q74" s="21" t="str">
        <f>'Die Map'!Q74</f>
        <v>DC017</v>
      </c>
      <c r="R74" s="22" t="str">
        <f>'Die Map'!R74</f>
        <v>DC018</v>
      </c>
      <c r="S74" s="22" t="str">
        <f>'Die Map'!S74</f>
        <v>DC019</v>
      </c>
      <c r="T74" s="22" t="str">
        <f>'Die Map'!T74</f>
        <v>DC021</v>
      </c>
      <c r="U74" s="23" t="str">
        <f>'Die Map'!U74</f>
        <v>DC022</v>
      </c>
      <c r="V74" s="21" t="str">
        <f>'Die Map'!V74</f>
        <v>DC023</v>
      </c>
      <c r="W74" s="22" t="str">
        <f>'Die Map'!W74</f>
        <v>DC024</v>
      </c>
      <c r="X74" s="22" t="str">
        <f>'Die Map'!X74</f>
        <v>DC025</v>
      </c>
      <c r="Y74" s="22" t="str">
        <f>'Die Map'!Y74</f>
        <v>DC026</v>
      </c>
      <c r="Z74" s="23" t="str">
        <f>'Die Map'!Z74</f>
        <v>DC027</v>
      </c>
      <c r="AA74" s="21" t="str">
        <f>'Die Map'!AA74</f>
        <v>DC028</v>
      </c>
      <c r="AB74" s="22" t="str">
        <f>'Die Map'!AB74</f>
        <v>DC029</v>
      </c>
      <c r="AC74" s="22" t="str">
        <f>'Die Map'!AC74</f>
        <v>DC031</v>
      </c>
      <c r="AD74" s="22" t="str">
        <f>'Die Map'!AD74</f>
        <v>DC032</v>
      </c>
      <c r="AE74" s="23" t="str">
        <f>'Die Map'!AE74</f>
        <v>DC033</v>
      </c>
      <c r="AF74" s="21" t="str">
        <f>'Die Map'!AF74</f>
        <v>DC034</v>
      </c>
      <c r="AG74" s="22" t="str">
        <f>'Die Map'!AG74</f>
        <v>DC035</v>
      </c>
      <c r="AH74" s="22" t="str">
        <f>'Die Map'!AH74</f>
        <v>DC036</v>
      </c>
      <c r="AI74" s="22" t="str">
        <f>'Die Map'!AI74</f>
        <v>DC037</v>
      </c>
      <c r="AJ74" s="23" t="str">
        <f>'Die Map'!AJ74</f>
        <v>DC038</v>
      </c>
      <c r="AK74" s="21" t="str">
        <f>'Die Map'!AK74</f>
        <v>DC039</v>
      </c>
      <c r="AL74" s="22" t="str">
        <f>'Die Map'!AL74</f>
        <v>DC041</v>
      </c>
      <c r="AM74" s="22" t="str">
        <f>'Die Map'!AM74</f>
        <v>DC042</v>
      </c>
      <c r="AN74" s="22" t="str">
        <f>'Die Map'!AN74</f>
        <v>DC043</v>
      </c>
      <c r="AO74" s="23" t="str">
        <f>'Die Map'!AO74</f>
        <v>DC044</v>
      </c>
      <c r="AP74" s="21" t="str">
        <f>'Die Map'!AP74</f>
        <v>DC045</v>
      </c>
      <c r="AQ74" s="22" t="str">
        <f>'Die Map'!AQ74</f>
        <v>DC046</v>
      </c>
      <c r="AR74" s="22" t="str">
        <f>'Die Map'!AR74</f>
        <v>DC047</v>
      </c>
      <c r="AS74" s="22" t="str">
        <f>'Die Map'!AS74</f>
        <v>DC048</v>
      </c>
      <c r="AT74" s="23" t="str">
        <f>'Die Map'!AT74</f>
        <v>DC049</v>
      </c>
      <c r="AU74" s="21" t="str">
        <f>'Die Map'!AU74</f>
        <v>DC051</v>
      </c>
      <c r="AV74" s="22" t="str">
        <f>'Die Map'!AV74</f>
        <v>DC052</v>
      </c>
      <c r="AW74" s="22" t="str">
        <f>'Die Map'!AW74</f>
        <v>DC053</v>
      </c>
      <c r="AX74" s="22" t="str">
        <f>'Die Map'!AX74</f>
        <v>DC054</v>
      </c>
      <c r="AY74" s="23" t="str">
        <f>'Die Map'!AY74</f>
        <v>DC055</v>
      </c>
      <c r="AZ74" s="21" t="str">
        <f>'Die Map'!AZ74</f>
        <v>DC056</v>
      </c>
      <c r="BA74" s="22" t="str">
        <f>'Die Map'!BA74</f>
        <v>DC057</v>
      </c>
      <c r="BB74" s="22" t="str">
        <f>'Die Map'!BB74</f>
        <v>DC058</v>
      </c>
      <c r="BC74" s="22" t="str">
        <f>'Die Map'!BC74</f>
        <v>DC059</v>
      </c>
      <c r="BD74" s="23" t="str">
        <f>'Die Map'!BD74</f>
        <v>DC061</v>
      </c>
      <c r="BE74" s="21" t="str">
        <f>'Die Map'!BE74</f>
        <v>DC062</v>
      </c>
      <c r="BF74" s="22" t="str">
        <f>'Die Map'!BF74</f>
        <v>DC063</v>
      </c>
      <c r="BG74" s="22" t="str">
        <f>'Die Map'!BG74</f>
        <v>DC064</v>
      </c>
      <c r="BH74" s="22" t="str">
        <f>'Die Map'!BH74</f>
        <v>DC065</v>
      </c>
      <c r="BI74" s="23" t="str">
        <f>'Die Map'!BI74</f>
        <v>DC066</v>
      </c>
      <c r="BJ74" s="21" t="str">
        <f>'Die Map'!BJ74</f>
        <v>DC067</v>
      </c>
      <c r="BK74" s="22" t="str">
        <f>'Die Map'!BK74</f>
        <v>DC068</v>
      </c>
      <c r="BL74" s="22" t="str">
        <f>'Die Map'!BL74</f>
        <v>DC069</v>
      </c>
      <c r="BM74" s="22" t="str">
        <f>'Die Map'!BM74</f>
        <v>DC071</v>
      </c>
      <c r="BN74" s="23" t="str">
        <f>'Die Map'!BN74</f>
        <v>DC072</v>
      </c>
      <c r="BO74" s="21" t="str">
        <f>'Die Map'!BO74</f>
        <v>DC073</v>
      </c>
      <c r="BP74" s="22" t="str">
        <f>'Die Map'!BP74</f>
        <v>DC074</v>
      </c>
      <c r="BQ74" s="22" t="str">
        <f>'Die Map'!BQ74</f>
        <v>DC075</v>
      </c>
      <c r="BR74" s="22" t="str">
        <f>'Die Map'!BR74</f>
        <v>DC076</v>
      </c>
      <c r="BS74" s="23" t="str">
        <f>'Die Map'!BS74</f>
        <v>DC077</v>
      </c>
      <c r="BT74" s="21" t="str">
        <f>'Die Map'!BT74</f>
        <v>DC078</v>
      </c>
      <c r="BU74" s="22" t="str">
        <f>'Die Map'!BU74</f>
        <v>DC079</v>
      </c>
      <c r="BV74" s="22" t="str">
        <f>'Die Map'!BV74</f>
        <v>DC081</v>
      </c>
      <c r="BW74" s="22" t="str">
        <f>'Die Map'!BW74</f>
        <v>DC082</v>
      </c>
      <c r="BX74" s="23" t="str">
        <f>'Die Map'!BX74</f>
        <v>DC083</v>
      </c>
      <c r="BY74" s="21" t="str">
        <f>'Die Map'!BY74</f>
        <v>DC084</v>
      </c>
      <c r="BZ74" s="22" t="str">
        <f>'Die Map'!BZ74</f>
        <v>DC085</v>
      </c>
      <c r="CA74" s="22" t="str">
        <f>'Die Map'!CA74</f>
        <v>DC086</v>
      </c>
      <c r="CB74" s="22" t="str">
        <f>'Die Map'!CB74</f>
        <v>DC087</v>
      </c>
      <c r="CC74" s="23" t="str">
        <f>'Die Map'!CC74</f>
        <v>DC088</v>
      </c>
      <c r="CD74" s="21" t="str">
        <f>'Die Map'!CD74</f>
        <v>DC089</v>
      </c>
      <c r="CE74" s="22" t="str">
        <f>'Die Map'!CE74</f>
        <v>DC091</v>
      </c>
      <c r="CF74" s="22" t="str">
        <f>'Die Map'!CF74</f>
        <v>DC092</v>
      </c>
      <c r="CG74" s="22" t="str">
        <f>'Die Map'!CG74</f>
        <v>DC093</v>
      </c>
      <c r="CH74" s="23" t="str">
        <f>'Die Map'!CH74</f>
        <v>DC094</v>
      </c>
      <c r="CI74" s="21" t="str">
        <f>'Die Map'!CI74</f>
        <v>DC095</v>
      </c>
      <c r="CJ74" s="22" t="str">
        <f>'Die Map'!CJ74</f>
        <v>DC096</v>
      </c>
      <c r="CK74" s="22" t="str">
        <f>'Die Map'!CK74</f>
        <v>DC097</v>
      </c>
      <c r="CL74" s="22" t="str">
        <f>'Die Map'!CL74</f>
        <v>DC098</v>
      </c>
      <c r="CM74" s="23" t="str">
        <f>'Die Map'!CM74</f>
        <v>DC099</v>
      </c>
      <c r="CN74" s="21" t="str">
        <f>'Die Map'!CN74</f>
        <v>DC101</v>
      </c>
      <c r="CO74" s="22" t="str">
        <f>'Die Map'!CO74</f>
        <v>DC102</v>
      </c>
      <c r="CP74" s="22" t="str">
        <f>'Die Map'!CP74</f>
        <v>DC103</v>
      </c>
      <c r="CQ74" s="22" t="str">
        <f>'Die Map'!CQ74</f>
        <v>DC104</v>
      </c>
      <c r="CR74" s="23" t="str">
        <f>'Die Map'!CR74</f>
        <v>DC105</v>
      </c>
      <c r="CS74" s="21" t="str">
        <f>'Die Map'!CS74</f>
        <v>DC106</v>
      </c>
      <c r="CT74" s="22" t="str">
        <f>'Die Map'!CT74</f>
        <v>DC107</v>
      </c>
      <c r="CU74" s="22" t="str">
        <f>'Die Map'!CU74</f>
        <v>DC108</v>
      </c>
      <c r="CV74" s="22" t="str">
        <f>'Die Map'!CV74</f>
        <v>DC109</v>
      </c>
      <c r="CW74" s="23" t="str">
        <f>'Die Map'!CW74</f>
        <v>DC111</v>
      </c>
      <c r="CX74" s="21" t="str">
        <f>'Die Map'!CX74</f>
        <v/>
      </c>
      <c r="CY74" s="22" t="str">
        <f>'Die Map'!CY74</f>
        <v/>
      </c>
      <c r="CZ74" s="22" t="str">
        <f>'Die Map'!CZ74</f>
        <v/>
      </c>
      <c r="DA74" s="22" t="str">
        <f>'Die Map'!DA74</f>
        <v/>
      </c>
      <c r="DB74" s="23" t="str">
        <f>'Die Map'!DB74</f>
        <v/>
      </c>
    </row>
    <row r="75" spans="1:106" ht="12.75" customHeight="1" x14ac:dyDescent="0.25">
      <c r="A75" s="17">
        <v>73</v>
      </c>
      <c r="B75" s="21" t="str">
        <f>'Die Map'!B75</f>
        <v/>
      </c>
      <c r="C75" s="22" t="str">
        <f>'Die Map'!C75</f>
        <v/>
      </c>
      <c r="D75" s="22" t="str">
        <f>'Die Map'!D75</f>
        <v/>
      </c>
      <c r="E75" s="22" t="str">
        <f>'Die Map'!E75</f>
        <v/>
      </c>
      <c r="F75" s="23" t="str">
        <f>'Die Map'!F75</f>
        <v/>
      </c>
      <c r="G75" s="21" t="str">
        <f>'Die Map'!G75</f>
        <v>DD006</v>
      </c>
      <c r="H75" s="22" t="str">
        <f>'Die Map'!H75</f>
        <v>DD007</v>
      </c>
      <c r="I75" s="22" t="str">
        <f>'Die Map'!I75</f>
        <v>DD008</v>
      </c>
      <c r="J75" s="22" t="str">
        <f>'Die Map'!J75</f>
        <v>DD009</v>
      </c>
      <c r="K75" s="23" t="str">
        <f>'Die Map'!K75</f>
        <v>DD011</v>
      </c>
      <c r="L75" s="21" t="str">
        <f>'Die Map'!L75</f>
        <v>DD012</v>
      </c>
      <c r="M75" s="22" t="str">
        <f>'Die Map'!M75</f>
        <v>DD013</v>
      </c>
      <c r="N75" s="22" t="str">
        <f>'Die Map'!N75</f>
        <v>DD014</v>
      </c>
      <c r="O75" s="22" t="str">
        <f>'Die Map'!O75</f>
        <v>DD015</v>
      </c>
      <c r="P75" s="23" t="str">
        <f>'Die Map'!P75</f>
        <v>DD016</v>
      </c>
      <c r="Q75" s="21" t="str">
        <f>'Die Map'!Q75</f>
        <v>DD017</v>
      </c>
      <c r="R75" s="22" t="str">
        <f>'Die Map'!R75</f>
        <v>DD018</v>
      </c>
      <c r="S75" s="22" t="str">
        <f>'Die Map'!S75</f>
        <v>DD019</v>
      </c>
      <c r="T75" s="22" t="str">
        <f>'Die Map'!T75</f>
        <v>DD021</v>
      </c>
      <c r="U75" s="23" t="str">
        <f>'Die Map'!U75</f>
        <v>DD022</v>
      </c>
      <c r="V75" s="21" t="str">
        <f>'Die Map'!V75</f>
        <v>DD023</v>
      </c>
      <c r="W75" s="22" t="str">
        <f>'Die Map'!W75</f>
        <v>DD024</v>
      </c>
      <c r="X75" s="22" t="str">
        <f>'Die Map'!X75</f>
        <v>DD025</v>
      </c>
      <c r="Y75" s="22" t="str">
        <f>'Die Map'!Y75</f>
        <v>DD026</v>
      </c>
      <c r="Z75" s="23" t="str">
        <f>'Die Map'!Z75</f>
        <v>DD027</v>
      </c>
      <c r="AA75" s="21" t="str">
        <f>'Die Map'!AA75</f>
        <v>DD028</v>
      </c>
      <c r="AB75" s="22" t="str">
        <f>'Die Map'!AB75</f>
        <v>DD029</v>
      </c>
      <c r="AC75" s="22" t="str">
        <f>'Die Map'!AC75</f>
        <v>DD031</v>
      </c>
      <c r="AD75" s="22" t="str">
        <f>'Die Map'!AD75</f>
        <v>DD032</v>
      </c>
      <c r="AE75" s="23" t="str">
        <f>'Die Map'!AE75</f>
        <v>DD033</v>
      </c>
      <c r="AF75" s="21" t="str">
        <f>'Die Map'!AF75</f>
        <v>DD034</v>
      </c>
      <c r="AG75" s="22" t="str">
        <f>'Die Map'!AG75</f>
        <v>DD035</v>
      </c>
      <c r="AH75" s="22" t="str">
        <f>'Die Map'!AH75</f>
        <v>DD036</v>
      </c>
      <c r="AI75" s="22" t="str">
        <f>'Die Map'!AI75</f>
        <v>DD037</v>
      </c>
      <c r="AJ75" s="23" t="str">
        <f>'Die Map'!AJ75</f>
        <v>DD038</v>
      </c>
      <c r="AK75" s="21" t="str">
        <f>'Die Map'!AK75</f>
        <v>DD039</v>
      </c>
      <c r="AL75" s="22" t="str">
        <f>'Die Map'!AL75</f>
        <v>DD041</v>
      </c>
      <c r="AM75" s="22" t="str">
        <f>'Die Map'!AM75</f>
        <v>DD042</v>
      </c>
      <c r="AN75" s="22" t="str">
        <f>'Die Map'!AN75</f>
        <v>DD043</v>
      </c>
      <c r="AO75" s="23" t="str">
        <f>'Die Map'!AO75</f>
        <v>DD044</v>
      </c>
      <c r="AP75" s="21" t="str">
        <f>'Die Map'!AP75</f>
        <v>DD045</v>
      </c>
      <c r="AQ75" s="22" t="str">
        <f>'Die Map'!AQ75</f>
        <v>DD046</v>
      </c>
      <c r="AR75" s="22" t="str">
        <f>'Die Map'!AR75</f>
        <v>DD047</v>
      </c>
      <c r="AS75" s="22" t="str">
        <f>'Die Map'!AS75</f>
        <v>DD048</v>
      </c>
      <c r="AT75" s="23" t="str">
        <f>'Die Map'!AT75</f>
        <v>DD049</v>
      </c>
      <c r="AU75" s="21" t="str">
        <f>'Die Map'!AU75</f>
        <v>DD051</v>
      </c>
      <c r="AV75" s="22" t="str">
        <f>'Die Map'!AV75</f>
        <v>DD052</v>
      </c>
      <c r="AW75" s="22" t="str">
        <f>'Die Map'!AW75</f>
        <v>DD053</v>
      </c>
      <c r="AX75" s="22" t="str">
        <f>'Die Map'!AX75</f>
        <v>DD054</v>
      </c>
      <c r="AY75" s="23" t="str">
        <f>'Die Map'!AY75</f>
        <v>DD055</v>
      </c>
      <c r="AZ75" s="21" t="str">
        <f>'Die Map'!AZ75</f>
        <v>DD056</v>
      </c>
      <c r="BA75" s="22" t="str">
        <f>'Die Map'!BA75</f>
        <v>DD057</v>
      </c>
      <c r="BB75" s="22" t="str">
        <f>'Die Map'!BB75</f>
        <v>DD058</v>
      </c>
      <c r="BC75" s="22" t="str">
        <f>'Die Map'!BC75</f>
        <v>DD059</v>
      </c>
      <c r="BD75" s="23" t="str">
        <f>'Die Map'!BD75</f>
        <v>DD061</v>
      </c>
      <c r="BE75" s="21" t="str">
        <f>'Die Map'!BE75</f>
        <v>DD062</v>
      </c>
      <c r="BF75" s="22" t="str">
        <f>'Die Map'!BF75</f>
        <v>DD063</v>
      </c>
      <c r="BG75" s="22" t="str">
        <f>'Die Map'!BG75</f>
        <v>DD064</v>
      </c>
      <c r="BH75" s="22" t="str">
        <f>'Die Map'!BH75</f>
        <v>DD065</v>
      </c>
      <c r="BI75" s="23" t="str">
        <f>'Die Map'!BI75</f>
        <v>DD066</v>
      </c>
      <c r="BJ75" s="21" t="str">
        <f>'Die Map'!BJ75</f>
        <v>DD067</v>
      </c>
      <c r="BK75" s="22" t="str">
        <f>'Die Map'!BK75</f>
        <v>DD068</v>
      </c>
      <c r="BL75" s="22" t="str">
        <f>'Die Map'!BL75</f>
        <v>DD069</v>
      </c>
      <c r="BM75" s="22" t="str">
        <f>'Die Map'!BM75</f>
        <v>DD071</v>
      </c>
      <c r="BN75" s="23" t="str">
        <f>'Die Map'!BN75</f>
        <v>DD072</v>
      </c>
      <c r="BO75" s="21" t="str">
        <f>'Die Map'!BO75</f>
        <v>DD073</v>
      </c>
      <c r="BP75" s="22" t="str">
        <f>'Die Map'!BP75</f>
        <v>DD074</v>
      </c>
      <c r="BQ75" s="22" t="str">
        <f>'Die Map'!BQ75</f>
        <v>DD075</v>
      </c>
      <c r="BR75" s="22" t="str">
        <f>'Die Map'!BR75</f>
        <v>DD076</v>
      </c>
      <c r="BS75" s="23" t="str">
        <f>'Die Map'!BS75</f>
        <v>DD077</v>
      </c>
      <c r="BT75" s="21" t="str">
        <f>'Die Map'!BT75</f>
        <v>DD078</v>
      </c>
      <c r="BU75" s="22" t="str">
        <f>'Die Map'!BU75</f>
        <v>DD079</v>
      </c>
      <c r="BV75" s="22" t="str">
        <f>'Die Map'!BV75</f>
        <v>DD081</v>
      </c>
      <c r="BW75" s="22" t="str">
        <f>'Die Map'!BW75</f>
        <v>DD082</v>
      </c>
      <c r="BX75" s="23" t="str">
        <f>'Die Map'!BX75</f>
        <v>DD083</v>
      </c>
      <c r="BY75" s="21" t="str">
        <f>'Die Map'!BY75</f>
        <v>DD084</v>
      </c>
      <c r="BZ75" s="22" t="str">
        <f>'Die Map'!BZ75</f>
        <v>DD085</v>
      </c>
      <c r="CA75" s="22" t="str">
        <f>'Die Map'!CA75</f>
        <v>DD086</v>
      </c>
      <c r="CB75" s="22" t="str">
        <f>'Die Map'!CB75</f>
        <v>DD087</v>
      </c>
      <c r="CC75" s="23" t="str">
        <f>'Die Map'!CC75</f>
        <v>DD088</v>
      </c>
      <c r="CD75" s="21" t="str">
        <f>'Die Map'!CD75</f>
        <v>DD089</v>
      </c>
      <c r="CE75" s="22" t="str">
        <f>'Die Map'!CE75</f>
        <v>DD091</v>
      </c>
      <c r="CF75" s="22" t="str">
        <f>'Die Map'!CF75</f>
        <v>DD092</v>
      </c>
      <c r="CG75" s="22" t="str">
        <f>'Die Map'!CG75</f>
        <v>DD093</v>
      </c>
      <c r="CH75" s="23" t="str">
        <f>'Die Map'!CH75</f>
        <v>DD094</v>
      </c>
      <c r="CI75" s="21" t="str">
        <f>'Die Map'!CI75</f>
        <v>DD095</v>
      </c>
      <c r="CJ75" s="22" t="str">
        <f>'Die Map'!CJ75</f>
        <v>DD096</v>
      </c>
      <c r="CK75" s="22" t="str">
        <f>'Die Map'!CK75</f>
        <v>DD097</v>
      </c>
      <c r="CL75" s="22" t="str">
        <f>'Die Map'!CL75</f>
        <v>DD098</v>
      </c>
      <c r="CM75" s="23" t="str">
        <f>'Die Map'!CM75</f>
        <v>DD099</v>
      </c>
      <c r="CN75" s="21" t="str">
        <f>'Die Map'!CN75</f>
        <v>DD101</v>
      </c>
      <c r="CO75" s="22" t="str">
        <f>'Die Map'!CO75</f>
        <v>DD102</v>
      </c>
      <c r="CP75" s="22" t="str">
        <f>'Die Map'!CP75</f>
        <v>DD103</v>
      </c>
      <c r="CQ75" s="22" t="str">
        <f>'Die Map'!CQ75</f>
        <v>DD104</v>
      </c>
      <c r="CR75" s="23" t="str">
        <f>'Die Map'!CR75</f>
        <v>DD105</v>
      </c>
      <c r="CS75" s="21" t="str">
        <f>'Die Map'!CS75</f>
        <v>DD106</v>
      </c>
      <c r="CT75" s="22" t="str">
        <f>'Die Map'!CT75</f>
        <v>DD107</v>
      </c>
      <c r="CU75" s="22" t="str">
        <f>'Die Map'!CU75</f>
        <v>DD108</v>
      </c>
      <c r="CV75" s="22" t="str">
        <f>'Die Map'!CV75</f>
        <v>DD109</v>
      </c>
      <c r="CW75" s="23" t="str">
        <f>'Die Map'!CW75</f>
        <v>DD111</v>
      </c>
      <c r="CX75" s="21" t="str">
        <f>'Die Map'!CX75</f>
        <v/>
      </c>
      <c r="CY75" s="22" t="str">
        <f>'Die Map'!CY75</f>
        <v/>
      </c>
      <c r="CZ75" s="22" t="str">
        <f>'Die Map'!CZ75</f>
        <v/>
      </c>
      <c r="DA75" s="22" t="str">
        <f>'Die Map'!DA75</f>
        <v/>
      </c>
      <c r="DB75" s="23" t="str">
        <f>'Die Map'!DB75</f>
        <v/>
      </c>
    </row>
    <row r="76" spans="1:106" ht="12.75" customHeight="1" x14ac:dyDescent="0.25">
      <c r="A76" s="17">
        <v>74</v>
      </c>
      <c r="B76" s="21" t="str">
        <f>'Die Map'!B76</f>
        <v/>
      </c>
      <c r="C76" s="22" t="str">
        <f>'Die Map'!C76</f>
        <v/>
      </c>
      <c r="D76" s="22" t="str">
        <f>'Die Map'!D76</f>
        <v/>
      </c>
      <c r="E76" s="22" t="str">
        <f>'Die Map'!E76</f>
        <v/>
      </c>
      <c r="F76" s="23" t="str">
        <f>'Die Map'!F76</f>
        <v/>
      </c>
      <c r="G76" s="21" t="str">
        <f>'Die Map'!G76</f>
        <v>DE006</v>
      </c>
      <c r="H76" s="22" t="str">
        <f>'Die Map'!H76</f>
        <v>DE007</v>
      </c>
      <c r="I76" s="22" t="str">
        <f>'Die Map'!I76</f>
        <v>DE008</v>
      </c>
      <c r="J76" s="22" t="str">
        <f>'Die Map'!J76</f>
        <v>DE009</v>
      </c>
      <c r="K76" s="23" t="str">
        <f>'Die Map'!K76</f>
        <v>DE011</v>
      </c>
      <c r="L76" s="21" t="str">
        <f>'Die Map'!L76</f>
        <v>DE012</v>
      </c>
      <c r="M76" s="22" t="str">
        <f>'Die Map'!M76</f>
        <v>DE013</v>
      </c>
      <c r="N76" s="22" t="str">
        <f>'Die Map'!N76</f>
        <v>DE014</v>
      </c>
      <c r="O76" s="22" t="str">
        <f>'Die Map'!O76</f>
        <v>DE015</v>
      </c>
      <c r="P76" s="23" t="str">
        <f>'Die Map'!P76</f>
        <v>DE016</v>
      </c>
      <c r="Q76" s="21" t="str">
        <f>'Die Map'!Q76</f>
        <v>DE017</v>
      </c>
      <c r="R76" s="22" t="str">
        <f>'Die Map'!R76</f>
        <v>DE018</v>
      </c>
      <c r="S76" s="22" t="str">
        <f>'Die Map'!S76</f>
        <v>DE019</v>
      </c>
      <c r="T76" s="22" t="str">
        <f>'Die Map'!T76</f>
        <v>DE021</v>
      </c>
      <c r="U76" s="23" t="str">
        <f>'Die Map'!U76</f>
        <v>DE022</v>
      </c>
      <c r="V76" s="21" t="str">
        <f>'Die Map'!V76</f>
        <v>DE023</v>
      </c>
      <c r="W76" s="22" t="str">
        <f>'Die Map'!W76</f>
        <v>DE024</v>
      </c>
      <c r="X76" s="22" t="str">
        <f>'Die Map'!X76</f>
        <v>DE025</v>
      </c>
      <c r="Y76" s="22" t="str">
        <f>'Die Map'!Y76</f>
        <v>DE026</v>
      </c>
      <c r="Z76" s="23" t="str">
        <f>'Die Map'!Z76</f>
        <v>DE027</v>
      </c>
      <c r="AA76" s="21" t="str">
        <f>'Die Map'!AA76</f>
        <v>DE028</v>
      </c>
      <c r="AB76" s="22" t="str">
        <f>'Die Map'!AB76</f>
        <v>DE029</v>
      </c>
      <c r="AC76" s="22" t="str">
        <f>'Die Map'!AC76</f>
        <v>DE031</v>
      </c>
      <c r="AD76" s="22" t="str">
        <f>'Die Map'!AD76</f>
        <v>DE032</v>
      </c>
      <c r="AE76" s="23" t="str">
        <f>'Die Map'!AE76</f>
        <v>DE033</v>
      </c>
      <c r="AF76" s="21" t="str">
        <f>'Die Map'!AF76</f>
        <v>DE034</v>
      </c>
      <c r="AG76" s="22" t="str">
        <f>'Die Map'!AG76</f>
        <v>DE035</v>
      </c>
      <c r="AH76" s="22" t="str">
        <f>'Die Map'!AH76</f>
        <v>DE036</v>
      </c>
      <c r="AI76" s="22" t="str">
        <f>'Die Map'!AI76</f>
        <v>DE037</v>
      </c>
      <c r="AJ76" s="23" t="str">
        <f>'Die Map'!AJ76</f>
        <v>DE038</v>
      </c>
      <c r="AK76" s="21" t="str">
        <f>'Die Map'!AK76</f>
        <v>DE039</v>
      </c>
      <c r="AL76" s="22" t="str">
        <f>'Die Map'!AL76</f>
        <v>DE041</v>
      </c>
      <c r="AM76" s="22" t="str">
        <f>'Die Map'!AM76</f>
        <v>DE042</v>
      </c>
      <c r="AN76" s="22" t="str">
        <f>'Die Map'!AN76</f>
        <v>DE043</v>
      </c>
      <c r="AO76" s="23" t="str">
        <f>'Die Map'!AO76</f>
        <v>DE044</v>
      </c>
      <c r="AP76" s="21" t="str">
        <f>'Die Map'!AP76</f>
        <v>DE045</v>
      </c>
      <c r="AQ76" s="22" t="str">
        <f>'Die Map'!AQ76</f>
        <v>DE046</v>
      </c>
      <c r="AR76" s="22" t="str">
        <f>'Die Map'!AR76</f>
        <v>DE047</v>
      </c>
      <c r="AS76" s="22" t="str">
        <f>'Die Map'!AS76</f>
        <v>DE048</v>
      </c>
      <c r="AT76" s="23" t="str">
        <f>'Die Map'!AT76</f>
        <v>DE049</v>
      </c>
      <c r="AU76" s="21" t="str">
        <f>'Die Map'!AU76</f>
        <v>DE051</v>
      </c>
      <c r="AV76" s="22" t="str">
        <f>'Die Map'!AV76</f>
        <v>DE052</v>
      </c>
      <c r="AW76" s="22" t="str">
        <f>'Die Map'!AW76</f>
        <v>DE053</v>
      </c>
      <c r="AX76" s="22" t="str">
        <f>'Die Map'!AX76</f>
        <v>DE054</v>
      </c>
      <c r="AY76" s="23" t="str">
        <f>'Die Map'!AY76</f>
        <v>DE055</v>
      </c>
      <c r="AZ76" s="21" t="str">
        <f>'Die Map'!AZ76</f>
        <v>DE056</v>
      </c>
      <c r="BA76" s="22" t="str">
        <f>'Die Map'!BA76</f>
        <v>DE057</v>
      </c>
      <c r="BB76" s="22" t="str">
        <f>'Die Map'!BB76</f>
        <v>DE058</v>
      </c>
      <c r="BC76" s="22" t="str">
        <f>'Die Map'!BC76</f>
        <v>DE059</v>
      </c>
      <c r="BD76" s="23" t="str">
        <f>'Die Map'!BD76</f>
        <v>DE061</v>
      </c>
      <c r="BE76" s="21" t="str">
        <f>'Die Map'!BE76</f>
        <v>DE062</v>
      </c>
      <c r="BF76" s="22" t="str">
        <f>'Die Map'!BF76</f>
        <v>DE063</v>
      </c>
      <c r="BG76" s="22" t="str">
        <f>'Die Map'!BG76</f>
        <v>DE064</v>
      </c>
      <c r="BH76" s="22" t="str">
        <f>'Die Map'!BH76</f>
        <v>DE065</v>
      </c>
      <c r="BI76" s="23" t="str">
        <f>'Die Map'!BI76</f>
        <v>DE066</v>
      </c>
      <c r="BJ76" s="21" t="str">
        <f>'Die Map'!BJ76</f>
        <v>DE067</v>
      </c>
      <c r="BK76" s="22" t="str">
        <f>'Die Map'!BK76</f>
        <v>DE068</v>
      </c>
      <c r="BL76" s="22" t="str">
        <f>'Die Map'!BL76</f>
        <v>DE069</v>
      </c>
      <c r="BM76" s="22" t="str">
        <f>'Die Map'!BM76</f>
        <v>DE071</v>
      </c>
      <c r="BN76" s="23" t="str">
        <f>'Die Map'!BN76</f>
        <v>DE072</v>
      </c>
      <c r="BO76" s="21" t="str">
        <f>'Die Map'!BO76</f>
        <v>DE073</v>
      </c>
      <c r="BP76" s="22" t="str">
        <f>'Die Map'!BP76</f>
        <v>DE074</v>
      </c>
      <c r="BQ76" s="22" t="str">
        <f>'Die Map'!BQ76</f>
        <v>DE075</v>
      </c>
      <c r="BR76" s="22" t="str">
        <f>'Die Map'!BR76</f>
        <v>DE076</v>
      </c>
      <c r="BS76" s="23" t="str">
        <f>'Die Map'!BS76</f>
        <v>DE077</v>
      </c>
      <c r="BT76" s="21" t="str">
        <f>'Die Map'!BT76</f>
        <v>DE078</v>
      </c>
      <c r="BU76" s="22" t="str">
        <f>'Die Map'!BU76</f>
        <v>DE079</v>
      </c>
      <c r="BV76" s="22" t="str">
        <f>'Die Map'!BV76</f>
        <v>DE081</v>
      </c>
      <c r="BW76" s="22" t="str">
        <f>'Die Map'!BW76</f>
        <v>DE082</v>
      </c>
      <c r="BX76" s="23" t="str">
        <f>'Die Map'!BX76</f>
        <v>DE083</v>
      </c>
      <c r="BY76" s="21" t="str">
        <f>'Die Map'!BY76</f>
        <v>DE084</v>
      </c>
      <c r="BZ76" s="22" t="str">
        <f>'Die Map'!BZ76</f>
        <v>DE085</v>
      </c>
      <c r="CA76" s="22" t="str">
        <f>'Die Map'!CA76</f>
        <v>DE086</v>
      </c>
      <c r="CB76" s="22" t="str">
        <f>'Die Map'!CB76</f>
        <v>DE087</v>
      </c>
      <c r="CC76" s="23" t="str">
        <f>'Die Map'!CC76</f>
        <v>DE088</v>
      </c>
      <c r="CD76" s="21" t="str">
        <f>'Die Map'!CD76</f>
        <v>DE089</v>
      </c>
      <c r="CE76" s="22" t="str">
        <f>'Die Map'!CE76</f>
        <v>DE091</v>
      </c>
      <c r="CF76" s="22" t="str">
        <f>'Die Map'!CF76</f>
        <v>DE092</v>
      </c>
      <c r="CG76" s="22" t="str">
        <f>'Die Map'!CG76</f>
        <v>DE093</v>
      </c>
      <c r="CH76" s="23" t="str">
        <f>'Die Map'!CH76</f>
        <v>DE094</v>
      </c>
      <c r="CI76" s="21" t="str">
        <f>'Die Map'!CI76</f>
        <v>DE095</v>
      </c>
      <c r="CJ76" s="22" t="str">
        <f>'Die Map'!CJ76</f>
        <v>DE096</v>
      </c>
      <c r="CK76" s="22" t="str">
        <f>'Die Map'!CK76</f>
        <v>DE097</v>
      </c>
      <c r="CL76" s="22" t="str">
        <f>'Die Map'!CL76</f>
        <v>DE098</v>
      </c>
      <c r="CM76" s="23" t="str">
        <f>'Die Map'!CM76</f>
        <v>DE099</v>
      </c>
      <c r="CN76" s="21" t="str">
        <f>'Die Map'!CN76</f>
        <v>DE101</v>
      </c>
      <c r="CO76" s="22" t="str">
        <f>'Die Map'!CO76</f>
        <v>DE102</v>
      </c>
      <c r="CP76" s="22" t="str">
        <f>'Die Map'!CP76</f>
        <v>DE103</v>
      </c>
      <c r="CQ76" s="22" t="str">
        <f>'Die Map'!CQ76</f>
        <v>DE104</v>
      </c>
      <c r="CR76" s="23" t="str">
        <f>'Die Map'!CR76</f>
        <v>DE105</v>
      </c>
      <c r="CS76" s="21" t="str">
        <f>'Die Map'!CS76</f>
        <v>DE106</v>
      </c>
      <c r="CT76" s="22" t="str">
        <f>'Die Map'!CT76</f>
        <v>DE107</v>
      </c>
      <c r="CU76" s="22" t="str">
        <f>'Die Map'!CU76</f>
        <v>DE108</v>
      </c>
      <c r="CV76" s="22" t="str">
        <f>'Die Map'!CV76</f>
        <v>DE109</v>
      </c>
      <c r="CW76" s="23" t="str">
        <f>'Die Map'!CW76</f>
        <v>DE111</v>
      </c>
      <c r="CX76" s="21" t="str">
        <f>'Die Map'!CX76</f>
        <v/>
      </c>
      <c r="CY76" s="22" t="str">
        <f>'Die Map'!CY76</f>
        <v/>
      </c>
      <c r="CZ76" s="22" t="str">
        <f>'Die Map'!CZ76</f>
        <v/>
      </c>
      <c r="DA76" s="22" t="str">
        <f>'Die Map'!DA76</f>
        <v/>
      </c>
      <c r="DB76" s="23" t="str">
        <f>'Die Map'!DB76</f>
        <v/>
      </c>
    </row>
    <row r="77" spans="1:106" ht="12.75" customHeight="1" x14ac:dyDescent="0.25">
      <c r="A77" s="17">
        <v>75</v>
      </c>
      <c r="B77" s="24" t="str">
        <f>'Die Map'!B77</f>
        <v/>
      </c>
      <c r="C77" s="25" t="str">
        <f>'Die Map'!C77</f>
        <v/>
      </c>
      <c r="D77" s="25" t="str">
        <f>'Die Map'!D77</f>
        <v/>
      </c>
      <c r="E77" s="25" t="str">
        <f>'Die Map'!E77</f>
        <v/>
      </c>
      <c r="F77" s="26" t="str">
        <f>'Die Map'!F77</f>
        <v/>
      </c>
      <c r="G77" s="24" t="str">
        <f>'Die Map'!G77</f>
        <v>DF006</v>
      </c>
      <c r="H77" s="25" t="str">
        <f>'Die Map'!H77</f>
        <v>DF007</v>
      </c>
      <c r="I77" s="25" t="str">
        <f>'Die Map'!I77</f>
        <v>DF008</v>
      </c>
      <c r="J77" s="25" t="str">
        <f>'Die Map'!J77</f>
        <v>DF009</v>
      </c>
      <c r="K77" s="26" t="str">
        <f>'Die Map'!K77</f>
        <v>DF011</v>
      </c>
      <c r="L77" s="24" t="str">
        <f>'Die Map'!L77</f>
        <v>DF012</v>
      </c>
      <c r="M77" s="25" t="str">
        <f>'Die Map'!M77</f>
        <v>DF013</v>
      </c>
      <c r="N77" s="25" t="str">
        <f>'Die Map'!N77</f>
        <v>DF014</v>
      </c>
      <c r="O77" s="25" t="str">
        <f>'Die Map'!O77</f>
        <v>DF015</v>
      </c>
      <c r="P77" s="26" t="str">
        <f>'Die Map'!P77</f>
        <v>DF016</v>
      </c>
      <c r="Q77" s="24" t="str">
        <f>'Die Map'!Q77</f>
        <v>DF017</v>
      </c>
      <c r="R77" s="25" t="str">
        <f>'Die Map'!R77</f>
        <v>DF018</v>
      </c>
      <c r="S77" s="25" t="str">
        <f>'Die Map'!S77</f>
        <v>DF019</v>
      </c>
      <c r="T77" s="25" t="str">
        <f>'Die Map'!T77</f>
        <v>DF021</v>
      </c>
      <c r="U77" s="26" t="str">
        <f>'Die Map'!U77</f>
        <v>DF022</v>
      </c>
      <c r="V77" s="24" t="str">
        <f>'Die Map'!V77</f>
        <v>DF023</v>
      </c>
      <c r="W77" s="25" t="str">
        <f>'Die Map'!W77</f>
        <v>DF024</v>
      </c>
      <c r="X77" s="25" t="str">
        <f>'Die Map'!X77</f>
        <v>DF025</v>
      </c>
      <c r="Y77" s="25" t="str">
        <f>'Die Map'!Y77</f>
        <v>DF026</v>
      </c>
      <c r="Z77" s="26" t="str">
        <f>'Die Map'!Z77</f>
        <v>DF027</v>
      </c>
      <c r="AA77" s="24" t="str">
        <f>'Die Map'!AA77</f>
        <v>DF028</v>
      </c>
      <c r="AB77" s="25" t="str">
        <f>'Die Map'!AB77</f>
        <v>DF029</v>
      </c>
      <c r="AC77" s="25" t="str">
        <f>'Die Map'!AC77</f>
        <v>DF031</v>
      </c>
      <c r="AD77" s="25" t="str">
        <f>'Die Map'!AD77</f>
        <v>DF032</v>
      </c>
      <c r="AE77" s="26" t="str">
        <f>'Die Map'!AE77</f>
        <v>DF033</v>
      </c>
      <c r="AF77" s="24" t="str">
        <f>'Die Map'!AF77</f>
        <v>DF034</v>
      </c>
      <c r="AG77" s="25" t="str">
        <f>'Die Map'!AG77</f>
        <v>DF035</v>
      </c>
      <c r="AH77" s="25" t="str">
        <f>'Die Map'!AH77</f>
        <v>DF036</v>
      </c>
      <c r="AI77" s="25" t="str">
        <f>'Die Map'!AI77</f>
        <v>DF037</v>
      </c>
      <c r="AJ77" s="26" t="str">
        <f>'Die Map'!AJ77</f>
        <v>DF038</v>
      </c>
      <c r="AK77" s="24" t="str">
        <f>'Die Map'!AK77</f>
        <v>DF039</v>
      </c>
      <c r="AL77" s="25" t="str">
        <f>'Die Map'!AL77</f>
        <v>DF041</v>
      </c>
      <c r="AM77" s="25" t="str">
        <f>'Die Map'!AM77</f>
        <v>DF042</v>
      </c>
      <c r="AN77" s="25" t="str">
        <f>'Die Map'!AN77</f>
        <v>DF043</v>
      </c>
      <c r="AO77" s="26" t="str">
        <f>'Die Map'!AO77</f>
        <v>DF044</v>
      </c>
      <c r="AP77" s="24" t="str">
        <f>'Die Map'!AP77</f>
        <v>DF045</v>
      </c>
      <c r="AQ77" s="25" t="str">
        <f>'Die Map'!AQ77</f>
        <v>DF046</v>
      </c>
      <c r="AR77" s="25" t="str">
        <f>'Die Map'!AR77</f>
        <v>DF047</v>
      </c>
      <c r="AS77" s="25" t="str">
        <f>'Die Map'!AS77</f>
        <v>DF048</v>
      </c>
      <c r="AT77" s="26" t="str">
        <f>'Die Map'!AT77</f>
        <v>DF049</v>
      </c>
      <c r="AU77" s="24" t="str">
        <f>'Die Map'!AU77</f>
        <v>DF051</v>
      </c>
      <c r="AV77" s="25" t="str">
        <f>'Die Map'!AV77</f>
        <v>DF052</v>
      </c>
      <c r="AW77" s="25" t="str">
        <f>'Die Map'!AW77</f>
        <v>DF053</v>
      </c>
      <c r="AX77" s="25" t="str">
        <f>'Die Map'!AX77</f>
        <v>DF054</v>
      </c>
      <c r="AY77" s="26" t="str">
        <f>'Die Map'!AY77</f>
        <v>DF055</v>
      </c>
      <c r="AZ77" s="24" t="str">
        <f>'Die Map'!AZ77</f>
        <v>DF056</v>
      </c>
      <c r="BA77" s="25" t="str">
        <f>'Die Map'!BA77</f>
        <v>DF057</v>
      </c>
      <c r="BB77" s="25" t="str">
        <f>'Die Map'!BB77</f>
        <v>DF058</v>
      </c>
      <c r="BC77" s="25" t="str">
        <f>'Die Map'!BC77</f>
        <v>DF059</v>
      </c>
      <c r="BD77" s="26" t="str">
        <f>'Die Map'!BD77</f>
        <v>DF061</v>
      </c>
      <c r="BE77" s="24" t="str">
        <f>'Die Map'!BE77</f>
        <v>DF062</v>
      </c>
      <c r="BF77" s="25" t="str">
        <f>'Die Map'!BF77</f>
        <v>DF063</v>
      </c>
      <c r="BG77" s="25" t="str">
        <f>'Die Map'!BG77</f>
        <v>DF064</v>
      </c>
      <c r="BH77" s="25" t="str">
        <f>'Die Map'!BH77</f>
        <v>DF065</v>
      </c>
      <c r="BI77" s="26" t="str">
        <f>'Die Map'!BI77</f>
        <v>DF066</v>
      </c>
      <c r="BJ77" s="24" t="str">
        <f>'Die Map'!BJ77</f>
        <v>DF067</v>
      </c>
      <c r="BK77" s="25" t="str">
        <f>'Die Map'!BK77</f>
        <v>DF068</v>
      </c>
      <c r="BL77" s="25" t="str">
        <f>'Die Map'!BL77</f>
        <v>DF069</v>
      </c>
      <c r="BM77" s="25" t="str">
        <f>'Die Map'!BM77</f>
        <v>DF071</v>
      </c>
      <c r="BN77" s="26" t="str">
        <f>'Die Map'!BN77</f>
        <v>DF072</v>
      </c>
      <c r="BO77" s="24" t="str">
        <f>'Die Map'!BO77</f>
        <v>DF073</v>
      </c>
      <c r="BP77" s="25" t="str">
        <f>'Die Map'!BP77</f>
        <v>DF074</v>
      </c>
      <c r="BQ77" s="25" t="str">
        <f>'Die Map'!BQ77</f>
        <v>DF075</v>
      </c>
      <c r="BR77" s="25" t="str">
        <f>'Die Map'!BR77</f>
        <v>DF076</v>
      </c>
      <c r="BS77" s="26" t="str">
        <f>'Die Map'!BS77</f>
        <v>DF077</v>
      </c>
      <c r="BT77" s="24" t="str">
        <f>'Die Map'!BT77</f>
        <v>DF078</v>
      </c>
      <c r="BU77" s="25" t="str">
        <f>'Die Map'!BU77</f>
        <v>DF079</v>
      </c>
      <c r="BV77" s="25" t="str">
        <f>'Die Map'!BV77</f>
        <v>DF081</v>
      </c>
      <c r="BW77" s="25" t="str">
        <f>'Die Map'!BW77</f>
        <v>DF082</v>
      </c>
      <c r="BX77" s="26" t="str">
        <f>'Die Map'!BX77</f>
        <v>DF083</v>
      </c>
      <c r="BY77" s="24" t="str">
        <f>'Die Map'!BY77</f>
        <v>DF084</v>
      </c>
      <c r="BZ77" s="25" t="str">
        <f>'Die Map'!BZ77</f>
        <v>DF085</v>
      </c>
      <c r="CA77" s="25" t="str">
        <f>'Die Map'!CA77</f>
        <v>DF086</v>
      </c>
      <c r="CB77" s="25" t="str">
        <f>'Die Map'!CB77</f>
        <v>DF087</v>
      </c>
      <c r="CC77" s="26" t="str">
        <f>'Die Map'!CC77</f>
        <v>DF088</v>
      </c>
      <c r="CD77" s="24" t="str">
        <f>'Die Map'!CD77</f>
        <v>DF089</v>
      </c>
      <c r="CE77" s="25" t="str">
        <f>'Die Map'!CE77</f>
        <v>DF091</v>
      </c>
      <c r="CF77" s="25" t="str">
        <f>'Die Map'!CF77</f>
        <v>DF092</v>
      </c>
      <c r="CG77" s="25" t="str">
        <f>'Die Map'!CG77</f>
        <v>DF093</v>
      </c>
      <c r="CH77" s="26" t="str">
        <f>'Die Map'!CH77</f>
        <v>DF094</v>
      </c>
      <c r="CI77" s="24" t="str">
        <f>'Die Map'!CI77</f>
        <v>DF095</v>
      </c>
      <c r="CJ77" s="25" t="str">
        <f>'Die Map'!CJ77</f>
        <v>DF096</v>
      </c>
      <c r="CK77" s="25" t="str">
        <f>'Die Map'!CK77</f>
        <v>DF097</v>
      </c>
      <c r="CL77" s="25" t="str">
        <f>'Die Map'!CL77</f>
        <v>DF098</v>
      </c>
      <c r="CM77" s="26" t="str">
        <f>'Die Map'!CM77</f>
        <v>DF099</v>
      </c>
      <c r="CN77" s="24" t="str">
        <f>'Die Map'!CN77</f>
        <v>DF101</v>
      </c>
      <c r="CO77" s="25" t="str">
        <f>'Die Map'!CO77</f>
        <v>DF102</v>
      </c>
      <c r="CP77" s="25" t="str">
        <f>'Die Map'!CP77</f>
        <v>DF103</v>
      </c>
      <c r="CQ77" s="25" t="str">
        <f>'Die Map'!CQ77</f>
        <v>DF104</v>
      </c>
      <c r="CR77" s="26" t="str">
        <f>'Die Map'!CR77</f>
        <v>DF105</v>
      </c>
      <c r="CS77" s="24" t="str">
        <f>'Die Map'!CS77</f>
        <v>DF106</v>
      </c>
      <c r="CT77" s="25" t="str">
        <f>'Die Map'!CT77</f>
        <v>DF107</v>
      </c>
      <c r="CU77" s="25" t="str">
        <f>'Die Map'!CU77</f>
        <v>DF108</v>
      </c>
      <c r="CV77" s="25" t="str">
        <f>'Die Map'!CV77</f>
        <v>DF109</v>
      </c>
      <c r="CW77" s="26" t="str">
        <f>'Die Map'!CW77</f>
        <v>DF111</v>
      </c>
      <c r="CX77" s="24" t="str">
        <f>'Die Map'!CX77</f>
        <v/>
      </c>
      <c r="CY77" s="25" t="str">
        <f>'Die Map'!CY77</f>
        <v/>
      </c>
      <c r="CZ77" s="25" t="str">
        <f>'Die Map'!CZ77</f>
        <v/>
      </c>
      <c r="DA77" s="25" t="str">
        <f>'Die Map'!DA77</f>
        <v/>
      </c>
      <c r="DB77" s="26" t="str">
        <f>'Die Map'!DB77</f>
        <v/>
      </c>
    </row>
    <row r="78" spans="1:106" ht="12.75" customHeight="1" x14ac:dyDescent="0.25">
      <c r="A78" s="17">
        <v>76</v>
      </c>
      <c r="B78" s="18" t="str">
        <f>'Die Map'!B78</f>
        <v/>
      </c>
      <c r="C78" s="19" t="str">
        <f>'Die Map'!C78</f>
        <v/>
      </c>
      <c r="D78" s="19" t="str">
        <f>'Die Map'!D78</f>
        <v/>
      </c>
      <c r="E78" s="19" t="str">
        <f>'Die Map'!E78</f>
        <v/>
      </c>
      <c r="F78" s="20" t="str">
        <f>'Die Map'!F78</f>
        <v/>
      </c>
      <c r="G78" s="18" t="str">
        <f>'Die Map'!G78</f>
        <v/>
      </c>
      <c r="H78" s="19" t="str">
        <f>'Die Map'!H78</f>
        <v/>
      </c>
      <c r="I78" s="19" t="str">
        <f>'Die Map'!I78</f>
        <v/>
      </c>
      <c r="J78" s="19" t="str">
        <f>'Die Map'!J78</f>
        <v/>
      </c>
      <c r="K78" s="20" t="str">
        <f>'Die Map'!K78</f>
        <v/>
      </c>
      <c r="L78" s="18" t="str">
        <f>'Die Map'!L78</f>
        <v>DG012</v>
      </c>
      <c r="M78" s="19" t="str">
        <f>'Die Map'!M78</f>
        <v>DG013</v>
      </c>
      <c r="N78" s="19" t="str">
        <f>'Die Map'!N78</f>
        <v>DG014</v>
      </c>
      <c r="O78" s="19" t="str">
        <f>'Die Map'!O78</f>
        <v>DG015</v>
      </c>
      <c r="P78" s="20" t="str">
        <f>'Die Map'!P78</f>
        <v>DG016</v>
      </c>
      <c r="Q78" s="18" t="str">
        <f>'Die Map'!Q78</f>
        <v>DG017</v>
      </c>
      <c r="R78" s="19" t="str">
        <f>'Die Map'!R78</f>
        <v>DG018</v>
      </c>
      <c r="S78" s="19" t="str">
        <f>'Die Map'!S78</f>
        <v>DG019</v>
      </c>
      <c r="T78" s="19" t="str">
        <f>'Die Map'!T78</f>
        <v>DG021</v>
      </c>
      <c r="U78" s="20" t="str">
        <f>'Die Map'!U78</f>
        <v>DG022</v>
      </c>
      <c r="V78" s="18" t="str">
        <f>'Die Map'!V78</f>
        <v>DG023</v>
      </c>
      <c r="W78" s="19" t="str">
        <f>'Die Map'!W78</f>
        <v>DG024</v>
      </c>
      <c r="X78" s="19" t="str">
        <f>'Die Map'!X78</f>
        <v>DG025</v>
      </c>
      <c r="Y78" s="19" t="str">
        <f>'Die Map'!Y78</f>
        <v>DG026</v>
      </c>
      <c r="Z78" s="20" t="str">
        <f>'Die Map'!Z78</f>
        <v>DG027</v>
      </c>
      <c r="AA78" s="18" t="str">
        <f>'Die Map'!AA78</f>
        <v>DG028</v>
      </c>
      <c r="AB78" s="19" t="str">
        <f>'Die Map'!AB78</f>
        <v>DG029</v>
      </c>
      <c r="AC78" s="19" t="str">
        <f>'Die Map'!AC78</f>
        <v>DG031</v>
      </c>
      <c r="AD78" s="19" t="str">
        <f>'Die Map'!AD78</f>
        <v>DG032</v>
      </c>
      <c r="AE78" s="20" t="str">
        <f>'Die Map'!AE78</f>
        <v>DG033</v>
      </c>
      <c r="AF78" s="18" t="str">
        <f>'Die Map'!AF78</f>
        <v>DG034</v>
      </c>
      <c r="AG78" s="19" t="str">
        <f>'Die Map'!AG78</f>
        <v>DG035</v>
      </c>
      <c r="AH78" s="19" t="str">
        <f>'Die Map'!AH78</f>
        <v>DG036</v>
      </c>
      <c r="AI78" s="19" t="str">
        <f>'Die Map'!AI78</f>
        <v>DG037</v>
      </c>
      <c r="AJ78" s="20" t="str">
        <f>'Die Map'!AJ78</f>
        <v>DG038</v>
      </c>
      <c r="AK78" s="18" t="str">
        <f>'Die Map'!AK78</f>
        <v>DG039</v>
      </c>
      <c r="AL78" s="19" t="str">
        <f>'Die Map'!AL78</f>
        <v>DG041</v>
      </c>
      <c r="AM78" s="19" t="str">
        <f>'Die Map'!AM78</f>
        <v>DG042</v>
      </c>
      <c r="AN78" s="19" t="str">
        <f>'Die Map'!AN78</f>
        <v>DG043</v>
      </c>
      <c r="AO78" s="20" t="str">
        <f>'Die Map'!AO78</f>
        <v>DG044</v>
      </c>
      <c r="AP78" s="18" t="str">
        <f>'Die Map'!AP78</f>
        <v>DG045</v>
      </c>
      <c r="AQ78" s="19" t="str">
        <f>'Die Map'!AQ78</f>
        <v>DG046</v>
      </c>
      <c r="AR78" s="19" t="str">
        <f>'Die Map'!AR78</f>
        <v>DG047</v>
      </c>
      <c r="AS78" s="19" t="str">
        <f>'Die Map'!AS78</f>
        <v>DG048</v>
      </c>
      <c r="AT78" s="20" t="str">
        <f>'Die Map'!AT78</f>
        <v>DG049</v>
      </c>
      <c r="AU78" s="18" t="str">
        <f>'Die Map'!AU78</f>
        <v>DG051</v>
      </c>
      <c r="AV78" s="19" t="str">
        <f>'Die Map'!AV78</f>
        <v>DG052</v>
      </c>
      <c r="AW78" s="19" t="str">
        <f>'Die Map'!AW78</f>
        <v>DG053</v>
      </c>
      <c r="AX78" s="19" t="str">
        <f>'Die Map'!AX78</f>
        <v>DG054</v>
      </c>
      <c r="AY78" s="20" t="str">
        <f>'Die Map'!AY78</f>
        <v>DG055</v>
      </c>
      <c r="AZ78" s="18" t="str">
        <f>'Die Map'!AZ78</f>
        <v>DG056</v>
      </c>
      <c r="BA78" s="19" t="str">
        <f>'Die Map'!BA78</f>
        <v>DG057</v>
      </c>
      <c r="BB78" s="19" t="str">
        <f>'Die Map'!BB78</f>
        <v>DG058</v>
      </c>
      <c r="BC78" s="19" t="str">
        <f>'Die Map'!BC78</f>
        <v>DG059</v>
      </c>
      <c r="BD78" s="20" t="str">
        <f>'Die Map'!BD78</f>
        <v>DG061</v>
      </c>
      <c r="BE78" s="18" t="str">
        <f>'Die Map'!BE78</f>
        <v>DG062</v>
      </c>
      <c r="BF78" s="19" t="str">
        <f>'Die Map'!BF78</f>
        <v>DG063</v>
      </c>
      <c r="BG78" s="19" t="str">
        <f>'Die Map'!BG78</f>
        <v>DG064</v>
      </c>
      <c r="BH78" s="19" t="str">
        <f>'Die Map'!BH78</f>
        <v>DG065</v>
      </c>
      <c r="BI78" s="20" t="str">
        <f>'Die Map'!BI78</f>
        <v>DG066</v>
      </c>
      <c r="BJ78" s="18" t="str">
        <f>'Die Map'!BJ78</f>
        <v>DG067</v>
      </c>
      <c r="BK78" s="19" t="str">
        <f>'Die Map'!BK78</f>
        <v>DG068</v>
      </c>
      <c r="BL78" s="19" t="str">
        <f>'Die Map'!BL78</f>
        <v>DG069</v>
      </c>
      <c r="BM78" s="19" t="str">
        <f>'Die Map'!BM78</f>
        <v>DG071</v>
      </c>
      <c r="BN78" s="20" t="str">
        <f>'Die Map'!BN78</f>
        <v>DG072</v>
      </c>
      <c r="BO78" s="18" t="str">
        <f>'Die Map'!BO78</f>
        <v>DG073</v>
      </c>
      <c r="BP78" s="19" t="str">
        <f>'Die Map'!BP78</f>
        <v>DG074</v>
      </c>
      <c r="BQ78" s="19" t="str">
        <f>'Die Map'!BQ78</f>
        <v>DG075</v>
      </c>
      <c r="BR78" s="19" t="str">
        <f>'Die Map'!BR78</f>
        <v>DG076</v>
      </c>
      <c r="BS78" s="20" t="str">
        <f>'Die Map'!BS78</f>
        <v>DG077</v>
      </c>
      <c r="BT78" s="18" t="str">
        <f>'Die Map'!BT78</f>
        <v>DG078</v>
      </c>
      <c r="BU78" s="19" t="str">
        <f>'Die Map'!BU78</f>
        <v>DG079</v>
      </c>
      <c r="BV78" s="19" t="str">
        <f>'Die Map'!BV78</f>
        <v>DG081</v>
      </c>
      <c r="BW78" s="19" t="str">
        <f>'Die Map'!BW78</f>
        <v>DG082</v>
      </c>
      <c r="BX78" s="20" t="str">
        <f>'Die Map'!BX78</f>
        <v>DG083</v>
      </c>
      <c r="BY78" s="18" t="str">
        <f>'Die Map'!BY78</f>
        <v>DG084</v>
      </c>
      <c r="BZ78" s="19" t="str">
        <f>'Die Map'!BZ78</f>
        <v>DG085</v>
      </c>
      <c r="CA78" s="19" t="str">
        <f>'Die Map'!CA78</f>
        <v>DG086</v>
      </c>
      <c r="CB78" s="19" t="str">
        <f>'Die Map'!CB78</f>
        <v>DG087</v>
      </c>
      <c r="CC78" s="20" t="str">
        <f>'Die Map'!CC78</f>
        <v>DG088</v>
      </c>
      <c r="CD78" s="18" t="str">
        <f>'Die Map'!CD78</f>
        <v>DG089</v>
      </c>
      <c r="CE78" s="19" t="str">
        <f>'Die Map'!CE78</f>
        <v>DG091</v>
      </c>
      <c r="CF78" s="19" t="str">
        <f>'Die Map'!CF78</f>
        <v>DG092</v>
      </c>
      <c r="CG78" s="19" t="str">
        <f>'Die Map'!CG78</f>
        <v>DG093</v>
      </c>
      <c r="CH78" s="20" t="str">
        <f>'Die Map'!CH78</f>
        <v>DG094</v>
      </c>
      <c r="CI78" s="18" t="str">
        <f>'Die Map'!CI78</f>
        <v>DG095</v>
      </c>
      <c r="CJ78" s="19" t="str">
        <f>'Die Map'!CJ78</f>
        <v>DG096</v>
      </c>
      <c r="CK78" s="19" t="str">
        <f>'Die Map'!CK78</f>
        <v>DG097</v>
      </c>
      <c r="CL78" s="19" t="str">
        <f>'Die Map'!CL78</f>
        <v>DG098</v>
      </c>
      <c r="CM78" s="20" t="str">
        <f>'Die Map'!CM78</f>
        <v>DG099</v>
      </c>
      <c r="CN78" s="18" t="str">
        <f>'Die Map'!CN78</f>
        <v>DG101</v>
      </c>
      <c r="CO78" s="19" t="str">
        <f>'Die Map'!CO78</f>
        <v>DG102</v>
      </c>
      <c r="CP78" s="19" t="str">
        <f>'Die Map'!CP78</f>
        <v>DG103</v>
      </c>
      <c r="CQ78" s="19" t="str">
        <f>'Die Map'!CQ78</f>
        <v>DG104</v>
      </c>
      <c r="CR78" s="20" t="str">
        <f>'Die Map'!CR78</f>
        <v>DG105</v>
      </c>
      <c r="CS78" s="18" t="str">
        <f>'Die Map'!CS78</f>
        <v/>
      </c>
      <c r="CT78" s="19" t="str">
        <f>'Die Map'!CT78</f>
        <v/>
      </c>
      <c r="CU78" s="19" t="str">
        <f>'Die Map'!CU78</f>
        <v/>
      </c>
      <c r="CV78" s="19" t="str">
        <f>'Die Map'!CV78</f>
        <v/>
      </c>
      <c r="CW78" s="20" t="str">
        <f>'Die Map'!CW78</f>
        <v/>
      </c>
      <c r="CX78" s="18" t="str">
        <f>'Die Map'!CX78</f>
        <v/>
      </c>
      <c r="CY78" s="19" t="str">
        <f>'Die Map'!CY78</f>
        <v/>
      </c>
      <c r="CZ78" s="19" t="str">
        <f>'Die Map'!CZ78</f>
        <v/>
      </c>
      <c r="DA78" s="19" t="str">
        <f>'Die Map'!DA78</f>
        <v/>
      </c>
      <c r="DB78" s="20" t="str">
        <f>'Die Map'!DB78</f>
        <v/>
      </c>
    </row>
    <row r="79" spans="1:106" ht="12.75" customHeight="1" x14ac:dyDescent="0.25">
      <c r="A79" s="17">
        <v>77</v>
      </c>
      <c r="B79" s="21" t="str">
        <f>'Die Map'!B79</f>
        <v/>
      </c>
      <c r="C79" s="22" t="str">
        <f>'Die Map'!C79</f>
        <v/>
      </c>
      <c r="D79" s="22" t="str">
        <f>'Die Map'!D79</f>
        <v/>
      </c>
      <c r="E79" s="22" t="str">
        <f>'Die Map'!E79</f>
        <v/>
      </c>
      <c r="F79" s="23" t="str">
        <f>'Die Map'!F79</f>
        <v/>
      </c>
      <c r="G79" s="21" t="str">
        <f>'Die Map'!G79</f>
        <v/>
      </c>
      <c r="H79" s="22" t="str">
        <f>'Die Map'!H79</f>
        <v/>
      </c>
      <c r="I79" s="22" t="str">
        <f>'Die Map'!I79</f>
        <v/>
      </c>
      <c r="J79" s="22" t="str">
        <f>'Die Map'!J79</f>
        <v/>
      </c>
      <c r="K79" s="23" t="str">
        <f>'Die Map'!K79</f>
        <v/>
      </c>
      <c r="L79" s="21" t="str">
        <f>'Die Map'!L79</f>
        <v>DH012</v>
      </c>
      <c r="M79" s="22" t="str">
        <f>'Die Map'!M79</f>
        <v>DH013</v>
      </c>
      <c r="N79" s="22" t="str">
        <f>'Die Map'!N79</f>
        <v>DH014</v>
      </c>
      <c r="O79" s="22" t="str">
        <f>'Die Map'!O79</f>
        <v>DH015</v>
      </c>
      <c r="P79" s="23" t="str">
        <f>'Die Map'!P79</f>
        <v>DH016</v>
      </c>
      <c r="Q79" s="21" t="str">
        <f>'Die Map'!Q79</f>
        <v>DH017</v>
      </c>
      <c r="R79" s="22" t="str">
        <f>'Die Map'!R79</f>
        <v>DH018</v>
      </c>
      <c r="S79" s="22" t="str">
        <f>'Die Map'!S79</f>
        <v>DH019</v>
      </c>
      <c r="T79" s="22" t="str">
        <f>'Die Map'!T79</f>
        <v>DH021</v>
      </c>
      <c r="U79" s="23" t="str">
        <f>'Die Map'!U79</f>
        <v>DH022</v>
      </c>
      <c r="V79" s="21" t="str">
        <f>'Die Map'!V79</f>
        <v>DH023</v>
      </c>
      <c r="W79" s="22" t="str">
        <f>'Die Map'!W79</f>
        <v>DH024</v>
      </c>
      <c r="X79" s="22" t="str">
        <f>'Die Map'!X79</f>
        <v>DH025</v>
      </c>
      <c r="Y79" s="22" t="str">
        <f>'Die Map'!Y79</f>
        <v>DH026</v>
      </c>
      <c r="Z79" s="23" t="str">
        <f>'Die Map'!Z79</f>
        <v>DH027</v>
      </c>
      <c r="AA79" s="21" t="str">
        <f>'Die Map'!AA79</f>
        <v>DH028</v>
      </c>
      <c r="AB79" s="22" t="str">
        <f>'Die Map'!AB79</f>
        <v>DH029</v>
      </c>
      <c r="AC79" s="22" t="str">
        <f>'Die Map'!AC79</f>
        <v>DH031</v>
      </c>
      <c r="AD79" s="22" t="str">
        <f>'Die Map'!AD79</f>
        <v>DH032</v>
      </c>
      <c r="AE79" s="23" t="str">
        <f>'Die Map'!AE79</f>
        <v>DH033</v>
      </c>
      <c r="AF79" s="21" t="str">
        <f>'Die Map'!AF79</f>
        <v>DH034</v>
      </c>
      <c r="AG79" s="22" t="str">
        <f>'Die Map'!AG79</f>
        <v>DH035</v>
      </c>
      <c r="AH79" s="22" t="str">
        <f>'Die Map'!AH79</f>
        <v>DH036</v>
      </c>
      <c r="AI79" s="22" t="str">
        <f>'Die Map'!AI79</f>
        <v>DH037</v>
      </c>
      <c r="AJ79" s="23" t="str">
        <f>'Die Map'!AJ79</f>
        <v>DH038</v>
      </c>
      <c r="AK79" s="21" t="str">
        <f>'Die Map'!AK79</f>
        <v>DH039</v>
      </c>
      <c r="AL79" s="22" t="str">
        <f>'Die Map'!AL79</f>
        <v>DH041</v>
      </c>
      <c r="AM79" s="22" t="str">
        <f>'Die Map'!AM79</f>
        <v>DH042</v>
      </c>
      <c r="AN79" s="22" t="str">
        <f>'Die Map'!AN79</f>
        <v>DH043</v>
      </c>
      <c r="AO79" s="23" t="str">
        <f>'Die Map'!AO79</f>
        <v>DH044</v>
      </c>
      <c r="AP79" s="21" t="str">
        <f>'Die Map'!AP79</f>
        <v>DH045</v>
      </c>
      <c r="AQ79" s="22" t="str">
        <f>'Die Map'!AQ79</f>
        <v>DH046</v>
      </c>
      <c r="AR79" s="22" t="str">
        <f>'Die Map'!AR79</f>
        <v>DH047</v>
      </c>
      <c r="AS79" s="22" t="str">
        <f>'Die Map'!AS79</f>
        <v>DH048</v>
      </c>
      <c r="AT79" s="23" t="str">
        <f>'Die Map'!AT79</f>
        <v>DH049</v>
      </c>
      <c r="AU79" s="21" t="str">
        <f>'Die Map'!AU79</f>
        <v>DH051</v>
      </c>
      <c r="AV79" s="22" t="str">
        <f>'Die Map'!AV79</f>
        <v>DH052</v>
      </c>
      <c r="AW79" s="22" t="str">
        <f>'Die Map'!AW79</f>
        <v>DH053</v>
      </c>
      <c r="AX79" s="22" t="str">
        <f>'Die Map'!AX79</f>
        <v>DH054</v>
      </c>
      <c r="AY79" s="23" t="str">
        <f>'Die Map'!AY79</f>
        <v>DH055</v>
      </c>
      <c r="AZ79" s="21" t="str">
        <f>'Die Map'!AZ79</f>
        <v>DH056</v>
      </c>
      <c r="BA79" s="22" t="str">
        <f>'Die Map'!BA79</f>
        <v>DH057</v>
      </c>
      <c r="BB79" s="22" t="str">
        <f>'Die Map'!BB79</f>
        <v>DH058</v>
      </c>
      <c r="BC79" s="22" t="str">
        <f>'Die Map'!BC79</f>
        <v>DH059</v>
      </c>
      <c r="BD79" s="23" t="str">
        <f>'Die Map'!BD79</f>
        <v>DH061</v>
      </c>
      <c r="BE79" s="21" t="str">
        <f>'Die Map'!BE79</f>
        <v>DH062</v>
      </c>
      <c r="BF79" s="22" t="str">
        <f>'Die Map'!BF79</f>
        <v>DH063</v>
      </c>
      <c r="BG79" s="22" t="str">
        <f>'Die Map'!BG79</f>
        <v>DH064</v>
      </c>
      <c r="BH79" s="22" t="str">
        <f>'Die Map'!BH79</f>
        <v>DH065</v>
      </c>
      <c r="BI79" s="23" t="str">
        <f>'Die Map'!BI79</f>
        <v>DH066</v>
      </c>
      <c r="BJ79" s="21" t="str">
        <f>'Die Map'!BJ79</f>
        <v>DH067</v>
      </c>
      <c r="BK79" s="22" t="str">
        <f>'Die Map'!BK79</f>
        <v>DH068</v>
      </c>
      <c r="BL79" s="22" t="str">
        <f>'Die Map'!BL79</f>
        <v>DH069</v>
      </c>
      <c r="BM79" s="22" t="str">
        <f>'Die Map'!BM79</f>
        <v>DH071</v>
      </c>
      <c r="BN79" s="23" t="str">
        <f>'Die Map'!BN79</f>
        <v>DH072</v>
      </c>
      <c r="BO79" s="21" t="str">
        <f>'Die Map'!BO79</f>
        <v>DH073</v>
      </c>
      <c r="BP79" s="22" t="str">
        <f>'Die Map'!BP79</f>
        <v>DH074</v>
      </c>
      <c r="BQ79" s="22" t="str">
        <f>'Die Map'!BQ79</f>
        <v>DH075</v>
      </c>
      <c r="BR79" s="22" t="str">
        <f>'Die Map'!BR79</f>
        <v>DH076</v>
      </c>
      <c r="BS79" s="23" t="str">
        <f>'Die Map'!BS79</f>
        <v>DH077</v>
      </c>
      <c r="BT79" s="21" t="str">
        <f>'Die Map'!BT79</f>
        <v>DH078</v>
      </c>
      <c r="BU79" s="22" t="str">
        <f>'Die Map'!BU79</f>
        <v>DH079</v>
      </c>
      <c r="BV79" s="22" t="str">
        <f>'Die Map'!BV79</f>
        <v>DH081</v>
      </c>
      <c r="BW79" s="22" t="str">
        <f>'Die Map'!BW79</f>
        <v>DH082</v>
      </c>
      <c r="BX79" s="23" t="str">
        <f>'Die Map'!BX79</f>
        <v>DH083</v>
      </c>
      <c r="BY79" s="21" t="str">
        <f>'Die Map'!BY79</f>
        <v>DH084</v>
      </c>
      <c r="BZ79" s="22" t="str">
        <f>'Die Map'!BZ79</f>
        <v>DH085</v>
      </c>
      <c r="CA79" s="22" t="str">
        <f>'Die Map'!CA79</f>
        <v>DH086</v>
      </c>
      <c r="CB79" s="22" t="str">
        <f>'Die Map'!CB79</f>
        <v>DH087</v>
      </c>
      <c r="CC79" s="23" t="str">
        <f>'Die Map'!CC79</f>
        <v>DH088</v>
      </c>
      <c r="CD79" s="21" t="str">
        <f>'Die Map'!CD79</f>
        <v>DH089</v>
      </c>
      <c r="CE79" s="22" t="str">
        <f>'Die Map'!CE79</f>
        <v>DH091</v>
      </c>
      <c r="CF79" s="22" t="str">
        <f>'Die Map'!CF79</f>
        <v>DH092</v>
      </c>
      <c r="CG79" s="22" t="str">
        <f>'Die Map'!CG79</f>
        <v>DH093</v>
      </c>
      <c r="CH79" s="23" t="str">
        <f>'Die Map'!CH79</f>
        <v>DH094</v>
      </c>
      <c r="CI79" s="21" t="str">
        <f>'Die Map'!CI79</f>
        <v>DH095</v>
      </c>
      <c r="CJ79" s="22" t="str">
        <f>'Die Map'!CJ79</f>
        <v>DH096</v>
      </c>
      <c r="CK79" s="22" t="str">
        <f>'Die Map'!CK79</f>
        <v>DH097</v>
      </c>
      <c r="CL79" s="22" t="str">
        <f>'Die Map'!CL79</f>
        <v>DH098</v>
      </c>
      <c r="CM79" s="23" t="str">
        <f>'Die Map'!CM79</f>
        <v>DH099</v>
      </c>
      <c r="CN79" s="21" t="str">
        <f>'Die Map'!CN79</f>
        <v>DH101</v>
      </c>
      <c r="CO79" s="22" t="str">
        <f>'Die Map'!CO79</f>
        <v>DH102</v>
      </c>
      <c r="CP79" s="22" t="str">
        <f>'Die Map'!CP79</f>
        <v>DH103</v>
      </c>
      <c r="CQ79" s="22" t="str">
        <f>'Die Map'!CQ79</f>
        <v>DH104</v>
      </c>
      <c r="CR79" s="23" t="str">
        <f>'Die Map'!CR79</f>
        <v>DH105</v>
      </c>
      <c r="CS79" s="21" t="str">
        <f>'Die Map'!CS79</f>
        <v/>
      </c>
      <c r="CT79" s="22" t="str">
        <f>'Die Map'!CT79</f>
        <v/>
      </c>
      <c r="CU79" s="22" t="str">
        <f>'Die Map'!CU79</f>
        <v/>
      </c>
      <c r="CV79" s="22" t="str">
        <f>'Die Map'!CV79</f>
        <v/>
      </c>
      <c r="CW79" s="23" t="str">
        <f>'Die Map'!CW79</f>
        <v/>
      </c>
      <c r="CX79" s="21" t="str">
        <f>'Die Map'!CX79</f>
        <v/>
      </c>
      <c r="CY79" s="22" t="str">
        <f>'Die Map'!CY79</f>
        <v/>
      </c>
      <c r="CZ79" s="22" t="str">
        <f>'Die Map'!CZ79</f>
        <v/>
      </c>
      <c r="DA79" s="22" t="str">
        <f>'Die Map'!DA79</f>
        <v/>
      </c>
      <c r="DB79" s="23" t="str">
        <f>'Die Map'!DB79</f>
        <v/>
      </c>
    </row>
    <row r="80" spans="1:106" ht="12.75" customHeight="1" x14ac:dyDescent="0.25">
      <c r="A80" s="17">
        <v>78</v>
      </c>
      <c r="B80" s="21" t="str">
        <f>'Die Map'!B80</f>
        <v/>
      </c>
      <c r="C80" s="22" t="str">
        <f>'Die Map'!C80</f>
        <v/>
      </c>
      <c r="D80" s="22" t="str">
        <f>'Die Map'!D80</f>
        <v/>
      </c>
      <c r="E80" s="22" t="str">
        <f>'Die Map'!E80</f>
        <v/>
      </c>
      <c r="F80" s="23" t="str">
        <f>'Die Map'!F80</f>
        <v/>
      </c>
      <c r="G80" s="21" t="str">
        <f>'Die Map'!G80</f>
        <v/>
      </c>
      <c r="H80" s="22" t="str">
        <f>'Die Map'!H80</f>
        <v/>
      </c>
      <c r="I80" s="22" t="str">
        <f>'Die Map'!I80</f>
        <v/>
      </c>
      <c r="J80" s="22" t="str">
        <f>'Die Map'!J80</f>
        <v/>
      </c>
      <c r="K80" s="23" t="str">
        <f>'Die Map'!K80</f>
        <v/>
      </c>
      <c r="L80" s="21" t="str">
        <f>'Die Map'!L80</f>
        <v>DJ012</v>
      </c>
      <c r="M80" s="22" t="str">
        <f>'Die Map'!M80</f>
        <v>DJ013</v>
      </c>
      <c r="N80" s="22" t="str">
        <f>'Die Map'!N80</f>
        <v>DJ014</v>
      </c>
      <c r="O80" s="22" t="str">
        <f>'Die Map'!O80</f>
        <v>DJ015</v>
      </c>
      <c r="P80" s="23" t="str">
        <f>'Die Map'!P80</f>
        <v>DJ016</v>
      </c>
      <c r="Q80" s="21" t="str">
        <f>'Die Map'!Q80</f>
        <v>DJ017</v>
      </c>
      <c r="R80" s="22" t="str">
        <f>'Die Map'!R80</f>
        <v>DJ018</v>
      </c>
      <c r="S80" s="22" t="str">
        <f>'Die Map'!S80</f>
        <v>DJ019</v>
      </c>
      <c r="T80" s="22" t="str">
        <f>'Die Map'!T80</f>
        <v>DJ021</v>
      </c>
      <c r="U80" s="23" t="str">
        <f>'Die Map'!U80</f>
        <v>DJ022</v>
      </c>
      <c r="V80" s="21" t="str">
        <f>'Die Map'!V80</f>
        <v>DJ023</v>
      </c>
      <c r="W80" s="22" t="str">
        <f>'Die Map'!W80</f>
        <v>DJ024</v>
      </c>
      <c r="X80" s="22" t="str">
        <f>'Die Map'!X80</f>
        <v>DJ025</v>
      </c>
      <c r="Y80" s="22" t="str">
        <f>'Die Map'!Y80</f>
        <v>DJ026</v>
      </c>
      <c r="Z80" s="23" t="str">
        <f>'Die Map'!Z80</f>
        <v>DJ027</v>
      </c>
      <c r="AA80" s="21" t="str">
        <f>'Die Map'!AA80</f>
        <v>DJ028</v>
      </c>
      <c r="AB80" s="22" t="str">
        <f>'Die Map'!AB80</f>
        <v>DJ029</v>
      </c>
      <c r="AC80" s="22" t="str">
        <f>'Die Map'!AC80</f>
        <v>DJ031</v>
      </c>
      <c r="AD80" s="22" t="str">
        <f>'Die Map'!AD80</f>
        <v>DJ032</v>
      </c>
      <c r="AE80" s="23" t="str">
        <f>'Die Map'!AE80</f>
        <v>DJ033</v>
      </c>
      <c r="AF80" s="21" t="str">
        <f>'Die Map'!AF80</f>
        <v>DJ034</v>
      </c>
      <c r="AG80" s="22" t="str">
        <f>'Die Map'!AG80</f>
        <v>DJ035</v>
      </c>
      <c r="AH80" s="22" t="str">
        <f>'Die Map'!AH80</f>
        <v>DJ036</v>
      </c>
      <c r="AI80" s="22" t="str">
        <f>'Die Map'!AI80</f>
        <v>DJ037</v>
      </c>
      <c r="AJ80" s="23" t="str">
        <f>'Die Map'!AJ80</f>
        <v>DJ038</v>
      </c>
      <c r="AK80" s="21" t="str">
        <f>'Die Map'!AK80</f>
        <v>DJ039</v>
      </c>
      <c r="AL80" s="22" t="str">
        <f>'Die Map'!AL80</f>
        <v>DJ041</v>
      </c>
      <c r="AM80" s="22" t="str">
        <f>'Die Map'!AM80</f>
        <v>DJ042</v>
      </c>
      <c r="AN80" s="22" t="str">
        <f>'Die Map'!AN80</f>
        <v>DJ043</v>
      </c>
      <c r="AO80" s="23" t="str">
        <f>'Die Map'!AO80</f>
        <v>DJ044</v>
      </c>
      <c r="AP80" s="21" t="str">
        <f>'Die Map'!AP80</f>
        <v>DJ045</v>
      </c>
      <c r="AQ80" s="22" t="str">
        <f>'Die Map'!AQ80</f>
        <v>DJ046</v>
      </c>
      <c r="AR80" s="22" t="str">
        <f>'Die Map'!AR80</f>
        <v>DJ047</v>
      </c>
      <c r="AS80" s="22" t="str">
        <f>'Die Map'!AS80</f>
        <v>DJ048</v>
      </c>
      <c r="AT80" s="23" t="str">
        <f>'Die Map'!AT80</f>
        <v>DJ049</v>
      </c>
      <c r="AU80" s="21" t="str">
        <f>'Die Map'!AU80</f>
        <v>DJ051</v>
      </c>
      <c r="AV80" s="22" t="str">
        <f>'Die Map'!AV80</f>
        <v>DJ052</v>
      </c>
      <c r="AW80" s="22" t="str">
        <f>'Die Map'!AW80</f>
        <v>DJ053</v>
      </c>
      <c r="AX80" s="22" t="str">
        <f>'Die Map'!AX80</f>
        <v>DJ054</v>
      </c>
      <c r="AY80" s="23" t="str">
        <f>'Die Map'!AY80</f>
        <v>DJ055</v>
      </c>
      <c r="AZ80" s="21" t="str">
        <f>'Die Map'!AZ80</f>
        <v>DJ056</v>
      </c>
      <c r="BA80" s="22" t="str">
        <f>'Die Map'!BA80</f>
        <v>DJ057</v>
      </c>
      <c r="BB80" s="22" t="str">
        <f>'Die Map'!BB80</f>
        <v>DJ058</v>
      </c>
      <c r="BC80" s="22" t="str">
        <f>'Die Map'!BC80</f>
        <v>DJ059</v>
      </c>
      <c r="BD80" s="23" t="str">
        <f>'Die Map'!BD80</f>
        <v>DJ061</v>
      </c>
      <c r="BE80" s="21" t="str">
        <f>'Die Map'!BE80</f>
        <v>DJ062</v>
      </c>
      <c r="BF80" s="22" t="str">
        <f>'Die Map'!BF80</f>
        <v>DJ063</v>
      </c>
      <c r="BG80" s="22" t="str">
        <f>'Die Map'!BG80</f>
        <v>DJ064</v>
      </c>
      <c r="BH80" s="22" t="str">
        <f>'Die Map'!BH80</f>
        <v>DJ065</v>
      </c>
      <c r="BI80" s="23" t="str">
        <f>'Die Map'!BI80</f>
        <v>DJ066</v>
      </c>
      <c r="BJ80" s="21" t="str">
        <f>'Die Map'!BJ80</f>
        <v>DJ067</v>
      </c>
      <c r="BK80" s="22" t="str">
        <f>'Die Map'!BK80</f>
        <v>DJ068</v>
      </c>
      <c r="BL80" s="22" t="str">
        <f>'Die Map'!BL80</f>
        <v>DJ069</v>
      </c>
      <c r="BM80" s="22" t="str">
        <f>'Die Map'!BM80</f>
        <v>DJ071</v>
      </c>
      <c r="BN80" s="23" t="str">
        <f>'Die Map'!BN80</f>
        <v>DJ072</v>
      </c>
      <c r="BO80" s="21" t="str">
        <f>'Die Map'!BO80</f>
        <v>DJ073</v>
      </c>
      <c r="BP80" s="22" t="str">
        <f>'Die Map'!BP80</f>
        <v>DJ074</v>
      </c>
      <c r="BQ80" s="22" t="str">
        <f>'Die Map'!BQ80</f>
        <v>DJ075</v>
      </c>
      <c r="BR80" s="22" t="str">
        <f>'Die Map'!BR80</f>
        <v>DJ076</v>
      </c>
      <c r="BS80" s="23" t="str">
        <f>'Die Map'!BS80</f>
        <v>DJ077</v>
      </c>
      <c r="BT80" s="21" t="str">
        <f>'Die Map'!BT80</f>
        <v>DJ078</v>
      </c>
      <c r="BU80" s="22" t="str">
        <f>'Die Map'!BU80</f>
        <v>DJ079</v>
      </c>
      <c r="BV80" s="22" t="str">
        <f>'Die Map'!BV80</f>
        <v>DJ081</v>
      </c>
      <c r="BW80" s="22" t="str">
        <f>'Die Map'!BW80</f>
        <v>DJ082</v>
      </c>
      <c r="BX80" s="23" t="str">
        <f>'Die Map'!BX80</f>
        <v>DJ083</v>
      </c>
      <c r="BY80" s="21" t="str">
        <f>'Die Map'!BY80</f>
        <v>DJ084</v>
      </c>
      <c r="BZ80" s="22" t="str">
        <f>'Die Map'!BZ80</f>
        <v>DJ085</v>
      </c>
      <c r="CA80" s="22" t="str">
        <f>'Die Map'!CA80</f>
        <v>DJ086</v>
      </c>
      <c r="CB80" s="22" t="str">
        <f>'Die Map'!CB80</f>
        <v>DJ087</v>
      </c>
      <c r="CC80" s="23" t="str">
        <f>'Die Map'!CC80</f>
        <v>DJ088</v>
      </c>
      <c r="CD80" s="21" t="str">
        <f>'Die Map'!CD80</f>
        <v>DJ089</v>
      </c>
      <c r="CE80" s="22" t="str">
        <f>'Die Map'!CE80</f>
        <v>DJ091</v>
      </c>
      <c r="CF80" s="22" t="str">
        <f>'Die Map'!CF80</f>
        <v>DJ092</v>
      </c>
      <c r="CG80" s="22" t="str">
        <f>'Die Map'!CG80</f>
        <v>DJ093</v>
      </c>
      <c r="CH80" s="23" t="str">
        <f>'Die Map'!CH80</f>
        <v>DJ094</v>
      </c>
      <c r="CI80" s="21" t="str">
        <f>'Die Map'!CI80</f>
        <v>DJ095</v>
      </c>
      <c r="CJ80" s="22" t="str">
        <f>'Die Map'!CJ80</f>
        <v>DJ096</v>
      </c>
      <c r="CK80" s="22" t="str">
        <f>'Die Map'!CK80</f>
        <v>DJ097</v>
      </c>
      <c r="CL80" s="22" t="str">
        <f>'Die Map'!CL80</f>
        <v>DJ098</v>
      </c>
      <c r="CM80" s="23" t="str">
        <f>'Die Map'!CM80</f>
        <v>DJ099</v>
      </c>
      <c r="CN80" s="21" t="str">
        <f>'Die Map'!CN80</f>
        <v>DJ101</v>
      </c>
      <c r="CO80" s="22" t="str">
        <f>'Die Map'!CO80</f>
        <v>DJ102</v>
      </c>
      <c r="CP80" s="22" t="str">
        <f>'Die Map'!CP80</f>
        <v>DJ103</v>
      </c>
      <c r="CQ80" s="22" t="str">
        <f>'Die Map'!CQ80</f>
        <v>DJ104</v>
      </c>
      <c r="CR80" s="23" t="str">
        <f>'Die Map'!CR80</f>
        <v>DJ105</v>
      </c>
      <c r="CS80" s="21" t="str">
        <f>'Die Map'!CS80</f>
        <v/>
      </c>
      <c r="CT80" s="22" t="str">
        <f>'Die Map'!CT80</f>
        <v/>
      </c>
      <c r="CU80" s="22" t="str">
        <f>'Die Map'!CU80</f>
        <v/>
      </c>
      <c r="CV80" s="22" t="str">
        <f>'Die Map'!CV80</f>
        <v/>
      </c>
      <c r="CW80" s="23" t="str">
        <f>'Die Map'!CW80</f>
        <v/>
      </c>
      <c r="CX80" s="21" t="str">
        <f>'Die Map'!CX80</f>
        <v/>
      </c>
      <c r="CY80" s="22" t="str">
        <f>'Die Map'!CY80</f>
        <v/>
      </c>
      <c r="CZ80" s="22" t="str">
        <f>'Die Map'!CZ80</f>
        <v/>
      </c>
      <c r="DA80" s="22" t="str">
        <f>'Die Map'!DA80</f>
        <v/>
      </c>
      <c r="DB80" s="23" t="str">
        <f>'Die Map'!DB80</f>
        <v/>
      </c>
    </row>
    <row r="81" spans="1:106" ht="12.75" customHeight="1" x14ac:dyDescent="0.25">
      <c r="A81" s="17">
        <v>79</v>
      </c>
      <c r="B81" s="21" t="str">
        <f>'Die Map'!B81</f>
        <v/>
      </c>
      <c r="C81" s="22" t="str">
        <f>'Die Map'!C81</f>
        <v/>
      </c>
      <c r="D81" s="22" t="str">
        <f>'Die Map'!D81</f>
        <v/>
      </c>
      <c r="E81" s="22" t="str">
        <f>'Die Map'!E81</f>
        <v/>
      </c>
      <c r="F81" s="23" t="str">
        <f>'Die Map'!F81</f>
        <v/>
      </c>
      <c r="G81" s="21" t="str">
        <f>'Die Map'!G81</f>
        <v/>
      </c>
      <c r="H81" s="22" t="str">
        <f>'Die Map'!H81</f>
        <v/>
      </c>
      <c r="I81" s="22" t="str">
        <f>'Die Map'!I81</f>
        <v/>
      </c>
      <c r="J81" s="22" t="str">
        <f>'Die Map'!J81</f>
        <v/>
      </c>
      <c r="K81" s="23" t="str">
        <f>'Die Map'!K81</f>
        <v/>
      </c>
      <c r="L81" s="21" t="str">
        <f>'Die Map'!L81</f>
        <v>DK012</v>
      </c>
      <c r="M81" s="22" t="str">
        <f>'Die Map'!M81</f>
        <v>DK013</v>
      </c>
      <c r="N81" s="22" t="str">
        <f>'Die Map'!N81</f>
        <v>DK014</v>
      </c>
      <c r="O81" s="22" t="str">
        <f>'Die Map'!O81</f>
        <v>DK015</v>
      </c>
      <c r="P81" s="23" t="str">
        <f>'Die Map'!P81</f>
        <v>DK016</v>
      </c>
      <c r="Q81" s="21" t="str">
        <f>'Die Map'!Q81</f>
        <v>DK017</v>
      </c>
      <c r="R81" s="22" t="str">
        <f>'Die Map'!R81</f>
        <v>DK018</v>
      </c>
      <c r="S81" s="22" t="str">
        <f>'Die Map'!S81</f>
        <v>DK019</v>
      </c>
      <c r="T81" s="22" t="str">
        <f>'Die Map'!T81</f>
        <v>DK021</v>
      </c>
      <c r="U81" s="23" t="str">
        <f>'Die Map'!U81</f>
        <v>DK022</v>
      </c>
      <c r="V81" s="21" t="str">
        <f>'Die Map'!V81</f>
        <v>DK023</v>
      </c>
      <c r="W81" s="22" t="str">
        <f>'Die Map'!W81</f>
        <v>DK024</v>
      </c>
      <c r="X81" s="22" t="str">
        <f>'Die Map'!X81</f>
        <v>DK025</v>
      </c>
      <c r="Y81" s="22" t="str">
        <f>'Die Map'!Y81</f>
        <v>DK026</v>
      </c>
      <c r="Z81" s="23" t="str">
        <f>'Die Map'!Z81</f>
        <v>DK027</v>
      </c>
      <c r="AA81" s="21" t="str">
        <f>'Die Map'!AA81</f>
        <v>DK028</v>
      </c>
      <c r="AB81" s="22" t="str">
        <f>'Die Map'!AB81</f>
        <v>DK029</v>
      </c>
      <c r="AC81" s="22" t="str">
        <f>'Die Map'!AC81</f>
        <v>DK031</v>
      </c>
      <c r="AD81" s="22" t="str">
        <f>'Die Map'!AD81</f>
        <v>DK032</v>
      </c>
      <c r="AE81" s="23" t="str">
        <f>'Die Map'!AE81</f>
        <v>DK033</v>
      </c>
      <c r="AF81" s="21" t="str">
        <f>'Die Map'!AF81</f>
        <v>DK034</v>
      </c>
      <c r="AG81" s="22" t="str">
        <f>'Die Map'!AG81</f>
        <v>DK035</v>
      </c>
      <c r="AH81" s="22" t="str">
        <f>'Die Map'!AH81</f>
        <v>DK036</v>
      </c>
      <c r="AI81" s="22" t="str">
        <f>'Die Map'!AI81</f>
        <v>DK037</v>
      </c>
      <c r="AJ81" s="23" t="str">
        <f>'Die Map'!AJ81</f>
        <v>DK038</v>
      </c>
      <c r="AK81" s="21" t="str">
        <f>'Die Map'!AK81</f>
        <v>DK039</v>
      </c>
      <c r="AL81" s="22" t="str">
        <f>'Die Map'!AL81</f>
        <v>DK041</v>
      </c>
      <c r="AM81" s="22" t="str">
        <f>'Die Map'!AM81</f>
        <v>DK042</v>
      </c>
      <c r="AN81" s="22" t="str">
        <f>'Die Map'!AN81</f>
        <v>DK043</v>
      </c>
      <c r="AO81" s="23" t="str">
        <f>'Die Map'!AO81</f>
        <v>DK044</v>
      </c>
      <c r="AP81" s="21" t="str">
        <f>'Die Map'!AP81</f>
        <v>DK045</v>
      </c>
      <c r="AQ81" s="22" t="str">
        <f>'Die Map'!AQ81</f>
        <v>DK046</v>
      </c>
      <c r="AR81" s="22" t="str">
        <f>'Die Map'!AR81</f>
        <v>DK047</v>
      </c>
      <c r="AS81" s="22" t="str">
        <f>'Die Map'!AS81</f>
        <v>DK048</v>
      </c>
      <c r="AT81" s="23" t="str">
        <f>'Die Map'!AT81</f>
        <v>DK049</v>
      </c>
      <c r="AU81" s="21" t="str">
        <f>'Die Map'!AU81</f>
        <v>DK051</v>
      </c>
      <c r="AV81" s="22" t="str">
        <f>'Die Map'!AV81</f>
        <v>DK052</v>
      </c>
      <c r="AW81" s="22" t="str">
        <f>'Die Map'!AW81</f>
        <v>DK053</v>
      </c>
      <c r="AX81" s="22" t="str">
        <f>'Die Map'!AX81</f>
        <v>DK054</v>
      </c>
      <c r="AY81" s="23" t="str">
        <f>'Die Map'!AY81</f>
        <v>DK055</v>
      </c>
      <c r="AZ81" s="21" t="str">
        <f>'Die Map'!AZ81</f>
        <v>DK056</v>
      </c>
      <c r="BA81" s="22" t="str">
        <f>'Die Map'!BA81</f>
        <v>DK057</v>
      </c>
      <c r="BB81" s="22" t="str">
        <f>'Die Map'!BB81</f>
        <v>DK058</v>
      </c>
      <c r="BC81" s="22" t="str">
        <f>'Die Map'!BC81</f>
        <v>DK059</v>
      </c>
      <c r="BD81" s="23" t="str">
        <f>'Die Map'!BD81</f>
        <v>DK061</v>
      </c>
      <c r="BE81" s="21" t="str">
        <f>'Die Map'!BE81</f>
        <v>DK062</v>
      </c>
      <c r="BF81" s="22" t="str">
        <f>'Die Map'!BF81</f>
        <v>DK063</v>
      </c>
      <c r="BG81" s="22" t="str">
        <f>'Die Map'!BG81</f>
        <v>DK064</v>
      </c>
      <c r="BH81" s="22" t="str">
        <f>'Die Map'!BH81</f>
        <v>DK065</v>
      </c>
      <c r="BI81" s="23" t="str">
        <f>'Die Map'!BI81</f>
        <v>DK066</v>
      </c>
      <c r="BJ81" s="21" t="str">
        <f>'Die Map'!BJ81</f>
        <v>DK067</v>
      </c>
      <c r="BK81" s="22" t="str">
        <f>'Die Map'!BK81</f>
        <v>DK068</v>
      </c>
      <c r="BL81" s="22" t="str">
        <f>'Die Map'!BL81</f>
        <v>DK069</v>
      </c>
      <c r="BM81" s="22" t="str">
        <f>'Die Map'!BM81</f>
        <v>DK071</v>
      </c>
      <c r="BN81" s="23" t="str">
        <f>'Die Map'!BN81</f>
        <v>DK072</v>
      </c>
      <c r="BO81" s="21" t="str">
        <f>'Die Map'!BO81</f>
        <v>DK073</v>
      </c>
      <c r="BP81" s="22" t="str">
        <f>'Die Map'!BP81</f>
        <v>DK074</v>
      </c>
      <c r="BQ81" s="22" t="str">
        <f>'Die Map'!BQ81</f>
        <v>DK075</v>
      </c>
      <c r="BR81" s="22" t="str">
        <f>'Die Map'!BR81</f>
        <v>DK076</v>
      </c>
      <c r="BS81" s="23" t="str">
        <f>'Die Map'!BS81</f>
        <v>DK077</v>
      </c>
      <c r="BT81" s="21" t="str">
        <f>'Die Map'!BT81</f>
        <v>DK078</v>
      </c>
      <c r="BU81" s="22" t="str">
        <f>'Die Map'!BU81</f>
        <v>DK079</v>
      </c>
      <c r="BV81" s="22" t="str">
        <f>'Die Map'!BV81</f>
        <v>DK081</v>
      </c>
      <c r="BW81" s="22" t="str">
        <f>'Die Map'!BW81</f>
        <v>DK082</v>
      </c>
      <c r="BX81" s="23" t="str">
        <f>'Die Map'!BX81</f>
        <v>DK083</v>
      </c>
      <c r="BY81" s="21" t="str">
        <f>'Die Map'!BY81</f>
        <v>DK084</v>
      </c>
      <c r="BZ81" s="22" t="str">
        <f>'Die Map'!BZ81</f>
        <v>DK085</v>
      </c>
      <c r="CA81" s="22" t="str">
        <f>'Die Map'!CA81</f>
        <v>DK086</v>
      </c>
      <c r="CB81" s="22" t="str">
        <f>'Die Map'!CB81</f>
        <v>DK087</v>
      </c>
      <c r="CC81" s="23" t="str">
        <f>'Die Map'!CC81</f>
        <v>DK088</v>
      </c>
      <c r="CD81" s="21" t="str">
        <f>'Die Map'!CD81</f>
        <v>DK089</v>
      </c>
      <c r="CE81" s="22" t="str">
        <f>'Die Map'!CE81</f>
        <v>DK091</v>
      </c>
      <c r="CF81" s="22" t="str">
        <f>'Die Map'!CF81</f>
        <v>DK092</v>
      </c>
      <c r="CG81" s="22" t="str">
        <f>'Die Map'!CG81</f>
        <v>DK093</v>
      </c>
      <c r="CH81" s="23" t="str">
        <f>'Die Map'!CH81</f>
        <v>DK094</v>
      </c>
      <c r="CI81" s="21" t="str">
        <f>'Die Map'!CI81</f>
        <v>DK095</v>
      </c>
      <c r="CJ81" s="22" t="str">
        <f>'Die Map'!CJ81</f>
        <v>DK096</v>
      </c>
      <c r="CK81" s="22" t="str">
        <f>'Die Map'!CK81</f>
        <v>DK097</v>
      </c>
      <c r="CL81" s="22" t="str">
        <f>'Die Map'!CL81</f>
        <v>DK098</v>
      </c>
      <c r="CM81" s="23" t="str">
        <f>'Die Map'!CM81</f>
        <v>DK099</v>
      </c>
      <c r="CN81" s="21" t="str">
        <f>'Die Map'!CN81</f>
        <v>DK101</v>
      </c>
      <c r="CO81" s="22" t="str">
        <f>'Die Map'!CO81</f>
        <v>DK102</v>
      </c>
      <c r="CP81" s="22" t="str">
        <f>'Die Map'!CP81</f>
        <v>DK103</v>
      </c>
      <c r="CQ81" s="22" t="str">
        <f>'Die Map'!CQ81</f>
        <v>DK104</v>
      </c>
      <c r="CR81" s="23" t="str">
        <f>'Die Map'!CR81</f>
        <v>DK105</v>
      </c>
      <c r="CS81" s="21" t="str">
        <f>'Die Map'!CS81</f>
        <v/>
      </c>
      <c r="CT81" s="22" t="str">
        <f>'Die Map'!CT81</f>
        <v/>
      </c>
      <c r="CU81" s="22" t="str">
        <f>'Die Map'!CU81</f>
        <v/>
      </c>
      <c r="CV81" s="22" t="str">
        <f>'Die Map'!CV81</f>
        <v/>
      </c>
      <c r="CW81" s="23" t="str">
        <f>'Die Map'!CW81</f>
        <v/>
      </c>
      <c r="CX81" s="21" t="str">
        <f>'Die Map'!CX81</f>
        <v/>
      </c>
      <c r="CY81" s="22" t="str">
        <f>'Die Map'!CY81</f>
        <v/>
      </c>
      <c r="CZ81" s="22" t="str">
        <f>'Die Map'!CZ81</f>
        <v/>
      </c>
      <c r="DA81" s="22" t="str">
        <f>'Die Map'!DA81</f>
        <v/>
      </c>
      <c r="DB81" s="23" t="str">
        <f>'Die Map'!DB81</f>
        <v/>
      </c>
    </row>
    <row r="82" spans="1:106" ht="12.75" customHeight="1" x14ac:dyDescent="0.25">
      <c r="A82" s="17">
        <v>80</v>
      </c>
      <c r="B82" s="24" t="str">
        <f>'Die Map'!B82</f>
        <v/>
      </c>
      <c r="C82" s="25" t="str">
        <f>'Die Map'!C82</f>
        <v/>
      </c>
      <c r="D82" s="25" t="str">
        <f>'Die Map'!D82</f>
        <v/>
      </c>
      <c r="E82" s="25" t="str">
        <f>'Die Map'!E82</f>
        <v/>
      </c>
      <c r="F82" s="26" t="str">
        <f>'Die Map'!F82</f>
        <v/>
      </c>
      <c r="G82" s="24" t="str">
        <f>'Die Map'!G82</f>
        <v/>
      </c>
      <c r="H82" s="25" t="str">
        <f>'Die Map'!H82</f>
        <v/>
      </c>
      <c r="I82" s="25" t="str">
        <f>'Die Map'!I82</f>
        <v/>
      </c>
      <c r="J82" s="25" t="str">
        <f>'Die Map'!J82</f>
        <v/>
      </c>
      <c r="K82" s="26" t="str">
        <f>'Die Map'!K82</f>
        <v/>
      </c>
      <c r="L82" s="24" t="str">
        <f>'Die Map'!L82</f>
        <v>DL012</v>
      </c>
      <c r="M82" s="25" t="str">
        <f>'Die Map'!M82</f>
        <v>DL013</v>
      </c>
      <c r="N82" s="25" t="str">
        <f>'Die Map'!N82</f>
        <v>DL014</v>
      </c>
      <c r="O82" s="25" t="str">
        <f>'Die Map'!O82</f>
        <v>DL015</v>
      </c>
      <c r="P82" s="26" t="str">
        <f>'Die Map'!P82</f>
        <v>DL016</v>
      </c>
      <c r="Q82" s="24" t="str">
        <f>'Die Map'!Q82</f>
        <v>DL017</v>
      </c>
      <c r="R82" s="25" t="str">
        <f>'Die Map'!R82</f>
        <v>DL018</v>
      </c>
      <c r="S82" s="25" t="str">
        <f>'Die Map'!S82</f>
        <v>DL019</v>
      </c>
      <c r="T82" s="25" t="str">
        <f>'Die Map'!T82</f>
        <v>DL021</v>
      </c>
      <c r="U82" s="26" t="str">
        <f>'Die Map'!U82</f>
        <v>DL022</v>
      </c>
      <c r="V82" s="24" t="str">
        <f>'Die Map'!V82</f>
        <v>DL023</v>
      </c>
      <c r="W82" s="25" t="str">
        <f>'Die Map'!W82</f>
        <v>DL024</v>
      </c>
      <c r="X82" s="25" t="str">
        <f>'Die Map'!X82</f>
        <v>DL025</v>
      </c>
      <c r="Y82" s="25" t="str">
        <f>'Die Map'!Y82</f>
        <v>DL026</v>
      </c>
      <c r="Z82" s="26" t="str">
        <f>'Die Map'!Z82</f>
        <v>DL027</v>
      </c>
      <c r="AA82" s="24" t="str">
        <f>'Die Map'!AA82</f>
        <v>DL028</v>
      </c>
      <c r="AB82" s="25" t="str">
        <f>'Die Map'!AB82</f>
        <v>DL029</v>
      </c>
      <c r="AC82" s="25" t="str">
        <f>'Die Map'!AC82</f>
        <v>DL031</v>
      </c>
      <c r="AD82" s="25" t="str">
        <f>'Die Map'!AD82</f>
        <v>DL032</v>
      </c>
      <c r="AE82" s="26" t="str">
        <f>'Die Map'!AE82</f>
        <v>DL033</v>
      </c>
      <c r="AF82" s="24" t="str">
        <f>'Die Map'!AF82</f>
        <v>DL034</v>
      </c>
      <c r="AG82" s="25" t="str">
        <f>'Die Map'!AG82</f>
        <v>DL035</v>
      </c>
      <c r="AH82" s="25" t="str">
        <f>'Die Map'!AH82</f>
        <v>DL036</v>
      </c>
      <c r="AI82" s="25" t="str">
        <f>'Die Map'!AI82</f>
        <v>DL037</v>
      </c>
      <c r="AJ82" s="26" t="str">
        <f>'Die Map'!AJ82</f>
        <v>DL038</v>
      </c>
      <c r="AK82" s="24" t="str">
        <f>'Die Map'!AK82</f>
        <v>DL039</v>
      </c>
      <c r="AL82" s="25" t="str">
        <f>'Die Map'!AL82</f>
        <v>DL041</v>
      </c>
      <c r="AM82" s="25" t="str">
        <f>'Die Map'!AM82</f>
        <v>DL042</v>
      </c>
      <c r="AN82" s="25" t="str">
        <f>'Die Map'!AN82</f>
        <v>DL043</v>
      </c>
      <c r="AO82" s="26" t="str">
        <f>'Die Map'!AO82</f>
        <v>DL044</v>
      </c>
      <c r="AP82" s="24" t="str">
        <f>'Die Map'!AP82</f>
        <v>DL045</v>
      </c>
      <c r="AQ82" s="25" t="str">
        <f>'Die Map'!AQ82</f>
        <v>DL046</v>
      </c>
      <c r="AR82" s="25" t="str">
        <f>'Die Map'!AR82</f>
        <v>DL047</v>
      </c>
      <c r="AS82" s="25" t="str">
        <f>'Die Map'!AS82</f>
        <v>DL048</v>
      </c>
      <c r="AT82" s="26" t="str">
        <f>'Die Map'!AT82</f>
        <v>DL049</v>
      </c>
      <c r="AU82" s="24" t="str">
        <f>'Die Map'!AU82</f>
        <v>DL051</v>
      </c>
      <c r="AV82" s="25" t="str">
        <f>'Die Map'!AV82</f>
        <v>DL052</v>
      </c>
      <c r="AW82" s="25" t="str">
        <f>'Die Map'!AW82</f>
        <v>DL053</v>
      </c>
      <c r="AX82" s="25" t="str">
        <f>'Die Map'!AX82</f>
        <v>DL054</v>
      </c>
      <c r="AY82" s="26" t="str">
        <f>'Die Map'!AY82</f>
        <v>DL055</v>
      </c>
      <c r="AZ82" s="24" t="str">
        <f>'Die Map'!AZ82</f>
        <v>DL056</v>
      </c>
      <c r="BA82" s="25" t="str">
        <f>'Die Map'!BA82</f>
        <v>DL057</v>
      </c>
      <c r="BB82" s="25" t="str">
        <f>'Die Map'!BB82</f>
        <v>DL058</v>
      </c>
      <c r="BC82" s="25" t="str">
        <f>'Die Map'!BC82</f>
        <v>DL059</v>
      </c>
      <c r="BD82" s="26" t="str">
        <f>'Die Map'!BD82</f>
        <v>DL061</v>
      </c>
      <c r="BE82" s="24" t="str">
        <f>'Die Map'!BE82</f>
        <v>DL062</v>
      </c>
      <c r="BF82" s="25" t="str">
        <f>'Die Map'!BF82</f>
        <v>DL063</v>
      </c>
      <c r="BG82" s="25" t="str">
        <f>'Die Map'!BG82</f>
        <v>DL064</v>
      </c>
      <c r="BH82" s="25" t="str">
        <f>'Die Map'!BH82</f>
        <v>DL065</v>
      </c>
      <c r="BI82" s="26" t="str">
        <f>'Die Map'!BI82</f>
        <v>DL066</v>
      </c>
      <c r="BJ82" s="24" t="str">
        <f>'Die Map'!BJ82</f>
        <v>DL067</v>
      </c>
      <c r="BK82" s="25" t="str">
        <f>'Die Map'!BK82</f>
        <v>DL068</v>
      </c>
      <c r="BL82" s="25" t="str">
        <f>'Die Map'!BL82</f>
        <v>DL069</v>
      </c>
      <c r="BM82" s="25" t="str">
        <f>'Die Map'!BM82</f>
        <v>DL071</v>
      </c>
      <c r="BN82" s="26" t="str">
        <f>'Die Map'!BN82</f>
        <v>DL072</v>
      </c>
      <c r="BO82" s="24" t="str">
        <f>'Die Map'!BO82</f>
        <v>DL073</v>
      </c>
      <c r="BP82" s="25" t="str">
        <f>'Die Map'!BP82</f>
        <v>DL074</v>
      </c>
      <c r="BQ82" s="25" t="str">
        <f>'Die Map'!BQ82</f>
        <v>DL075</v>
      </c>
      <c r="BR82" s="25" t="str">
        <f>'Die Map'!BR82</f>
        <v>DL076</v>
      </c>
      <c r="BS82" s="26" t="str">
        <f>'Die Map'!BS82</f>
        <v>DL077</v>
      </c>
      <c r="BT82" s="24" t="str">
        <f>'Die Map'!BT82</f>
        <v>DL078</v>
      </c>
      <c r="BU82" s="25" t="str">
        <f>'Die Map'!BU82</f>
        <v>DL079</v>
      </c>
      <c r="BV82" s="25" t="str">
        <f>'Die Map'!BV82</f>
        <v>DL081</v>
      </c>
      <c r="BW82" s="25" t="str">
        <f>'Die Map'!BW82</f>
        <v>DL082</v>
      </c>
      <c r="BX82" s="26" t="str">
        <f>'Die Map'!BX82</f>
        <v>DL083</v>
      </c>
      <c r="BY82" s="24" t="str">
        <f>'Die Map'!BY82</f>
        <v>DL084</v>
      </c>
      <c r="BZ82" s="25" t="str">
        <f>'Die Map'!BZ82</f>
        <v>DL085</v>
      </c>
      <c r="CA82" s="25" t="str">
        <f>'Die Map'!CA82</f>
        <v>DL086</v>
      </c>
      <c r="CB82" s="25" t="str">
        <f>'Die Map'!CB82</f>
        <v>DL087</v>
      </c>
      <c r="CC82" s="26" t="str">
        <f>'Die Map'!CC82</f>
        <v>DL088</v>
      </c>
      <c r="CD82" s="24" t="str">
        <f>'Die Map'!CD82</f>
        <v>DL089</v>
      </c>
      <c r="CE82" s="25" t="str">
        <f>'Die Map'!CE82</f>
        <v>DL091</v>
      </c>
      <c r="CF82" s="25" t="str">
        <f>'Die Map'!CF82</f>
        <v>DL092</v>
      </c>
      <c r="CG82" s="25" t="str">
        <f>'Die Map'!CG82</f>
        <v>DL093</v>
      </c>
      <c r="CH82" s="26" t="str">
        <f>'Die Map'!CH82</f>
        <v>DL094</v>
      </c>
      <c r="CI82" s="24" t="str">
        <f>'Die Map'!CI82</f>
        <v>DL095</v>
      </c>
      <c r="CJ82" s="25" t="str">
        <f>'Die Map'!CJ82</f>
        <v>DL096</v>
      </c>
      <c r="CK82" s="25" t="str">
        <f>'Die Map'!CK82</f>
        <v>DL097</v>
      </c>
      <c r="CL82" s="25" t="str">
        <f>'Die Map'!CL82</f>
        <v>DL098</v>
      </c>
      <c r="CM82" s="26" t="str">
        <f>'Die Map'!CM82</f>
        <v>DL099</v>
      </c>
      <c r="CN82" s="24" t="str">
        <f>'Die Map'!CN82</f>
        <v>DL101</v>
      </c>
      <c r="CO82" s="25" t="str">
        <f>'Die Map'!CO82</f>
        <v>DL102</v>
      </c>
      <c r="CP82" s="25" t="str">
        <f>'Die Map'!CP82</f>
        <v>DL103</v>
      </c>
      <c r="CQ82" s="25" t="str">
        <f>'Die Map'!CQ82</f>
        <v>DL104</v>
      </c>
      <c r="CR82" s="26" t="str">
        <f>'Die Map'!CR82</f>
        <v>DL105</v>
      </c>
      <c r="CS82" s="24" t="str">
        <f>'Die Map'!CS82</f>
        <v/>
      </c>
      <c r="CT82" s="25" t="str">
        <f>'Die Map'!CT82</f>
        <v/>
      </c>
      <c r="CU82" s="25" t="str">
        <f>'Die Map'!CU82</f>
        <v/>
      </c>
      <c r="CV82" s="25" t="str">
        <f>'Die Map'!CV82</f>
        <v/>
      </c>
      <c r="CW82" s="26" t="str">
        <f>'Die Map'!CW82</f>
        <v/>
      </c>
      <c r="CX82" s="24" t="str">
        <f>'Die Map'!CX82</f>
        <v/>
      </c>
      <c r="CY82" s="25" t="str">
        <f>'Die Map'!CY82</f>
        <v/>
      </c>
      <c r="CZ82" s="25" t="str">
        <f>'Die Map'!CZ82</f>
        <v/>
      </c>
      <c r="DA82" s="25" t="str">
        <f>'Die Map'!DA82</f>
        <v/>
      </c>
      <c r="DB82" s="26" t="str">
        <f>'Die Map'!DB82</f>
        <v/>
      </c>
    </row>
    <row r="83" spans="1:106" ht="12.75" customHeight="1" x14ac:dyDescent="0.25">
      <c r="A83" s="17">
        <v>81</v>
      </c>
      <c r="B83" s="18" t="str">
        <f>'Die Map'!B83</f>
        <v/>
      </c>
      <c r="C83" s="19" t="str">
        <f>'Die Map'!C83</f>
        <v/>
      </c>
      <c r="D83" s="19" t="str">
        <f>'Die Map'!D83</f>
        <v/>
      </c>
      <c r="E83" s="19" t="str">
        <f>'Die Map'!E83</f>
        <v/>
      </c>
      <c r="F83" s="20" t="str">
        <f>'Die Map'!F83</f>
        <v/>
      </c>
      <c r="G83" s="18" t="str">
        <f>'Die Map'!G83</f>
        <v/>
      </c>
      <c r="H83" s="19" t="str">
        <f>'Die Map'!H83</f>
        <v/>
      </c>
      <c r="I83" s="19" t="str">
        <f>'Die Map'!I83</f>
        <v/>
      </c>
      <c r="J83" s="19" t="str">
        <f>'Die Map'!J83</f>
        <v/>
      </c>
      <c r="K83" s="20" t="str">
        <f>'Die Map'!K83</f>
        <v/>
      </c>
      <c r="L83" s="18" t="str">
        <f>'Die Map'!L83</f>
        <v>DM012</v>
      </c>
      <c r="M83" s="19" t="str">
        <f>'Die Map'!M83</f>
        <v>DM013</v>
      </c>
      <c r="N83" s="19" t="str">
        <f>'Die Map'!N83</f>
        <v>DM014</v>
      </c>
      <c r="O83" s="19" t="str">
        <f>'Die Map'!O83</f>
        <v>DM015</v>
      </c>
      <c r="P83" s="20" t="str">
        <f>'Die Map'!P83</f>
        <v>DM016</v>
      </c>
      <c r="Q83" s="18" t="str">
        <f>'Die Map'!Q83</f>
        <v>DM017</v>
      </c>
      <c r="R83" s="19" t="str">
        <f>'Die Map'!R83</f>
        <v>DM018</v>
      </c>
      <c r="S83" s="19" t="str">
        <f>'Die Map'!S83</f>
        <v>DM019</v>
      </c>
      <c r="T83" s="19" t="str">
        <f>'Die Map'!T83</f>
        <v>DM021</v>
      </c>
      <c r="U83" s="20" t="str">
        <f>'Die Map'!U83</f>
        <v>DM022</v>
      </c>
      <c r="V83" s="18" t="str">
        <f>'Die Map'!V83</f>
        <v>DM023</v>
      </c>
      <c r="W83" s="19" t="str">
        <f>'Die Map'!W83</f>
        <v>DM024</v>
      </c>
      <c r="X83" s="19" t="str">
        <f>'Die Map'!X83</f>
        <v>DM025</v>
      </c>
      <c r="Y83" s="19" t="str">
        <f>'Die Map'!Y83</f>
        <v>DM026</v>
      </c>
      <c r="Z83" s="20" t="str">
        <f>'Die Map'!Z83</f>
        <v>DM027</v>
      </c>
      <c r="AA83" s="18" t="str">
        <f>'Die Map'!AA83</f>
        <v>DM028</v>
      </c>
      <c r="AB83" s="19" t="str">
        <f>'Die Map'!AB83</f>
        <v>DM029</v>
      </c>
      <c r="AC83" s="19" t="str">
        <f>'Die Map'!AC83</f>
        <v>DM031</v>
      </c>
      <c r="AD83" s="19" t="str">
        <f>'Die Map'!AD83</f>
        <v>DM032</v>
      </c>
      <c r="AE83" s="20" t="str">
        <f>'Die Map'!AE83</f>
        <v>DM033</v>
      </c>
      <c r="AF83" s="18" t="str">
        <f>'Die Map'!AF83</f>
        <v>DM034</v>
      </c>
      <c r="AG83" s="19" t="str">
        <f>'Die Map'!AG83</f>
        <v>DM035</v>
      </c>
      <c r="AH83" s="19" t="str">
        <f>'Die Map'!AH83</f>
        <v>DM036</v>
      </c>
      <c r="AI83" s="19" t="str">
        <f>'Die Map'!AI83</f>
        <v>DM037</v>
      </c>
      <c r="AJ83" s="20" t="str">
        <f>'Die Map'!AJ83</f>
        <v>DM038</v>
      </c>
      <c r="AK83" s="18" t="str">
        <f>'Die Map'!AK83</f>
        <v>DM039</v>
      </c>
      <c r="AL83" s="19" t="str">
        <f>'Die Map'!AL83</f>
        <v>DM041</v>
      </c>
      <c r="AM83" s="19" t="str">
        <f>'Die Map'!AM83</f>
        <v>DM042</v>
      </c>
      <c r="AN83" s="19" t="str">
        <f>'Die Map'!AN83</f>
        <v>DM043</v>
      </c>
      <c r="AO83" s="20" t="str">
        <f>'Die Map'!AO83</f>
        <v>DM044</v>
      </c>
      <c r="AP83" s="18" t="str">
        <f>'Die Map'!AP83</f>
        <v>DM045</v>
      </c>
      <c r="AQ83" s="19" t="str">
        <f>'Die Map'!AQ83</f>
        <v>DM046</v>
      </c>
      <c r="AR83" s="19" t="str">
        <f>'Die Map'!AR83</f>
        <v>DM047</v>
      </c>
      <c r="AS83" s="19" t="str">
        <f>'Die Map'!AS83</f>
        <v>DM048</v>
      </c>
      <c r="AT83" s="20" t="str">
        <f>'Die Map'!AT83</f>
        <v>DM049</v>
      </c>
      <c r="AU83" s="18" t="str">
        <f>'Die Map'!AU83</f>
        <v>DM051</v>
      </c>
      <c r="AV83" s="19" t="str">
        <f>'Die Map'!AV83</f>
        <v>DM052</v>
      </c>
      <c r="AW83" s="19" t="str">
        <f>'Die Map'!AW83</f>
        <v>DM053</v>
      </c>
      <c r="AX83" s="19" t="str">
        <f>'Die Map'!AX83</f>
        <v>DM054</v>
      </c>
      <c r="AY83" s="20" t="str">
        <f>'Die Map'!AY83</f>
        <v>DM055</v>
      </c>
      <c r="AZ83" s="18" t="str">
        <f>'Die Map'!AZ83</f>
        <v>DM056</v>
      </c>
      <c r="BA83" s="19" t="str">
        <f>'Die Map'!BA83</f>
        <v>DM057</v>
      </c>
      <c r="BB83" s="19" t="str">
        <f>'Die Map'!BB83</f>
        <v>DM058</v>
      </c>
      <c r="BC83" s="19" t="str">
        <f>'Die Map'!BC83</f>
        <v>DM059</v>
      </c>
      <c r="BD83" s="20" t="str">
        <f>'Die Map'!BD83</f>
        <v>DM061</v>
      </c>
      <c r="BE83" s="18" t="str">
        <f>'Die Map'!BE83</f>
        <v>DM062</v>
      </c>
      <c r="BF83" s="19" t="str">
        <f>'Die Map'!BF83</f>
        <v>DM063</v>
      </c>
      <c r="BG83" s="19" t="str">
        <f>'Die Map'!BG83</f>
        <v>DM064</v>
      </c>
      <c r="BH83" s="19" t="str">
        <f>'Die Map'!BH83</f>
        <v>DM065</v>
      </c>
      <c r="BI83" s="20" t="str">
        <f>'Die Map'!BI83</f>
        <v>DM066</v>
      </c>
      <c r="BJ83" s="18" t="str">
        <f>'Die Map'!BJ83</f>
        <v>DM067</v>
      </c>
      <c r="BK83" s="19" t="str">
        <f>'Die Map'!BK83</f>
        <v>DM068</v>
      </c>
      <c r="BL83" s="19" t="str">
        <f>'Die Map'!BL83</f>
        <v>DM069</v>
      </c>
      <c r="BM83" s="19" t="str">
        <f>'Die Map'!BM83</f>
        <v>DM071</v>
      </c>
      <c r="BN83" s="20" t="str">
        <f>'Die Map'!BN83</f>
        <v>DM072</v>
      </c>
      <c r="BO83" s="18" t="str">
        <f>'Die Map'!BO83</f>
        <v>DM073</v>
      </c>
      <c r="BP83" s="19" t="str">
        <f>'Die Map'!BP83</f>
        <v>DM074</v>
      </c>
      <c r="BQ83" s="19" t="str">
        <f>'Die Map'!BQ83</f>
        <v>DM075</v>
      </c>
      <c r="BR83" s="19" t="str">
        <f>'Die Map'!BR83</f>
        <v>DM076</v>
      </c>
      <c r="BS83" s="20" t="str">
        <f>'Die Map'!BS83</f>
        <v>DM077</v>
      </c>
      <c r="BT83" s="18" t="str">
        <f>'Die Map'!BT83</f>
        <v>DM078</v>
      </c>
      <c r="BU83" s="19" t="str">
        <f>'Die Map'!BU83</f>
        <v>DM079</v>
      </c>
      <c r="BV83" s="19" t="str">
        <f>'Die Map'!BV83</f>
        <v>DM081</v>
      </c>
      <c r="BW83" s="19" t="str">
        <f>'Die Map'!BW83</f>
        <v>DM082</v>
      </c>
      <c r="BX83" s="20" t="str">
        <f>'Die Map'!BX83</f>
        <v>DM083</v>
      </c>
      <c r="BY83" s="18" t="str">
        <f>'Die Map'!BY83</f>
        <v>DM084</v>
      </c>
      <c r="BZ83" s="19" t="str">
        <f>'Die Map'!BZ83</f>
        <v>DM085</v>
      </c>
      <c r="CA83" s="19" t="str">
        <f>'Die Map'!CA83</f>
        <v>DM086</v>
      </c>
      <c r="CB83" s="19" t="str">
        <f>'Die Map'!CB83</f>
        <v>DM087</v>
      </c>
      <c r="CC83" s="20" t="str">
        <f>'Die Map'!CC83</f>
        <v>DM088</v>
      </c>
      <c r="CD83" s="18" t="str">
        <f>'Die Map'!CD83</f>
        <v>DM089</v>
      </c>
      <c r="CE83" s="19" t="str">
        <f>'Die Map'!CE83</f>
        <v>DM091</v>
      </c>
      <c r="CF83" s="19" t="str">
        <f>'Die Map'!CF83</f>
        <v>DM092</v>
      </c>
      <c r="CG83" s="19" t="str">
        <f>'Die Map'!CG83</f>
        <v>DM093</v>
      </c>
      <c r="CH83" s="20" t="str">
        <f>'Die Map'!CH83</f>
        <v>DM094</v>
      </c>
      <c r="CI83" s="18" t="str">
        <f>'Die Map'!CI83</f>
        <v>DM095</v>
      </c>
      <c r="CJ83" s="19" t="str">
        <f>'Die Map'!CJ83</f>
        <v>DM096</v>
      </c>
      <c r="CK83" s="19" t="str">
        <f>'Die Map'!CK83</f>
        <v>DM097</v>
      </c>
      <c r="CL83" s="19" t="str">
        <f>'Die Map'!CL83</f>
        <v>DM098</v>
      </c>
      <c r="CM83" s="20" t="str">
        <f>'Die Map'!CM83</f>
        <v>DM099</v>
      </c>
      <c r="CN83" s="18" t="str">
        <f>'Die Map'!CN83</f>
        <v>DM101</v>
      </c>
      <c r="CO83" s="19" t="str">
        <f>'Die Map'!CO83</f>
        <v>DM102</v>
      </c>
      <c r="CP83" s="19" t="str">
        <f>'Die Map'!CP83</f>
        <v>DM103</v>
      </c>
      <c r="CQ83" s="19" t="str">
        <f>'Die Map'!CQ83</f>
        <v>DM104</v>
      </c>
      <c r="CR83" s="20" t="str">
        <f>'Die Map'!CR83</f>
        <v>DM105</v>
      </c>
      <c r="CS83" s="18" t="str">
        <f>'Die Map'!CS83</f>
        <v/>
      </c>
      <c r="CT83" s="19" t="str">
        <f>'Die Map'!CT83</f>
        <v/>
      </c>
      <c r="CU83" s="19" t="str">
        <f>'Die Map'!CU83</f>
        <v/>
      </c>
      <c r="CV83" s="19" t="str">
        <f>'Die Map'!CV83</f>
        <v/>
      </c>
      <c r="CW83" s="20" t="str">
        <f>'Die Map'!CW83</f>
        <v/>
      </c>
      <c r="CX83" s="18" t="str">
        <f>'Die Map'!CX83</f>
        <v/>
      </c>
      <c r="CY83" s="19" t="str">
        <f>'Die Map'!CY83</f>
        <v/>
      </c>
      <c r="CZ83" s="19" t="str">
        <f>'Die Map'!CZ83</f>
        <v/>
      </c>
      <c r="DA83" s="19" t="str">
        <f>'Die Map'!DA83</f>
        <v/>
      </c>
      <c r="DB83" s="20" t="str">
        <f>'Die Map'!DB83</f>
        <v/>
      </c>
    </row>
    <row r="84" spans="1:106" ht="12.75" customHeight="1" x14ac:dyDescent="0.25">
      <c r="A84" s="17">
        <v>82</v>
      </c>
      <c r="B84" s="21" t="str">
        <f>'Die Map'!B84</f>
        <v/>
      </c>
      <c r="C84" s="22" t="str">
        <f>'Die Map'!C84</f>
        <v/>
      </c>
      <c r="D84" s="22" t="str">
        <f>'Die Map'!D84</f>
        <v/>
      </c>
      <c r="E84" s="22" t="str">
        <f>'Die Map'!E84</f>
        <v/>
      </c>
      <c r="F84" s="23" t="str">
        <f>'Die Map'!F84</f>
        <v/>
      </c>
      <c r="G84" s="21" t="str">
        <f>'Die Map'!G84</f>
        <v/>
      </c>
      <c r="H84" s="22" t="str">
        <f>'Die Map'!H84</f>
        <v/>
      </c>
      <c r="I84" s="22" t="str">
        <f>'Die Map'!I84</f>
        <v/>
      </c>
      <c r="J84" s="22" t="str">
        <f>'Die Map'!J84</f>
        <v/>
      </c>
      <c r="K84" s="23" t="str">
        <f>'Die Map'!K84</f>
        <v/>
      </c>
      <c r="L84" s="21" t="str">
        <f>'Die Map'!L84</f>
        <v>DN012</v>
      </c>
      <c r="M84" s="22" t="str">
        <f>'Die Map'!M84</f>
        <v>DN013</v>
      </c>
      <c r="N84" s="22" t="str">
        <f>'Die Map'!N84</f>
        <v>DN014</v>
      </c>
      <c r="O84" s="22" t="str">
        <f>'Die Map'!O84</f>
        <v>DN015</v>
      </c>
      <c r="P84" s="23" t="str">
        <f>'Die Map'!P84</f>
        <v>DN016</v>
      </c>
      <c r="Q84" s="21" t="str">
        <f>'Die Map'!Q84</f>
        <v>DN017</v>
      </c>
      <c r="R84" s="22" t="str">
        <f>'Die Map'!R84</f>
        <v>DN018</v>
      </c>
      <c r="S84" s="22" t="str">
        <f>'Die Map'!S84</f>
        <v>DN019</v>
      </c>
      <c r="T84" s="22" t="str">
        <f>'Die Map'!T84</f>
        <v>DN021</v>
      </c>
      <c r="U84" s="23" t="str">
        <f>'Die Map'!U84</f>
        <v>DN022</v>
      </c>
      <c r="V84" s="21" t="str">
        <f>'Die Map'!V84</f>
        <v>DN023</v>
      </c>
      <c r="W84" s="22" t="str">
        <f>'Die Map'!W84</f>
        <v>DN024</v>
      </c>
      <c r="X84" s="22" t="str">
        <f>'Die Map'!X84</f>
        <v>DN025</v>
      </c>
      <c r="Y84" s="22" t="str">
        <f>'Die Map'!Y84</f>
        <v>DN026</v>
      </c>
      <c r="Z84" s="23" t="str">
        <f>'Die Map'!Z84</f>
        <v>DN027</v>
      </c>
      <c r="AA84" s="21" t="str">
        <f>'Die Map'!AA84</f>
        <v>DN028</v>
      </c>
      <c r="AB84" s="22" t="str">
        <f>'Die Map'!AB84</f>
        <v>DN029</v>
      </c>
      <c r="AC84" s="22" t="str">
        <f>'Die Map'!AC84</f>
        <v>DN031</v>
      </c>
      <c r="AD84" s="22" t="str">
        <f>'Die Map'!AD84</f>
        <v>DN032</v>
      </c>
      <c r="AE84" s="23" t="str">
        <f>'Die Map'!AE84</f>
        <v>DN033</v>
      </c>
      <c r="AF84" s="21" t="str">
        <f>'Die Map'!AF84</f>
        <v>DN034</v>
      </c>
      <c r="AG84" s="22" t="str">
        <f>'Die Map'!AG84</f>
        <v>DN035</v>
      </c>
      <c r="AH84" s="22" t="str">
        <f>'Die Map'!AH84</f>
        <v>DN036</v>
      </c>
      <c r="AI84" s="22" t="str">
        <f>'Die Map'!AI84</f>
        <v>DN037</v>
      </c>
      <c r="AJ84" s="23" t="str">
        <f>'Die Map'!AJ84</f>
        <v>DN038</v>
      </c>
      <c r="AK84" s="21" t="str">
        <f>'Die Map'!AK84</f>
        <v>DN039</v>
      </c>
      <c r="AL84" s="22" t="str">
        <f>'Die Map'!AL84</f>
        <v>DN041</v>
      </c>
      <c r="AM84" s="22" t="str">
        <f>'Die Map'!AM84</f>
        <v>DN042</v>
      </c>
      <c r="AN84" s="22" t="str">
        <f>'Die Map'!AN84</f>
        <v>DN043</v>
      </c>
      <c r="AO84" s="23" t="str">
        <f>'Die Map'!AO84</f>
        <v>DN044</v>
      </c>
      <c r="AP84" s="21" t="str">
        <f>'Die Map'!AP84</f>
        <v>DN045</v>
      </c>
      <c r="AQ84" s="22" t="str">
        <f>'Die Map'!AQ84</f>
        <v>DN046</v>
      </c>
      <c r="AR84" s="22" t="str">
        <f>'Die Map'!AR84</f>
        <v>DN047</v>
      </c>
      <c r="AS84" s="22" t="str">
        <f>'Die Map'!AS84</f>
        <v>DN048</v>
      </c>
      <c r="AT84" s="23" t="str">
        <f>'Die Map'!AT84</f>
        <v>DN049</v>
      </c>
      <c r="AU84" s="21" t="str">
        <f>'Die Map'!AU84</f>
        <v>DN051</v>
      </c>
      <c r="AV84" s="22" t="str">
        <f>'Die Map'!AV84</f>
        <v>DN052</v>
      </c>
      <c r="AW84" s="22" t="str">
        <f>'Die Map'!AW84</f>
        <v>DN053</v>
      </c>
      <c r="AX84" s="22" t="str">
        <f>'Die Map'!AX84</f>
        <v>DN054</v>
      </c>
      <c r="AY84" s="23" t="str">
        <f>'Die Map'!AY84</f>
        <v>DN055</v>
      </c>
      <c r="AZ84" s="21" t="str">
        <f>'Die Map'!AZ84</f>
        <v>DN056</v>
      </c>
      <c r="BA84" s="22" t="str">
        <f>'Die Map'!BA84</f>
        <v>DN057</v>
      </c>
      <c r="BB84" s="22" t="str">
        <f>'Die Map'!BB84</f>
        <v>DN058</v>
      </c>
      <c r="BC84" s="22" t="str">
        <f>'Die Map'!BC84</f>
        <v>DN059</v>
      </c>
      <c r="BD84" s="23" t="str">
        <f>'Die Map'!BD84</f>
        <v>DN061</v>
      </c>
      <c r="BE84" s="21" t="str">
        <f>'Die Map'!BE84</f>
        <v>DN062</v>
      </c>
      <c r="BF84" s="22" t="str">
        <f>'Die Map'!BF84</f>
        <v>DN063</v>
      </c>
      <c r="BG84" s="22" t="str">
        <f>'Die Map'!BG84</f>
        <v>DN064</v>
      </c>
      <c r="BH84" s="22" t="str">
        <f>'Die Map'!BH84</f>
        <v>DN065</v>
      </c>
      <c r="BI84" s="23" t="str">
        <f>'Die Map'!BI84</f>
        <v>DN066</v>
      </c>
      <c r="BJ84" s="21" t="str">
        <f>'Die Map'!BJ84</f>
        <v>DN067</v>
      </c>
      <c r="BK84" s="22" t="str">
        <f>'Die Map'!BK84</f>
        <v>DN068</v>
      </c>
      <c r="BL84" s="22" t="str">
        <f>'Die Map'!BL84</f>
        <v>DN069</v>
      </c>
      <c r="BM84" s="22" t="str">
        <f>'Die Map'!BM84</f>
        <v>DN071</v>
      </c>
      <c r="BN84" s="23" t="str">
        <f>'Die Map'!BN84</f>
        <v>DN072</v>
      </c>
      <c r="BO84" s="21" t="str">
        <f>'Die Map'!BO84</f>
        <v>DN073</v>
      </c>
      <c r="BP84" s="22" t="str">
        <f>'Die Map'!BP84</f>
        <v>DN074</v>
      </c>
      <c r="BQ84" s="22" t="str">
        <f>'Die Map'!BQ84</f>
        <v>DN075</v>
      </c>
      <c r="BR84" s="22" t="str">
        <f>'Die Map'!BR84</f>
        <v>DN076</v>
      </c>
      <c r="BS84" s="23" t="str">
        <f>'Die Map'!BS84</f>
        <v>DN077</v>
      </c>
      <c r="BT84" s="21" t="str">
        <f>'Die Map'!BT84</f>
        <v>DN078</v>
      </c>
      <c r="BU84" s="22" t="str">
        <f>'Die Map'!BU84</f>
        <v>DN079</v>
      </c>
      <c r="BV84" s="22" t="str">
        <f>'Die Map'!BV84</f>
        <v>DN081</v>
      </c>
      <c r="BW84" s="22" t="str">
        <f>'Die Map'!BW84</f>
        <v>DN082</v>
      </c>
      <c r="BX84" s="23" t="str">
        <f>'Die Map'!BX84</f>
        <v>DN083</v>
      </c>
      <c r="BY84" s="21" t="str">
        <f>'Die Map'!BY84</f>
        <v>DN084</v>
      </c>
      <c r="BZ84" s="22" t="str">
        <f>'Die Map'!BZ84</f>
        <v>DN085</v>
      </c>
      <c r="CA84" s="22" t="str">
        <f>'Die Map'!CA84</f>
        <v>DN086</v>
      </c>
      <c r="CB84" s="22" t="str">
        <f>'Die Map'!CB84</f>
        <v>DN087</v>
      </c>
      <c r="CC84" s="23" t="str">
        <f>'Die Map'!CC84</f>
        <v>DN088</v>
      </c>
      <c r="CD84" s="21" t="str">
        <f>'Die Map'!CD84</f>
        <v>DN089</v>
      </c>
      <c r="CE84" s="22" t="str">
        <f>'Die Map'!CE84</f>
        <v>DN091</v>
      </c>
      <c r="CF84" s="22" t="str">
        <f>'Die Map'!CF84</f>
        <v>DN092</v>
      </c>
      <c r="CG84" s="22" t="str">
        <f>'Die Map'!CG84</f>
        <v>DN093</v>
      </c>
      <c r="CH84" s="23" t="str">
        <f>'Die Map'!CH84</f>
        <v>DN094</v>
      </c>
      <c r="CI84" s="21" t="str">
        <f>'Die Map'!CI84</f>
        <v>DN095</v>
      </c>
      <c r="CJ84" s="22" t="str">
        <f>'Die Map'!CJ84</f>
        <v>DN096</v>
      </c>
      <c r="CK84" s="22" t="str">
        <f>'Die Map'!CK84</f>
        <v>DN097</v>
      </c>
      <c r="CL84" s="22" t="str">
        <f>'Die Map'!CL84</f>
        <v>DN098</v>
      </c>
      <c r="CM84" s="23" t="str">
        <f>'Die Map'!CM84</f>
        <v>DN099</v>
      </c>
      <c r="CN84" s="21" t="str">
        <f>'Die Map'!CN84</f>
        <v>DN101</v>
      </c>
      <c r="CO84" s="22" t="str">
        <f>'Die Map'!CO84</f>
        <v>DN102</v>
      </c>
      <c r="CP84" s="22" t="str">
        <f>'Die Map'!CP84</f>
        <v>DN103</v>
      </c>
      <c r="CQ84" s="22" t="str">
        <f>'Die Map'!CQ84</f>
        <v>DN104</v>
      </c>
      <c r="CR84" s="23" t="str">
        <f>'Die Map'!CR84</f>
        <v>DN105</v>
      </c>
      <c r="CS84" s="21" t="str">
        <f>'Die Map'!CS84</f>
        <v/>
      </c>
      <c r="CT84" s="22" t="str">
        <f>'Die Map'!CT84</f>
        <v/>
      </c>
      <c r="CU84" s="22" t="str">
        <f>'Die Map'!CU84</f>
        <v/>
      </c>
      <c r="CV84" s="22" t="str">
        <f>'Die Map'!CV84</f>
        <v/>
      </c>
      <c r="CW84" s="23" t="str">
        <f>'Die Map'!CW84</f>
        <v/>
      </c>
      <c r="CX84" s="21" t="str">
        <f>'Die Map'!CX84</f>
        <v/>
      </c>
      <c r="CY84" s="22" t="str">
        <f>'Die Map'!CY84</f>
        <v/>
      </c>
      <c r="CZ84" s="22" t="str">
        <f>'Die Map'!CZ84</f>
        <v/>
      </c>
      <c r="DA84" s="22" t="str">
        <f>'Die Map'!DA84</f>
        <v/>
      </c>
      <c r="DB84" s="23" t="str">
        <f>'Die Map'!DB84</f>
        <v/>
      </c>
    </row>
    <row r="85" spans="1:106" ht="12.75" customHeight="1" x14ac:dyDescent="0.25">
      <c r="A85" s="17">
        <v>83</v>
      </c>
      <c r="B85" s="21" t="str">
        <f>'Die Map'!B85</f>
        <v/>
      </c>
      <c r="C85" s="22" t="str">
        <f>'Die Map'!C85</f>
        <v/>
      </c>
      <c r="D85" s="22" t="str">
        <f>'Die Map'!D85</f>
        <v/>
      </c>
      <c r="E85" s="22" t="str">
        <f>'Die Map'!E85</f>
        <v/>
      </c>
      <c r="F85" s="23" t="str">
        <f>'Die Map'!F85</f>
        <v/>
      </c>
      <c r="G85" s="21" t="str">
        <f>'Die Map'!G85</f>
        <v/>
      </c>
      <c r="H85" s="22" t="str">
        <f>'Die Map'!H85</f>
        <v/>
      </c>
      <c r="I85" s="22" t="str">
        <f>'Die Map'!I85</f>
        <v/>
      </c>
      <c r="J85" s="22" t="str">
        <f>'Die Map'!J85</f>
        <v/>
      </c>
      <c r="K85" s="23" t="str">
        <f>'Die Map'!K85</f>
        <v/>
      </c>
      <c r="L85" s="21" t="str">
        <f>'Die Map'!L85</f>
        <v>DP012</v>
      </c>
      <c r="M85" s="22" t="str">
        <f>'Die Map'!M85</f>
        <v>DP013</v>
      </c>
      <c r="N85" s="22" t="str">
        <f>'Die Map'!N85</f>
        <v>DP014</v>
      </c>
      <c r="O85" s="22" t="str">
        <f>'Die Map'!O85</f>
        <v>DP015</v>
      </c>
      <c r="P85" s="23" t="str">
        <f>'Die Map'!P85</f>
        <v>DP016</v>
      </c>
      <c r="Q85" s="21" t="str">
        <f>'Die Map'!Q85</f>
        <v>DP017</v>
      </c>
      <c r="R85" s="22" t="str">
        <f>'Die Map'!R85</f>
        <v>DP018</v>
      </c>
      <c r="S85" s="22" t="str">
        <f>'Die Map'!S85</f>
        <v>DP019</v>
      </c>
      <c r="T85" s="22" t="str">
        <f>'Die Map'!T85</f>
        <v>DP021</v>
      </c>
      <c r="U85" s="23" t="str">
        <f>'Die Map'!U85</f>
        <v>DP022</v>
      </c>
      <c r="V85" s="21" t="str">
        <f>'Die Map'!V85</f>
        <v>DP023</v>
      </c>
      <c r="W85" s="22" t="str">
        <f>'Die Map'!W85</f>
        <v>DP024</v>
      </c>
      <c r="X85" s="22" t="str">
        <f>'Die Map'!X85</f>
        <v>DP025</v>
      </c>
      <c r="Y85" s="22" t="str">
        <f>'Die Map'!Y85</f>
        <v>DP026</v>
      </c>
      <c r="Z85" s="23" t="str">
        <f>'Die Map'!Z85</f>
        <v>DP027</v>
      </c>
      <c r="AA85" s="21" t="str">
        <f>'Die Map'!AA85</f>
        <v>DP028</v>
      </c>
      <c r="AB85" s="22" t="str">
        <f>'Die Map'!AB85</f>
        <v>DP029</v>
      </c>
      <c r="AC85" s="22" t="str">
        <f>'Die Map'!AC85</f>
        <v>DP031</v>
      </c>
      <c r="AD85" s="22" t="str">
        <f>'Die Map'!AD85</f>
        <v>DP032</v>
      </c>
      <c r="AE85" s="23" t="str">
        <f>'Die Map'!AE85</f>
        <v>DP033</v>
      </c>
      <c r="AF85" s="21" t="str">
        <f>'Die Map'!AF85</f>
        <v>DP034</v>
      </c>
      <c r="AG85" s="22" t="str">
        <f>'Die Map'!AG85</f>
        <v>DP035</v>
      </c>
      <c r="AH85" s="22" t="str">
        <f>'Die Map'!AH85</f>
        <v>DP036</v>
      </c>
      <c r="AI85" s="22" t="str">
        <f>'Die Map'!AI85</f>
        <v>DP037</v>
      </c>
      <c r="AJ85" s="23" t="str">
        <f>'Die Map'!AJ85</f>
        <v>DP038</v>
      </c>
      <c r="AK85" s="21" t="str">
        <f>'Die Map'!AK85</f>
        <v>DP039</v>
      </c>
      <c r="AL85" s="22" t="str">
        <f>'Die Map'!AL85</f>
        <v>DP041</v>
      </c>
      <c r="AM85" s="22" t="str">
        <f>'Die Map'!AM85</f>
        <v>DP042</v>
      </c>
      <c r="AN85" s="22" t="str">
        <f>'Die Map'!AN85</f>
        <v>DP043</v>
      </c>
      <c r="AO85" s="23" t="str">
        <f>'Die Map'!AO85</f>
        <v>DP044</v>
      </c>
      <c r="AP85" s="21" t="str">
        <f>'Die Map'!AP85</f>
        <v>DP045</v>
      </c>
      <c r="AQ85" s="22" t="str">
        <f>'Die Map'!AQ85</f>
        <v>DP046</v>
      </c>
      <c r="AR85" s="22" t="str">
        <f>'Die Map'!AR85</f>
        <v>DP047</v>
      </c>
      <c r="AS85" s="22" t="str">
        <f>'Die Map'!AS85</f>
        <v>DP048</v>
      </c>
      <c r="AT85" s="23" t="str">
        <f>'Die Map'!AT85</f>
        <v>DP049</v>
      </c>
      <c r="AU85" s="21" t="str">
        <f>'Die Map'!AU85</f>
        <v>DP051</v>
      </c>
      <c r="AV85" s="22" t="str">
        <f>'Die Map'!AV85</f>
        <v>DP052</v>
      </c>
      <c r="AW85" s="22" t="str">
        <f>'Die Map'!AW85</f>
        <v>DP053</v>
      </c>
      <c r="AX85" s="22" t="str">
        <f>'Die Map'!AX85</f>
        <v>DP054</v>
      </c>
      <c r="AY85" s="23" t="str">
        <f>'Die Map'!AY85</f>
        <v>DP055</v>
      </c>
      <c r="AZ85" s="21" t="str">
        <f>'Die Map'!AZ85</f>
        <v>DP056</v>
      </c>
      <c r="BA85" s="22" t="str">
        <f>'Die Map'!BA85</f>
        <v>DP057</v>
      </c>
      <c r="BB85" s="22" t="str">
        <f>'Die Map'!BB85</f>
        <v>DP058</v>
      </c>
      <c r="BC85" s="22" t="str">
        <f>'Die Map'!BC85</f>
        <v>DP059</v>
      </c>
      <c r="BD85" s="23" t="str">
        <f>'Die Map'!BD85</f>
        <v>DP061</v>
      </c>
      <c r="BE85" s="21" t="str">
        <f>'Die Map'!BE85</f>
        <v>DP062</v>
      </c>
      <c r="BF85" s="22" t="str">
        <f>'Die Map'!BF85</f>
        <v>DP063</v>
      </c>
      <c r="BG85" s="22" t="str">
        <f>'Die Map'!BG85</f>
        <v>DP064</v>
      </c>
      <c r="BH85" s="22" t="str">
        <f>'Die Map'!BH85</f>
        <v>DP065</v>
      </c>
      <c r="BI85" s="23" t="str">
        <f>'Die Map'!BI85</f>
        <v>DP066</v>
      </c>
      <c r="BJ85" s="21" t="str">
        <f>'Die Map'!BJ85</f>
        <v>DP067</v>
      </c>
      <c r="BK85" s="22" t="str">
        <f>'Die Map'!BK85</f>
        <v>DP068</v>
      </c>
      <c r="BL85" s="22" t="str">
        <f>'Die Map'!BL85</f>
        <v>DP069</v>
      </c>
      <c r="BM85" s="22" t="str">
        <f>'Die Map'!BM85</f>
        <v>DP071</v>
      </c>
      <c r="BN85" s="23" t="str">
        <f>'Die Map'!BN85</f>
        <v>DP072</v>
      </c>
      <c r="BO85" s="21" t="str">
        <f>'Die Map'!BO85</f>
        <v>DP073</v>
      </c>
      <c r="BP85" s="22" t="str">
        <f>'Die Map'!BP85</f>
        <v>DP074</v>
      </c>
      <c r="BQ85" s="22" t="str">
        <f>'Die Map'!BQ85</f>
        <v>DP075</v>
      </c>
      <c r="BR85" s="22" t="str">
        <f>'Die Map'!BR85</f>
        <v>DP076</v>
      </c>
      <c r="BS85" s="23" t="str">
        <f>'Die Map'!BS85</f>
        <v>DP077</v>
      </c>
      <c r="BT85" s="21" t="str">
        <f>'Die Map'!BT85</f>
        <v>DP078</v>
      </c>
      <c r="BU85" s="22" t="str">
        <f>'Die Map'!BU85</f>
        <v>DP079</v>
      </c>
      <c r="BV85" s="22" t="str">
        <f>'Die Map'!BV85</f>
        <v>DP081</v>
      </c>
      <c r="BW85" s="22" t="str">
        <f>'Die Map'!BW85</f>
        <v>DP082</v>
      </c>
      <c r="BX85" s="23" t="str">
        <f>'Die Map'!BX85</f>
        <v>DP083</v>
      </c>
      <c r="BY85" s="21" t="str">
        <f>'Die Map'!BY85</f>
        <v>DP084</v>
      </c>
      <c r="BZ85" s="22" t="str">
        <f>'Die Map'!BZ85</f>
        <v>DP085</v>
      </c>
      <c r="CA85" s="22" t="str">
        <f>'Die Map'!CA85</f>
        <v>DP086</v>
      </c>
      <c r="CB85" s="22" t="str">
        <f>'Die Map'!CB85</f>
        <v>DP087</v>
      </c>
      <c r="CC85" s="23" t="str">
        <f>'Die Map'!CC85</f>
        <v>DP088</v>
      </c>
      <c r="CD85" s="21" t="str">
        <f>'Die Map'!CD85</f>
        <v>DP089</v>
      </c>
      <c r="CE85" s="22" t="str">
        <f>'Die Map'!CE85</f>
        <v>DP091</v>
      </c>
      <c r="CF85" s="22" t="str">
        <f>'Die Map'!CF85</f>
        <v>DP092</v>
      </c>
      <c r="CG85" s="22" t="str">
        <f>'Die Map'!CG85</f>
        <v>DP093</v>
      </c>
      <c r="CH85" s="23" t="str">
        <f>'Die Map'!CH85</f>
        <v>DP094</v>
      </c>
      <c r="CI85" s="21" t="str">
        <f>'Die Map'!CI85</f>
        <v>DP095</v>
      </c>
      <c r="CJ85" s="22" t="str">
        <f>'Die Map'!CJ85</f>
        <v>DP096</v>
      </c>
      <c r="CK85" s="22" t="str">
        <f>'Die Map'!CK85</f>
        <v>DP097</v>
      </c>
      <c r="CL85" s="22" t="str">
        <f>'Die Map'!CL85</f>
        <v>DP098</v>
      </c>
      <c r="CM85" s="23" t="str">
        <f>'Die Map'!CM85</f>
        <v>DP099</v>
      </c>
      <c r="CN85" s="21" t="str">
        <f>'Die Map'!CN85</f>
        <v>DP101</v>
      </c>
      <c r="CO85" s="22" t="str">
        <f>'Die Map'!CO85</f>
        <v>DP102</v>
      </c>
      <c r="CP85" s="22" t="str">
        <f>'Die Map'!CP85</f>
        <v>DP103</v>
      </c>
      <c r="CQ85" s="22" t="str">
        <f>'Die Map'!CQ85</f>
        <v>DP104</v>
      </c>
      <c r="CR85" s="23" t="str">
        <f>'Die Map'!CR85</f>
        <v>DP105</v>
      </c>
      <c r="CS85" s="21" t="str">
        <f>'Die Map'!CS85</f>
        <v/>
      </c>
      <c r="CT85" s="22" t="str">
        <f>'Die Map'!CT85</f>
        <v/>
      </c>
      <c r="CU85" s="22" t="str">
        <f>'Die Map'!CU85</f>
        <v/>
      </c>
      <c r="CV85" s="22" t="str">
        <f>'Die Map'!CV85</f>
        <v/>
      </c>
      <c r="CW85" s="23" t="str">
        <f>'Die Map'!CW85</f>
        <v/>
      </c>
      <c r="CX85" s="21" t="str">
        <f>'Die Map'!CX85</f>
        <v/>
      </c>
      <c r="CY85" s="22" t="str">
        <f>'Die Map'!CY85</f>
        <v/>
      </c>
      <c r="CZ85" s="22" t="str">
        <f>'Die Map'!CZ85</f>
        <v/>
      </c>
      <c r="DA85" s="22" t="str">
        <f>'Die Map'!DA85</f>
        <v/>
      </c>
      <c r="DB85" s="23" t="str">
        <f>'Die Map'!DB85</f>
        <v/>
      </c>
    </row>
    <row r="86" spans="1:106" ht="12.75" customHeight="1" x14ac:dyDescent="0.25">
      <c r="A86" s="17">
        <v>84</v>
      </c>
      <c r="B86" s="21" t="str">
        <f>'Die Map'!B86</f>
        <v/>
      </c>
      <c r="C86" s="22" t="str">
        <f>'Die Map'!C86</f>
        <v/>
      </c>
      <c r="D86" s="22" t="str">
        <f>'Die Map'!D86</f>
        <v/>
      </c>
      <c r="E86" s="22" t="str">
        <f>'Die Map'!E86</f>
        <v/>
      </c>
      <c r="F86" s="23" t="str">
        <f>'Die Map'!F86</f>
        <v/>
      </c>
      <c r="G86" s="21" t="str">
        <f>'Die Map'!G86</f>
        <v/>
      </c>
      <c r="H86" s="22" t="str">
        <f>'Die Map'!H86</f>
        <v/>
      </c>
      <c r="I86" s="22" t="str">
        <f>'Die Map'!I86</f>
        <v/>
      </c>
      <c r="J86" s="22" t="str">
        <f>'Die Map'!J86</f>
        <v/>
      </c>
      <c r="K86" s="23" t="str">
        <f>'Die Map'!K86</f>
        <v/>
      </c>
      <c r="L86" s="21" t="str">
        <f>'Die Map'!L86</f>
        <v>DR012</v>
      </c>
      <c r="M86" s="22" t="str">
        <f>'Die Map'!M86</f>
        <v>DR013</v>
      </c>
      <c r="N86" s="22" t="str">
        <f>'Die Map'!N86</f>
        <v>DR014</v>
      </c>
      <c r="O86" s="22" t="str">
        <f>'Die Map'!O86</f>
        <v>DR015</v>
      </c>
      <c r="P86" s="23" t="str">
        <f>'Die Map'!P86</f>
        <v>DR016</v>
      </c>
      <c r="Q86" s="21" t="str">
        <f>'Die Map'!Q86</f>
        <v>DR017</v>
      </c>
      <c r="R86" s="22" t="str">
        <f>'Die Map'!R86</f>
        <v>DR018</v>
      </c>
      <c r="S86" s="22" t="str">
        <f>'Die Map'!S86</f>
        <v>DR019</v>
      </c>
      <c r="T86" s="22" t="str">
        <f>'Die Map'!T86</f>
        <v>DR021</v>
      </c>
      <c r="U86" s="23" t="str">
        <f>'Die Map'!U86</f>
        <v>DR022</v>
      </c>
      <c r="V86" s="21" t="str">
        <f>'Die Map'!V86</f>
        <v>DR023</v>
      </c>
      <c r="W86" s="22" t="str">
        <f>'Die Map'!W86</f>
        <v>DR024</v>
      </c>
      <c r="X86" s="22" t="str">
        <f>'Die Map'!X86</f>
        <v>DR025</v>
      </c>
      <c r="Y86" s="22" t="str">
        <f>'Die Map'!Y86</f>
        <v>DR026</v>
      </c>
      <c r="Z86" s="23" t="str">
        <f>'Die Map'!Z86</f>
        <v>DR027</v>
      </c>
      <c r="AA86" s="21" t="str">
        <f>'Die Map'!AA86</f>
        <v>DR028</v>
      </c>
      <c r="AB86" s="22" t="str">
        <f>'Die Map'!AB86</f>
        <v>DR029</v>
      </c>
      <c r="AC86" s="22" t="str">
        <f>'Die Map'!AC86</f>
        <v>DR031</v>
      </c>
      <c r="AD86" s="22" t="str">
        <f>'Die Map'!AD86</f>
        <v>DR032</v>
      </c>
      <c r="AE86" s="23" t="str">
        <f>'Die Map'!AE86</f>
        <v>DR033</v>
      </c>
      <c r="AF86" s="21" t="str">
        <f>'Die Map'!AF86</f>
        <v>DR034</v>
      </c>
      <c r="AG86" s="22" t="str">
        <f>'Die Map'!AG86</f>
        <v>DR035</v>
      </c>
      <c r="AH86" s="22" t="str">
        <f>'Die Map'!AH86</f>
        <v>DR036</v>
      </c>
      <c r="AI86" s="22" t="str">
        <f>'Die Map'!AI86</f>
        <v>DR037</v>
      </c>
      <c r="AJ86" s="23" t="str">
        <f>'Die Map'!AJ86</f>
        <v>DR038</v>
      </c>
      <c r="AK86" s="21" t="str">
        <f>'Die Map'!AK86</f>
        <v>DR039</v>
      </c>
      <c r="AL86" s="22" t="str">
        <f>'Die Map'!AL86</f>
        <v>DR041</v>
      </c>
      <c r="AM86" s="22" t="str">
        <f>'Die Map'!AM86</f>
        <v>DR042</v>
      </c>
      <c r="AN86" s="22" t="str">
        <f>'Die Map'!AN86</f>
        <v>DR043</v>
      </c>
      <c r="AO86" s="23" t="str">
        <f>'Die Map'!AO86</f>
        <v>DR044</v>
      </c>
      <c r="AP86" s="21" t="str">
        <f>'Die Map'!AP86</f>
        <v>DR045</v>
      </c>
      <c r="AQ86" s="22" t="str">
        <f>'Die Map'!AQ86</f>
        <v>DR046</v>
      </c>
      <c r="AR86" s="22" t="str">
        <f>'Die Map'!AR86</f>
        <v>DR047</v>
      </c>
      <c r="AS86" s="22" t="str">
        <f>'Die Map'!AS86</f>
        <v>DR048</v>
      </c>
      <c r="AT86" s="23" t="str">
        <f>'Die Map'!AT86</f>
        <v>DR049</v>
      </c>
      <c r="AU86" s="21" t="str">
        <f>'Die Map'!AU86</f>
        <v>DR051</v>
      </c>
      <c r="AV86" s="22" t="str">
        <f>'Die Map'!AV86</f>
        <v>DR052</v>
      </c>
      <c r="AW86" s="22" t="str">
        <f>'Die Map'!AW86</f>
        <v>DR053</v>
      </c>
      <c r="AX86" s="22" t="str">
        <f>'Die Map'!AX86</f>
        <v>DR054</v>
      </c>
      <c r="AY86" s="23" t="str">
        <f>'Die Map'!AY86</f>
        <v>DR055</v>
      </c>
      <c r="AZ86" s="21" t="str">
        <f>'Die Map'!AZ86</f>
        <v>DR056</v>
      </c>
      <c r="BA86" s="22" t="str">
        <f>'Die Map'!BA86</f>
        <v>DR057</v>
      </c>
      <c r="BB86" s="22" t="str">
        <f>'Die Map'!BB86</f>
        <v>DR058</v>
      </c>
      <c r="BC86" s="22" t="str">
        <f>'Die Map'!BC86</f>
        <v>DR059</v>
      </c>
      <c r="BD86" s="23" t="str">
        <f>'Die Map'!BD86</f>
        <v>DR061</v>
      </c>
      <c r="BE86" s="21" t="str">
        <f>'Die Map'!BE86</f>
        <v>DR062</v>
      </c>
      <c r="BF86" s="22" t="str">
        <f>'Die Map'!BF86</f>
        <v>DR063</v>
      </c>
      <c r="BG86" s="22" t="str">
        <f>'Die Map'!BG86</f>
        <v>DR064</v>
      </c>
      <c r="BH86" s="22" t="str">
        <f>'Die Map'!BH86</f>
        <v>DR065</v>
      </c>
      <c r="BI86" s="23" t="str">
        <f>'Die Map'!BI86</f>
        <v>DR066</v>
      </c>
      <c r="BJ86" s="21" t="str">
        <f>'Die Map'!BJ86</f>
        <v>DR067</v>
      </c>
      <c r="BK86" s="22" t="str">
        <f>'Die Map'!BK86</f>
        <v>DR068</v>
      </c>
      <c r="BL86" s="22" t="str">
        <f>'Die Map'!BL86</f>
        <v>DR069</v>
      </c>
      <c r="BM86" s="22" t="str">
        <f>'Die Map'!BM86</f>
        <v>DR071</v>
      </c>
      <c r="BN86" s="23" t="str">
        <f>'Die Map'!BN86</f>
        <v>DR072</v>
      </c>
      <c r="BO86" s="21" t="str">
        <f>'Die Map'!BO86</f>
        <v>DR073</v>
      </c>
      <c r="BP86" s="22" t="str">
        <f>'Die Map'!BP86</f>
        <v>DR074</v>
      </c>
      <c r="BQ86" s="22" t="str">
        <f>'Die Map'!BQ86</f>
        <v>DR075</v>
      </c>
      <c r="BR86" s="22" t="str">
        <f>'Die Map'!BR86</f>
        <v>DR076</v>
      </c>
      <c r="BS86" s="23" t="str">
        <f>'Die Map'!BS86</f>
        <v>DR077</v>
      </c>
      <c r="BT86" s="21" t="str">
        <f>'Die Map'!BT86</f>
        <v>DR078</v>
      </c>
      <c r="BU86" s="22" t="str">
        <f>'Die Map'!BU86</f>
        <v>DR079</v>
      </c>
      <c r="BV86" s="22" t="str">
        <f>'Die Map'!BV86</f>
        <v>DR081</v>
      </c>
      <c r="BW86" s="22" t="str">
        <f>'Die Map'!BW86</f>
        <v>DR082</v>
      </c>
      <c r="BX86" s="23" t="str">
        <f>'Die Map'!BX86</f>
        <v>DR083</v>
      </c>
      <c r="BY86" s="21" t="str">
        <f>'Die Map'!BY86</f>
        <v>DR084</v>
      </c>
      <c r="BZ86" s="22" t="str">
        <f>'Die Map'!BZ86</f>
        <v>DR085</v>
      </c>
      <c r="CA86" s="22" t="str">
        <f>'Die Map'!CA86</f>
        <v>DR086</v>
      </c>
      <c r="CB86" s="22" t="str">
        <f>'Die Map'!CB86</f>
        <v>DR087</v>
      </c>
      <c r="CC86" s="23" t="str">
        <f>'Die Map'!CC86</f>
        <v>DR088</v>
      </c>
      <c r="CD86" s="21" t="str">
        <f>'Die Map'!CD86</f>
        <v>DR089</v>
      </c>
      <c r="CE86" s="22" t="str">
        <f>'Die Map'!CE86</f>
        <v>DR091</v>
      </c>
      <c r="CF86" s="22" t="str">
        <f>'Die Map'!CF86</f>
        <v>DR092</v>
      </c>
      <c r="CG86" s="22" t="str">
        <f>'Die Map'!CG86</f>
        <v>DR093</v>
      </c>
      <c r="CH86" s="23" t="str">
        <f>'Die Map'!CH86</f>
        <v>DR094</v>
      </c>
      <c r="CI86" s="21" t="str">
        <f>'Die Map'!CI86</f>
        <v>DR095</v>
      </c>
      <c r="CJ86" s="22" t="str">
        <f>'Die Map'!CJ86</f>
        <v>DR096</v>
      </c>
      <c r="CK86" s="22" t="str">
        <f>'Die Map'!CK86</f>
        <v>DR097</v>
      </c>
      <c r="CL86" s="22" t="str">
        <f>'Die Map'!CL86</f>
        <v>DR098</v>
      </c>
      <c r="CM86" s="23" t="str">
        <f>'Die Map'!CM86</f>
        <v>DR099</v>
      </c>
      <c r="CN86" s="21" t="str">
        <f>'Die Map'!CN86</f>
        <v>DR101</v>
      </c>
      <c r="CO86" s="22" t="str">
        <f>'Die Map'!CO86</f>
        <v>DR102</v>
      </c>
      <c r="CP86" s="22" t="str">
        <f>'Die Map'!CP86</f>
        <v>DR103</v>
      </c>
      <c r="CQ86" s="22" t="str">
        <f>'Die Map'!CQ86</f>
        <v>DR104</v>
      </c>
      <c r="CR86" s="23" t="str">
        <f>'Die Map'!CR86</f>
        <v>DR105</v>
      </c>
      <c r="CS86" s="21" t="str">
        <f>'Die Map'!CS86</f>
        <v/>
      </c>
      <c r="CT86" s="22" t="str">
        <f>'Die Map'!CT86</f>
        <v/>
      </c>
      <c r="CU86" s="22" t="str">
        <f>'Die Map'!CU86</f>
        <v/>
      </c>
      <c r="CV86" s="22" t="str">
        <f>'Die Map'!CV86</f>
        <v/>
      </c>
      <c r="CW86" s="23" t="str">
        <f>'Die Map'!CW86</f>
        <v/>
      </c>
      <c r="CX86" s="21" t="str">
        <f>'Die Map'!CX86</f>
        <v/>
      </c>
      <c r="CY86" s="22" t="str">
        <f>'Die Map'!CY86</f>
        <v/>
      </c>
      <c r="CZ86" s="22" t="str">
        <f>'Die Map'!CZ86</f>
        <v/>
      </c>
      <c r="DA86" s="22" t="str">
        <f>'Die Map'!DA86</f>
        <v/>
      </c>
      <c r="DB86" s="23" t="str">
        <f>'Die Map'!DB86</f>
        <v/>
      </c>
    </row>
    <row r="87" spans="1:106" ht="12.75" customHeight="1" x14ac:dyDescent="0.25">
      <c r="A87" s="17">
        <v>85</v>
      </c>
      <c r="B87" s="24" t="str">
        <f>'Die Map'!B87</f>
        <v/>
      </c>
      <c r="C87" s="25" t="str">
        <f>'Die Map'!C87</f>
        <v/>
      </c>
      <c r="D87" s="25" t="str">
        <f>'Die Map'!D87</f>
        <v/>
      </c>
      <c r="E87" s="25" t="str">
        <f>'Die Map'!E87</f>
        <v/>
      </c>
      <c r="F87" s="26" t="str">
        <f>'Die Map'!F87</f>
        <v/>
      </c>
      <c r="G87" s="24" t="str">
        <f>'Die Map'!G87</f>
        <v/>
      </c>
      <c r="H87" s="25" t="str">
        <f>'Die Map'!H87</f>
        <v/>
      </c>
      <c r="I87" s="25" t="str">
        <f>'Die Map'!I87</f>
        <v/>
      </c>
      <c r="J87" s="25" t="str">
        <f>'Die Map'!J87</f>
        <v/>
      </c>
      <c r="K87" s="26" t="str">
        <f>'Die Map'!K87</f>
        <v/>
      </c>
      <c r="L87" s="24" t="str">
        <f>'Die Map'!L87</f>
        <v>DS012</v>
      </c>
      <c r="M87" s="25" t="str">
        <f>'Die Map'!M87</f>
        <v>DS013</v>
      </c>
      <c r="N87" s="25" t="str">
        <f>'Die Map'!N87</f>
        <v>DS014</v>
      </c>
      <c r="O87" s="25" t="str">
        <f>'Die Map'!O87</f>
        <v>DS015</v>
      </c>
      <c r="P87" s="26" t="str">
        <f>'Die Map'!P87</f>
        <v>DS016</v>
      </c>
      <c r="Q87" s="24" t="str">
        <f>'Die Map'!Q87</f>
        <v>DS017</v>
      </c>
      <c r="R87" s="25" t="str">
        <f>'Die Map'!R87</f>
        <v>DS018</v>
      </c>
      <c r="S87" s="25" t="str">
        <f>'Die Map'!S87</f>
        <v>DS019</v>
      </c>
      <c r="T87" s="25" t="str">
        <f>'Die Map'!T87</f>
        <v>DS021</v>
      </c>
      <c r="U87" s="26" t="str">
        <f>'Die Map'!U87</f>
        <v>DS022</v>
      </c>
      <c r="V87" s="24" t="str">
        <f>'Die Map'!V87</f>
        <v>DS023</v>
      </c>
      <c r="W87" s="25" t="str">
        <f>'Die Map'!W87</f>
        <v>DS024</v>
      </c>
      <c r="X87" s="25" t="str">
        <f>'Die Map'!X87</f>
        <v>DS025</v>
      </c>
      <c r="Y87" s="25" t="str">
        <f>'Die Map'!Y87</f>
        <v>DS026</v>
      </c>
      <c r="Z87" s="26" t="str">
        <f>'Die Map'!Z87</f>
        <v>DS027</v>
      </c>
      <c r="AA87" s="24" t="str">
        <f>'Die Map'!AA87</f>
        <v>DS028</v>
      </c>
      <c r="AB87" s="25" t="str">
        <f>'Die Map'!AB87</f>
        <v>DS029</v>
      </c>
      <c r="AC87" s="25" t="str">
        <f>'Die Map'!AC87</f>
        <v>DS031</v>
      </c>
      <c r="AD87" s="25" t="str">
        <f>'Die Map'!AD87</f>
        <v>DS032</v>
      </c>
      <c r="AE87" s="26" t="str">
        <f>'Die Map'!AE87</f>
        <v>DS033</v>
      </c>
      <c r="AF87" s="24" t="str">
        <f>'Die Map'!AF87</f>
        <v>DS034</v>
      </c>
      <c r="AG87" s="25" t="str">
        <f>'Die Map'!AG87</f>
        <v>DS035</v>
      </c>
      <c r="AH87" s="25" t="str">
        <f>'Die Map'!AH87</f>
        <v>DS036</v>
      </c>
      <c r="AI87" s="25" t="str">
        <f>'Die Map'!AI87</f>
        <v>DS037</v>
      </c>
      <c r="AJ87" s="26" t="str">
        <f>'Die Map'!AJ87</f>
        <v>DS038</v>
      </c>
      <c r="AK87" s="24" t="str">
        <f>'Die Map'!AK87</f>
        <v>DS039</v>
      </c>
      <c r="AL87" s="25" t="str">
        <f>'Die Map'!AL87</f>
        <v>DS041</v>
      </c>
      <c r="AM87" s="25" t="str">
        <f>'Die Map'!AM87</f>
        <v>DS042</v>
      </c>
      <c r="AN87" s="25" t="str">
        <f>'Die Map'!AN87</f>
        <v>DS043</v>
      </c>
      <c r="AO87" s="26" t="str">
        <f>'Die Map'!AO87</f>
        <v>DS044</v>
      </c>
      <c r="AP87" s="24" t="str">
        <f>'Die Map'!AP87</f>
        <v>DS045</v>
      </c>
      <c r="AQ87" s="25" t="str">
        <f>'Die Map'!AQ87</f>
        <v>DS046</v>
      </c>
      <c r="AR87" s="25" t="str">
        <f>'Die Map'!AR87</f>
        <v>DS047</v>
      </c>
      <c r="AS87" s="25" t="str">
        <f>'Die Map'!AS87</f>
        <v>DS048</v>
      </c>
      <c r="AT87" s="26" t="str">
        <f>'Die Map'!AT87</f>
        <v>DS049</v>
      </c>
      <c r="AU87" s="24" t="str">
        <f>'Die Map'!AU87</f>
        <v>DS051</v>
      </c>
      <c r="AV87" s="25" t="str">
        <f>'Die Map'!AV87</f>
        <v>DS052</v>
      </c>
      <c r="AW87" s="25" t="str">
        <f>'Die Map'!AW87</f>
        <v>DS053</v>
      </c>
      <c r="AX87" s="25" t="str">
        <f>'Die Map'!AX87</f>
        <v>DS054</v>
      </c>
      <c r="AY87" s="26" t="str">
        <f>'Die Map'!AY87</f>
        <v>DS055</v>
      </c>
      <c r="AZ87" s="24" t="str">
        <f>'Die Map'!AZ87</f>
        <v>DS056</v>
      </c>
      <c r="BA87" s="25" t="str">
        <f>'Die Map'!BA87</f>
        <v>DS057</v>
      </c>
      <c r="BB87" s="25" t="str">
        <f>'Die Map'!BB87</f>
        <v>DS058</v>
      </c>
      <c r="BC87" s="25" t="str">
        <f>'Die Map'!BC87</f>
        <v>DS059</v>
      </c>
      <c r="BD87" s="26" t="str">
        <f>'Die Map'!BD87</f>
        <v>DS061</v>
      </c>
      <c r="BE87" s="24" t="str">
        <f>'Die Map'!BE87</f>
        <v>DS062</v>
      </c>
      <c r="BF87" s="25" t="str">
        <f>'Die Map'!BF87</f>
        <v>DS063</v>
      </c>
      <c r="BG87" s="25" t="str">
        <f>'Die Map'!BG87</f>
        <v>DS064</v>
      </c>
      <c r="BH87" s="25" t="str">
        <f>'Die Map'!BH87</f>
        <v>DS065</v>
      </c>
      <c r="BI87" s="26" t="str">
        <f>'Die Map'!BI87</f>
        <v>DS066</v>
      </c>
      <c r="BJ87" s="24" t="str">
        <f>'Die Map'!BJ87</f>
        <v>DS067</v>
      </c>
      <c r="BK87" s="25" t="str">
        <f>'Die Map'!BK87</f>
        <v>DS068</v>
      </c>
      <c r="BL87" s="25" t="str">
        <f>'Die Map'!BL87</f>
        <v>DS069</v>
      </c>
      <c r="BM87" s="25" t="str">
        <f>'Die Map'!BM87</f>
        <v>DS071</v>
      </c>
      <c r="BN87" s="26" t="str">
        <f>'Die Map'!BN87</f>
        <v>DS072</v>
      </c>
      <c r="BO87" s="24" t="str">
        <f>'Die Map'!BO87</f>
        <v>DS073</v>
      </c>
      <c r="BP87" s="25" t="str">
        <f>'Die Map'!BP87</f>
        <v>DS074</v>
      </c>
      <c r="BQ87" s="25" t="str">
        <f>'Die Map'!BQ87</f>
        <v>DS075</v>
      </c>
      <c r="BR87" s="25" t="str">
        <f>'Die Map'!BR87</f>
        <v>DS076</v>
      </c>
      <c r="BS87" s="26" t="str">
        <f>'Die Map'!BS87</f>
        <v>DS077</v>
      </c>
      <c r="BT87" s="24" t="str">
        <f>'Die Map'!BT87</f>
        <v>DS078</v>
      </c>
      <c r="BU87" s="25" t="str">
        <f>'Die Map'!BU87</f>
        <v>DS079</v>
      </c>
      <c r="BV87" s="25" t="str">
        <f>'Die Map'!BV87</f>
        <v>DS081</v>
      </c>
      <c r="BW87" s="25" t="str">
        <f>'Die Map'!BW87</f>
        <v>DS082</v>
      </c>
      <c r="BX87" s="26" t="str">
        <f>'Die Map'!BX87</f>
        <v>DS083</v>
      </c>
      <c r="BY87" s="24" t="str">
        <f>'Die Map'!BY87</f>
        <v>DS084</v>
      </c>
      <c r="BZ87" s="25" t="str">
        <f>'Die Map'!BZ87</f>
        <v>DS085</v>
      </c>
      <c r="CA87" s="25" t="str">
        <f>'Die Map'!CA87</f>
        <v>DS086</v>
      </c>
      <c r="CB87" s="25" t="str">
        <f>'Die Map'!CB87</f>
        <v>DS087</v>
      </c>
      <c r="CC87" s="26" t="str">
        <f>'Die Map'!CC87</f>
        <v>DS088</v>
      </c>
      <c r="CD87" s="24" t="str">
        <f>'Die Map'!CD87</f>
        <v>DS089</v>
      </c>
      <c r="CE87" s="25" t="str">
        <f>'Die Map'!CE87</f>
        <v>DS091</v>
      </c>
      <c r="CF87" s="25" t="str">
        <f>'Die Map'!CF87</f>
        <v>DS092</v>
      </c>
      <c r="CG87" s="25" t="str">
        <f>'Die Map'!CG87</f>
        <v>DS093</v>
      </c>
      <c r="CH87" s="26" t="str">
        <f>'Die Map'!CH87</f>
        <v>DS094</v>
      </c>
      <c r="CI87" s="24" t="str">
        <f>'Die Map'!CI87</f>
        <v>DS095</v>
      </c>
      <c r="CJ87" s="25" t="str">
        <f>'Die Map'!CJ87</f>
        <v>DS096</v>
      </c>
      <c r="CK87" s="25" t="str">
        <f>'Die Map'!CK87</f>
        <v>DS097</v>
      </c>
      <c r="CL87" s="25" t="str">
        <f>'Die Map'!CL87</f>
        <v>DS098</v>
      </c>
      <c r="CM87" s="26" t="str">
        <f>'Die Map'!CM87</f>
        <v>DS099</v>
      </c>
      <c r="CN87" s="24" t="str">
        <f>'Die Map'!CN87</f>
        <v>DS101</v>
      </c>
      <c r="CO87" s="25" t="str">
        <f>'Die Map'!CO87</f>
        <v>DS102</v>
      </c>
      <c r="CP87" s="25" t="str">
        <f>'Die Map'!CP87</f>
        <v>DS103</v>
      </c>
      <c r="CQ87" s="25" t="str">
        <f>'Die Map'!CQ87</f>
        <v>DS104</v>
      </c>
      <c r="CR87" s="26" t="str">
        <f>'Die Map'!CR87</f>
        <v>DS105</v>
      </c>
      <c r="CS87" s="24" t="str">
        <f>'Die Map'!CS87</f>
        <v/>
      </c>
      <c r="CT87" s="25" t="str">
        <f>'Die Map'!CT87</f>
        <v/>
      </c>
      <c r="CU87" s="25" t="str">
        <f>'Die Map'!CU87</f>
        <v/>
      </c>
      <c r="CV87" s="25" t="str">
        <f>'Die Map'!CV87</f>
        <v/>
      </c>
      <c r="CW87" s="26" t="str">
        <f>'Die Map'!CW87</f>
        <v/>
      </c>
      <c r="CX87" s="24" t="str">
        <f>'Die Map'!CX87</f>
        <v/>
      </c>
      <c r="CY87" s="25" t="str">
        <f>'Die Map'!CY87</f>
        <v/>
      </c>
      <c r="CZ87" s="25" t="str">
        <f>'Die Map'!CZ87</f>
        <v/>
      </c>
      <c r="DA87" s="25" t="str">
        <f>'Die Map'!DA87</f>
        <v/>
      </c>
      <c r="DB87" s="26" t="str">
        <f>'Die Map'!DB87</f>
        <v/>
      </c>
    </row>
    <row r="88" spans="1:106" ht="12.75" customHeight="1" x14ac:dyDescent="0.25">
      <c r="A88" s="17">
        <v>86</v>
      </c>
      <c r="B88" s="18" t="str">
        <f>'Die Map'!B88</f>
        <v/>
      </c>
      <c r="C88" s="19" t="str">
        <f>'Die Map'!C88</f>
        <v/>
      </c>
      <c r="D88" s="19" t="str">
        <f>'Die Map'!D88</f>
        <v/>
      </c>
      <c r="E88" s="19" t="str">
        <f>'Die Map'!E88</f>
        <v/>
      </c>
      <c r="F88" s="20" t="str">
        <f>'Die Map'!F88</f>
        <v/>
      </c>
      <c r="G88" s="18" t="str">
        <f>'Die Map'!G88</f>
        <v/>
      </c>
      <c r="H88" s="19" t="str">
        <f>'Die Map'!H88</f>
        <v/>
      </c>
      <c r="I88" s="19" t="str">
        <f>'Die Map'!I88</f>
        <v/>
      </c>
      <c r="J88" s="19" t="str">
        <f>'Die Map'!J88</f>
        <v/>
      </c>
      <c r="K88" s="20" t="str">
        <f>'Die Map'!K88</f>
        <v/>
      </c>
      <c r="L88" s="18" t="str">
        <f>'Die Map'!L88</f>
        <v/>
      </c>
      <c r="M88" s="19" t="str">
        <f>'Die Map'!M88</f>
        <v/>
      </c>
      <c r="N88" s="19" t="str">
        <f>'Die Map'!N88</f>
        <v/>
      </c>
      <c r="O88" s="19" t="str">
        <f>'Die Map'!O88</f>
        <v/>
      </c>
      <c r="P88" s="20" t="str">
        <f>'Die Map'!P88</f>
        <v/>
      </c>
      <c r="Q88" s="18" t="str">
        <f>'Die Map'!Q88</f>
        <v>DT017</v>
      </c>
      <c r="R88" s="19" t="str">
        <f>'Die Map'!R88</f>
        <v>DT018</v>
      </c>
      <c r="S88" s="19" t="str">
        <f>'Die Map'!S88</f>
        <v>DT019</v>
      </c>
      <c r="T88" s="19" t="str">
        <f>'Die Map'!T88</f>
        <v>DT021</v>
      </c>
      <c r="U88" s="20" t="str">
        <f>'Die Map'!U88</f>
        <v>DT022</v>
      </c>
      <c r="V88" s="18" t="str">
        <f>'Die Map'!V88</f>
        <v>DT023</v>
      </c>
      <c r="W88" s="19" t="str">
        <f>'Die Map'!W88</f>
        <v>DT024</v>
      </c>
      <c r="X88" s="19" t="str">
        <f>'Die Map'!X88</f>
        <v>DT025</v>
      </c>
      <c r="Y88" s="19" t="str">
        <f>'Die Map'!Y88</f>
        <v>DT026</v>
      </c>
      <c r="Z88" s="20" t="str">
        <f>'Die Map'!Z88</f>
        <v>DT027</v>
      </c>
      <c r="AA88" s="18" t="str">
        <f>'Die Map'!AA88</f>
        <v>DT028</v>
      </c>
      <c r="AB88" s="19" t="str">
        <f>'Die Map'!AB88</f>
        <v>DT029</v>
      </c>
      <c r="AC88" s="19" t="str">
        <f>'Die Map'!AC88</f>
        <v>DT031</v>
      </c>
      <c r="AD88" s="19" t="str">
        <f>'Die Map'!AD88</f>
        <v>DT032</v>
      </c>
      <c r="AE88" s="20" t="str">
        <f>'Die Map'!AE88</f>
        <v>DT033</v>
      </c>
      <c r="AF88" s="18" t="str">
        <f>'Die Map'!AF88</f>
        <v>DT034</v>
      </c>
      <c r="AG88" s="19" t="str">
        <f>'Die Map'!AG88</f>
        <v>DT035</v>
      </c>
      <c r="AH88" s="19" t="str">
        <f>'Die Map'!AH88</f>
        <v>DT036</v>
      </c>
      <c r="AI88" s="19" t="str">
        <f>'Die Map'!AI88</f>
        <v>DT037</v>
      </c>
      <c r="AJ88" s="20" t="str">
        <f>'Die Map'!AJ88</f>
        <v>DT038</v>
      </c>
      <c r="AK88" s="18" t="str">
        <f>'Die Map'!AK88</f>
        <v>DT039</v>
      </c>
      <c r="AL88" s="19" t="str">
        <f>'Die Map'!AL88</f>
        <v>DT041</v>
      </c>
      <c r="AM88" s="19" t="str">
        <f>'Die Map'!AM88</f>
        <v>DT042</v>
      </c>
      <c r="AN88" s="19" t="str">
        <f>'Die Map'!AN88</f>
        <v>DT043</v>
      </c>
      <c r="AO88" s="20" t="str">
        <f>'Die Map'!AO88</f>
        <v>DT044</v>
      </c>
      <c r="AP88" s="18" t="str">
        <f>'Die Map'!AP88</f>
        <v>DT045</v>
      </c>
      <c r="AQ88" s="19" t="str">
        <f>'Die Map'!AQ88</f>
        <v>DT046</v>
      </c>
      <c r="AR88" s="19" t="str">
        <f>'Die Map'!AR88</f>
        <v>DT047</v>
      </c>
      <c r="AS88" s="19" t="str">
        <f>'Die Map'!AS88</f>
        <v>DT048</v>
      </c>
      <c r="AT88" s="20" t="str">
        <f>'Die Map'!AT88</f>
        <v>DT049</v>
      </c>
      <c r="AU88" s="18" t="str">
        <f>'Die Map'!AU88</f>
        <v>DT051</v>
      </c>
      <c r="AV88" s="19" t="str">
        <f>'Die Map'!AV88</f>
        <v>DT052</v>
      </c>
      <c r="AW88" s="19" t="str">
        <f>'Die Map'!AW88</f>
        <v>DT053</v>
      </c>
      <c r="AX88" s="19" t="str">
        <f>'Die Map'!AX88</f>
        <v>DT054</v>
      </c>
      <c r="AY88" s="20" t="str">
        <f>'Die Map'!AY88</f>
        <v>DT055</v>
      </c>
      <c r="AZ88" s="18" t="str">
        <f>'Die Map'!AZ88</f>
        <v>DT056</v>
      </c>
      <c r="BA88" s="19" t="str">
        <f>'Die Map'!BA88</f>
        <v>DT057</v>
      </c>
      <c r="BB88" s="19" t="str">
        <f>'Die Map'!BB88</f>
        <v>DT058</v>
      </c>
      <c r="BC88" s="19" t="str">
        <f>'Die Map'!BC88</f>
        <v>DT059</v>
      </c>
      <c r="BD88" s="20" t="str">
        <f>'Die Map'!BD88</f>
        <v>DT061</v>
      </c>
      <c r="BE88" s="18" t="str">
        <f>'Die Map'!BE88</f>
        <v>DT062</v>
      </c>
      <c r="BF88" s="19" t="str">
        <f>'Die Map'!BF88</f>
        <v>DT063</v>
      </c>
      <c r="BG88" s="19" t="str">
        <f>'Die Map'!BG88</f>
        <v>DT064</v>
      </c>
      <c r="BH88" s="19" t="str">
        <f>'Die Map'!BH88</f>
        <v>DT065</v>
      </c>
      <c r="BI88" s="20" t="str">
        <f>'Die Map'!BI88</f>
        <v>DT066</v>
      </c>
      <c r="BJ88" s="18" t="str">
        <f>'Die Map'!BJ88</f>
        <v>DT067</v>
      </c>
      <c r="BK88" s="19" t="str">
        <f>'Die Map'!BK88</f>
        <v>DT068</v>
      </c>
      <c r="BL88" s="19" t="str">
        <f>'Die Map'!BL88</f>
        <v>DT069</v>
      </c>
      <c r="BM88" s="19" t="str">
        <f>'Die Map'!BM88</f>
        <v>DT071</v>
      </c>
      <c r="BN88" s="20" t="str">
        <f>'Die Map'!BN88</f>
        <v>DT072</v>
      </c>
      <c r="BO88" s="18" t="str">
        <f>'Die Map'!BO88</f>
        <v>DT073</v>
      </c>
      <c r="BP88" s="19" t="str">
        <f>'Die Map'!BP88</f>
        <v>DT074</v>
      </c>
      <c r="BQ88" s="19" t="str">
        <f>'Die Map'!BQ88</f>
        <v>DT075</v>
      </c>
      <c r="BR88" s="19" t="str">
        <f>'Die Map'!BR88</f>
        <v>DT076</v>
      </c>
      <c r="BS88" s="20" t="str">
        <f>'Die Map'!BS88</f>
        <v>DT077</v>
      </c>
      <c r="BT88" s="18" t="str">
        <f>'Die Map'!BT88</f>
        <v>DT078</v>
      </c>
      <c r="BU88" s="19" t="str">
        <f>'Die Map'!BU88</f>
        <v>DT079</v>
      </c>
      <c r="BV88" s="19" t="str">
        <f>'Die Map'!BV88</f>
        <v>DT081</v>
      </c>
      <c r="BW88" s="19" t="str">
        <f>'Die Map'!BW88</f>
        <v>DT082</v>
      </c>
      <c r="BX88" s="20" t="str">
        <f>'Die Map'!BX88</f>
        <v>DT083</v>
      </c>
      <c r="BY88" s="18" t="str">
        <f>'Die Map'!BY88</f>
        <v>DT084</v>
      </c>
      <c r="BZ88" s="19" t="str">
        <f>'Die Map'!BZ88</f>
        <v>DT085</v>
      </c>
      <c r="CA88" s="19" t="str">
        <f>'Die Map'!CA88</f>
        <v>DT086</v>
      </c>
      <c r="CB88" s="19" t="str">
        <f>'Die Map'!CB88</f>
        <v>DT087</v>
      </c>
      <c r="CC88" s="20" t="str">
        <f>'Die Map'!CC88</f>
        <v>DT088</v>
      </c>
      <c r="CD88" s="18" t="str">
        <f>'Die Map'!CD88</f>
        <v>DT089</v>
      </c>
      <c r="CE88" s="19" t="str">
        <f>'Die Map'!CE88</f>
        <v>DT091</v>
      </c>
      <c r="CF88" s="19" t="str">
        <f>'Die Map'!CF88</f>
        <v>DT092</v>
      </c>
      <c r="CG88" s="19" t="str">
        <f>'Die Map'!CG88</f>
        <v>DT093</v>
      </c>
      <c r="CH88" s="20" t="str">
        <f>'Die Map'!CH88</f>
        <v>DT094</v>
      </c>
      <c r="CI88" s="18" t="str">
        <f>'Die Map'!CI88</f>
        <v>DT095</v>
      </c>
      <c r="CJ88" s="19" t="str">
        <f>'Die Map'!CJ88</f>
        <v>DT096</v>
      </c>
      <c r="CK88" s="19" t="str">
        <f>'Die Map'!CK88</f>
        <v>DT097</v>
      </c>
      <c r="CL88" s="19" t="str">
        <f>'Die Map'!CL88</f>
        <v>DT098</v>
      </c>
      <c r="CM88" s="20" t="str">
        <f>'Die Map'!CM88</f>
        <v>DT099</v>
      </c>
      <c r="CN88" s="18" t="str">
        <f>'Die Map'!CN88</f>
        <v/>
      </c>
      <c r="CO88" s="19" t="str">
        <f>'Die Map'!CO88</f>
        <v/>
      </c>
      <c r="CP88" s="19" t="str">
        <f>'Die Map'!CP88</f>
        <v/>
      </c>
      <c r="CQ88" s="19" t="str">
        <f>'Die Map'!CQ88</f>
        <v/>
      </c>
      <c r="CR88" s="20" t="str">
        <f>'Die Map'!CR88</f>
        <v/>
      </c>
      <c r="CS88" s="18" t="str">
        <f>'Die Map'!CS88</f>
        <v/>
      </c>
      <c r="CT88" s="19" t="str">
        <f>'Die Map'!CT88</f>
        <v/>
      </c>
      <c r="CU88" s="19" t="str">
        <f>'Die Map'!CU88</f>
        <v/>
      </c>
      <c r="CV88" s="19" t="str">
        <f>'Die Map'!CV88</f>
        <v/>
      </c>
      <c r="CW88" s="20" t="str">
        <f>'Die Map'!CW88</f>
        <v/>
      </c>
      <c r="CX88" s="18" t="str">
        <f>'Die Map'!CX88</f>
        <v/>
      </c>
      <c r="CY88" s="19" t="str">
        <f>'Die Map'!CY88</f>
        <v/>
      </c>
      <c r="CZ88" s="19" t="str">
        <f>'Die Map'!CZ88</f>
        <v/>
      </c>
      <c r="DA88" s="19" t="str">
        <f>'Die Map'!DA88</f>
        <v/>
      </c>
      <c r="DB88" s="20" t="str">
        <f>'Die Map'!DB88</f>
        <v/>
      </c>
    </row>
    <row r="89" spans="1:106" ht="12.75" customHeight="1" x14ac:dyDescent="0.25">
      <c r="A89" s="17">
        <v>87</v>
      </c>
      <c r="B89" s="21" t="str">
        <f>'Die Map'!B89</f>
        <v/>
      </c>
      <c r="C89" s="22" t="str">
        <f>'Die Map'!C89</f>
        <v/>
      </c>
      <c r="D89" s="22" t="str">
        <f>'Die Map'!D89</f>
        <v/>
      </c>
      <c r="E89" s="22" t="str">
        <f>'Die Map'!E89</f>
        <v/>
      </c>
      <c r="F89" s="23" t="str">
        <f>'Die Map'!F89</f>
        <v/>
      </c>
      <c r="G89" s="21" t="str">
        <f>'Die Map'!G89</f>
        <v/>
      </c>
      <c r="H89" s="22" t="str">
        <f>'Die Map'!H89</f>
        <v/>
      </c>
      <c r="I89" s="22" t="str">
        <f>'Die Map'!I89</f>
        <v/>
      </c>
      <c r="J89" s="22" t="str">
        <f>'Die Map'!J89</f>
        <v/>
      </c>
      <c r="K89" s="23" t="str">
        <f>'Die Map'!K89</f>
        <v/>
      </c>
      <c r="L89" s="21" t="str">
        <f>'Die Map'!L89</f>
        <v/>
      </c>
      <c r="M89" s="22" t="str">
        <f>'Die Map'!M89</f>
        <v/>
      </c>
      <c r="N89" s="22" t="str">
        <f>'Die Map'!N89</f>
        <v/>
      </c>
      <c r="O89" s="22" t="str">
        <f>'Die Map'!O89</f>
        <v/>
      </c>
      <c r="P89" s="23" t="str">
        <f>'Die Map'!P89</f>
        <v/>
      </c>
      <c r="Q89" s="21" t="str">
        <f>'Die Map'!Q89</f>
        <v>DU017</v>
      </c>
      <c r="R89" s="22" t="str">
        <f>'Die Map'!R89</f>
        <v>DU018</v>
      </c>
      <c r="S89" s="22" t="str">
        <f>'Die Map'!S89</f>
        <v>DU019</v>
      </c>
      <c r="T89" s="22" t="str">
        <f>'Die Map'!T89</f>
        <v>DU021</v>
      </c>
      <c r="U89" s="23" t="str">
        <f>'Die Map'!U89</f>
        <v>DU022</v>
      </c>
      <c r="V89" s="21" t="str">
        <f>'Die Map'!V89</f>
        <v>DU023</v>
      </c>
      <c r="W89" s="22" t="str">
        <f>'Die Map'!W89</f>
        <v>DU024</v>
      </c>
      <c r="X89" s="22" t="str">
        <f>'Die Map'!X89</f>
        <v>DU025</v>
      </c>
      <c r="Y89" s="22" t="str">
        <f>'Die Map'!Y89</f>
        <v>DU026</v>
      </c>
      <c r="Z89" s="23" t="str">
        <f>'Die Map'!Z89</f>
        <v>DU027</v>
      </c>
      <c r="AA89" s="21" t="str">
        <f>'Die Map'!AA89</f>
        <v>DU028</v>
      </c>
      <c r="AB89" s="22" t="str">
        <f>'Die Map'!AB89</f>
        <v>DU029</v>
      </c>
      <c r="AC89" s="22" t="str">
        <f>'Die Map'!AC89</f>
        <v>DU031</v>
      </c>
      <c r="AD89" s="22" t="str">
        <f>'Die Map'!AD89</f>
        <v>DU032</v>
      </c>
      <c r="AE89" s="23" t="str">
        <f>'Die Map'!AE89</f>
        <v>DU033</v>
      </c>
      <c r="AF89" s="21" t="str">
        <f>'Die Map'!AF89</f>
        <v>DU034</v>
      </c>
      <c r="AG89" s="22" t="str">
        <f>'Die Map'!AG89</f>
        <v>DU035</v>
      </c>
      <c r="AH89" s="22" t="str">
        <f>'Die Map'!AH89</f>
        <v>DU036</v>
      </c>
      <c r="AI89" s="22" t="str">
        <f>'Die Map'!AI89</f>
        <v>DU037</v>
      </c>
      <c r="AJ89" s="23" t="str">
        <f>'Die Map'!AJ89</f>
        <v>DU038</v>
      </c>
      <c r="AK89" s="21" t="str">
        <f>'Die Map'!AK89</f>
        <v>DU039</v>
      </c>
      <c r="AL89" s="22" t="str">
        <f>'Die Map'!AL89</f>
        <v>DU041</v>
      </c>
      <c r="AM89" s="22" t="str">
        <f>'Die Map'!AM89</f>
        <v>DU042</v>
      </c>
      <c r="AN89" s="22" t="str">
        <f>'Die Map'!AN89</f>
        <v>DU043</v>
      </c>
      <c r="AO89" s="23" t="str">
        <f>'Die Map'!AO89</f>
        <v>DU044</v>
      </c>
      <c r="AP89" s="21" t="str">
        <f>'Die Map'!AP89</f>
        <v>DU045</v>
      </c>
      <c r="AQ89" s="22" t="str">
        <f>'Die Map'!AQ89</f>
        <v>DU046</v>
      </c>
      <c r="AR89" s="22" t="str">
        <f>'Die Map'!AR89</f>
        <v>DU047</v>
      </c>
      <c r="AS89" s="22" t="str">
        <f>'Die Map'!AS89</f>
        <v>DU048</v>
      </c>
      <c r="AT89" s="23" t="str">
        <f>'Die Map'!AT89</f>
        <v>DU049</v>
      </c>
      <c r="AU89" s="21" t="str">
        <f>'Die Map'!AU89</f>
        <v>DU051</v>
      </c>
      <c r="AV89" s="22" t="str">
        <f>'Die Map'!AV89</f>
        <v>DU052</v>
      </c>
      <c r="AW89" s="22" t="str">
        <f>'Die Map'!AW89</f>
        <v>DU053</v>
      </c>
      <c r="AX89" s="22" t="str">
        <f>'Die Map'!AX89</f>
        <v>DU054</v>
      </c>
      <c r="AY89" s="23" t="str">
        <f>'Die Map'!AY89</f>
        <v>DU055</v>
      </c>
      <c r="AZ89" s="21" t="str">
        <f>'Die Map'!AZ89</f>
        <v>DU056</v>
      </c>
      <c r="BA89" s="22" t="str">
        <f>'Die Map'!BA89</f>
        <v>DU057</v>
      </c>
      <c r="BB89" s="22" t="str">
        <f>'Die Map'!BB89</f>
        <v>DU058</v>
      </c>
      <c r="BC89" s="22" t="str">
        <f>'Die Map'!BC89</f>
        <v>DU059</v>
      </c>
      <c r="BD89" s="23" t="str">
        <f>'Die Map'!BD89</f>
        <v>DU061</v>
      </c>
      <c r="BE89" s="21" t="str">
        <f>'Die Map'!BE89</f>
        <v>DU062</v>
      </c>
      <c r="BF89" s="22" t="str">
        <f>'Die Map'!BF89</f>
        <v>DU063</v>
      </c>
      <c r="BG89" s="22" t="str">
        <f>'Die Map'!BG89</f>
        <v>DU064</v>
      </c>
      <c r="BH89" s="22" t="str">
        <f>'Die Map'!BH89</f>
        <v>DU065</v>
      </c>
      <c r="BI89" s="23" t="str">
        <f>'Die Map'!BI89</f>
        <v>DU066</v>
      </c>
      <c r="BJ89" s="21" t="str">
        <f>'Die Map'!BJ89</f>
        <v>DU067</v>
      </c>
      <c r="BK89" s="22" t="str">
        <f>'Die Map'!BK89</f>
        <v>DU068</v>
      </c>
      <c r="BL89" s="22" t="str">
        <f>'Die Map'!BL89</f>
        <v>DU069</v>
      </c>
      <c r="BM89" s="22" t="str">
        <f>'Die Map'!BM89</f>
        <v>DU071</v>
      </c>
      <c r="BN89" s="23" t="str">
        <f>'Die Map'!BN89</f>
        <v>DU072</v>
      </c>
      <c r="BO89" s="21" t="str">
        <f>'Die Map'!BO89</f>
        <v>DU073</v>
      </c>
      <c r="BP89" s="22" t="str">
        <f>'Die Map'!BP89</f>
        <v>DU074</v>
      </c>
      <c r="BQ89" s="22" t="str">
        <f>'Die Map'!BQ89</f>
        <v>DU075</v>
      </c>
      <c r="BR89" s="22" t="str">
        <f>'Die Map'!BR89</f>
        <v>DU076</v>
      </c>
      <c r="BS89" s="23" t="str">
        <f>'Die Map'!BS89</f>
        <v>DU077</v>
      </c>
      <c r="BT89" s="21" t="str">
        <f>'Die Map'!BT89</f>
        <v>DU078</v>
      </c>
      <c r="BU89" s="22" t="str">
        <f>'Die Map'!BU89</f>
        <v>DU079</v>
      </c>
      <c r="BV89" s="22" t="str">
        <f>'Die Map'!BV89</f>
        <v>DU081</v>
      </c>
      <c r="BW89" s="22" t="str">
        <f>'Die Map'!BW89</f>
        <v>DU082</v>
      </c>
      <c r="BX89" s="23" t="str">
        <f>'Die Map'!BX89</f>
        <v>DU083</v>
      </c>
      <c r="BY89" s="21" t="str">
        <f>'Die Map'!BY89</f>
        <v>DU084</v>
      </c>
      <c r="BZ89" s="22" t="str">
        <f>'Die Map'!BZ89</f>
        <v>DU085</v>
      </c>
      <c r="CA89" s="22" t="str">
        <f>'Die Map'!CA89</f>
        <v>DU086</v>
      </c>
      <c r="CB89" s="22" t="str">
        <f>'Die Map'!CB89</f>
        <v>DU087</v>
      </c>
      <c r="CC89" s="23" t="str">
        <f>'Die Map'!CC89</f>
        <v>DU088</v>
      </c>
      <c r="CD89" s="21" t="str">
        <f>'Die Map'!CD89</f>
        <v>DU089</v>
      </c>
      <c r="CE89" s="22" t="str">
        <f>'Die Map'!CE89</f>
        <v>DU091</v>
      </c>
      <c r="CF89" s="22" t="str">
        <f>'Die Map'!CF89</f>
        <v>DU092</v>
      </c>
      <c r="CG89" s="22" t="str">
        <f>'Die Map'!CG89</f>
        <v>DU093</v>
      </c>
      <c r="CH89" s="23" t="str">
        <f>'Die Map'!CH89</f>
        <v>DU094</v>
      </c>
      <c r="CI89" s="21" t="str">
        <f>'Die Map'!CI89</f>
        <v>DU095</v>
      </c>
      <c r="CJ89" s="22" t="str">
        <f>'Die Map'!CJ89</f>
        <v>DU096</v>
      </c>
      <c r="CK89" s="22" t="str">
        <f>'Die Map'!CK89</f>
        <v>DU097</v>
      </c>
      <c r="CL89" s="22" t="str">
        <f>'Die Map'!CL89</f>
        <v>DU098</v>
      </c>
      <c r="CM89" s="23" t="str">
        <f>'Die Map'!CM89</f>
        <v>DU099</v>
      </c>
      <c r="CN89" s="21" t="str">
        <f>'Die Map'!CN89</f>
        <v/>
      </c>
      <c r="CO89" s="22" t="str">
        <f>'Die Map'!CO89</f>
        <v/>
      </c>
      <c r="CP89" s="22" t="str">
        <f>'Die Map'!CP89</f>
        <v/>
      </c>
      <c r="CQ89" s="22" t="str">
        <f>'Die Map'!CQ89</f>
        <v/>
      </c>
      <c r="CR89" s="23" t="str">
        <f>'Die Map'!CR89</f>
        <v/>
      </c>
      <c r="CS89" s="21" t="str">
        <f>'Die Map'!CS89</f>
        <v/>
      </c>
      <c r="CT89" s="22" t="str">
        <f>'Die Map'!CT89</f>
        <v/>
      </c>
      <c r="CU89" s="22" t="str">
        <f>'Die Map'!CU89</f>
        <v/>
      </c>
      <c r="CV89" s="22" t="str">
        <f>'Die Map'!CV89</f>
        <v/>
      </c>
      <c r="CW89" s="23" t="str">
        <f>'Die Map'!CW89</f>
        <v/>
      </c>
      <c r="CX89" s="21" t="str">
        <f>'Die Map'!CX89</f>
        <v/>
      </c>
      <c r="CY89" s="22" t="str">
        <f>'Die Map'!CY89</f>
        <v/>
      </c>
      <c r="CZ89" s="22" t="str">
        <f>'Die Map'!CZ89</f>
        <v/>
      </c>
      <c r="DA89" s="22" t="str">
        <f>'Die Map'!DA89</f>
        <v/>
      </c>
      <c r="DB89" s="23" t="str">
        <f>'Die Map'!DB89</f>
        <v/>
      </c>
    </row>
    <row r="90" spans="1:106" ht="12.75" customHeight="1" x14ac:dyDescent="0.25">
      <c r="A90" s="17">
        <v>88</v>
      </c>
      <c r="B90" s="21" t="str">
        <f>'Die Map'!B90</f>
        <v/>
      </c>
      <c r="C90" s="22" t="str">
        <f>'Die Map'!C90</f>
        <v/>
      </c>
      <c r="D90" s="22" t="str">
        <f>'Die Map'!D90</f>
        <v/>
      </c>
      <c r="E90" s="22" t="str">
        <f>'Die Map'!E90</f>
        <v/>
      </c>
      <c r="F90" s="23" t="str">
        <f>'Die Map'!F90</f>
        <v/>
      </c>
      <c r="G90" s="21" t="str">
        <f>'Die Map'!G90</f>
        <v/>
      </c>
      <c r="H90" s="22" t="str">
        <f>'Die Map'!H90</f>
        <v/>
      </c>
      <c r="I90" s="22" t="str">
        <f>'Die Map'!I90</f>
        <v/>
      </c>
      <c r="J90" s="22" t="str">
        <f>'Die Map'!J90</f>
        <v/>
      </c>
      <c r="K90" s="23" t="str">
        <f>'Die Map'!K90</f>
        <v/>
      </c>
      <c r="L90" s="21" t="str">
        <f>'Die Map'!L90</f>
        <v/>
      </c>
      <c r="M90" s="22" t="str">
        <f>'Die Map'!M90</f>
        <v/>
      </c>
      <c r="N90" s="22" t="str">
        <f>'Die Map'!N90</f>
        <v/>
      </c>
      <c r="O90" s="22" t="str">
        <f>'Die Map'!O90</f>
        <v/>
      </c>
      <c r="P90" s="23" t="str">
        <f>'Die Map'!P90</f>
        <v/>
      </c>
      <c r="Q90" s="21" t="str">
        <f>'Die Map'!Q90</f>
        <v>DV017</v>
      </c>
      <c r="R90" s="22" t="str">
        <f>'Die Map'!R90</f>
        <v>DV018</v>
      </c>
      <c r="S90" s="22" t="str">
        <f>'Die Map'!S90</f>
        <v>DV019</v>
      </c>
      <c r="T90" s="22" t="str">
        <f>'Die Map'!T90</f>
        <v>DV021</v>
      </c>
      <c r="U90" s="23" t="str">
        <f>'Die Map'!U90</f>
        <v>DV022</v>
      </c>
      <c r="V90" s="21" t="str">
        <f>'Die Map'!V90</f>
        <v>DV023</v>
      </c>
      <c r="W90" s="22" t="str">
        <f>'Die Map'!W90</f>
        <v>DV024</v>
      </c>
      <c r="X90" s="22" t="str">
        <f>'Die Map'!X90</f>
        <v>DV025</v>
      </c>
      <c r="Y90" s="22" t="str">
        <f>'Die Map'!Y90</f>
        <v>DV026</v>
      </c>
      <c r="Z90" s="23" t="str">
        <f>'Die Map'!Z90</f>
        <v>DV027</v>
      </c>
      <c r="AA90" s="21" t="str">
        <f>'Die Map'!AA90</f>
        <v>DV028</v>
      </c>
      <c r="AB90" s="22" t="str">
        <f>'Die Map'!AB90</f>
        <v>DV029</v>
      </c>
      <c r="AC90" s="22" t="str">
        <f>'Die Map'!AC90</f>
        <v>DV031</v>
      </c>
      <c r="AD90" s="22" t="str">
        <f>'Die Map'!AD90</f>
        <v>DV032</v>
      </c>
      <c r="AE90" s="23" t="str">
        <f>'Die Map'!AE90</f>
        <v>DV033</v>
      </c>
      <c r="AF90" s="21" t="str">
        <f>'Die Map'!AF90</f>
        <v>DV034</v>
      </c>
      <c r="AG90" s="22" t="str">
        <f>'Die Map'!AG90</f>
        <v>DV035</v>
      </c>
      <c r="AH90" s="22" t="str">
        <f>'Die Map'!AH90</f>
        <v>DV036</v>
      </c>
      <c r="AI90" s="22" t="str">
        <f>'Die Map'!AI90</f>
        <v>DV037</v>
      </c>
      <c r="AJ90" s="23" t="str">
        <f>'Die Map'!AJ90</f>
        <v>DV038</v>
      </c>
      <c r="AK90" s="21" t="str">
        <f>'Die Map'!AK90</f>
        <v>DV039</v>
      </c>
      <c r="AL90" s="22" t="str">
        <f>'Die Map'!AL90</f>
        <v>DV041</v>
      </c>
      <c r="AM90" s="22" t="str">
        <f>'Die Map'!AM90</f>
        <v>DV042</v>
      </c>
      <c r="AN90" s="22" t="str">
        <f>'Die Map'!AN90</f>
        <v>DV043</v>
      </c>
      <c r="AO90" s="23" t="str">
        <f>'Die Map'!AO90</f>
        <v>DV044</v>
      </c>
      <c r="AP90" s="21" t="str">
        <f>'Die Map'!AP90</f>
        <v>DV045</v>
      </c>
      <c r="AQ90" s="22" t="str">
        <f>'Die Map'!AQ90</f>
        <v>DV046</v>
      </c>
      <c r="AR90" s="22" t="str">
        <f>'Die Map'!AR90</f>
        <v>DV047</v>
      </c>
      <c r="AS90" s="22" t="str">
        <f>'Die Map'!AS90</f>
        <v>DV048</v>
      </c>
      <c r="AT90" s="23" t="str">
        <f>'Die Map'!AT90</f>
        <v>DV049</v>
      </c>
      <c r="AU90" s="21" t="str">
        <f>'Die Map'!AU90</f>
        <v>DV051</v>
      </c>
      <c r="AV90" s="22" t="str">
        <f>'Die Map'!AV90</f>
        <v>DV052</v>
      </c>
      <c r="AW90" s="22" t="str">
        <f>'Die Map'!AW90</f>
        <v>DV053</v>
      </c>
      <c r="AX90" s="22" t="str">
        <f>'Die Map'!AX90</f>
        <v>DV054</v>
      </c>
      <c r="AY90" s="23" t="str">
        <f>'Die Map'!AY90</f>
        <v>DV055</v>
      </c>
      <c r="AZ90" s="21" t="str">
        <f>'Die Map'!AZ90</f>
        <v>DV056</v>
      </c>
      <c r="BA90" s="22" t="str">
        <f>'Die Map'!BA90</f>
        <v>DV057</v>
      </c>
      <c r="BB90" s="22" t="str">
        <f>'Die Map'!BB90</f>
        <v>DV058</v>
      </c>
      <c r="BC90" s="22" t="str">
        <f>'Die Map'!BC90</f>
        <v>DV059</v>
      </c>
      <c r="BD90" s="23" t="str">
        <f>'Die Map'!BD90</f>
        <v>DV061</v>
      </c>
      <c r="BE90" s="21" t="str">
        <f>'Die Map'!BE90</f>
        <v>DV062</v>
      </c>
      <c r="BF90" s="22" t="str">
        <f>'Die Map'!BF90</f>
        <v>DV063</v>
      </c>
      <c r="BG90" s="22" t="str">
        <f>'Die Map'!BG90</f>
        <v>DV064</v>
      </c>
      <c r="BH90" s="22" t="str">
        <f>'Die Map'!BH90</f>
        <v>DV065</v>
      </c>
      <c r="BI90" s="23" t="str">
        <f>'Die Map'!BI90</f>
        <v>DV066</v>
      </c>
      <c r="BJ90" s="21" t="str">
        <f>'Die Map'!BJ90</f>
        <v>DV067</v>
      </c>
      <c r="BK90" s="22" t="str">
        <f>'Die Map'!BK90</f>
        <v>DV068</v>
      </c>
      <c r="BL90" s="22" t="str">
        <f>'Die Map'!BL90</f>
        <v>DV069</v>
      </c>
      <c r="BM90" s="22" t="str">
        <f>'Die Map'!BM90</f>
        <v>DV071</v>
      </c>
      <c r="BN90" s="23" t="str">
        <f>'Die Map'!BN90</f>
        <v>DV072</v>
      </c>
      <c r="BO90" s="21" t="str">
        <f>'Die Map'!BO90</f>
        <v>DV073</v>
      </c>
      <c r="BP90" s="22" t="str">
        <f>'Die Map'!BP90</f>
        <v>DV074</v>
      </c>
      <c r="BQ90" s="22" t="str">
        <f>'Die Map'!BQ90</f>
        <v>DV075</v>
      </c>
      <c r="BR90" s="22" t="str">
        <f>'Die Map'!BR90</f>
        <v>DV076</v>
      </c>
      <c r="BS90" s="23" t="str">
        <f>'Die Map'!BS90</f>
        <v>DV077</v>
      </c>
      <c r="BT90" s="21" t="str">
        <f>'Die Map'!BT90</f>
        <v>DV078</v>
      </c>
      <c r="BU90" s="22" t="str">
        <f>'Die Map'!BU90</f>
        <v>DV079</v>
      </c>
      <c r="BV90" s="22" t="str">
        <f>'Die Map'!BV90</f>
        <v>DV081</v>
      </c>
      <c r="BW90" s="22" t="str">
        <f>'Die Map'!BW90</f>
        <v>DV082</v>
      </c>
      <c r="BX90" s="23" t="str">
        <f>'Die Map'!BX90</f>
        <v>DV083</v>
      </c>
      <c r="BY90" s="21" t="str">
        <f>'Die Map'!BY90</f>
        <v>DV084</v>
      </c>
      <c r="BZ90" s="22" t="str">
        <f>'Die Map'!BZ90</f>
        <v>DV085</v>
      </c>
      <c r="CA90" s="22" t="str">
        <f>'Die Map'!CA90</f>
        <v>DV086</v>
      </c>
      <c r="CB90" s="22" t="str">
        <f>'Die Map'!CB90</f>
        <v>DV087</v>
      </c>
      <c r="CC90" s="23" t="str">
        <f>'Die Map'!CC90</f>
        <v>DV088</v>
      </c>
      <c r="CD90" s="21" t="str">
        <f>'Die Map'!CD90</f>
        <v>DV089</v>
      </c>
      <c r="CE90" s="22" t="str">
        <f>'Die Map'!CE90</f>
        <v>DV091</v>
      </c>
      <c r="CF90" s="22" t="str">
        <f>'Die Map'!CF90</f>
        <v>DV092</v>
      </c>
      <c r="CG90" s="22" t="str">
        <f>'Die Map'!CG90</f>
        <v>DV093</v>
      </c>
      <c r="CH90" s="23" t="str">
        <f>'Die Map'!CH90</f>
        <v>DV094</v>
      </c>
      <c r="CI90" s="21" t="str">
        <f>'Die Map'!CI90</f>
        <v>DV095</v>
      </c>
      <c r="CJ90" s="22" t="str">
        <f>'Die Map'!CJ90</f>
        <v>DV096</v>
      </c>
      <c r="CK90" s="22" t="str">
        <f>'Die Map'!CK90</f>
        <v>DV097</v>
      </c>
      <c r="CL90" s="22" t="str">
        <f>'Die Map'!CL90</f>
        <v>DV098</v>
      </c>
      <c r="CM90" s="23" t="str">
        <f>'Die Map'!CM90</f>
        <v>DV099</v>
      </c>
      <c r="CN90" s="21" t="str">
        <f>'Die Map'!CN90</f>
        <v/>
      </c>
      <c r="CO90" s="22" t="str">
        <f>'Die Map'!CO90</f>
        <v/>
      </c>
      <c r="CP90" s="22" t="str">
        <f>'Die Map'!CP90</f>
        <v/>
      </c>
      <c r="CQ90" s="22" t="str">
        <f>'Die Map'!CQ90</f>
        <v/>
      </c>
      <c r="CR90" s="23" t="str">
        <f>'Die Map'!CR90</f>
        <v/>
      </c>
      <c r="CS90" s="21" t="str">
        <f>'Die Map'!CS90</f>
        <v/>
      </c>
      <c r="CT90" s="22" t="str">
        <f>'Die Map'!CT90</f>
        <v/>
      </c>
      <c r="CU90" s="22" t="str">
        <f>'Die Map'!CU90</f>
        <v/>
      </c>
      <c r="CV90" s="22" t="str">
        <f>'Die Map'!CV90</f>
        <v/>
      </c>
      <c r="CW90" s="23" t="str">
        <f>'Die Map'!CW90</f>
        <v/>
      </c>
      <c r="CX90" s="21" t="str">
        <f>'Die Map'!CX90</f>
        <v/>
      </c>
      <c r="CY90" s="22" t="str">
        <f>'Die Map'!CY90</f>
        <v/>
      </c>
      <c r="CZ90" s="22" t="str">
        <f>'Die Map'!CZ90</f>
        <v/>
      </c>
      <c r="DA90" s="22" t="str">
        <f>'Die Map'!DA90</f>
        <v/>
      </c>
      <c r="DB90" s="23" t="str">
        <f>'Die Map'!DB90</f>
        <v/>
      </c>
    </row>
    <row r="91" spans="1:106" ht="12.75" customHeight="1" x14ac:dyDescent="0.25">
      <c r="A91" s="17">
        <v>89</v>
      </c>
      <c r="B91" s="21" t="str">
        <f>'Die Map'!B91</f>
        <v/>
      </c>
      <c r="C91" s="22" t="str">
        <f>'Die Map'!C91</f>
        <v/>
      </c>
      <c r="D91" s="22" t="str">
        <f>'Die Map'!D91</f>
        <v/>
      </c>
      <c r="E91" s="22" t="str">
        <f>'Die Map'!E91</f>
        <v/>
      </c>
      <c r="F91" s="23" t="str">
        <f>'Die Map'!F91</f>
        <v/>
      </c>
      <c r="G91" s="21" t="str">
        <f>'Die Map'!G91</f>
        <v/>
      </c>
      <c r="H91" s="22" t="str">
        <f>'Die Map'!H91</f>
        <v/>
      </c>
      <c r="I91" s="22" t="str">
        <f>'Die Map'!I91</f>
        <v/>
      </c>
      <c r="J91" s="22" t="str">
        <f>'Die Map'!J91</f>
        <v/>
      </c>
      <c r="K91" s="23" t="str">
        <f>'Die Map'!K91</f>
        <v/>
      </c>
      <c r="L91" s="21" t="str">
        <f>'Die Map'!L91</f>
        <v/>
      </c>
      <c r="M91" s="22" t="str">
        <f>'Die Map'!M91</f>
        <v/>
      </c>
      <c r="N91" s="22" t="str">
        <f>'Die Map'!N91</f>
        <v/>
      </c>
      <c r="O91" s="22" t="str">
        <f>'Die Map'!O91</f>
        <v/>
      </c>
      <c r="P91" s="23" t="str">
        <f>'Die Map'!P91</f>
        <v/>
      </c>
      <c r="Q91" s="21" t="str">
        <f>'Die Map'!Q91</f>
        <v>DW017</v>
      </c>
      <c r="R91" s="22" t="str">
        <f>'Die Map'!R91</f>
        <v>DW018</v>
      </c>
      <c r="S91" s="22" t="str">
        <f>'Die Map'!S91</f>
        <v>DW019</v>
      </c>
      <c r="T91" s="22" t="str">
        <f>'Die Map'!T91</f>
        <v>DW021</v>
      </c>
      <c r="U91" s="23" t="str">
        <f>'Die Map'!U91</f>
        <v>DW022</v>
      </c>
      <c r="V91" s="21" t="str">
        <f>'Die Map'!V91</f>
        <v>DW023</v>
      </c>
      <c r="W91" s="22" t="str">
        <f>'Die Map'!W91</f>
        <v>DW024</v>
      </c>
      <c r="X91" s="22" t="str">
        <f>'Die Map'!X91</f>
        <v>DW025</v>
      </c>
      <c r="Y91" s="22" t="str">
        <f>'Die Map'!Y91</f>
        <v>DW026</v>
      </c>
      <c r="Z91" s="23" t="str">
        <f>'Die Map'!Z91</f>
        <v>DW027</v>
      </c>
      <c r="AA91" s="21" t="str">
        <f>'Die Map'!AA91</f>
        <v>DW028</v>
      </c>
      <c r="AB91" s="22" t="str">
        <f>'Die Map'!AB91</f>
        <v>DW029</v>
      </c>
      <c r="AC91" s="22" t="str">
        <f>'Die Map'!AC91</f>
        <v>DW031</v>
      </c>
      <c r="AD91" s="22" t="str">
        <f>'Die Map'!AD91</f>
        <v>DW032</v>
      </c>
      <c r="AE91" s="23" t="str">
        <f>'Die Map'!AE91</f>
        <v>DW033</v>
      </c>
      <c r="AF91" s="21" t="str">
        <f>'Die Map'!AF91</f>
        <v>DW034</v>
      </c>
      <c r="AG91" s="22" t="str">
        <f>'Die Map'!AG91</f>
        <v>DW035</v>
      </c>
      <c r="AH91" s="22" t="str">
        <f>'Die Map'!AH91</f>
        <v>DW036</v>
      </c>
      <c r="AI91" s="22" t="str">
        <f>'Die Map'!AI91</f>
        <v>DW037</v>
      </c>
      <c r="AJ91" s="23" t="str">
        <f>'Die Map'!AJ91</f>
        <v>DW038</v>
      </c>
      <c r="AK91" s="21" t="str">
        <f>'Die Map'!AK91</f>
        <v>DW039</v>
      </c>
      <c r="AL91" s="22" t="str">
        <f>'Die Map'!AL91</f>
        <v>DW041</v>
      </c>
      <c r="AM91" s="22" t="str">
        <f>'Die Map'!AM91</f>
        <v>DW042</v>
      </c>
      <c r="AN91" s="22" t="str">
        <f>'Die Map'!AN91</f>
        <v>DW043</v>
      </c>
      <c r="AO91" s="23" t="str">
        <f>'Die Map'!AO91</f>
        <v>DW044</v>
      </c>
      <c r="AP91" s="21" t="str">
        <f>'Die Map'!AP91</f>
        <v>DW045</v>
      </c>
      <c r="AQ91" s="22" t="str">
        <f>'Die Map'!AQ91</f>
        <v>DW046</v>
      </c>
      <c r="AR91" s="22" t="str">
        <f>'Die Map'!AR91</f>
        <v>DW047</v>
      </c>
      <c r="AS91" s="22" t="str">
        <f>'Die Map'!AS91</f>
        <v>DW048</v>
      </c>
      <c r="AT91" s="23" t="str">
        <f>'Die Map'!AT91</f>
        <v>DW049</v>
      </c>
      <c r="AU91" s="21" t="str">
        <f>'Die Map'!AU91</f>
        <v>DW051</v>
      </c>
      <c r="AV91" s="22" t="str">
        <f>'Die Map'!AV91</f>
        <v>DW052</v>
      </c>
      <c r="AW91" s="22" t="str">
        <f>'Die Map'!AW91</f>
        <v>DW053</v>
      </c>
      <c r="AX91" s="22" t="str">
        <f>'Die Map'!AX91</f>
        <v>DW054</v>
      </c>
      <c r="AY91" s="23" t="str">
        <f>'Die Map'!AY91</f>
        <v>DW055</v>
      </c>
      <c r="AZ91" s="21" t="str">
        <f>'Die Map'!AZ91</f>
        <v>DW056</v>
      </c>
      <c r="BA91" s="22" t="str">
        <f>'Die Map'!BA91</f>
        <v>DW057</v>
      </c>
      <c r="BB91" s="22" t="str">
        <f>'Die Map'!BB91</f>
        <v>DW058</v>
      </c>
      <c r="BC91" s="22" t="str">
        <f>'Die Map'!BC91</f>
        <v>DW059</v>
      </c>
      <c r="BD91" s="23" t="str">
        <f>'Die Map'!BD91</f>
        <v>DW061</v>
      </c>
      <c r="BE91" s="21" t="str">
        <f>'Die Map'!BE91</f>
        <v>DW062</v>
      </c>
      <c r="BF91" s="22" t="str">
        <f>'Die Map'!BF91</f>
        <v>DW063</v>
      </c>
      <c r="BG91" s="22" t="str">
        <f>'Die Map'!BG91</f>
        <v>DW064</v>
      </c>
      <c r="BH91" s="22" t="str">
        <f>'Die Map'!BH91</f>
        <v>DW065</v>
      </c>
      <c r="BI91" s="23" t="str">
        <f>'Die Map'!BI91</f>
        <v>DW066</v>
      </c>
      <c r="BJ91" s="21" t="str">
        <f>'Die Map'!BJ91</f>
        <v>DW067</v>
      </c>
      <c r="BK91" s="22" t="str">
        <f>'Die Map'!BK91</f>
        <v>DW068</v>
      </c>
      <c r="BL91" s="22" t="str">
        <f>'Die Map'!BL91</f>
        <v>DW069</v>
      </c>
      <c r="BM91" s="22" t="str">
        <f>'Die Map'!BM91</f>
        <v>DW071</v>
      </c>
      <c r="BN91" s="23" t="str">
        <f>'Die Map'!BN91</f>
        <v>DW072</v>
      </c>
      <c r="BO91" s="21" t="str">
        <f>'Die Map'!BO91</f>
        <v>DW073</v>
      </c>
      <c r="BP91" s="22" t="str">
        <f>'Die Map'!BP91</f>
        <v>DW074</v>
      </c>
      <c r="BQ91" s="22" t="str">
        <f>'Die Map'!BQ91</f>
        <v>DW075</v>
      </c>
      <c r="BR91" s="22" t="str">
        <f>'Die Map'!BR91</f>
        <v>DW076</v>
      </c>
      <c r="BS91" s="23" t="str">
        <f>'Die Map'!BS91</f>
        <v>DW077</v>
      </c>
      <c r="BT91" s="21" t="str">
        <f>'Die Map'!BT91</f>
        <v>DW078</v>
      </c>
      <c r="BU91" s="22" t="str">
        <f>'Die Map'!BU91</f>
        <v>DW079</v>
      </c>
      <c r="BV91" s="22" t="str">
        <f>'Die Map'!BV91</f>
        <v>DW081</v>
      </c>
      <c r="BW91" s="22" t="str">
        <f>'Die Map'!BW91</f>
        <v>DW082</v>
      </c>
      <c r="BX91" s="23" t="str">
        <f>'Die Map'!BX91</f>
        <v>DW083</v>
      </c>
      <c r="BY91" s="21" t="str">
        <f>'Die Map'!BY91</f>
        <v>DW084</v>
      </c>
      <c r="BZ91" s="22" t="str">
        <f>'Die Map'!BZ91</f>
        <v>DW085</v>
      </c>
      <c r="CA91" s="22" t="str">
        <f>'Die Map'!CA91</f>
        <v>DW086</v>
      </c>
      <c r="CB91" s="22" t="str">
        <f>'Die Map'!CB91</f>
        <v>DW087</v>
      </c>
      <c r="CC91" s="23" t="str">
        <f>'Die Map'!CC91</f>
        <v>DW088</v>
      </c>
      <c r="CD91" s="21" t="str">
        <f>'Die Map'!CD91</f>
        <v>DW089</v>
      </c>
      <c r="CE91" s="22" t="str">
        <f>'Die Map'!CE91</f>
        <v>DW091</v>
      </c>
      <c r="CF91" s="22" t="str">
        <f>'Die Map'!CF91</f>
        <v>DW092</v>
      </c>
      <c r="CG91" s="22" t="str">
        <f>'Die Map'!CG91</f>
        <v>DW093</v>
      </c>
      <c r="CH91" s="23" t="str">
        <f>'Die Map'!CH91</f>
        <v>DW094</v>
      </c>
      <c r="CI91" s="21" t="str">
        <f>'Die Map'!CI91</f>
        <v>DW095</v>
      </c>
      <c r="CJ91" s="22" t="str">
        <f>'Die Map'!CJ91</f>
        <v>DW096</v>
      </c>
      <c r="CK91" s="22" t="str">
        <f>'Die Map'!CK91</f>
        <v>DW097</v>
      </c>
      <c r="CL91" s="22" t="str">
        <f>'Die Map'!CL91</f>
        <v>DW098</v>
      </c>
      <c r="CM91" s="23" t="str">
        <f>'Die Map'!CM91</f>
        <v>DW099</v>
      </c>
      <c r="CN91" s="21" t="str">
        <f>'Die Map'!CN91</f>
        <v/>
      </c>
      <c r="CO91" s="22" t="str">
        <f>'Die Map'!CO91</f>
        <v/>
      </c>
      <c r="CP91" s="22" t="str">
        <f>'Die Map'!CP91</f>
        <v/>
      </c>
      <c r="CQ91" s="22" t="str">
        <f>'Die Map'!CQ91</f>
        <v/>
      </c>
      <c r="CR91" s="23" t="str">
        <f>'Die Map'!CR91</f>
        <v/>
      </c>
      <c r="CS91" s="21" t="str">
        <f>'Die Map'!CS91</f>
        <v/>
      </c>
      <c r="CT91" s="22" t="str">
        <f>'Die Map'!CT91</f>
        <v/>
      </c>
      <c r="CU91" s="22" t="str">
        <f>'Die Map'!CU91</f>
        <v/>
      </c>
      <c r="CV91" s="22" t="str">
        <f>'Die Map'!CV91</f>
        <v/>
      </c>
      <c r="CW91" s="23" t="str">
        <f>'Die Map'!CW91</f>
        <v/>
      </c>
      <c r="CX91" s="21" t="str">
        <f>'Die Map'!CX91</f>
        <v/>
      </c>
      <c r="CY91" s="22" t="str">
        <f>'Die Map'!CY91</f>
        <v/>
      </c>
      <c r="CZ91" s="22" t="str">
        <f>'Die Map'!CZ91</f>
        <v/>
      </c>
      <c r="DA91" s="22" t="str">
        <f>'Die Map'!DA91</f>
        <v/>
      </c>
      <c r="DB91" s="23" t="str">
        <f>'Die Map'!DB91</f>
        <v/>
      </c>
    </row>
    <row r="92" spans="1:106" ht="12.75" customHeight="1" x14ac:dyDescent="0.25">
      <c r="A92" s="17">
        <v>90</v>
      </c>
      <c r="B92" s="24" t="str">
        <f>'Die Map'!B92</f>
        <v/>
      </c>
      <c r="C92" s="25" t="str">
        <f>'Die Map'!C92</f>
        <v/>
      </c>
      <c r="D92" s="25" t="str">
        <f>'Die Map'!D92</f>
        <v/>
      </c>
      <c r="E92" s="25" t="str">
        <f>'Die Map'!E92</f>
        <v/>
      </c>
      <c r="F92" s="26" t="str">
        <f>'Die Map'!F92</f>
        <v/>
      </c>
      <c r="G92" s="24" t="str">
        <f>'Die Map'!G92</f>
        <v/>
      </c>
      <c r="H92" s="25" t="str">
        <f>'Die Map'!H92</f>
        <v/>
      </c>
      <c r="I92" s="25" t="str">
        <f>'Die Map'!I92</f>
        <v/>
      </c>
      <c r="J92" s="25" t="str">
        <f>'Die Map'!J92</f>
        <v/>
      </c>
      <c r="K92" s="26" t="str">
        <f>'Die Map'!K92</f>
        <v/>
      </c>
      <c r="L92" s="24" t="str">
        <f>'Die Map'!L92</f>
        <v/>
      </c>
      <c r="M92" s="25" t="str">
        <f>'Die Map'!M92</f>
        <v/>
      </c>
      <c r="N92" s="25" t="str">
        <f>'Die Map'!N92</f>
        <v/>
      </c>
      <c r="O92" s="25" t="str">
        <f>'Die Map'!O92</f>
        <v/>
      </c>
      <c r="P92" s="26" t="str">
        <f>'Die Map'!P92</f>
        <v/>
      </c>
      <c r="Q92" s="24" t="str">
        <f>'Die Map'!Q92</f>
        <v>DX017</v>
      </c>
      <c r="R92" s="25" t="str">
        <f>'Die Map'!R92</f>
        <v>DX018</v>
      </c>
      <c r="S92" s="25" t="str">
        <f>'Die Map'!S92</f>
        <v>DX019</v>
      </c>
      <c r="T92" s="25" t="str">
        <f>'Die Map'!T92</f>
        <v>DX021</v>
      </c>
      <c r="U92" s="26" t="str">
        <f>'Die Map'!U92</f>
        <v>DX022</v>
      </c>
      <c r="V92" s="24" t="str">
        <f>'Die Map'!V92</f>
        <v>DX023</v>
      </c>
      <c r="W92" s="25" t="str">
        <f>'Die Map'!W92</f>
        <v>DX024</v>
      </c>
      <c r="X92" s="25" t="str">
        <f>'Die Map'!X92</f>
        <v>DX025</v>
      </c>
      <c r="Y92" s="25" t="str">
        <f>'Die Map'!Y92</f>
        <v>DX026</v>
      </c>
      <c r="Z92" s="26" t="str">
        <f>'Die Map'!Z92</f>
        <v>DX027</v>
      </c>
      <c r="AA92" s="24" t="str">
        <f>'Die Map'!AA92</f>
        <v>DX028</v>
      </c>
      <c r="AB92" s="25" t="str">
        <f>'Die Map'!AB92</f>
        <v>DX029</v>
      </c>
      <c r="AC92" s="25" t="str">
        <f>'Die Map'!AC92</f>
        <v>DX031</v>
      </c>
      <c r="AD92" s="25" t="str">
        <f>'Die Map'!AD92</f>
        <v>DX032</v>
      </c>
      <c r="AE92" s="26" t="str">
        <f>'Die Map'!AE92</f>
        <v>DX033</v>
      </c>
      <c r="AF92" s="24" t="str">
        <f>'Die Map'!AF92</f>
        <v>DX034</v>
      </c>
      <c r="AG92" s="25" t="str">
        <f>'Die Map'!AG92</f>
        <v>DX035</v>
      </c>
      <c r="AH92" s="25" t="str">
        <f>'Die Map'!AH92</f>
        <v>DX036</v>
      </c>
      <c r="AI92" s="25" t="str">
        <f>'Die Map'!AI92</f>
        <v>DX037</v>
      </c>
      <c r="AJ92" s="26" t="str">
        <f>'Die Map'!AJ92</f>
        <v>DX038</v>
      </c>
      <c r="AK92" s="24" t="str">
        <f>'Die Map'!AK92</f>
        <v>DX039</v>
      </c>
      <c r="AL92" s="25" t="str">
        <f>'Die Map'!AL92</f>
        <v>DX041</v>
      </c>
      <c r="AM92" s="25" t="str">
        <f>'Die Map'!AM92</f>
        <v>DX042</v>
      </c>
      <c r="AN92" s="25" t="str">
        <f>'Die Map'!AN92</f>
        <v>DX043</v>
      </c>
      <c r="AO92" s="26" t="str">
        <f>'Die Map'!AO92</f>
        <v>DX044</v>
      </c>
      <c r="AP92" s="24" t="str">
        <f>'Die Map'!AP92</f>
        <v>DX045</v>
      </c>
      <c r="AQ92" s="25" t="str">
        <f>'Die Map'!AQ92</f>
        <v>DX046</v>
      </c>
      <c r="AR92" s="25" t="str">
        <f>'Die Map'!AR92</f>
        <v>DX047</v>
      </c>
      <c r="AS92" s="25" t="str">
        <f>'Die Map'!AS92</f>
        <v>DX048</v>
      </c>
      <c r="AT92" s="26" t="str">
        <f>'Die Map'!AT92</f>
        <v>DX049</v>
      </c>
      <c r="AU92" s="24" t="str">
        <f>'Die Map'!AU92</f>
        <v>DX051</v>
      </c>
      <c r="AV92" s="25" t="str">
        <f>'Die Map'!AV92</f>
        <v>DX052</v>
      </c>
      <c r="AW92" s="25" t="str">
        <f>'Die Map'!AW92</f>
        <v>DX053</v>
      </c>
      <c r="AX92" s="25" t="str">
        <f>'Die Map'!AX92</f>
        <v>DX054</v>
      </c>
      <c r="AY92" s="26" t="str">
        <f>'Die Map'!AY92</f>
        <v>DX055</v>
      </c>
      <c r="AZ92" s="24" t="str">
        <f>'Die Map'!AZ92</f>
        <v>DX056</v>
      </c>
      <c r="BA92" s="25" t="str">
        <f>'Die Map'!BA92</f>
        <v>DX057</v>
      </c>
      <c r="BB92" s="25" t="str">
        <f>'Die Map'!BB92</f>
        <v>DX058</v>
      </c>
      <c r="BC92" s="25" t="str">
        <f>'Die Map'!BC92</f>
        <v>DX059</v>
      </c>
      <c r="BD92" s="26" t="str">
        <f>'Die Map'!BD92</f>
        <v>DX061</v>
      </c>
      <c r="BE92" s="24" t="str">
        <f>'Die Map'!BE92</f>
        <v>DX062</v>
      </c>
      <c r="BF92" s="25" t="str">
        <f>'Die Map'!BF92</f>
        <v>DX063</v>
      </c>
      <c r="BG92" s="25" t="str">
        <f>'Die Map'!BG92</f>
        <v>DX064</v>
      </c>
      <c r="BH92" s="25" t="str">
        <f>'Die Map'!BH92</f>
        <v>DX065</v>
      </c>
      <c r="BI92" s="26" t="str">
        <f>'Die Map'!BI92</f>
        <v>DX066</v>
      </c>
      <c r="BJ92" s="24" t="str">
        <f>'Die Map'!BJ92</f>
        <v>DX067</v>
      </c>
      <c r="BK92" s="25" t="str">
        <f>'Die Map'!BK92</f>
        <v>DX068</v>
      </c>
      <c r="BL92" s="25" t="str">
        <f>'Die Map'!BL92</f>
        <v>DX069</v>
      </c>
      <c r="BM92" s="25" t="str">
        <f>'Die Map'!BM92</f>
        <v>DX071</v>
      </c>
      <c r="BN92" s="26" t="str">
        <f>'Die Map'!BN92</f>
        <v>DX072</v>
      </c>
      <c r="BO92" s="24" t="str">
        <f>'Die Map'!BO92</f>
        <v>DX073</v>
      </c>
      <c r="BP92" s="25" t="str">
        <f>'Die Map'!BP92</f>
        <v>DX074</v>
      </c>
      <c r="BQ92" s="25" t="str">
        <f>'Die Map'!BQ92</f>
        <v>DX075</v>
      </c>
      <c r="BR92" s="25" t="str">
        <f>'Die Map'!BR92</f>
        <v>DX076</v>
      </c>
      <c r="BS92" s="26" t="str">
        <f>'Die Map'!BS92</f>
        <v>DX077</v>
      </c>
      <c r="BT92" s="24" t="str">
        <f>'Die Map'!BT92</f>
        <v>DX078</v>
      </c>
      <c r="BU92" s="25" t="str">
        <f>'Die Map'!BU92</f>
        <v>DX079</v>
      </c>
      <c r="BV92" s="25" t="str">
        <f>'Die Map'!BV92</f>
        <v>DX081</v>
      </c>
      <c r="BW92" s="25" t="str">
        <f>'Die Map'!BW92</f>
        <v>DX082</v>
      </c>
      <c r="BX92" s="26" t="str">
        <f>'Die Map'!BX92</f>
        <v>DX083</v>
      </c>
      <c r="BY92" s="24" t="str">
        <f>'Die Map'!BY92</f>
        <v>DX084</v>
      </c>
      <c r="BZ92" s="25" t="str">
        <f>'Die Map'!BZ92</f>
        <v>DX085</v>
      </c>
      <c r="CA92" s="25" t="str">
        <f>'Die Map'!CA92</f>
        <v>DX086</v>
      </c>
      <c r="CB92" s="25" t="str">
        <f>'Die Map'!CB92</f>
        <v>DX087</v>
      </c>
      <c r="CC92" s="26" t="str">
        <f>'Die Map'!CC92</f>
        <v>DX088</v>
      </c>
      <c r="CD92" s="24" t="str">
        <f>'Die Map'!CD92</f>
        <v>DX089</v>
      </c>
      <c r="CE92" s="25" t="str">
        <f>'Die Map'!CE92</f>
        <v>DX091</v>
      </c>
      <c r="CF92" s="25" t="str">
        <f>'Die Map'!CF92</f>
        <v>DX092</v>
      </c>
      <c r="CG92" s="25" t="str">
        <f>'Die Map'!CG92</f>
        <v>DX093</v>
      </c>
      <c r="CH92" s="26" t="str">
        <f>'Die Map'!CH92</f>
        <v>DX094</v>
      </c>
      <c r="CI92" s="24" t="str">
        <f>'Die Map'!CI92</f>
        <v>DX095</v>
      </c>
      <c r="CJ92" s="25" t="str">
        <f>'Die Map'!CJ92</f>
        <v>DX096</v>
      </c>
      <c r="CK92" s="25" t="str">
        <f>'Die Map'!CK92</f>
        <v>DX097</v>
      </c>
      <c r="CL92" s="25" t="str">
        <f>'Die Map'!CL92</f>
        <v>DX098</v>
      </c>
      <c r="CM92" s="26" t="str">
        <f>'Die Map'!CM92</f>
        <v>DX099</v>
      </c>
      <c r="CN92" s="24" t="str">
        <f>'Die Map'!CN92</f>
        <v/>
      </c>
      <c r="CO92" s="25" t="str">
        <f>'Die Map'!CO92</f>
        <v/>
      </c>
      <c r="CP92" s="25" t="str">
        <f>'Die Map'!CP92</f>
        <v/>
      </c>
      <c r="CQ92" s="25" t="str">
        <f>'Die Map'!CQ92</f>
        <v/>
      </c>
      <c r="CR92" s="26" t="str">
        <f>'Die Map'!CR92</f>
        <v/>
      </c>
      <c r="CS92" s="24" t="str">
        <f>'Die Map'!CS92</f>
        <v/>
      </c>
      <c r="CT92" s="25" t="str">
        <f>'Die Map'!CT92</f>
        <v/>
      </c>
      <c r="CU92" s="25" t="str">
        <f>'Die Map'!CU92</f>
        <v/>
      </c>
      <c r="CV92" s="25" t="str">
        <f>'Die Map'!CV92</f>
        <v/>
      </c>
      <c r="CW92" s="26" t="str">
        <f>'Die Map'!CW92</f>
        <v/>
      </c>
      <c r="CX92" s="24" t="str">
        <f>'Die Map'!CX92</f>
        <v/>
      </c>
      <c r="CY92" s="25" t="str">
        <f>'Die Map'!CY92</f>
        <v/>
      </c>
      <c r="CZ92" s="25" t="str">
        <f>'Die Map'!CZ92</f>
        <v/>
      </c>
      <c r="DA92" s="25" t="str">
        <f>'Die Map'!DA92</f>
        <v/>
      </c>
      <c r="DB92" s="26" t="str">
        <f>'Die Map'!DB92</f>
        <v/>
      </c>
    </row>
    <row r="93" spans="1:106" ht="12.75" customHeight="1" x14ac:dyDescent="0.25">
      <c r="A93" s="17">
        <v>91</v>
      </c>
      <c r="B93" s="18" t="str">
        <f>'Die Map'!B93</f>
        <v/>
      </c>
      <c r="C93" s="19" t="str">
        <f>'Die Map'!C93</f>
        <v/>
      </c>
      <c r="D93" s="19" t="str">
        <f>'Die Map'!D93</f>
        <v/>
      </c>
      <c r="E93" s="19" t="str">
        <f>'Die Map'!E93</f>
        <v/>
      </c>
      <c r="F93" s="20" t="str">
        <f>'Die Map'!F93</f>
        <v/>
      </c>
      <c r="G93" s="18" t="str">
        <f>'Die Map'!G93</f>
        <v/>
      </c>
      <c r="H93" s="19" t="str">
        <f>'Die Map'!H93</f>
        <v/>
      </c>
      <c r="I93" s="19" t="str">
        <f>'Die Map'!I93</f>
        <v/>
      </c>
      <c r="J93" s="19" t="str">
        <f>'Die Map'!J93</f>
        <v/>
      </c>
      <c r="K93" s="20" t="str">
        <f>'Die Map'!K93</f>
        <v/>
      </c>
      <c r="L93" s="18" t="str">
        <f>'Die Map'!L93</f>
        <v/>
      </c>
      <c r="M93" s="19" t="str">
        <f>'Die Map'!M93</f>
        <v/>
      </c>
      <c r="N93" s="19" t="str">
        <f>'Die Map'!N93</f>
        <v/>
      </c>
      <c r="O93" s="19" t="str">
        <f>'Die Map'!O93</f>
        <v/>
      </c>
      <c r="P93" s="20" t="str">
        <f>'Die Map'!P93</f>
        <v/>
      </c>
      <c r="Q93" s="18" t="str">
        <f>'Die Map'!Q93</f>
        <v/>
      </c>
      <c r="R93" s="19" t="str">
        <f>'Die Map'!R93</f>
        <v/>
      </c>
      <c r="S93" s="19" t="str">
        <f>'Die Map'!S93</f>
        <v/>
      </c>
      <c r="T93" s="19" t="str">
        <f>'Die Map'!T93</f>
        <v/>
      </c>
      <c r="U93" s="20" t="str">
        <f>'Die Map'!U93</f>
        <v/>
      </c>
      <c r="V93" s="18" t="str">
        <f>'Die Map'!V93</f>
        <v>DY023</v>
      </c>
      <c r="W93" s="19" t="str">
        <f>'Die Map'!W93</f>
        <v>DY024</v>
      </c>
      <c r="X93" s="19" t="str">
        <f>'Die Map'!X93</f>
        <v>DY025</v>
      </c>
      <c r="Y93" s="19" t="str">
        <f>'Die Map'!Y93</f>
        <v>DY026</v>
      </c>
      <c r="Z93" s="20" t="str">
        <f>'Die Map'!Z93</f>
        <v>DY027</v>
      </c>
      <c r="AA93" s="18" t="str">
        <f>'Die Map'!AA93</f>
        <v>DY028</v>
      </c>
      <c r="AB93" s="19" t="str">
        <f>'Die Map'!AB93</f>
        <v>DY029</v>
      </c>
      <c r="AC93" s="19" t="str">
        <f>'Die Map'!AC93</f>
        <v>DY031</v>
      </c>
      <c r="AD93" s="19" t="str">
        <f>'Die Map'!AD93</f>
        <v>DY032</v>
      </c>
      <c r="AE93" s="20" t="str">
        <f>'Die Map'!AE93</f>
        <v>DY033</v>
      </c>
      <c r="AF93" s="18" t="str">
        <f>'Die Map'!AF93</f>
        <v>DY034</v>
      </c>
      <c r="AG93" s="19" t="str">
        <f>'Die Map'!AG93</f>
        <v>DY035</v>
      </c>
      <c r="AH93" s="19" t="str">
        <f>'Die Map'!AH93</f>
        <v>DY036</v>
      </c>
      <c r="AI93" s="19" t="str">
        <f>'Die Map'!AI93</f>
        <v>DY037</v>
      </c>
      <c r="AJ93" s="20" t="str">
        <f>'Die Map'!AJ93</f>
        <v>DY038</v>
      </c>
      <c r="AK93" s="18" t="str">
        <f>'Die Map'!AK93</f>
        <v>DY039</v>
      </c>
      <c r="AL93" s="19" t="str">
        <f>'Die Map'!AL93</f>
        <v>DY041</v>
      </c>
      <c r="AM93" s="19" t="str">
        <f>'Die Map'!AM93</f>
        <v>DY042</v>
      </c>
      <c r="AN93" s="19" t="str">
        <f>'Die Map'!AN93</f>
        <v>DY043</v>
      </c>
      <c r="AO93" s="20" t="str">
        <f>'Die Map'!AO93</f>
        <v>DY044</v>
      </c>
      <c r="AP93" s="18" t="str">
        <f>'Die Map'!AP93</f>
        <v>DY045</v>
      </c>
      <c r="AQ93" s="19" t="str">
        <f>'Die Map'!AQ93</f>
        <v>DY046</v>
      </c>
      <c r="AR93" s="19" t="str">
        <f>'Die Map'!AR93</f>
        <v>DY047</v>
      </c>
      <c r="AS93" s="19" t="str">
        <f>'Die Map'!AS93</f>
        <v>DY048</v>
      </c>
      <c r="AT93" s="20" t="str">
        <f>'Die Map'!AT93</f>
        <v>DY049</v>
      </c>
      <c r="AU93" s="18" t="str">
        <f>'Die Map'!AU93</f>
        <v>DY051</v>
      </c>
      <c r="AV93" s="19" t="str">
        <f>'Die Map'!AV93</f>
        <v>DY052</v>
      </c>
      <c r="AW93" s="19" t="str">
        <f>'Die Map'!AW93</f>
        <v>DY053</v>
      </c>
      <c r="AX93" s="19" t="str">
        <f>'Die Map'!AX93</f>
        <v>DY054</v>
      </c>
      <c r="AY93" s="20" t="str">
        <f>'Die Map'!AY93</f>
        <v>DY055</v>
      </c>
      <c r="AZ93" s="18" t="str">
        <f>'Die Map'!AZ93</f>
        <v>DY056</v>
      </c>
      <c r="BA93" s="19" t="str">
        <f>'Die Map'!BA93</f>
        <v>DY057</v>
      </c>
      <c r="BB93" s="19" t="str">
        <f>'Die Map'!BB93</f>
        <v>DY058</v>
      </c>
      <c r="BC93" s="19" t="str">
        <f>'Die Map'!BC93</f>
        <v>DY059</v>
      </c>
      <c r="BD93" s="20" t="str">
        <f>'Die Map'!BD93</f>
        <v>DY061</v>
      </c>
      <c r="BE93" s="18" t="str">
        <f>'Die Map'!BE93</f>
        <v>DY062</v>
      </c>
      <c r="BF93" s="19" t="str">
        <f>'Die Map'!BF93</f>
        <v>DY063</v>
      </c>
      <c r="BG93" s="19" t="str">
        <f>'Die Map'!BG93</f>
        <v>DY064</v>
      </c>
      <c r="BH93" s="19" t="str">
        <f>'Die Map'!BH93</f>
        <v>DY065</v>
      </c>
      <c r="BI93" s="20" t="str">
        <f>'Die Map'!BI93</f>
        <v>DY066</v>
      </c>
      <c r="BJ93" s="18" t="str">
        <f>'Die Map'!BJ93</f>
        <v>DY067</v>
      </c>
      <c r="BK93" s="19" t="str">
        <f>'Die Map'!BK93</f>
        <v>DY068</v>
      </c>
      <c r="BL93" s="19" t="str">
        <f>'Die Map'!BL93</f>
        <v>DY069</v>
      </c>
      <c r="BM93" s="19" t="str">
        <f>'Die Map'!BM93</f>
        <v>DY071</v>
      </c>
      <c r="BN93" s="20" t="str">
        <f>'Die Map'!BN93</f>
        <v>DY072</v>
      </c>
      <c r="BO93" s="18" t="str">
        <f>'Die Map'!BO93</f>
        <v>DY073</v>
      </c>
      <c r="BP93" s="19" t="str">
        <f>'Die Map'!BP93</f>
        <v>DY074</v>
      </c>
      <c r="BQ93" s="19" t="str">
        <f>'Die Map'!BQ93</f>
        <v>DY075</v>
      </c>
      <c r="BR93" s="19" t="str">
        <f>'Die Map'!BR93</f>
        <v>DY076</v>
      </c>
      <c r="BS93" s="20" t="str">
        <f>'Die Map'!BS93</f>
        <v>DY077</v>
      </c>
      <c r="BT93" s="18" t="str">
        <f>'Die Map'!BT93</f>
        <v>DY078</v>
      </c>
      <c r="BU93" s="19" t="str">
        <f>'Die Map'!BU93</f>
        <v>DY079</v>
      </c>
      <c r="BV93" s="19" t="str">
        <f>'Die Map'!BV93</f>
        <v>DY081</v>
      </c>
      <c r="BW93" s="19" t="str">
        <f>'Die Map'!BW93</f>
        <v>DY082</v>
      </c>
      <c r="BX93" s="20" t="str">
        <f>'Die Map'!BX93</f>
        <v>DY083</v>
      </c>
      <c r="BY93" s="18" t="str">
        <f>'Die Map'!BY93</f>
        <v>DY084</v>
      </c>
      <c r="BZ93" s="19" t="str">
        <f>'Die Map'!BZ93</f>
        <v>DY085</v>
      </c>
      <c r="CA93" s="19" t="str">
        <f>'Die Map'!CA93</f>
        <v>DY086</v>
      </c>
      <c r="CB93" s="19" t="str">
        <f>'Die Map'!CB93</f>
        <v>DY087</v>
      </c>
      <c r="CC93" s="20" t="str">
        <f>'Die Map'!CC93</f>
        <v>DY088</v>
      </c>
      <c r="CD93" s="18" t="str">
        <f>'Die Map'!CD93</f>
        <v>DY089</v>
      </c>
      <c r="CE93" s="19" t="str">
        <f>'Die Map'!CE93</f>
        <v>DY091</v>
      </c>
      <c r="CF93" s="19" t="str">
        <f>'Die Map'!CF93</f>
        <v>DY092</v>
      </c>
      <c r="CG93" s="19" t="str">
        <f>'Die Map'!CG93</f>
        <v>DY093</v>
      </c>
      <c r="CH93" s="20" t="str">
        <f>'Die Map'!CH93</f>
        <v>DY094</v>
      </c>
      <c r="CI93" s="18" t="str">
        <f>'Die Map'!CI93</f>
        <v/>
      </c>
      <c r="CJ93" s="19" t="str">
        <f>'Die Map'!CJ93</f>
        <v/>
      </c>
      <c r="CK93" s="19" t="str">
        <f>'Die Map'!CK93</f>
        <v/>
      </c>
      <c r="CL93" s="19" t="str">
        <f>'Die Map'!CL93</f>
        <v/>
      </c>
      <c r="CM93" s="20" t="str">
        <f>'Die Map'!CM93</f>
        <v/>
      </c>
      <c r="CN93" s="18" t="str">
        <f>'Die Map'!CN93</f>
        <v/>
      </c>
      <c r="CO93" s="19" t="str">
        <f>'Die Map'!CO93</f>
        <v/>
      </c>
      <c r="CP93" s="19" t="str">
        <f>'Die Map'!CP93</f>
        <v/>
      </c>
      <c r="CQ93" s="19" t="str">
        <f>'Die Map'!CQ93</f>
        <v/>
      </c>
      <c r="CR93" s="20" t="str">
        <f>'Die Map'!CR93</f>
        <v/>
      </c>
      <c r="CS93" s="18" t="str">
        <f>'Die Map'!CS93</f>
        <v/>
      </c>
      <c r="CT93" s="19" t="str">
        <f>'Die Map'!CT93</f>
        <v/>
      </c>
      <c r="CU93" s="19" t="str">
        <f>'Die Map'!CU93</f>
        <v/>
      </c>
      <c r="CV93" s="19" t="str">
        <f>'Die Map'!CV93</f>
        <v/>
      </c>
      <c r="CW93" s="20" t="str">
        <f>'Die Map'!CW93</f>
        <v/>
      </c>
      <c r="CX93" s="18" t="str">
        <f>'Die Map'!CX93</f>
        <v/>
      </c>
      <c r="CY93" s="19" t="str">
        <f>'Die Map'!CY93</f>
        <v/>
      </c>
      <c r="CZ93" s="19" t="str">
        <f>'Die Map'!CZ93</f>
        <v/>
      </c>
      <c r="DA93" s="19" t="str">
        <f>'Die Map'!DA93</f>
        <v/>
      </c>
      <c r="DB93" s="20" t="str">
        <f>'Die Map'!DB93</f>
        <v/>
      </c>
    </row>
    <row r="94" spans="1:106" ht="12.75" customHeight="1" x14ac:dyDescent="0.25">
      <c r="A94" s="17">
        <v>92</v>
      </c>
      <c r="B94" s="21" t="str">
        <f>'Die Map'!B94</f>
        <v/>
      </c>
      <c r="C94" s="22" t="str">
        <f>'Die Map'!C94</f>
        <v/>
      </c>
      <c r="D94" s="22" t="str">
        <f>'Die Map'!D94</f>
        <v/>
      </c>
      <c r="E94" s="22" t="str">
        <f>'Die Map'!E94</f>
        <v/>
      </c>
      <c r="F94" s="23" t="str">
        <f>'Die Map'!F94</f>
        <v/>
      </c>
      <c r="G94" s="21" t="str">
        <f>'Die Map'!G94</f>
        <v/>
      </c>
      <c r="H94" s="22" t="str">
        <f>'Die Map'!H94</f>
        <v/>
      </c>
      <c r="I94" s="22" t="str">
        <f>'Die Map'!I94</f>
        <v/>
      </c>
      <c r="J94" s="22" t="str">
        <f>'Die Map'!J94</f>
        <v/>
      </c>
      <c r="K94" s="23" t="str">
        <f>'Die Map'!K94</f>
        <v/>
      </c>
      <c r="L94" s="21" t="str">
        <f>'Die Map'!L94</f>
        <v/>
      </c>
      <c r="M94" s="22" t="str">
        <f>'Die Map'!M94</f>
        <v/>
      </c>
      <c r="N94" s="22" t="str">
        <f>'Die Map'!N94</f>
        <v/>
      </c>
      <c r="O94" s="22" t="str">
        <f>'Die Map'!O94</f>
        <v/>
      </c>
      <c r="P94" s="23" t="str">
        <f>'Die Map'!P94</f>
        <v/>
      </c>
      <c r="Q94" s="21" t="str">
        <f>'Die Map'!Q94</f>
        <v/>
      </c>
      <c r="R94" s="22" t="str">
        <f>'Die Map'!R94</f>
        <v/>
      </c>
      <c r="S94" s="22" t="str">
        <f>'Die Map'!S94</f>
        <v/>
      </c>
      <c r="T94" s="22" t="str">
        <f>'Die Map'!T94</f>
        <v/>
      </c>
      <c r="U94" s="23" t="str">
        <f>'Die Map'!U94</f>
        <v/>
      </c>
      <c r="V94" s="21" t="str">
        <f>'Die Map'!V94</f>
        <v>DZ023</v>
      </c>
      <c r="W94" s="22" t="str">
        <f>'Die Map'!W94</f>
        <v>DZ024</v>
      </c>
      <c r="X94" s="22" t="str">
        <f>'Die Map'!X94</f>
        <v>DZ025</v>
      </c>
      <c r="Y94" s="22" t="str">
        <f>'Die Map'!Y94</f>
        <v>DZ026</v>
      </c>
      <c r="Z94" s="23" t="str">
        <f>'Die Map'!Z94</f>
        <v>DZ027</v>
      </c>
      <c r="AA94" s="21" t="str">
        <f>'Die Map'!AA94</f>
        <v>DZ028</v>
      </c>
      <c r="AB94" s="22" t="str">
        <f>'Die Map'!AB94</f>
        <v>DZ029</v>
      </c>
      <c r="AC94" s="22" t="str">
        <f>'Die Map'!AC94</f>
        <v>DZ031</v>
      </c>
      <c r="AD94" s="22" t="str">
        <f>'Die Map'!AD94</f>
        <v>DZ032</v>
      </c>
      <c r="AE94" s="23" t="str">
        <f>'Die Map'!AE94</f>
        <v>DZ033</v>
      </c>
      <c r="AF94" s="21" t="str">
        <f>'Die Map'!AF94</f>
        <v>DZ034</v>
      </c>
      <c r="AG94" s="22" t="str">
        <f>'Die Map'!AG94</f>
        <v>DZ035</v>
      </c>
      <c r="AH94" s="22" t="str">
        <f>'Die Map'!AH94</f>
        <v>DZ036</v>
      </c>
      <c r="AI94" s="22" t="str">
        <f>'Die Map'!AI94</f>
        <v>DZ037</v>
      </c>
      <c r="AJ94" s="23" t="str">
        <f>'Die Map'!AJ94</f>
        <v>DZ038</v>
      </c>
      <c r="AK94" s="21" t="str">
        <f>'Die Map'!AK94</f>
        <v>DZ039</v>
      </c>
      <c r="AL94" s="22" t="str">
        <f>'Die Map'!AL94</f>
        <v>DZ041</v>
      </c>
      <c r="AM94" s="22" t="str">
        <f>'Die Map'!AM94</f>
        <v>DZ042</v>
      </c>
      <c r="AN94" s="22" t="str">
        <f>'Die Map'!AN94</f>
        <v>DZ043</v>
      </c>
      <c r="AO94" s="23" t="str">
        <f>'Die Map'!AO94</f>
        <v>DZ044</v>
      </c>
      <c r="AP94" s="21" t="str">
        <f>'Die Map'!AP94</f>
        <v>DZ045</v>
      </c>
      <c r="AQ94" s="22" t="str">
        <f>'Die Map'!AQ94</f>
        <v>DZ046</v>
      </c>
      <c r="AR94" s="22" t="str">
        <f>'Die Map'!AR94</f>
        <v>DZ047</v>
      </c>
      <c r="AS94" s="22" t="str">
        <f>'Die Map'!AS94</f>
        <v>DZ048</v>
      </c>
      <c r="AT94" s="23" t="str">
        <f>'Die Map'!AT94</f>
        <v>DZ049</v>
      </c>
      <c r="AU94" s="21" t="str">
        <f>'Die Map'!AU94</f>
        <v>DZ051</v>
      </c>
      <c r="AV94" s="22" t="str">
        <f>'Die Map'!AV94</f>
        <v>DZ052</v>
      </c>
      <c r="AW94" s="22" t="str">
        <f>'Die Map'!AW94</f>
        <v>DZ053</v>
      </c>
      <c r="AX94" s="22" t="str">
        <f>'Die Map'!AX94</f>
        <v>DZ054</v>
      </c>
      <c r="AY94" s="23" t="str">
        <f>'Die Map'!AY94</f>
        <v>DZ055</v>
      </c>
      <c r="AZ94" s="21" t="str">
        <f>'Die Map'!AZ94</f>
        <v>DZ056</v>
      </c>
      <c r="BA94" s="22" t="str">
        <f>'Die Map'!BA94</f>
        <v>DZ057</v>
      </c>
      <c r="BB94" s="22" t="str">
        <f>'Die Map'!BB94</f>
        <v>DZ058</v>
      </c>
      <c r="BC94" s="22" t="str">
        <f>'Die Map'!BC94</f>
        <v>DZ059</v>
      </c>
      <c r="BD94" s="23" t="str">
        <f>'Die Map'!BD94</f>
        <v>DZ061</v>
      </c>
      <c r="BE94" s="21" t="str">
        <f>'Die Map'!BE94</f>
        <v>DZ062</v>
      </c>
      <c r="BF94" s="22" t="str">
        <f>'Die Map'!BF94</f>
        <v>DZ063</v>
      </c>
      <c r="BG94" s="22" t="str">
        <f>'Die Map'!BG94</f>
        <v>DZ064</v>
      </c>
      <c r="BH94" s="22" t="str">
        <f>'Die Map'!BH94</f>
        <v>DZ065</v>
      </c>
      <c r="BI94" s="23" t="str">
        <f>'Die Map'!BI94</f>
        <v>DZ066</v>
      </c>
      <c r="BJ94" s="21" t="str">
        <f>'Die Map'!BJ94</f>
        <v>DZ067</v>
      </c>
      <c r="BK94" s="22" t="str">
        <f>'Die Map'!BK94</f>
        <v>DZ068</v>
      </c>
      <c r="BL94" s="22" t="str">
        <f>'Die Map'!BL94</f>
        <v>DZ069</v>
      </c>
      <c r="BM94" s="22" t="str">
        <f>'Die Map'!BM94</f>
        <v>DZ071</v>
      </c>
      <c r="BN94" s="23" t="str">
        <f>'Die Map'!BN94</f>
        <v>DZ072</v>
      </c>
      <c r="BO94" s="21" t="str">
        <f>'Die Map'!BO94</f>
        <v>DZ073</v>
      </c>
      <c r="BP94" s="22" t="str">
        <f>'Die Map'!BP94</f>
        <v>DZ074</v>
      </c>
      <c r="BQ94" s="22" t="str">
        <f>'Die Map'!BQ94</f>
        <v>DZ075</v>
      </c>
      <c r="BR94" s="22" t="str">
        <f>'Die Map'!BR94</f>
        <v>DZ076</v>
      </c>
      <c r="BS94" s="23" t="str">
        <f>'Die Map'!BS94</f>
        <v>DZ077</v>
      </c>
      <c r="BT94" s="21" t="str">
        <f>'Die Map'!BT94</f>
        <v>DZ078</v>
      </c>
      <c r="BU94" s="22" t="str">
        <f>'Die Map'!BU94</f>
        <v>DZ079</v>
      </c>
      <c r="BV94" s="22" t="str">
        <f>'Die Map'!BV94</f>
        <v>DZ081</v>
      </c>
      <c r="BW94" s="22" t="str">
        <f>'Die Map'!BW94</f>
        <v>DZ082</v>
      </c>
      <c r="BX94" s="23" t="str">
        <f>'Die Map'!BX94</f>
        <v>DZ083</v>
      </c>
      <c r="BY94" s="21" t="str">
        <f>'Die Map'!BY94</f>
        <v>DZ084</v>
      </c>
      <c r="BZ94" s="22" t="str">
        <f>'Die Map'!BZ94</f>
        <v>DZ085</v>
      </c>
      <c r="CA94" s="22" t="str">
        <f>'Die Map'!CA94</f>
        <v>DZ086</v>
      </c>
      <c r="CB94" s="22" t="str">
        <f>'Die Map'!CB94</f>
        <v>DZ087</v>
      </c>
      <c r="CC94" s="23" t="str">
        <f>'Die Map'!CC94</f>
        <v>DZ088</v>
      </c>
      <c r="CD94" s="21" t="str">
        <f>'Die Map'!CD94</f>
        <v>DZ089</v>
      </c>
      <c r="CE94" s="22" t="str">
        <f>'Die Map'!CE94</f>
        <v>DZ091</v>
      </c>
      <c r="CF94" s="22" t="str">
        <f>'Die Map'!CF94</f>
        <v>DZ092</v>
      </c>
      <c r="CG94" s="22" t="str">
        <f>'Die Map'!CG94</f>
        <v>DZ093</v>
      </c>
      <c r="CH94" s="23" t="str">
        <f>'Die Map'!CH94</f>
        <v>DZ094</v>
      </c>
      <c r="CI94" s="21" t="str">
        <f>'Die Map'!CI94</f>
        <v/>
      </c>
      <c r="CJ94" s="22" t="str">
        <f>'Die Map'!CJ94</f>
        <v/>
      </c>
      <c r="CK94" s="22" t="str">
        <f>'Die Map'!CK94</f>
        <v/>
      </c>
      <c r="CL94" s="22" t="str">
        <f>'Die Map'!CL94</f>
        <v/>
      </c>
      <c r="CM94" s="23" t="str">
        <f>'Die Map'!CM94</f>
        <v/>
      </c>
      <c r="CN94" s="21" t="str">
        <f>'Die Map'!CN94</f>
        <v/>
      </c>
      <c r="CO94" s="22" t="str">
        <f>'Die Map'!CO94</f>
        <v/>
      </c>
      <c r="CP94" s="22" t="str">
        <f>'Die Map'!CP94</f>
        <v/>
      </c>
      <c r="CQ94" s="22" t="str">
        <f>'Die Map'!CQ94</f>
        <v/>
      </c>
      <c r="CR94" s="23" t="str">
        <f>'Die Map'!CR94</f>
        <v/>
      </c>
      <c r="CS94" s="21" t="str">
        <f>'Die Map'!CS94</f>
        <v/>
      </c>
      <c r="CT94" s="22" t="str">
        <f>'Die Map'!CT94</f>
        <v/>
      </c>
      <c r="CU94" s="22" t="str">
        <f>'Die Map'!CU94</f>
        <v/>
      </c>
      <c r="CV94" s="22" t="str">
        <f>'Die Map'!CV94</f>
        <v/>
      </c>
      <c r="CW94" s="23" t="str">
        <f>'Die Map'!CW94</f>
        <v/>
      </c>
      <c r="CX94" s="21" t="str">
        <f>'Die Map'!CX94</f>
        <v/>
      </c>
      <c r="CY94" s="22" t="str">
        <f>'Die Map'!CY94</f>
        <v/>
      </c>
      <c r="CZ94" s="22" t="str">
        <f>'Die Map'!CZ94</f>
        <v/>
      </c>
      <c r="DA94" s="22" t="str">
        <f>'Die Map'!DA94</f>
        <v/>
      </c>
      <c r="DB94" s="23" t="str">
        <f>'Die Map'!DB94</f>
        <v/>
      </c>
    </row>
    <row r="95" spans="1:106" ht="12.75" customHeight="1" x14ac:dyDescent="0.25">
      <c r="A95" s="17">
        <v>93</v>
      </c>
      <c r="B95" s="21" t="str">
        <f>'Die Map'!B95</f>
        <v/>
      </c>
      <c r="C95" s="22" t="str">
        <f>'Die Map'!C95</f>
        <v/>
      </c>
      <c r="D95" s="22" t="str">
        <f>'Die Map'!D95</f>
        <v/>
      </c>
      <c r="E95" s="22" t="str">
        <f>'Die Map'!E95</f>
        <v/>
      </c>
      <c r="F95" s="23" t="str">
        <f>'Die Map'!F95</f>
        <v/>
      </c>
      <c r="G95" s="21" t="str">
        <f>'Die Map'!G95</f>
        <v/>
      </c>
      <c r="H95" s="22" t="str">
        <f>'Die Map'!H95</f>
        <v/>
      </c>
      <c r="I95" s="22" t="str">
        <f>'Die Map'!I95</f>
        <v/>
      </c>
      <c r="J95" s="22" t="str">
        <f>'Die Map'!J95</f>
        <v/>
      </c>
      <c r="K95" s="23" t="str">
        <f>'Die Map'!K95</f>
        <v/>
      </c>
      <c r="L95" s="21" t="str">
        <f>'Die Map'!L95</f>
        <v/>
      </c>
      <c r="M95" s="22" t="str">
        <f>'Die Map'!M95</f>
        <v/>
      </c>
      <c r="N95" s="22" t="str">
        <f>'Die Map'!N95</f>
        <v/>
      </c>
      <c r="O95" s="22" t="str">
        <f>'Die Map'!O95</f>
        <v/>
      </c>
      <c r="P95" s="23" t="str">
        <f>'Die Map'!P95</f>
        <v/>
      </c>
      <c r="Q95" s="21" t="str">
        <f>'Die Map'!Q95</f>
        <v/>
      </c>
      <c r="R95" s="22" t="str">
        <f>'Die Map'!R95</f>
        <v/>
      </c>
      <c r="S95" s="22" t="str">
        <f>'Die Map'!S95</f>
        <v/>
      </c>
      <c r="T95" s="22" t="str">
        <f>'Die Map'!T95</f>
        <v/>
      </c>
      <c r="U95" s="23" t="str">
        <f>'Die Map'!U95</f>
        <v/>
      </c>
      <c r="V95" s="21" t="str">
        <f>'Die Map'!V95</f>
        <v>EA023</v>
      </c>
      <c r="W95" s="22" t="str">
        <f>'Die Map'!W95</f>
        <v>EA024</v>
      </c>
      <c r="X95" s="22" t="str">
        <f>'Die Map'!X95</f>
        <v>EA025</v>
      </c>
      <c r="Y95" s="22" t="str">
        <f>'Die Map'!Y95</f>
        <v>EA026</v>
      </c>
      <c r="Z95" s="23" t="str">
        <f>'Die Map'!Z95</f>
        <v>EA027</v>
      </c>
      <c r="AA95" s="21" t="str">
        <f>'Die Map'!AA95</f>
        <v>EA028</v>
      </c>
      <c r="AB95" s="22" t="str">
        <f>'Die Map'!AB95</f>
        <v>EA029</v>
      </c>
      <c r="AC95" s="22" t="str">
        <f>'Die Map'!AC95</f>
        <v>EA031</v>
      </c>
      <c r="AD95" s="22" t="str">
        <f>'Die Map'!AD95</f>
        <v>EA032</v>
      </c>
      <c r="AE95" s="23" t="str">
        <f>'Die Map'!AE95</f>
        <v>EA033</v>
      </c>
      <c r="AF95" s="21" t="str">
        <f>'Die Map'!AF95</f>
        <v>EA034</v>
      </c>
      <c r="AG95" s="22" t="str">
        <f>'Die Map'!AG95</f>
        <v>EA035</v>
      </c>
      <c r="AH95" s="22" t="str">
        <f>'Die Map'!AH95</f>
        <v>EA036</v>
      </c>
      <c r="AI95" s="22" t="str">
        <f>'Die Map'!AI95</f>
        <v>EA037</v>
      </c>
      <c r="AJ95" s="23" t="str">
        <f>'Die Map'!AJ95</f>
        <v>EA038</v>
      </c>
      <c r="AK95" s="21" t="str">
        <f>'Die Map'!AK95</f>
        <v>EA039</v>
      </c>
      <c r="AL95" s="22" t="str">
        <f>'Die Map'!AL95</f>
        <v>EA041</v>
      </c>
      <c r="AM95" s="22" t="str">
        <f>'Die Map'!AM95</f>
        <v>EA042</v>
      </c>
      <c r="AN95" s="22" t="str">
        <f>'Die Map'!AN95</f>
        <v>EA043</v>
      </c>
      <c r="AO95" s="23" t="str">
        <f>'Die Map'!AO95</f>
        <v>EA044</v>
      </c>
      <c r="AP95" s="21" t="str">
        <f>'Die Map'!AP95</f>
        <v>EA045</v>
      </c>
      <c r="AQ95" s="22" t="str">
        <f>'Die Map'!AQ95</f>
        <v>EA046</v>
      </c>
      <c r="AR95" s="22" t="str">
        <f>'Die Map'!AR95</f>
        <v>EA047</v>
      </c>
      <c r="AS95" s="22" t="str">
        <f>'Die Map'!AS95</f>
        <v>EA048</v>
      </c>
      <c r="AT95" s="23" t="str">
        <f>'Die Map'!AT95</f>
        <v>EA049</v>
      </c>
      <c r="AU95" s="21" t="str">
        <f>'Die Map'!AU95</f>
        <v>EA051</v>
      </c>
      <c r="AV95" s="22" t="str">
        <f>'Die Map'!AV95</f>
        <v>EA052</v>
      </c>
      <c r="AW95" s="22" t="str">
        <f>'Die Map'!AW95</f>
        <v>EA053</v>
      </c>
      <c r="AX95" s="22" t="str">
        <f>'Die Map'!AX95</f>
        <v>EA054</v>
      </c>
      <c r="AY95" s="23" t="str">
        <f>'Die Map'!AY95</f>
        <v>EA055</v>
      </c>
      <c r="AZ95" s="21" t="str">
        <f>'Die Map'!AZ95</f>
        <v>EA056</v>
      </c>
      <c r="BA95" s="22" t="str">
        <f>'Die Map'!BA95</f>
        <v>EA057</v>
      </c>
      <c r="BB95" s="22" t="str">
        <f>'Die Map'!BB95</f>
        <v>EA058</v>
      </c>
      <c r="BC95" s="22" t="str">
        <f>'Die Map'!BC95</f>
        <v>EA059</v>
      </c>
      <c r="BD95" s="23" t="str">
        <f>'Die Map'!BD95</f>
        <v>EA061</v>
      </c>
      <c r="BE95" s="21" t="str">
        <f>'Die Map'!BE95</f>
        <v>EA062</v>
      </c>
      <c r="BF95" s="22" t="str">
        <f>'Die Map'!BF95</f>
        <v>EA063</v>
      </c>
      <c r="BG95" s="22" t="str">
        <f>'Die Map'!BG95</f>
        <v>EA064</v>
      </c>
      <c r="BH95" s="22" t="str">
        <f>'Die Map'!BH95</f>
        <v>EA065</v>
      </c>
      <c r="BI95" s="23" t="str">
        <f>'Die Map'!BI95</f>
        <v>EA066</v>
      </c>
      <c r="BJ95" s="21" t="str">
        <f>'Die Map'!BJ95</f>
        <v>EA067</v>
      </c>
      <c r="BK95" s="22" t="str">
        <f>'Die Map'!BK95</f>
        <v>EA068</v>
      </c>
      <c r="BL95" s="22" t="str">
        <f>'Die Map'!BL95</f>
        <v>EA069</v>
      </c>
      <c r="BM95" s="22" t="str">
        <f>'Die Map'!BM95</f>
        <v>EA071</v>
      </c>
      <c r="BN95" s="23" t="str">
        <f>'Die Map'!BN95</f>
        <v>EA072</v>
      </c>
      <c r="BO95" s="21" t="str">
        <f>'Die Map'!BO95</f>
        <v>EA073</v>
      </c>
      <c r="BP95" s="22" t="str">
        <f>'Die Map'!BP95</f>
        <v>EA074</v>
      </c>
      <c r="BQ95" s="22" t="str">
        <f>'Die Map'!BQ95</f>
        <v>EA075</v>
      </c>
      <c r="BR95" s="22" t="str">
        <f>'Die Map'!BR95</f>
        <v>EA076</v>
      </c>
      <c r="BS95" s="23" t="str">
        <f>'Die Map'!BS95</f>
        <v>EA077</v>
      </c>
      <c r="BT95" s="21" t="str">
        <f>'Die Map'!BT95</f>
        <v>EA078</v>
      </c>
      <c r="BU95" s="22" t="str">
        <f>'Die Map'!BU95</f>
        <v>EA079</v>
      </c>
      <c r="BV95" s="22" t="str">
        <f>'Die Map'!BV95</f>
        <v>EA081</v>
      </c>
      <c r="BW95" s="22" t="str">
        <f>'Die Map'!BW95</f>
        <v>EA082</v>
      </c>
      <c r="BX95" s="23" t="str">
        <f>'Die Map'!BX95</f>
        <v>EA083</v>
      </c>
      <c r="BY95" s="21" t="str">
        <f>'Die Map'!BY95</f>
        <v>EA084</v>
      </c>
      <c r="BZ95" s="22" t="str">
        <f>'Die Map'!BZ95</f>
        <v>EA085</v>
      </c>
      <c r="CA95" s="22" t="str">
        <f>'Die Map'!CA95</f>
        <v>EA086</v>
      </c>
      <c r="CB95" s="22" t="str">
        <f>'Die Map'!CB95</f>
        <v>EA087</v>
      </c>
      <c r="CC95" s="23" t="str">
        <f>'Die Map'!CC95</f>
        <v>EA088</v>
      </c>
      <c r="CD95" s="21" t="str">
        <f>'Die Map'!CD95</f>
        <v>EA089</v>
      </c>
      <c r="CE95" s="22" t="str">
        <f>'Die Map'!CE95</f>
        <v>EA091</v>
      </c>
      <c r="CF95" s="22" t="str">
        <f>'Die Map'!CF95</f>
        <v>EA092</v>
      </c>
      <c r="CG95" s="22" t="str">
        <f>'Die Map'!CG95</f>
        <v>EA093</v>
      </c>
      <c r="CH95" s="23" t="str">
        <f>'Die Map'!CH95</f>
        <v>EA094</v>
      </c>
      <c r="CI95" s="21" t="str">
        <f>'Die Map'!CI95</f>
        <v/>
      </c>
      <c r="CJ95" s="22" t="str">
        <f>'Die Map'!CJ95</f>
        <v/>
      </c>
      <c r="CK95" s="22" t="str">
        <f>'Die Map'!CK95</f>
        <v/>
      </c>
      <c r="CL95" s="22" t="str">
        <f>'Die Map'!CL95</f>
        <v/>
      </c>
      <c r="CM95" s="23" t="str">
        <f>'Die Map'!CM95</f>
        <v/>
      </c>
      <c r="CN95" s="21" t="str">
        <f>'Die Map'!CN95</f>
        <v/>
      </c>
      <c r="CO95" s="22" t="str">
        <f>'Die Map'!CO95</f>
        <v/>
      </c>
      <c r="CP95" s="22" t="str">
        <f>'Die Map'!CP95</f>
        <v/>
      </c>
      <c r="CQ95" s="22" t="str">
        <f>'Die Map'!CQ95</f>
        <v/>
      </c>
      <c r="CR95" s="23" t="str">
        <f>'Die Map'!CR95</f>
        <v/>
      </c>
      <c r="CS95" s="21" t="str">
        <f>'Die Map'!CS95</f>
        <v/>
      </c>
      <c r="CT95" s="22" t="str">
        <f>'Die Map'!CT95</f>
        <v/>
      </c>
      <c r="CU95" s="22" t="str">
        <f>'Die Map'!CU95</f>
        <v/>
      </c>
      <c r="CV95" s="22" t="str">
        <f>'Die Map'!CV95</f>
        <v/>
      </c>
      <c r="CW95" s="23" t="str">
        <f>'Die Map'!CW95</f>
        <v/>
      </c>
      <c r="CX95" s="21" t="str">
        <f>'Die Map'!CX95</f>
        <v/>
      </c>
      <c r="CY95" s="22" t="str">
        <f>'Die Map'!CY95</f>
        <v/>
      </c>
      <c r="CZ95" s="22" t="str">
        <f>'Die Map'!CZ95</f>
        <v/>
      </c>
      <c r="DA95" s="22" t="str">
        <f>'Die Map'!DA95</f>
        <v/>
      </c>
      <c r="DB95" s="23" t="str">
        <f>'Die Map'!DB95</f>
        <v/>
      </c>
    </row>
    <row r="96" spans="1:106" ht="12.75" customHeight="1" x14ac:dyDescent="0.25">
      <c r="A96" s="17">
        <v>94</v>
      </c>
      <c r="B96" s="21" t="str">
        <f>'Die Map'!B96</f>
        <v/>
      </c>
      <c r="C96" s="22" t="str">
        <f>'Die Map'!C96</f>
        <v/>
      </c>
      <c r="D96" s="22" t="str">
        <f>'Die Map'!D96</f>
        <v/>
      </c>
      <c r="E96" s="22" t="str">
        <f>'Die Map'!E96</f>
        <v/>
      </c>
      <c r="F96" s="23" t="str">
        <f>'Die Map'!F96</f>
        <v/>
      </c>
      <c r="G96" s="21" t="str">
        <f>'Die Map'!G96</f>
        <v/>
      </c>
      <c r="H96" s="22" t="str">
        <f>'Die Map'!H96</f>
        <v/>
      </c>
      <c r="I96" s="22" t="str">
        <f>'Die Map'!I96</f>
        <v/>
      </c>
      <c r="J96" s="22" t="str">
        <f>'Die Map'!J96</f>
        <v/>
      </c>
      <c r="K96" s="23" t="str">
        <f>'Die Map'!K96</f>
        <v/>
      </c>
      <c r="L96" s="21" t="str">
        <f>'Die Map'!L96</f>
        <v/>
      </c>
      <c r="M96" s="22" t="str">
        <f>'Die Map'!M96</f>
        <v/>
      </c>
      <c r="N96" s="22" t="str">
        <f>'Die Map'!N96</f>
        <v/>
      </c>
      <c r="O96" s="22" t="str">
        <f>'Die Map'!O96</f>
        <v/>
      </c>
      <c r="P96" s="23" t="str">
        <f>'Die Map'!P96</f>
        <v/>
      </c>
      <c r="Q96" s="21" t="str">
        <f>'Die Map'!Q96</f>
        <v/>
      </c>
      <c r="R96" s="22" t="str">
        <f>'Die Map'!R96</f>
        <v/>
      </c>
      <c r="S96" s="22" t="str">
        <f>'Die Map'!S96</f>
        <v/>
      </c>
      <c r="T96" s="22" t="str">
        <f>'Die Map'!T96</f>
        <v/>
      </c>
      <c r="U96" s="23" t="str">
        <f>'Die Map'!U96</f>
        <v/>
      </c>
      <c r="V96" s="21" t="str">
        <f>'Die Map'!V96</f>
        <v>EB023</v>
      </c>
      <c r="W96" s="22" t="str">
        <f>'Die Map'!W96</f>
        <v>EB024</v>
      </c>
      <c r="X96" s="22" t="str">
        <f>'Die Map'!X96</f>
        <v>EB025</v>
      </c>
      <c r="Y96" s="22" t="str">
        <f>'Die Map'!Y96</f>
        <v>EB026</v>
      </c>
      <c r="Z96" s="23" t="str">
        <f>'Die Map'!Z96</f>
        <v>EB027</v>
      </c>
      <c r="AA96" s="21" t="str">
        <f>'Die Map'!AA96</f>
        <v>EB028</v>
      </c>
      <c r="AB96" s="22" t="str">
        <f>'Die Map'!AB96</f>
        <v>EB029</v>
      </c>
      <c r="AC96" s="22" t="str">
        <f>'Die Map'!AC96</f>
        <v>EB031</v>
      </c>
      <c r="AD96" s="22" t="str">
        <f>'Die Map'!AD96</f>
        <v>EB032</v>
      </c>
      <c r="AE96" s="23" t="str">
        <f>'Die Map'!AE96</f>
        <v>EB033</v>
      </c>
      <c r="AF96" s="21" t="str">
        <f>'Die Map'!AF96</f>
        <v>EB034</v>
      </c>
      <c r="AG96" s="22" t="str">
        <f>'Die Map'!AG96</f>
        <v>EB035</v>
      </c>
      <c r="AH96" s="22" t="str">
        <f>'Die Map'!AH96</f>
        <v>EB036</v>
      </c>
      <c r="AI96" s="22" t="str">
        <f>'Die Map'!AI96</f>
        <v>EB037</v>
      </c>
      <c r="AJ96" s="23" t="str">
        <f>'Die Map'!AJ96</f>
        <v>EB038</v>
      </c>
      <c r="AK96" s="21" t="str">
        <f>'Die Map'!AK96</f>
        <v>EB039</v>
      </c>
      <c r="AL96" s="22" t="str">
        <f>'Die Map'!AL96</f>
        <v>EB041</v>
      </c>
      <c r="AM96" s="22" t="str">
        <f>'Die Map'!AM96</f>
        <v>EB042</v>
      </c>
      <c r="AN96" s="22" t="str">
        <f>'Die Map'!AN96</f>
        <v>EB043</v>
      </c>
      <c r="AO96" s="23" t="str">
        <f>'Die Map'!AO96</f>
        <v>EB044</v>
      </c>
      <c r="AP96" s="21" t="str">
        <f>'Die Map'!AP96</f>
        <v>EB045</v>
      </c>
      <c r="AQ96" s="22" t="str">
        <f>'Die Map'!AQ96</f>
        <v>EB046</v>
      </c>
      <c r="AR96" s="22" t="str">
        <f>'Die Map'!AR96</f>
        <v>EB047</v>
      </c>
      <c r="AS96" s="22" t="str">
        <f>'Die Map'!AS96</f>
        <v>EB048</v>
      </c>
      <c r="AT96" s="23" t="str">
        <f>'Die Map'!AT96</f>
        <v>EB049</v>
      </c>
      <c r="AU96" s="21" t="str">
        <f>'Die Map'!AU96</f>
        <v>EB051</v>
      </c>
      <c r="AV96" s="22" t="str">
        <f>'Die Map'!AV96</f>
        <v>EB052</v>
      </c>
      <c r="AW96" s="22" t="str">
        <f>'Die Map'!AW96</f>
        <v>EB053</v>
      </c>
      <c r="AX96" s="22" t="str">
        <f>'Die Map'!AX96</f>
        <v>EB054</v>
      </c>
      <c r="AY96" s="23" t="str">
        <f>'Die Map'!AY96</f>
        <v>EB055</v>
      </c>
      <c r="AZ96" s="21" t="str">
        <f>'Die Map'!AZ96</f>
        <v>EB056</v>
      </c>
      <c r="BA96" s="22" t="str">
        <f>'Die Map'!BA96</f>
        <v>EB057</v>
      </c>
      <c r="BB96" s="22" t="str">
        <f>'Die Map'!BB96</f>
        <v>EB058</v>
      </c>
      <c r="BC96" s="22" t="str">
        <f>'Die Map'!BC96</f>
        <v>EB059</v>
      </c>
      <c r="BD96" s="23" t="str">
        <f>'Die Map'!BD96</f>
        <v>EB061</v>
      </c>
      <c r="BE96" s="21" t="str">
        <f>'Die Map'!BE96</f>
        <v>EB062</v>
      </c>
      <c r="BF96" s="22" t="str">
        <f>'Die Map'!BF96</f>
        <v>EB063</v>
      </c>
      <c r="BG96" s="22" t="str">
        <f>'Die Map'!BG96</f>
        <v>EB064</v>
      </c>
      <c r="BH96" s="22" t="str">
        <f>'Die Map'!BH96</f>
        <v>EB065</v>
      </c>
      <c r="BI96" s="23" t="str">
        <f>'Die Map'!BI96</f>
        <v>EB066</v>
      </c>
      <c r="BJ96" s="21" t="str">
        <f>'Die Map'!BJ96</f>
        <v>EB067</v>
      </c>
      <c r="BK96" s="22" t="str">
        <f>'Die Map'!BK96</f>
        <v>EB068</v>
      </c>
      <c r="BL96" s="22" t="str">
        <f>'Die Map'!BL96</f>
        <v>EB069</v>
      </c>
      <c r="BM96" s="22" t="str">
        <f>'Die Map'!BM96</f>
        <v>EB071</v>
      </c>
      <c r="BN96" s="23" t="str">
        <f>'Die Map'!BN96</f>
        <v>EB072</v>
      </c>
      <c r="BO96" s="21" t="str">
        <f>'Die Map'!BO96</f>
        <v>EB073</v>
      </c>
      <c r="BP96" s="22" t="str">
        <f>'Die Map'!BP96</f>
        <v>EB074</v>
      </c>
      <c r="BQ96" s="22" t="str">
        <f>'Die Map'!BQ96</f>
        <v>EB075</v>
      </c>
      <c r="BR96" s="22" t="str">
        <f>'Die Map'!BR96</f>
        <v>EB076</v>
      </c>
      <c r="BS96" s="23" t="str">
        <f>'Die Map'!BS96</f>
        <v>EB077</v>
      </c>
      <c r="BT96" s="21" t="str">
        <f>'Die Map'!BT96</f>
        <v>EB078</v>
      </c>
      <c r="BU96" s="22" t="str">
        <f>'Die Map'!BU96</f>
        <v>EB079</v>
      </c>
      <c r="BV96" s="22" t="str">
        <f>'Die Map'!BV96</f>
        <v>EB081</v>
      </c>
      <c r="BW96" s="22" t="str">
        <f>'Die Map'!BW96</f>
        <v>EB082</v>
      </c>
      <c r="BX96" s="23" t="str">
        <f>'Die Map'!BX96</f>
        <v>EB083</v>
      </c>
      <c r="BY96" s="21" t="str">
        <f>'Die Map'!BY96</f>
        <v>EB084</v>
      </c>
      <c r="BZ96" s="22" t="str">
        <f>'Die Map'!BZ96</f>
        <v>EB085</v>
      </c>
      <c r="CA96" s="22" t="str">
        <f>'Die Map'!CA96</f>
        <v>EB086</v>
      </c>
      <c r="CB96" s="22" t="str">
        <f>'Die Map'!CB96</f>
        <v>EB087</v>
      </c>
      <c r="CC96" s="23" t="str">
        <f>'Die Map'!CC96</f>
        <v>EB088</v>
      </c>
      <c r="CD96" s="21" t="str">
        <f>'Die Map'!CD96</f>
        <v>EB089</v>
      </c>
      <c r="CE96" s="22" t="str">
        <f>'Die Map'!CE96</f>
        <v>EB091</v>
      </c>
      <c r="CF96" s="22" t="str">
        <f>'Die Map'!CF96</f>
        <v>EB092</v>
      </c>
      <c r="CG96" s="22" t="str">
        <f>'Die Map'!CG96</f>
        <v>EB093</v>
      </c>
      <c r="CH96" s="23" t="str">
        <f>'Die Map'!CH96</f>
        <v>EB094</v>
      </c>
      <c r="CI96" s="21" t="str">
        <f>'Die Map'!CI96</f>
        <v/>
      </c>
      <c r="CJ96" s="22" t="str">
        <f>'Die Map'!CJ96</f>
        <v/>
      </c>
      <c r="CK96" s="22" t="str">
        <f>'Die Map'!CK96</f>
        <v/>
      </c>
      <c r="CL96" s="22" t="str">
        <f>'Die Map'!CL96</f>
        <v/>
      </c>
      <c r="CM96" s="23" t="str">
        <f>'Die Map'!CM96</f>
        <v/>
      </c>
      <c r="CN96" s="21" t="str">
        <f>'Die Map'!CN96</f>
        <v/>
      </c>
      <c r="CO96" s="22" t="str">
        <f>'Die Map'!CO96</f>
        <v/>
      </c>
      <c r="CP96" s="22" t="str">
        <f>'Die Map'!CP96</f>
        <v/>
      </c>
      <c r="CQ96" s="22" t="str">
        <f>'Die Map'!CQ96</f>
        <v/>
      </c>
      <c r="CR96" s="23" t="str">
        <f>'Die Map'!CR96</f>
        <v/>
      </c>
      <c r="CS96" s="21" t="str">
        <f>'Die Map'!CS96</f>
        <v/>
      </c>
      <c r="CT96" s="22" t="str">
        <f>'Die Map'!CT96</f>
        <v/>
      </c>
      <c r="CU96" s="22" t="str">
        <f>'Die Map'!CU96</f>
        <v/>
      </c>
      <c r="CV96" s="22" t="str">
        <f>'Die Map'!CV96</f>
        <v/>
      </c>
      <c r="CW96" s="23" t="str">
        <f>'Die Map'!CW96</f>
        <v/>
      </c>
      <c r="CX96" s="21" t="str">
        <f>'Die Map'!CX96</f>
        <v/>
      </c>
      <c r="CY96" s="22" t="str">
        <f>'Die Map'!CY96</f>
        <v/>
      </c>
      <c r="CZ96" s="22" t="str">
        <f>'Die Map'!CZ96</f>
        <v/>
      </c>
      <c r="DA96" s="22" t="str">
        <f>'Die Map'!DA96</f>
        <v/>
      </c>
      <c r="DB96" s="23" t="str">
        <f>'Die Map'!DB96</f>
        <v/>
      </c>
    </row>
    <row r="97" spans="1:106" ht="12.75" customHeight="1" x14ac:dyDescent="0.25">
      <c r="A97" s="17">
        <v>95</v>
      </c>
      <c r="B97" s="24" t="str">
        <f>'Die Map'!B97</f>
        <v/>
      </c>
      <c r="C97" s="25" t="str">
        <f>'Die Map'!C97</f>
        <v/>
      </c>
      <c r="D97" s="25" t="str">
        <f>'Die Map'!D97</f>
        <v/>
      </c>
      <c r="E97" s="25" t="str">
        <f>'Die Map'!E97</f>
        <v/>
      </c>
      <c r="F97" s="26" t="str">
        <f>'Die Map'!F97</f>
        <v/>
      </c>
      <c r="G97" s="24" t="str">
        <f>'Die Map'!G97</f>
        <v/>
      </c>
      <c r="H97" s="25" t="str">
        <f>'Die Map'!H97</f>
        <v/>
      </c>
      <c r="I97" s="25" t="str">
        <f>'Die Map'!I97</f>
        <v/>
      </c>
      <c r="J97" s="25" t="str">
        <f>'Die Map'!J97</f>
        <v/>
      </c>
      <c r="K97" s="26" t="str">
        <f>'Die Map'!K97</f>
        <v/>
      </c>
      <c r="L97" s="24" t="str">
        <f>'Die Map'!L97</f>
        <v/>
      </c>
      <c r="M97" s="25" t="str">
        <f>'Die Map'!M97</f>
        <v/>
      </c>
      <c r="N97" s="25" t="str">
        <f>'Die Map'!N97</f>
        <v/>
      </c>
      <c r="O97" s="25" t="str">
        <f>'Die Map'!O97</f>
        <v/>
      </c>
      <c r="P97" s="26" t="str">
        <f>'Die Map'!P97</f>
        <v/>
      </c>
      <c r="Q97" s="24" t="str">
        <f>'Die Map'!Q97</f>
        <v/>
      </c>
      <c r="R97" s="25" t="str">
        <f>'Die Map'!R97</f>
        <v/>
      </c>
      <c r="S97" s="25" t="str">
        <f>'Die Map'!S97</f>
        <v/>
      </c>
      <c r="T97" s="25" t="str">
        <f>'Die Map'!T97</f>
        <v/>
      </c>
      <c r="U97" s="26" t="str">
        <f>'Die Map'!U97</f>
        <v/>
      </c>
      <c r="V97" s="24" t="str">
        <f>'Die Map'!V97</f>
        <v>EC023</v>
      </c>
      <c r="W97" s="25" t="str">
        <f>'Die Map'!W97</f>
        <v>EC024</v>
      </c>
      <c r="X97" s="25" t="str">
        <f>'Die Map'!X97</f>
        <v>EC025</v>
      </c>
      <c r="Y97" s="25" t="str">
        <f>'Die Map'!Y97</f>
        <v>EC026</v>
      </c>
      <c r="Z97" s="26" t="str">
        <f>'Die Map'!Z97</f>
        <v>EC027</v>
      </c>
      <c r="AA97" s="24" t="str">
        <f>'Die Map'!AA97</f>
        <v>EC028</v>
      </c>
      <c r="AB97" s="25" t="str">
        <f>'Die Map'!AB97</f>
        <v>EC029</v>
      </c>
      <c r="AC97" s="25" t="str">
        <f>'Die Map'!AC97</f>
        <v>EC031</v>
      </c>
      <c r="AD97" s="25" t="str">
        <f>'Die Map'!AD97</f>
        <v>EC032</v>
      </c>
      <c r="AE97" s="26" t="str">
        <f>'Die Map'!AE97</f>
        <v>EC033</v>
      </c>
      <c r="AF97" s="24" t="str">
        <f>'Die Map'!AF97</f>
        <v>EC034</v>
      </c>
      <c r="AG97" s="25" t="str">
        <f>'Die Map'!AG97</f>
        <v>EC035</v>
      </c>
      <c r="AH97" s="25" t="str">
        <f>'Die Map'!AH97</f>
        <v>EC036</v>
      </c>
      <c r="AI97" s="25" t="str">
        <f>'Die Map'!AI97</f>
        <v>EC037</v>
      </c>
      <c r="AJ97" s="26" t="str">
        <f>'Die Map'!AJ97</f>
        <v>EC038</v>
      </c>
      <c r="AK97" s="24" t="str">
        <f>'Die Map'!AK97</f>
        <v>EC039</v>
      </c>
      <c r="AL97" s="25" t="str">
        <f>'Die Map'!AL97</f>
        <v>EC041</v>
      </c>
      <c r="AM97" s="25" t="str">
        <f>'Die Map'!AM97</f>
        <v>EC042</v>
      </c>
      <c r="AN97" s="25" t="str">
        <f>'Die Map'!AN97</f>
        <v>EC043</v>
      </c>
      <c r="AO97" s="26" t="str">
        <f>'Die Map'!AO97</f>
        <v>EC044</v>
      </c>
      <c r="AP97" s="24" t="str">
        <f>'Die Map'!AP97</f>
        <v>EC045</v>
      </c>
      <c r="AQ97" s="25" t="str">
        <f>'Die Map'!AQ97</f>
        <v>EC046</v>
      </c>
      <c r="AR97" s="25" t="str">
        <f>'Die Map'!AR97</f>
        <v>EC047</v>
      </c>
      <c r="AS97" s="25" t="str">
        <f>'Die Map'!AS97</f>
        <v>EC048</v>
      </c>
      <c r="AT97" s="26" t="str">
        <f>'Die Map'!AT97</f>
        <v>EC049</v>
      </c>
      <c r="AU97" s="24" t="str">
        <f>'Die Map'!AU97</f>
        <v>EC051</v>
      </c>
      <c r="AV97" s="25" t="str">
        <f>'Die Map'!AV97</f>
        <v>EC052</v>
      </c>
      <c r="AW97" s="25" t="str">
        <f>'Die Map'!AW97</f>
        <v>EC053</v>
      </c>
      <c r="AX97" s="25" t="str">
        <f>'Die Map'!AX97</f>
        <v>EC054</v>
      </c>
      <c r="AY97" s="26" t="str">
        <f>'Die Map'!AY97</f>
        <v>EC055</v>
      </c>
      <c r="AZ97" s="24" t="str">
        <f>'Die Map'!AZ97</f>
        <v>EC056</v>
      </c>
      <c r="BA97" s="25" t="str">
        <f>'Die Map'!BA97</f>
        <v>EC057</v>
      </c>
      <c r="BB97" s="25" t="str">
        <f>'Die Map'!BB97</f>
        <v>EC058</v>
      </c>
      <c r="BC97" s="25" t="str">
        <f>'Die Map'!BC97</f>
        <v>EC059</v>
      </c>
      <c r="BD97" s="26" t="str">
        <f>'Die Map'!BD97</f>
        <v>EC061</v>
      </c>
      <c r="BE97" s="24" t="str">
        <f>'Die Map'!BE97</f>
        <v>EC062</v>
      </c>
      <c r="BF97" s="25" t="str">
        <f>'Die Map'!BF97</f>
        <v>EC063</v>
      </c>
      <c r="BG97" s="25" t="str">
        <f>'Die Map'!BG97</f>
        <v>EC064</v>
      </c>
      <c r="BH97" s="25" t="str">
        <f>'Die Map'!BH97</f>
        <v>EC065</v>
      </c>
      <c r="BI97" s="26" t="str">
        <f>'Die Map'!BI97</f>
        <v>EC066</v>
      </c>
      <c r="BJ97" s="24" t="str">
        <f>'Die Map'!BJ97</f>
        <v>EC067</v>
      </c>
      <c r="BK97" s="25" t="str">
        <f>'Die Map'!BK97</f>
        <v>EC068</v>
      </c>
      <c r="BL97" s="25" t="str">
        <f>'Die Map'!BL97</f>
        <v>EC069</v>
      </c>
      <c r="BM97" s="25" t="str">
        <f>'Die Map'!BM97</f>
        <v>EC071</v>
      </c>
      <c r="BN97" s="26" t="str">
        <f>'Die Map'!BN97</f>
        <v>EC072</v>
      </c>
      <c r="BO97" s="24" t="str">
        <f>'Die Map'!BO97</f>
        <v>EC073</v>
      </c>
      <c r="BP97" s="25" t="str">
        <f>'Die Map'!BP97</f>
        <v>EC074</v>
      </c>
      <c r="BQ97" s="25" t="str">
        <f>'Die Map'!BQ97</f>
        <v>EC075</v>
      </c>
      <c r="BR97" s="25" t="str">
        <f>'Die Map'!BR97</f>
        <v>EC076</v>
      </c>
      <c r="BS97" s="26" t="str">
        <f>'Die Map'!BS97</f>
        <v>EC077</v>
      </c>
      <c r="BT97" s="24" t="str">
        <f>'Die Map'!BT97</f>
        <v>EC078</v>
      </c>
      <c r="BU97" s="25" t="str">
        <f>'Die Map'!BU97</f>
        <v>EC079</v>
      </c>
      <c r="BV97" s="25" t="str">
        <f>'Die Map'!BV97</f>
        <v>EC081</v>
      </c>
      <c r="BW97" s="25" t="str">
        <f>'Die Map'!BW97</f>
        <v>EC082</v>
      </c>
      <c r="BX97" s="26" t="str">
        <f>'Die Map'!BX97</f>
        <v>EC083</v>
      </c>
      <c r="BY97" s="24" t="str">
        <f>'Die Map'!BY97</f>
        <v>EC084</v>
      </c>
      <c r="BZ97" s="25" t="str">
        <f>'Die Map'!BZ97</f>
        <v>EC085</v>
      </c>
      <c r="CA97" s="25" t="str">
        <f>'Die Map'!CA97</f>
        <v>EC086</v>
      </c>
      <c r="CB97" s="25" t="str">
        <f>'Die Map'!CB97</f>
        <v>EC087</v>
      </c>
      <c r="CC97" s="26" t="str">
        <f>'Die Map'!CC97</f>
        <v>EC088</v>
      </c>
      <c r="CD97" s="24" t="str">
        <f>'Die Map'!CD97</f>
        <v>EC089</v>
      </c>
      <c r="CE97" s="25" t="str">
        <f>'Die Map'!CE97</f>
        <v>EC091</v>
      </c>
      <c r="CF97" s="25" t="str">
        <f>'Die Map'!CF97</f>
        <v>EC092</v>
      </c>
      <c r="CG97" s="25" t="str">
        <f>'Die Map'!CG97</f>
        <v>EC093</v>
      </c>
      <c r="CH97" s="26" t="str">
        <f>'Die Map'!CH97</f>
        <v>EC094</v>
      </c>
      <c r="CI97" s="24" t="str">
        <f>'Die Map'!CI97</f>
        <v/>
      </c>
      <c r="CJ97" s="25" t="str">
        <f>'Die Map'!CJ97</f>
        <v/>
      </c>
      <c r="CK97" s="25" t="str">
        <f>'Die Map'!CK97</f>
        <v/>
      </c>
      <c r="CL97" s="25" t="str">
        <f>'Die Map'!CL97</f>
        <v/>
      </c>
      <c r="CM97" s="26" t="str">
        <f>'Die Map'!CM97</f>
        <v/>
      </c>
      <c r="CN97" s="24" t="str">
        <f>'Die Map'!CN97</f>
        <v/>
      </c>
      <c r="CO97" s="25" t="str">
        <f>'Die Map'!CO97</f>
        <v/>
      </c>
      <c r="CP97" s="25" t="str">
        <f>'Die Map'!CP97</f>
        <v/>
      </c>
      <c r="CQ97" s="25" t="str">
        <f>'Die Map'!CQ97</f>
        <v/>
      </c>
      <c r="CR97" s="26" t="str">
        <f>'Die Map'!CR97</f>
        <v/>
      </c>
      <c r="CS97" s="24" t="str">
        <f>'Die Map'!CS97</f>
        <v/>
      </c>
      <c r="CT97" s="25" t="str">
        <f>'Die Map'!CT97</f>
        <v/>
      </c>
      <c r="CU97" s="25" t="str">
        <f>'Die Map'!CU97</f>
        <v/>
      </c>
      <c r="CV97" s="25" t="str">
        <f>'Die Map'!CV97</f>
        <v/>
      </c>
      <c r="CW97" s="26" t="str">
        <f>'Die Map'!CW97</f>
        <v/>
      </c>
      <c r="CX97" s="24" t="str">
        <f>'Die Map'!CX97</f>
        <v/>
      </c>
      <c r="CY97" s="25" t="str">
        <f>'Die Map'!CY97</f>
        <v/>
      </c>
      <c r="CZ97" s="25" t="str">
        <f>'Die Map'!CZ97</f>
        <v/>
      </c>
      <c r="DA97" s="25" t="str">
        <f>'Die Map'!DA97</f>
        <v/>
      </c>
      <c r="DB97" s="26" t="str">
        <f>'Die Map'!DB97</f>
        <v/>
      </c>
    </row>
    <row r="98" spans="1:106" ht="12.75" customHeight="1" x14ac:dyDescent="0.25">
      <c r="A98" s="17">
        <v>96</v>
      </c>
      <c r="B98" s="18" t="str">
        <f>'Die Map'!B98</f>
        <v/>
      </c>
      <c r="C98" s="19" t="str">
        <f>'Die Map'!C98</f>
        <v/>
      </c>
      <c r="D98" s="19" t="str">
        <f>'Die Map'!D98</f>
        <v/>
      </c>
      <c r="E98" s="19" t="str">
        <f>'Die Map'!E98</f>
        <v/>
      </c>
      <c r="F98" s="20" t="str">
        <f>'Die Map'!F98</f>
        <v/>
      </c>
      <c r="G98" s="18" t="str">
        <f>'Die Map'!G98</f>
        <v/>
      </c>
      <c r="H98" s="19" t="str">
        <f>'Die Map'!H98</f>
        <v/>
      </c>
      <c r="I98" s="19" t="str">
        <f>'Die Map'!I98</f>
        <v/>
      </c>
      <c r="J98" s="19" t="str">
        <f>'Die Map'!J98</f>
        <v/>
      </c>
      <c r="K98" s="20" t="str">
        <f>'Die Map'!K98</f>
        <v/>
      </c>
      <c r="L98" s="18" t="str">
        <f>'Die Map'!L98</f>
        <v/>
      </c>
      <c r="M98" s="19" t="str">
        <f>'Die Map'!M98</f>
        <v/>
      </c>
      <c r="N98" s="19" t="str">
        <f>'Die Map'!N98</f>
        <v/>
      </c>
      <c r="O98" s="19" t="str">
        <f>'Die Map'!O98</f>
        <v/>
      </c>
      <c r="P98" s="20" t="str">
        <f>'Die Map'!P98</f>
        <v/>
      </c>
      <c r="Q98" s="18" t="str">
        <f>'Die Map'!Q98</f>
        <v/>
      </c>
      <c r="R98" s="19" t="str">
        <f>'Die Map'!R98</f>
        <v/>
      </c>
      <c r="S98" s="19" t="str">
        <f>'Die Map'!S98</f>
        <v/>
      </c>
      <c r="T98" s="19" t="str">
        <f>'Die Map'!T98</f>
        <v/>
      </c>
      <c r="U98" s="20" t="str">
        <f>'Die Map'!U98</f>
        <v/>
      </c>
      <c r="V98" s="18" t="str">
        <f>'Die Map'!V98</f>
        <v/>
      </c>
      <c r="W98" s="19" t="str">
        <f>'Die Map'!W98</f>
        <v/>
      </c>
      <c r="X98" s="19" t="str">
        <f>'Die Map'!X98</f>
        <v/>
      </c>
      <c r="Y98" s="19" t="str">
        <f>'Die Map'!Y98</f>
        <v/>
      </c>
      <c r="Z98" s="20" t="str">
        <f>'Die Map'!Z98</f>
        <v/>
      </c>
      <c r="AA98" s="18" t="str">
        <f>'Die Map'!AA98</f>
        <v/>
      </c>
      <c r="AB98" s="19" t="str">
        <f>'Die Map'!AB98</f>
        <v/>
      </c>
      <c r="AC98" s="19" t="str">
        <f>'Die Map'!AC98</f>
        <v/>
      </c>
      <c r="AD98" s="19" t="str">
        <f>'Die Map'!AD98</f>
        <v/>
      </c>
      <c r="AE98" s="20" t="str">
        <f>'Die Map'!AE98</f>
        <v/>
      </c>
      <c r="AF98" s="18" t="str">
        <f>'Die Map'!AF98</f>
        <v>ED034</v>
      </c>
      <c r="AG98" s="19" t="str">
        <f>'Die Map'!AG98</f>
        <v>ED035</v>
      </c>
      <c r="AH98" s="19" t="str">
        <f>'Die Map'!AH98</f>
        <v>ED036</v>
      </c>
      <c r="AI98" s="19" t="str">
        <f>'Die Map'!AI98</f>
        <v>ED037</v>
      </c>
      <c r="AJ98" s="20" t="str">
        <f>'Die Map'!AJ98</f>
        <v>ED038</v>
      </c>
      <c r="AK98" s="18" t="str">
        <f>'Die Map'!AK98</f>
        <v>ED039</v>
      </c>
      <c r="AL98" s="19" t="str">
        <f>'Die Map'!AL98</f>
        <v>ED041</v>
      </c>
      <c r="AM98" s="19" t="str">
        <f>'Die Map'!AM98</f>
        <v>ED042</v>
      </c>
      <c r="AN98" s="19" t="str">
        <f>'Die Map'!AN98</f>
        <v>ED043</v>
      </c>
      <c r="AO98" s="20" t="str">
        <f>'Die Map'!AO98</f>
        <v>ED044</v>
      </c>
      <c r="AP98" s="18" t="str">
        <f>'Die Map'!AP98</f>
        <v>ED045</v>
      </c>
      <c r="AQ98" s="19" t="str">
        <f>'Die Map'!AQ98</f>
        <v>ED046</v>
      </c>
      <c r="AR98" s="19" t="str">
        <f>'Die Map'!AR98</f>
        <v>ED047</v>
      </c>
      <c r="AS98" s="19" t="str">
        <f>'Die Map'!AS98</f>
        <v>ED048</v>
      </c>
      <c r="AT98" s="20" t="str">
        <f>'Die Map'!AT98</f>
        <v>ED049</v>
      </c>
      <c r="AU98" s="18" t="str">
        <f>'Die Map'!AU98</f>
        <v>ED051</v>
      </c>
      <c r="AV98" s="19" t="str">
        <f>'Die Map'!AV98</f>
        <v>ED052</v>
      </c>
      <c r="AW98" s="19" t="str">
        <f>'Die Map'!AW98</f>
        <v>ED053</v>
      </c>
      <c r="AX98" s="19" t="str">
        <f>'Die Map'!AX98</f>
        <v>ED054</v>
      </c>
      <c r="AY98" s="20" t="str">
        <f>'Die Map'!AY98</f>
        <v>ED055</v>
      </c>
      <c r="AZ98" s="18" t="str">
        <f>'Die Map'!AZ98</f>
        <v>ED056</v>
      </c>
      <c r="BA98" s="19" t="str">
        <f>'Die Map'!BA98</f>
        <v>ED057</v>
      </c>
      <c r="BB98" s="19" t="str">
        <f>'Die Map'!BB98</f>
        <v>ED058</v>
      </c>
      <c r="BC98" s="19" t="str">
        <f>'Die Map'!BC98</f>
        <v>ED059</v>
      </c>
      <c r="BD98" s="20" t="str">
        <f>'Die Map'!BD98</f>
        <v>ED061</v>
      </c>
      <c r="BE98" s="18" t="str">
        <f>'Die Map'!BE98</f>
        <v>ED062</v>
      </c>
      <c r="BF98" s="19" t="str">
        <f>'Die Map'!BF98</f>
        <v>ED063</v>
      </c>
      <c r="BG98" s="19" t="str">
        <f>'Die Map'!BG98</f>
        <v>ED064</v>
      </c>
      <c r="BH98" s="19" t="str">
        <f>'Die Map'!BH98</f>
        <v>ED065</v>
      </c>
      <c r="BI98" s="20" t="str">
        <f>'Die Map'!BI98</f>
        <v>ED066</v>
      </c>
      <c r="BJ98" s="18" t="str">
        <f>'Die Map'!BJ98</f>
        <v>ED067</v>
      </c>
      <c r="BK98" s="19" t="str">
        <f>'Die Map'!BK98</f>
        <v>ED068</v>
      </c>
      <c r="BL98" s="19" t="str">
        <f>'Die Map'!BL98</f>
        <v>ED069</v>
      </c>
      <c r="BM98" s="19" t="str">
        <f>'Die Map'!BM98</f>
        <v>ED071</v>
      </c>
      <c r="BN98" s="20" t="str">
        <f>'Die Map'!BN98</f>
        <v>ED072</v>
      </c>
      <c r="BO98" s="18" t="str">
        <f>'Die Map'!BO98</f>
        <v>ED073</v>
      </c>
      <c r="BP98" s="19" t="str">
        <f>'Die Map'!BP98</f>
        <v>ED074</v>
      </c>
      <c r="BQ98" s="19" t="str">
        <f>'Die Map'!BQ98</f>
        <v>ED075</v>
      </c>
      <c r="BR98" s="19" t="str">
        <f>'Die Map'!BR98</f>
        <v>ED076</v>
      </c>
      <c r="BS98" s="20" t="str">
        <f>'Die Map'!BS98</f>
        <v>ED077</v>
      </c>
      <c r="BT98" s="18" t="str">
        <f>'Die Map'!BT98</f>
        <v>ED078</v>
      </c>
      <c r="BU98" s="19" t="str">
        <f>'Die Map'!BU98</f>
        <v>ED079</v>
      </c>
      <c r="BV98" s="19" t="str">
        <f>'Die Map'!BV98</f>
        <v>ED081</v>
      </c>
      <c r="BW98" s="19" t="str">
        <f>'Die Map'!BW98</f>
        <v>ED082</v>
      </c>
      <c r="BX98" s="20" t="str">
        <f>'Die Map'!BX98</f>
        <v>ED083</v>
      </c>
      <c r="BY98" s="18" t="str">
        <f>'Die Map'!BY98</f>
        <v/>
      </c>
      <c r="BZ98" s="19" t="str">
        <f>'Die Map'!BZ98</f>
        <v/>
      </c>
      <c r="CA98" s="19" t="str">
        <f>'Die Map'!CA98</f>
        <v/>
      </c>
      <c r="CB98" s="19" t="str">
        <f>'Die Map'!CB98</f>
        <v/>
      </c>
      <c r="CC98" s="20" t="str">
        <f>'Die Map'!CC98</f>
        <v/>
      </c>
      <c r="CD98" s="18" t="str">
        <f>'Die Map'!CD98</f>
        <v/>
      </c>
      <c r="CE98" s="19" t="str">
        <f>'Die Map'!CE98</f>
        <v/>
      </c>
      <c r="CF98" s="19" t="str">
        <f>'Die Map'!CF98</f>
        <v/>
      </c>
      <c r="CG98" s="19" t="str">
        <f>'Die Map'!CG98</f>
        <v/>
      </c>
      <c r="CH98" s="20" t="str">
        <f>'Die Map'!CH98</f>
        <v/>
      </c>
      <c r="CI98" s="18" t="str">
        <f>'Die Map'!CI98</f>
        <v/>
      </c>
      <c r="CJ98" s="19" t="str">
        <f>'Die Map'!CJ98</f>
        <v/>
      </c>
      <c r="CK98" s="19" t="str">
        <f>'Die Map'!CK98</f>
        <v/>
      </c>
      <c r="CL98" s="19" t="str">
        <f>'Die Map'!CL98</f>
        <v/>
      </c>
      <c r="CM98" s="20" t="str">
        <f>'Die Map'!CM98</f>
        <v/>
      </c>
      <c r="CN98" s="18" t="str">
        <f>'Die Map'!CN98</f>
        <v/>
      </c>
      <c r="CO98" s="19" t="str">
        <f>'Die Map'!CO98</f>
        <v/>
      </c>
      <c r="CP98" s="19" t="str">
        <f>'Die Map'!CP98</f>
        <v/>
      </c>
      <c r="CQ98" s="19" t="str">
        <f>'Die Map'!CQ98</f>
        <v/>
      </c>
      <c r="CR98" s="20" t="str">
        <f>'Die Map'!CR98</f>
        <v/>
      </c>
      <c r="CS98" s="18" t="str">
        <f>'Die Map'!CS98</f>
        <v/>
      </c>
      <c r="CT98" s="19" t="str">
        <f>'Die Map'!CT98</f>
        <v/>
      </c>
      <c r="CU98" s="19" t="str">
        <f>'Die Map'!CU98</f>
        <v/>
      </c>
      <c r="CV98" s="19" t="str">
        <f>'Die Map'!CV98</f>
        <v/>
      </c>
      <c r="CW98" s="20" t="str">
        <f>'Die Map'!CW98</f>
        <v/>
      </c>
      <c r="CX98" s="18" t="str">
        <f>'Die Map'!CX98</f>
        <v/>
      </c>
      <c r="CY98" s="19" t="str">
        <f>'Die Map'!CY98</f>
        <v/>
      </c>
      <c r="CZ98" s="19" t="str">
        <f>'Die Map'!CZ98</f>
        <v/>
      </c>
      <c r="DA98" s="19" t="str">
        <f>'Die Map'!DA98</f>
        <v/>
      </c>
      <c r="DB98" s="20" t="str">
        <f>'Die Map'!DB98</f>
        <v/>
      </c>
    </row>
    <row r="99" spans="1:106" ht="12.75" customHeight="1" x14ac:dyDescent="0.25">
      <c r="A99" s="17">
        <v>97</v>
      </c>
      <c r="B99" s="21" t="str">
        <f>'Die Map'!B99</f>
        <v/>
      </c>
      <c r="C99" s="22" t="str">
        <f>'Die Map'!C99</f>
        <v/>
      </c>
      <c r="D99" s="22" t="str">
        <f>'Die Map'!D99</f>
        <v/>
      </c>
      <c r="E99" s="22" t="str">
        <f>'Die Map'!E99</f>
        <v/>
      </c>
      <c r="F99" s="23" t="str">
        <f>'Die Map'!F99</f>
        <v/>
      </c>
      <c r="G99" s="21" t="str">
        <f>'Die Map'!G99</f>
        <v/>
      </c>
      <c r="H99" s="22" t="str">
        <f>'Die Map'!H99</f>
        <v/>
      </c>
      <c r="I99" s="22" t="str">
        <f>'Die Map'!I99</f>
        <v/>
      </c>
      <c r="J99" s="22" t="str">
        <f>'Die Map'!J99</f>
        <v/>
      </c>
      <c r="K99" s="23" t="str">
        <f>'Die Map'!K99</f>
        <v/>
      </c>
      <c r="L99" s="21" t="str">
        <f>'Die Map'!L99</f>
        <v/>
      </c>
      <c r="M99" s="22" t="str">
        <f>'Die Map'!M99</f>
        <v/>
      </c>
      <c r="N99" s="22" t="str">
        <f>'Die Map'!N99</f>
        <v/>
      </c>
      <c r="O99" s="22" t="str">
        <f>'Die Map'!O99</f>
        <v/>
      </c>
      <c r="P99" s="23" t="str">
        <f>'Die Map'!P99</f>
        <v/>
      </c>
      <c r="Q99" s="21" t="str">
        <f>'Die Map'!Q99</f>
        <v/>
      </c>
      <c r="R99" s="22" t="str">
        <f>'Die Map'!R99</f>
        <v/>
      </c>
      <c r="S99" s="22" t="str">
        <f>'Die Map'!S99</f>
        <v/>
      </c>
      <c r="T99" s="22" t="str">
        <f>'Die Map'!T99</f>
        <v/>
      </c>
      <c r="U99" s="23" t="str">
        <f>'Die Map'!U99</f>
        <v/>
      </c>
      <c r="V99" s="21" t="str">
        <f>'Die Map'!V99</f>
        <v/>
      </c>
      <c r="W99" s="22" t="str">
        <f>'Die Map'!W99</f>
        <v/>
      </c>
      <c r="X99" s="22" t="str">
        <f>'Die Map'!X99</f>
        <v/>
      </c>
      <c r="Y99" s="22" t="str">
        <f>'Die Map'!Y99</f>
        <v/>
      </c>
      <c r="Z99" s="23" t="str">
        <f>'Die Map'!Z99</f>
        <v/>
      </c>
      <c r="AA99" s="21" t="str">
        <f>'Die Map'!AA99</f>
        <v/>
      </c>
      <c r="AB99" s="22" t="str">
        <f>'Die Map'!AB99</f>
        <v/>
      </c>
      <c r="AC99" s="22" t="str">
        <f>'Die Map'!AC99</f>
        <v/>
      </c>
      <c r="AD99" s="22" t="str">
        <f>'Die Map'!AD99</f>
        <v/>
      </c>
      <c r="AE99" s="23" t="str">
        <f>'Die Map'!AE99</f>
        <v/>
      </c>
      <c r="AF99" s="21" t="str">
        <f>'Die Map'!AF99</f>
        <v>EE034</v>
      </c>
      <c r="AG99" s="22" t="str">
        <f>'Die Map'!AG99</f>
        <v>EE035</v>
      </c>
      <c r="AH99" s="22" t="str">
        <f>'Die Map'!AH99</f>
        <v>EE036</v>
      </c>
      <c r="AI99" s="22" t="str">
        <f>'Die Map'!AI99</f>
        <v>EE037</v>
      </c>
      <c r="AJ99" s="23" t="str">
        <f>'Die Map'!AJ99</f>
        <v>EE038</v>
      </c>
      <c r="AK99" s="21" t="str">
        <f>'Die Map'!AK99</f>
        <v>EE039</v>
      </c>
      <c r="AL99" s="22" t="str">
        <f>'Die Map'!AL99</f>
        <v>EE041</v>
      </c>
      <c r="AM99" s="22" t="str">
        <f>'Die Map'!AM99</f>
        <v>EE042</v>
      </c>
      <c r="AN99" s="22" t="str">
        <f>'Die Map'!AN99</f>
        <v>EE043</v>
      </c>
      <c r="AO99" s="23" t="str">
        <f>'Die Map'!AO99</f>
        <v>EE044</v>
      </c>
      <c r="AP99" s="21" t="str">
        <f>'Die Map'!AP99</f>
        <v>EE045</v>
      </c>
      <c r="AQ99" s="22" t="str">
        <f>'Die Map'!AQ99</f>
        <v>EE046</v>
      </c>
      <c r="AR99" s="22" t="str">
        <f>'Die Map'!AR99</f>
        <v>EE047</v>
      </c>
      <c r="AS99" s="22" t="str">
        <f>'Die Map'!AS99</f>
        <v>EE048</v>
      </c>
      <c r="AT99" s="23" t="str">
        <f>'Die Map'!AT99</f>
        <v>EE049</v>
      </c>
      <c r="AU99" s="21" t="str">
        <f>'Die Map'!AU99</f>
        <v>EE051</v>
      </c>
      <c r="AV99" s="22" t="str">
        <f>'Die Map'!AV99</f>
        <v>EE052</v>
      </c>
      <c r="AW99" s="22" t="str">
        <f>'Die Map'!AW99</f>
        <v>EE053</v>
      </c>
      <c r="AX99" s="22" t="str">
        <f>'Die Map'!AX99</f>
        <v>EE054</v>
      </c>
      <c r="AY99" s="23" t="str">
        <f>'Die Map'!AY99</f>
        <v>EE055</v>
      </c>
      <c r="AZ99" s="21" t="str">
        <f>'Die Map'!AZ99</f>
        <v>EE056</v>
      </c>
      <c r="BA99" s="22" t="str">
        <f>'Die Map'!BA99</f>
        <v>EE057</v>
      </c>
      <c r="BB99" s="22" t="str">
        <f>'Die Map'!BB99</f>
        <v>EE058</v>
      </c>
      <c r="BC99" s="22" t="str">
        <f>'Die Map'!BC99</f>
        <v>EE059</v>
      </c>
      <c r="BD99" s="23" t="str">
        <f>'Die Map'!BD99</f>
        <v>EE061</v>
      </c>
      <c r="BE99" s="21" t="str">
        <f>'Die Map'!BE99</f>
        <v>EE062</v>
      </c>
      <c r="BF99" s="22" t="str">
        <f>'Die Map'!BF99</f>
        <v>EE063</v>
      </c>
      <c r="BG99" s="22" t="str">
        <f>'Die Map'!BG99</f>
        <v>EE064</v>
      </c>
      <c r="BH99" s="22" t="str">
        <f>'Die Map'!BH99</f>
        <v>EE065</v>
      </c>
      <c r="BI99" s="23" t="str">
        <f>'Die Map'!BI99</f>
        <v>EE066</v>
      </c>
      <c r="BJ99" s="21" t="str">
        <f>'Die Map'!BJ99</f>
        <v>EE067</v>
      </c>
      <c r="BK99" s="22" t="str">
        <f>'Die Map'!BK99</f>
        <v>EE068</v>
      </c>
      <c r="BL99" s="22" t="str">
        <f>'Die Map'!BL99</f>
        <v>EE069</v>
      </c>
      <c r="BM99" s="22" t="str">
        <f>'Die Map'!BM99</f>
        <v>EE071</v>
      </c>
      <c r="BN99" s="23" t="str">
        <f>'Die Map'!BN99</f>
        <v>EE072</v>
      </c>
      <c r="BO99" s="21" t="str">
        <f>'Die Map'!BO99</f>
        <v>EE073</v>
      </c>
      <c r="BP99" s="22" t="str">
        <f>'Die Map'!BP99</f>
        <v>EE074</v>
      </c>
      <c r="BQ99" s="22" t="str">
        <f>'Die Map'!BQ99</f>
        <v>EE075</v>
      </c>
      <c r="BR99" s="22" t="str">
        <f>'Die Map'!BR99</f>
        <v>EE076</v>
      </c>
      <c r="BS99" s="23" t="str">
        <f>'Die Map'!BS99</f>
        <v>EE077</v>
      </c>
      <c r="BT99" s="21" t="str">
        <f>'Die Map'!BT99</f>
        <v>EE078</v>
      </c>
      <c r="BU99" s="22" t="str">
        <f>'Die Map'!BU99</f>
        <v>EE079</v>
      </c>
      <c r="BV99" s="22" t="str">
        <f>'Die Map'!BV99</f>
        <v>EE081</v>
      </c>
      <c r="BW99" s="22" t="str">
        <f>'Die Map'!BW99</f>
        <v>EE082</v>
      </c>
      <c r="BX99" s="23" t="str">
        <f>'Die Map'!BX99</f>
        <v>EE083</v>
      </c>
      <c r="BY99" s="21" t="str">
        <f>'Die Map'!BY99</f>
        <v/>
      </c>
      <c r="BZ99" s="22" t="str">
        <f>'Die Map'!BZ99</f>
        <v/>
      </c>
      <c r="CA99" s="22" t="str">
        <f>'Die Map'!CA99</f>
        <v/>
      </c>
      <c r="CB99" s="22" t="str">
        <f>'Die Map'!CB99</f>
        <v/>
      </c>
      <c r="CC99" s="23" t="str">
        <f>'Die Map'!CC99</f>
        <v/>
      </c>
      <c r="CD99" s="21" t="str">
        <f>'Die Map'!CD99</f>
        <v/>
      </c>
      <c r="CE99" s="22" t="str">
        <f>'Die Map'!CE99</f>
        <v/>
      </c>
      <c r="CF99" s="22" t="str">
        <f>'Die Map'!CF99</f>
        <v/>
      </c>
      <c r="CG99" s="22" t="str">
        <f>'Die Map'!CG99</f>
        <v/>
      </c>
      <c r="CH99" s="23" t="str">
        <f>'Die Map'!CH99</f>
        <v/>
      </c>
      <c r="CI99" s="21" t="str">
        <f>'Die Map'!CI99</f>
        <v/>
      </c>
      <c r="CJ99" s="22" t="str">
        <f>'Die Map'!CJ99</f>
        <v/>
      </c>
      <c r="CK99" s="22" t="str">
        <f>'Die Map'!CK99</f>
        <v/>
      </c>
      <c r="CL99" s="22" t="str">
        <f>'Die Map'!CL99</f>
        <v/>
      </c>
      <c r="CM99" s="23" t="str">
        <f>'Die Map'!CM99</f>
        <v/>
      </c>
      <c r="CN99" s="21" t="str">
        <f>'Die Map'!CN99</f>
        <v/>
      </c>
      <c r="CO99" s="22" t="str">
        <f>'Die Map'!CO99</f>
        <v/>
      </c>
      <c r="CP99" s="22" t="str">
        <f>'Die Map'!CP99</f>
        <v/>
      </c>
      <c r="CQ99" s="22" t="str">
        <f>'Die Map'!CQ99</f>
        <v/>
      </c>
      <c r="CR99" s="23" t="str">
        <f>'Die Map'!CR99</f>
        <v/>
      </c>
      <c r="CS99" s="21" t="str">
        <f>'Die Map'!CS99</f>
        <v/>
      </c>
      <c r="CT99" s="22" t="str">
        <f>'Die Map'!CT99</f>
        <v/>
      </c>
      <c r="CU99" s="22" t="str">
        <f>'Die Map'!CU99</f>
        <v/>
      </c>
      <c r="CV99" s="22" t="str">
        <f>'Die Map'!CV99</f>
        <v/>
      </c>
      <c r="CW99" s="23" t="str">
        <f>'Die Map'!CW99</f>
        <v/>
      </c>
      <c r="CX99" s="21" t="str">
        <f>'Die Map'!CX99</f>
        <v/>
      </c>
      <c r="CY99" s="22" t="str">
        <f>'Die Map'!CY99</f>
        <v/>
      </c>
      <c r="CZ99" s="22" t="str">
        <f>'Die Map'!CZ99</f>
        <v/>
      </c>
      <c r="DA99" s="22" t="str">
        <f>'Die Map'!DA99</f>
        <v/>
      </c>
      <c r="DB99" s="23" t="str">
        <f>'Die Map'!DB99</f>
        <v/>
      </c>
    </row>
    <row r="100" spans="1:106" ht="12.75" customHeight="1" x14ac:dyDescent="0.25">
      <c r="A100" s="17">
        <v>98</v>
      </c>
      <c r="B100" s="21" t="str">
        <f>'Die Map'!B100</f>
        <v/>
      </c>
      <c r="C100" s="22" t="str">
        <f>'Die Map'!C100</f>
        <v/>
      </c>
      <c r="D100" s="22" t="str">
        <f>'Die Map'!D100</f>
        <v/>
      </c>
      <c r="E100" s="22" t="str">
        <f>'Die Map'!E100</f>
        <v/>
      </c>
      <c r="F100" s="23" t="str">
        <f>'Die Map'!F100</f>
        <v/>
      </c>
      <c r="G100" s="21" t="str">
        <f>'Die Map'!G100</f>
        <v/>
      </c>
      <c r="H100" s="22" t="str">
        <f>'Die Map'!H100</f>
        <v/>
      </c>
      <c r="I100" s="22" t="str">
        <f>'Die Map'!I100</f>
        <v/>
      </c>
      <c r="J100" s="22" t="str">
        <f>'Die Map'!J100</f>
        <v/>
      </c>
      <c r="K100" s="23" t="str">
        <f>'Die Map'!K100</f>
        <v/>
      </c>
      <c r="L100" s="21" t="str">
        <f>'Die Map'!L100</f>
        <v/>
      </c>
      <c r="M100" s="22" t="str">
        <f>'Die Map'!M100</f>
        <v/>
      </c>
      <c r="N100" s="22" t="str">
        <f>'Die Map'!N100</f>
        <v/>
      </c>
      <c r="O100" s="22" t="str">
        <f>'Die Map'!O100</f>
        <v/>
      </c>
      <c r="P100" s="23" t="str">
        <f>'Die Map'!P100</f>
        <v/>
      </c>
      <c r="Q100" s="21" t="str">
        <f>'Die Map'!Q100</f>
        <v/>
      </c>
      <c r="R100" s="22" t="str">
        <f>'Die Map'!R100</f>
        <v/>
      </c>
      <c r="S100" s="22" t="str">
        <f>'Die Map'!S100</f>
        <v/>
      </c>
      <c r="T100" s="22" t="str">
        <f>'Die Map'!T100</f>
        <v/>
      </c>
      <c r="U100" s="23" t="str">
        <f>'Die Map'!U100</f>
        <v/>
      </c>
      <c r="V100" s="21" t="str">
        <f>'Die Map'!V100</f>
        <v/>
      </c>
      <c r="W100" s="22" t="str">
        <f>'Die Map'!W100</f>
        <v/>
      </c>
      <c r="X100" s="22" t="str">
        <f>'Die Map'!X100</f>
        <v/>
      </c>
      <c r="Y100" s="22" t="str">
        <f>'Die Map'!Y100</f>
        <v/>
      </c>
      <c r="Z100" s="23" t="str">
        <f>'Die Map'!Z100</f>
        <v/>
      </c>
      <c r="AA100" s="21" t="str">
        <f>'Die Map'!AA100</f>
        <v/>
      </c>
      <c r="AB100" s="22" t="str">
        <f>'Die Map'!AB100</f>
        <v/>
      </c>
      <c r="AC100" s="22" t="str">
        <f>'Die Map'!AC100</f>
        <v/>
      </c>
      <c r="AD100" s="22" t="str">
        <f>'Die Map'!AD100</f>
        <v/>
      </c>
      <c r="AE100" s="23" t="str">
        <f>'Die Map'!AE100</f>
        <v/>
      </c>
      <c r="AF100" s="21" t="str">
        <f>'Die Map'!AF100</f>
        <v>EF034</v>
      </c>
      <c r="AG100" s="22" t="str">
        <f>'Die Map'!AG100</f>
        <v>EF035</v>
      </c>
      <c r="AH100" s="22" t="str">
        <f>'Die Map'!AH100</f>
        <v>EF036</v>
      </c>
      <c r="AI100" s="22" t="str">
        <f>'Die Map'!AI100</f>
        <v>EF037</v>
      </c>
      <c r="AJ100" s="23" t="str">
        <f>'Die Map'!AJ100</f>
        <v>EF038</v>
      </c>
      <c r="AK100" s="21" t="str">
        <f>'Die Map'!AK100</f>
        <v>EF039</v>
      </c>
      <c r="AL100" s="22" t="str">
        <f>'Die Map'!AL100</f>
        <v>EF041</v>
      </c>
      <c r="AM100" s="22" t="str">
        <f>'Die Map'!AM100</f>
        <v>EF042</v>
      </c>
      <c r="AN100" s="22" t="str">
        <f>'Die Map'!AN100</f>
        <v>EF043</v>
      </c>
      <c r="AO100" s="23" t="str">
        <f>'Die Map'!AO100</f>
        <v>EF044</v>
      </c>
      <c r="AP100" s="21" t="str">
        <f>'Die Map'!AP100</f>
        <v>EF045</v>
      </c>
      <c r="AQ100" s="22" t="str">
        <f>'Die Map'!AQ100</f>
        <v>EF046</v>
      </c>
      <c r="AR100" s="22" t="str">
        <f>'Die Map'!AR100</f>
        <v>EF047</v>
      </c>
      <c r="AS100" s="22" t="str">
        <f>'Die Map'!AS100</f>
        <v>EF048</v>
      </c>
      <c r="AT100" s="23" t="str">
        <f>'Die Map'!AT100</f>
        <v>EF049</v>
      </c>
      <c r="AU100" s="21" t="str">
        <f>'Die Map'!AU100</f>
        <v>EF051</v>
      </c>
      <c r="AV100" s="22" t="str">
        <f>'Die Map'!AV100</f>
        <v>EF052</v>
      </c>
      <c r="AW100" s="22" t="str">
        <f>'Die Map'!AW100</f>
        <v>EF053</v>
      </c>
      <c r="AX100" s="22" t="str">
        <f>'Die Map'!AX100</f>
        <v>EF054</v>
      </c>
      <c r="AY100" s="23" t="str">
        <f>'Die Map'!AY100</f>
        <v>EF055</v>
      </c>
      <c r="AZ100" s="21" t="str">
        <f>'Die Map'!AZ100</f>
        <v>EF056</v>
      </c>
      <c r="BA100" s="22" t="str">
        <f>'Die Map'!BA100</f>
        <v>EF057</v>
      </c>
      <c r="BB100" s="22" t="str">
        <f>'Die Map'!BB100</f>
        <v>EF058</v>
      </c>
      <c r="BC100" s="22" t="str">
        <f>'Die Map'!BC100</f>
        <v>EF059</v>
      </c>
      <c r="BD100" s="23" t="str">
        <f>'Die Map'!BD100</f>
        <v>EF061</v>
      </c>
      <c r="BE100" s="21" t="str">
        <f>'Die Map'!BE100</f>
        <v>EF062</v>
      </c>
      <c r="BF100" s="22" t="str">
        <f>'Die Map'!BF100</f>
        <v>EF063</v>
      </c>
      <c r="BG100" s="22" t="str">
        <f>'Die Map'!BG100</f>
        <v>EF064</v>
      </c>
      <c r="BH100" s="22" t="str">
        <f>'Die Map'!BH100</f>
        <v>EF065</v>
      </c>
      <c r="BI100" s="23" t="str">
        <f>'Die Map'!BI100</f>
        <v>EF066</v>
      </c>
      <c r="BJ100" s="21" t="str">
        <f>'Die Map'!BJ100</f>
        <v>EF067</v>
      </c>
      <c r="BK100" s="22" t="str">
        <f>'Die Map'!BK100</f>
        <v>EF068</v>
      </c>
      <c r="BL100" s="22" t="str">
        <f>'Die Map'!BL100</f>
        <v>EF069</v>
      </c>
      <c r="BM100" s="22" t="str">
        <f>'Die Map'!BM100</f>
        <v>EF071</v>
      </c>
      <c r="BN100" s="23" t="str">
        <f>'Die Map'!BN100</f>
        <v>EF072</v>
      </c>
      <c r="BO100" s="21" t="str">
        <f>'Die Map'!BO100</f>
        <v>EF073</v>
      </c>
      <c r="BP100" s="22" t="str">
        <f>'Die Map'!BP100</f>
        <v>EF074</v>
      </c>
      <c r="BQ100" s="22" t="str">
        <f>'Die Map'!BQ100</f>
        <v>EF075</v>
      </c>
      <c r="BR100" s="22" t="str">
        <f>'Die Map'!BR100</f>
        <v>EF076</v>
      </c>
      <c r="BS100" s="23" t="str">
        <f>'Die Map'!BS100</f>
        <v>EF077</v>
      </c>
      <c r="BT100" s="21" t="str">
        <f>'Die Map'!BT100</f>
        <v>EF078</v>
      </c>
      <c r="BU100" s="22" t="str">
        <f>'Die Map'!BU100</f>
        <v>EF079</v>
      </c>
      <c r="BV100" s="22" t="str">
        <f>'Die Map'!BV100</f>
        <v>EF081</v>
      </c>
      <c r="BW100" s="22" t="str">
        <f>'Die Map'!BW100</f>
        <v>EF082</v>
      </c>
      <c r="BX100" s="23" t="str">
        <f>'Die Map'!BX100</f>
        <v>EF083</v>
      </c>
      <c r="BY100" s="21" t="str">
        <f>'Die Map'!BY100</f>
        <v/>
      </c>
      <c r="BZ100" s="22" t="str">
        <f>'Die Map'!BZ100</f>
        <v/>
      </c>
      <c r="CA100" s="22" t="str">
        <f>'Die Map'!CA100</f>
        <v/>
      </c>
      <c r="CB100" s="22" t="str">
        <f>'Die Map'!CB100</f>
        <v/>
      </c>
      <c r="CC100" s="23" t="str">
        <f>'Die Map'!CC100</f>
        <v/>
      </c>
      <c r="CD100" s="21" t="str">
        <f>'Die Map'!CD100</f>
        <v/>
      </c>
      <c r="CE100" s="22" t="str">
        <f>'Die Map'!CE100</f>
        <v/>
      </c>
      <c r="CF100" s="22" t="str">
        <f>'Die Map'!CF100</f>
        <v/>
      </c>
      <c r="CG100" s="22" t="str">
        <f>'Die Map'!CG100</f>
        <v/>
      </c>
      <c r="CH100" s="23" t="str">
        <f>'Die Map'!CH100</f>
        <v/>
      </c>
      <c r="CI100" s="21" t="str">
        <f>'Die Map'!CI100</f>
        <v/>
      </c>
      <c r="CJ100" s="22" t="str">
        <f>'Die Map'!CJ100</f>
        <v/>
      </c>
      <c r="CK100" s="22" t="str">
        <f>'Die Map'!CK100</f>
        <v/>
      </c>
      <c r="CL100" s="22" t="str">
        <f>'Die Map'!CL100</f>
        <v/>
      </c>
      <c r="CM100" s="23" t="str">
        <f>'Die Map'!CM100</f>
        <v/>
      </c>
      <c r="CN100" s="21" t="str">
        <f>'Die Map'!CN100</f>
        <v/>
      </c>
      <c r="CO100" s="22" t="str">
        <f>'Die Map'!CO100</f>
        <v/>
      </c>
      <c r="CP100" s="22" t="str">
        <f>'Die Map'!CP100</f>
        <v/>
      </c>
      <c r="CQ100" s="22" t="str">
        <f>'Die Map'!CQ100</f>
        <v/>
      </c>
      <c r="CR100" s="23" t="str">
        <f>'Die Map'!CR100</f>
        <v/>
      </c>
      <c r="CS100" s="21" t="str">
        <f>'Die Map'!CS100</f>
        <v/>
      </c>
      <c r="CT100" s="22" t="str">
        <f>'Die Map'!CT100</f>
        <v/>
      </c>
      <c r="CU100" s="22" t="str">
        <f>'Die Map'!CU100</f>
        <v/>
      </c>
      <c r="CV100" s="22" t="str">
        <f>'Die Map'!CV100</f>
        <v/>
      </c>
      <c r="CW100" s="23" t="str">
        <f>'Die Map'!CW100</f>
        <v/>
      </c>
      <c r="CX100" s="21" t="str">
        <f>'Die Map'!CX100</f>
        <v/>
      </c>
      <c r="CY100" s="22" t="str">
        <f>'Die Map'!CY100</f>
        <v/>
      </c>
      <c r="CZ100" s="22" t="str">
        <f>'Die Map'!CZ100</f>
        <v/>
      </c>
      <c r="DA100" s="22" t="str">
        <f>'Die Map'!DA100</f>
        <v/>
      </c>
      <c r="DB100" s="23" t="str">
        <f>'Die Map'!DB100</f>
        <v/>
      </c>
    </row>
    <row r="101" spans="1:106" ht="12.75" customHeight="1" x14ac:dyDescent="0.25">
      <c r="A101" s="17">
        <v>99</v>
      </c>
      <c r="B101" s="21" t="str">
        <f>'Die Map'!B101</f>
        <v/>
      </c>
      <c r="C101" s="22" t="str">
        <f>'Die Map'!C101</f>
        <v/>
      </c>
      <c r="D101" s="22" t="str">
        <f>'Die Map'!D101</f>
        <v/>
      </c>
      <c r="E101" s="22" t="str">
        <f>'Die Map'!E101</f>
        <v/>
      </c>
      <c r="F101" s="23" t="str">
        <f>'Die Map'!F101</f>
        <v/>
      </c>
      <c r="G101" s="21" t="str">
        <f>'Die Map'!G101</f>
        <v/>
      </c>
      <c r="H101" s="22" t="str">
        <f>'Die Map'!H101</f>
        <v/>
      </c>
      <c r="I101" s="22" t="str">
        <f>'Die Map'!I101</f>
        <v/>
      </c>
      <c r="J101" s="22" t="str">
        <f>'Die Map'!J101</f>
        <v/>
      </c>
      <c r="K101" s="23" t="str">
        <f>'Die Map'!K101</f>
        <v/>
      </c>
      <c r="L101" s="21" t="str">
        <f>'Die Map'!L101</f>
        <v/>
      </c>
      <c r="M101" s="22" t="str">
        <f>'Die Map'!M101</f>
        <v/>
      </c>
      <c r="N101" s="22" t="str">
        <f>'Die Map'!N101</f>
        <v/>
      </c>
      <c r="O101" s="22" t="str">
        <f>'Die Map'!O101</f>
        <v/>
      </c>
      <c r="P101" s="23" t="str">
        <f>'Die Map'!P101</f>
        <v/>
      </c>
      <c r="Q101" s="21" t="str">
        <f>'Die Map'!Q101</f>
        <v/>
      </c>
      <c r="R101" s="22" t="str">
        <f>'Die Map'!R101</f>
        <v/>
      </c>
      <c r="S101" s="22" t="str">
        <f>'Die Map'!S101</f>
        <v/>
      </c>
      <c r="T101" s="22" t="str">
        <f>'Die Map'!T101</f>
        <v/>
      </c>
      <c r="U101" s="23" t="str">
        <f>'Die Map'!U101</f>
        <v/>
      </c>
      <c r="V101" s="21" t="str">
        <f>'Die Map'!V101</f>
        <v/>
      </c>
      <c r="W101" s="22" t="str">
        <f>'Die Map'!W101</f>
        <v/>
      </c>
      <c r="X101" s="22" t="str">
        <f>'Die Map'!X101</f>
        <v/>
      </c>
      <c r="Y101" s="22" t="str">
        <f>'Die Map'!Y101</f>
        <v/>
      </c>
      <c r="Z101" s="23" t="str">
        <f>'Die Map'!Z101</f>
        <v/>
      </c>
      <c r="AA101" s="21" t="str">
        <f>'Die Map'!AA101</f>
        <v/>
      </c>
      <c r="AB101" s="22" t="str">
        <f>'Die Map'!AB101</f>
        <v/>
      </c>
      <c r="AC101" s="22" t="str">
        <f>'Die Map'!AC101</f>
        <v/>
      </c>
      <c r="AD101" s="22" t="str">
        <f>'Die Map'!AD101</f>
        <v/>
      </c>
      <c r="AE101" s="23" t="str">
        <f>'Die Map'!AE101</f>
        <v/>
      </c>
      <c r="AF101" s="21" t="str">
        <f>'Die Map'!AF101</f>
        <v>EG034</v>
      </c>
      <c r="AG101" s="22" t="str">
        <f>'Die Map'!AG101</f>
        <v>EG035</v>
      </c>
      <c r="AH101" s="22" t="str">
        <f>'Die Map'!AH101</f>
        <v>EG036</v>
      </c>
      <c r="AI101" s="22" t="str">
        <f>'Die Map'!AI101</f>
        <v>EG037</v>
      </c>
      <c r="AJ101" s="23" t="str">
        <f>'Die Map'!AJ101</f>
        <v>EG038</v>
      </c>
      <c r="AK101" s="21" t="str">
        <f>'Die Map'!AK101</f>
        <v>EG039</v>
      </c>
      <c r="AL101" s="22" t="str">
        <f>'Die Map'!AL101</f>
        <v>EG041</v>
      </c>
      <c r="AM101" s="22" t="str">
        <f>'Die Map'!AM101</f>
        <v>EG042</v>
      </c>
      <c r="AN101" s="22" t="str">
        <f>'Die Map'!AN101</f>
        <v>EG043</v>
      </c>
      <c r="AO101" s="23" t="str">
        <f>'Die Map'!AO101</f>
        <v>EG044</v>
      </c>
      <c r="AP101" s="21" t="str">
        <f>'Die Map'!AP101</f>
        <v>EG045</v>
      </c>
      <c r="AQ101" s="22" t="str">
        <f>'Die Map'!AQ101</f>
        <v>EG046</v>
      </c>
      <c r="AR101" s="22" t="str">
        <f>'Die Map'!AR101</f>
        <v>EG047</v>
      </c>
      <c r="AS101" s="22" t="str">
        <f>'Die Map'!AS101</f>
        <v>EG048</v>
      </c>
      <c r="AT101" s="23" t="str">
        <f>'Die Map'!AT101</f>
        <v>EG049</v>
      </c>
      <c r="AU101" s="21" t="str">
        <f>'Die Map'!AU101</f>
        <v>EG051</v>
      </c>
      <c r="AV101" s="22" t="str">
        <f>'Die Map'!AV101</f>
        <v>EG052</v>
      </c>
      <c r="AW101" s="22" t="str">
        <f>'Die Map'!AW101</f>
        <v>EG053</v>
      </c>
      <c r="AX101" s="22" t="str">
        <f>'Die Map'!AX101</f>
        <v>EG054</v>
      </c>
      <c r="AY101" s="23" t="str">
        <f>'Die Map'!AY101</f>
        <v>EG055</v>
      </c>
      <c r="AZ101" s="21" t="str">
        <f>'Die Map'!AZ101</f>
        <v>EG056</v>
      </c>
      <c r="BA101" s="22" t="str">
        <f>'Die Map'!BA101</f>
        <v>EG057</v>
      </c>
      <c r="BB101" s="22" t="str">
        <f>'Die Map'!BB101</f>
        <v>EG058</v>
      </c>
      <c r="BC101" s="22" t="str">
        <f>'Die Map'!BC101</f>
        <v>EG059</v>
      </c>
      <c r="BD101" s="23" t="str">
        <f>'Die Map'!BD101</f>
        <v>EG061</v>
      </c>
      <c r="BE101" s="21" t="str">
        <f>'Die Map'!BE101</f>
        <v>EG062</v>
      </c>
      <c r="BF101" s="22" t="str">
        <f>'Die Map'!BF101</f>
        <v>EG063</v>
      </c>
      <c r="BG101" s="22" t="str">
        <f>'Die Map'!BG101</f>
        <v>EG064</v>
      </c>
      <c r="BH101" s="22" t="str">
        <f>'Die Map'!BH101</f>
        <v>EG065</v>
      </c>
      <c r="BI101" s="23" t="str">
        <f>'Die Map'!BI101</f>
        <v>EG066</v>
      </c>
      <c r="BJ101" s="21" t="str">
        <f>'Die Map'!BJ101</f>
        <v>EG067</v>
      </c>
      <c r="BK101" s="22" t="str">
        <f>'Die Map'!BK101</f>
        <v>EG068</v>
      </c>
      <c r="BL101" s="22" t="str">
        <f>'Die Map'!BL101</f>
        <v>EG069</v>
      </c>
      <c r="BM101" s="22" t="str">
        <f>'Die Map'!BM101</f>
        <v>EG071</v>
      </c>
      <c r="BN101" s="23" t="str">
        <f>'Die Map'!BN101</f>
        <v>EG072</v>
      </c>
      <c r="BO101" s="21" t="str">
        <f>'Die Map'!BO101</f>
        <v>EG073</v>
      </c>
      <c r="BP101" s="22" t="str">
        <f>'Die Map'!BP101</f>
        <v>EG074</v>
      </c>
      <c r="BQ101" s="22" t="str">
        <f>'Die Map'!BQ101</f>
        <v>EG075</v>
      </c>
      <c r="BR101" s="22" t="str">
        <f>'Die Map'!BR101</f>
        <v>EG076</v>
      </c>
      <c r="BS101" s="23" t="str">
        <f>'Die Map'!BS101</f>
        <v>EG077</v>
      </c>
      <c r="BT101" s="21" t="str">
        <f>'Die Map'!BT101</f>
        <v>EG078</v>
      </c>
      <c r="BU101" s="22" t="str">
        <f>'Die Map'!BU101</f>
        <v>EG079</v>
      </c>
      <c r="BV101" s="22" t="str">
        <f>'Die Map'!BV101</f>
        <v>EG081</v>
      </c>
      <c r="BW101" s="22" t="str">
        <f>'Die Map'!BW101</f>
        <v>EG082</v>
      </c>
      <c r="BX101" s="23" t="str">
        <f>'Die Map'!BX101</f>
        <v>EG083</v>
      </c>
      <c r="BY101" s="21" t="str">
        <f>'Die Map'!BY101</f>
        <v/>
      </c>
      <c r="BZ101" s="22" t="str">
        <f>'Die Map'!BZ101</f>
        <v/>
      </c>
      <c r="CA101" s="22" t="str">
        <f>'Die Map'!CA101</f>
        <v/>
      </c>
      <c r="CB101" s="22" t="str">
        <f>'Die Map'!CB101</f>
        <v/>
      </c>
      <c r="CC101" s="23" t="str">
        <f>'Die Map'!CC101</f>
        <v/>
      </c>
      <c r="CD101" s="21" t="str">
        <f>'Die Map'!CD101</f>
        <v/>
      </c>
      <c r="CE101" s="22" t="str">
        <f>'Die Map'!CE101</f>
        <v/>
      </c>
      <c r="CF101" s="22" t="str">
        <f>'Die Map'!CF101</f>
        <v/>
      </c>
      <c r="CG101" s="22" t="str">
        <f>'Die Map'!CG101</f>
        <v/>
      </c>
      <c r="CH101" s="23" t="str">
        <f>'Die Map'!CH101</f>
        <v/>
      </c>
      <c r="CI101" s="21" t="str">
        <f>'Die Map'!CI101</f>
        <v/>
      </c>
      <c r="CJ101" s="22" t="str">
        <f>'Die Map'!CJ101</f>
        <v/>
      </c>
      <c r="CK101" s="22" t="str">
        <f>'Die Map'!CK101</f>
        <v/>
      </c>
      <c r="CL101" s="22" t="str">
        <f>'Die Map'!CL101</f>
        <v/>
      </c>
      <c r="CM101" s="23" t="str">
        <f>'Die Map'!CM101</f>
        <v/>
      </c>
      <c r="CN101" s="21" t="str">
        <f>'Die Map'!CN101</f>
        <v/>
      </c>
      <c r="CO101" s="22" t="str">
        <f>'Die Map'!CO101</f>
        <v/>
      </c>
      <c r="CP101" s="22" t="str">
        <f>'Die Map'!CP101</f>
        <v/>
      </c>
      <c r="CQ101" s="22" t="str">
        <f>'Die Map'!CQ101</f>
        <v/>
      </c>
      <c r="CR101" s="23" t="str">
        <f>'Die Map'!CR101</f>
        <v/>
      </c>
      <c r="CS101" s="21" t="str">
        <f>'Die Map'!CS101</f>
        <v/>
      </c>
      <c r="CT101" s="22" t="str">
        <f>'Die Map'!CT101</f>
        <v/>
      </c>
      <c r="CU101" s="22" t="str">
        <f>'Die Map'!CU101</f>
        <v/>
      </c>
      <c r="CV101" s="22" t="str">
        <f>'Die Map'!CV101</f>
        <v/>
      </c>
      <c r="CW101" s="23" t="str">
        <f>'Die Map'!CW101</f>
        <v/>
      </c>
      <c r="CX101" s="21" t="str">
        <f>'Die Map'!CX101</f>
        <v/>
      </c>
      <c r="CY101" s="22" t="str">
        <f>'Die Map'!CY101</f>
        <v/>
      </c>
      <c r="CZ101" s="22" t="str">
        <f>'Die Map'!CZ101</f>
        <v/>
      </c>
      <c r="DA101" s="22" t="str">
        <f>'Die Map'!DA101</f>
        <v/>
      </c>
      <c r="DB101" s="23" t="str">
        <f>'Die Map'!DB101</f>
        <v/>
      </c>
    </row>
    <row r="102" spans="1:106" ht="12.75" customHeight="1" x14ac:dyDescent="0.25">
      <c r="A102" s="17">
        <v>100</v>
      </c>
      <c r="B102" s="24" t="str">
        <f>'Die Map'!B102</f>
        <v/>
      </c>
      <c r="C102" s="25" t="str">
        <f>'Die Map'!C102</f>
        <v/>
      </c>
      <c r="D102" s="25" t="str">
        <f>'Die Map'!D102</f>
        <v/>
      </c>
      <c r="E102" s="25" t="str">
        <f>'Die Map'!E102</f>
        <v/>
      </c>
      <c r="F102" s="26" t="str">
        <f>'Die Map'!F102</f>
        <v/>
      </c>
      <c r="G102" s="24" t="str">
        <f>'Die Map'!G102</f>
        <v/>
      </c>
      <c r="H102" s="25" t="str">
        <f>'Die Map'!H102</f>
        <v/>
      </c>
      <c r="I102" s="25" t="str">
        <f>'Die Map'!I102</f>
        <v/>
      </c>
      <c r="J102" s="25" t="str">
        <f>'Die Map'!J102</f>
        <v/>
      </c>
      <c r="K102" s="26" t="str">
        <f>'Die Map'!K102</f>
        <v/>
      </c>
      <c r="L102" s="24" t="str">
        <f>'Die Map'!L102</f>
        <v/>
      </c>
      <c r="M102" s="25" t="str">
        <f>'Die Map'!M102</f>
        <v/>
      </c>
      <c r="N102" s="25" t="str">
        <f>'Die Map'!N102</f>
        <v/>
      </c>
      <c r="O102" s="25" t="str">
        <f>'Die Map'!O102</f>
        <v/>
      </c>
      <c r="P102" s="26" t="str">
        <f>'Die Map'!P102</f>
        <v/>
      </c>
      <c r="Q102" s="24" t="str">
        <f>'Die Map'!Q102</f>
        <v/>
      </c>
      <c r="R102" s="25" t="str">
        <f>'Die Map'!R102</f>
        <v/>
      </c>
      <c r="S102" s="25" t="str">
        <f>'Die Map'!S102</f>
        <v/>
      </c>
      <c r="T102" s="25" t="str">
        <f>'Die Map'!T102</f>
        <v/>
      </c>
      <c r="U102" s="26" t="str">
        <f>'Die Map'!U102</f>
        <v/>
      </c>
      <c r="V102" s="24" t="str">
        <f>'Die Map'!V102</f>
        <v/>
      </c>
      <c r="W102" s="25" t="str">
        <f>'Die Map'!W102</f>
        <v/>
      </c>
      <c r="X102" s="25" t="str">
        <f>'Die Map'!X102</f>
        <v/>
      </c>
      <c r="Y102" s="25" t="str">
        <f>'Die Map'!Y102</f>
        <v/>
      </c>
      <c r="Z102" s="26" t="str">
        <f>'Die Map'!Z102</f>
        <v/>
      </c>
      <c r="AA102" s="24" t="str">
        <f>'Die Map'!AA102</f>
        <v/>
      </c>
      <c r="AB102" s="25" t="str">
        <f>'Die Map'!AB102</f>
        <v/>
      </c>
      <c r="AC102" s="25" t="str">
        <f>'Die Map'!AC102</f>
        <v/>
      </c>
      <c r="AD102" s="25" t="str">
        <f>'Die Map'!AD102</f>
        <v/>
      </c>
      <c r="AE102" s="26" t="str">
        <f>'Die Map'!AE102</f>
        <v/>
      </c>
      <c r="AF102" s="24" t="str">
        <f>'Die Map'!AF102</f>
        <v>EH034</v>
      </c>
      <c r="AG102" s="25" t="str">
        <f>'Die Map'!AG102</f>
        <v>EH035</v>
      </c>
      <c r="AH102" s="25" t="str">
        <f>'Die Map'!AH102</f>
        <v>EH036</v>
      </c>
      <c r="AI102" s="25" t="str">
        <f>'Die Map'!AI102</f>
        <v>EH037</v>
      </c>
      <c r="AJ102" s="26" t="str">
        <f>'Die Map'!AJ102</f>
        <v>EH038</v>
      </c>
      <c r="AK102" s="24" t="str">
        <f>'Die Map'!AK102</f>
        <v>EH039</v>
      </c>
      <c r="AL102" s="25" t="str">
        <f>'Die Map'!AL102</f>
        <v>EH041</v>
      </c>
      <c r="AM102" s="25" t="str">
        <f>'Die Map'!AM102</f>
        <v>EH042</v>
      </c>
      <c r="AN102" s="25" t="str">
        <f>'Die Map'!AN102</f>
        <v>EH043</v>
      </c>
      <c r="AO102" s="26" t="str">
        <f>'Die Map'!AO102</f>
        <v>EH044</v>
      </c>
      <c r="AP102" s="24" t="str">
        <f>'Die Map'!AP102</f>
        <v>EH045</v>
      </c>
      <c r="AQ102" s="25" t="str">
        <f>'Die Map'!AQ102</f>
        <v>EH046</v>
      </c>
      <c r="AR102" s="25" t="str">
        <f>'Die Map'!AR102</f>
        <v>EH047</v>
      </c>
      <c r="AS102" s="25" t="str">
        <f>'Die Map'!AS102</f>
        <v>EH048</v>
      </c>
      <c r="AT102" s="26" t="str">
        <f>'Die Map'!AT102</f>
        <v>EH049</v>
      </c>
      <c r="AU102" s="24" t="str">
        <f>'Die Map'!AU102</f>
        <v>EH051</v>
      </c>
      <c r="AV102" s="25" t="str">
        <f>'Die Map'!AV102</f>
        <v>EH052</v>
      </c>
      <c r="AW102" s="25" t="str">
        <f>'Die Map'!AW102</f>
        <v>EH053</v>
      </c>
      <c r="AX102" s="25" t="str">
        <f>'Die Map'!AX102</f>
        <v>EH054</v>
      </c>
      <c r="AY102" s="26" t="str">
        <f>'Die Map'!AY102</f>
        <v>EH055</v>
      </c>
      <c r="AZ102" s="24" t="str">
        <f>'Die Map'!AZ102</f>
        <v>EH056</v>
      </c>
      <c r="BA102" s="25" t="str">
        <f>'Die Map'!BA102</f>
        <v>EH057</v>
      </c>
      <c r="BB102" s="25" t="str">
        <f>'Die Map'!BB102</f>
        <v>EH058</v>
      </c>
      <c r="BC102" s="25" t="str">
        <f>'Die Map'!BC102</f>
        <v>EH059</v>
      </c>
      <c r="BD102" s="26" t="str">
        <f>'Die Map'!BD102</f>
        <v>EH061</v>
      </c>
      <c r="BE102" s="24" t="str">
        <f>'Die Map'!BE102</f>
        <v>EH062</v>
      </c>
      <c r="BF102" s="25" t="str">
        <f>'Die Map'!BF102</f>
        <v>EH063</v>
      </c>
      <c r="BG102" s="25" t="str">
        <f>'Die Map'!BG102</f>
        <v>EH064</v>
      </c>
      <c r="BH102" s="25" t="str">
        <f>'Die Map'!BH102</f>
        <v>EH065</v>
      </c>
      <c r="BI102" s="26" t="str">
        <f>'Die Map'!BI102</f>
        <v>EH066</v>
      </c>
      <c r="BJ102" s="24" t="str">
        <f>'Die Map'!BJ102</f>
        <v>EH067</v>
      </c>
      <c r="BK102" s="25" t="str">
        <f>'Die Map'!BK102</f>
        <v>EH068</v>
      </c>
      <c r="BL102" s="25" t="str">
        <f>'Die Map'!BL102</f>
        <v>EH069</v>
      </c>
      <c r="BM102" s="25" t="str">
        <f>'Die Map'!BM102</f>
        <v>EH071</v>
      </c>
      <c r="BN102" s="26" t="str">
        <f>'Die Map'!BN102</f>
        <v>EH072</v>
      </c>
      <c r="BO102" s="24" t="str">
        <f>'Die Map'!BO102</f>
        <v>EH073</v>
      </c>
      <c r="BP102" s="25" t="str">
        <f>'Die Map'!BP102</f>
        <v>EH074</v>
      </c>
      <c r="BQ102" s="25" t="str">
        <f>'Die Map'!BQ102</f>
        <v>EH075</v>
      </c>
      <c r="BR102" s="25" t="str">
        <f>'Die Map'!BR102</f>
        <v>EH076</v>
      </c>
      <c r="BS102" s="26" t="str">
        <f>'Die Map'!BS102</f>
        <v>EH077</v>
      </c>
      <c r="BT102" s="24" t="str">
        <f>'Die Map'!BT102</f>
        <v>EH078</v>
      </c>
      <c r="BU102" s="25" t="str">
        <f>'Die Map'!BU102</f>
        <v>EH079</v>
      </c>
      <c r="BV102" s="25" t="str">
        <f>'Die Map'!BV102</f>
        <v>EH081</v>
      </c>
      <c r="BW102" s="25" t="str">
        <f>'Die Map'!BW102</f>
        <v>EH082</v>
      </c>
      <c r="BX102" s="26" t="str">
        <f>'Die Map'!BX102</f>
        <v>EH083</v>
      </c>
      <c r="BY102" s="24" t="str">
        <f>'Die Map'!BY102</f>
        <v/>
      </c>
      <c r="BZ102" s="25" t="str">
        <f>'Die Map'!BZ102</f>
        <v/>
      </c>
      <c r="CA102" s="25" t="str">
        <f>'Die Map'!CA102</f>
        <v/>
      </c>
      <c r="CB102" s="25" t="str">
        <f>'Die Map'!CB102</f>
        <v/>
      </c>
      <c r="CC102" s="26" t="str">
        <f>'Die Map'!CC102</f>
        <v/>
      </c>
      <c r="CD102" s="24" t="str">
        <f>'Die Map'!CD102</f>
        <v/>
      </c>
      <c r="CE102" s="25" t="str">
        <f>'Die Map'!CE102</f>
        <v/>
      </c>
      <c r="CF102" s="25" t="str">
        <f>'Die Map'!CF102</f>
        <v/>
      </c>
      <c r="CG102" s="25" t="str">
        <f>'Die Map'!CG102</f>
        <v/>
      </c>
      <c r="CH102" s="26" t="str">
        <f>'Die Map'!CH102</f>
        <v/>
      </c>
      <c r="CI102" s="24" t="str">
        <f>'Die Map'!CI102</f>
        <v/>
      </c>
      <c r="CJ102" s="25" t="str">
        <f>'Die Map'!CJ102</f>
        <v/>
      </c>
      <c r="CK102" s="25" t="str">
        <f>'Die Map'!CK102</f>
        <v/>
      </c>
      <c r="CL102" s="25" t="str">
        <f>'Die Map'!CL102</f>
        <v/>
      </c>
      <c r="CM102" s="26" t="str">
        <f>'Die Map'!CM102</f>
        <v/>
      </c>
      <c r="CN102" s="24" t="str">
        <f>'Die Map'!CN102</f>
        <v/>
      </c>
      <c r="CO102" s="25" t="str">
        <f>'Die Map'!CO102</f>
        <v/>
      </c>
      <c r="CP102" s="25" t="str">
        <f>'Die Map'!CP102</f>
        <v/>
      </c>
      <c r="CQ102" s="25" t="str">
        <f>'Die Map'!CQ102</f>
        <v/>
      </c>
      <c r="CR102" s="26" t="str">
        <f>'Die Map'!CR102</f>
        <v/>
      </c>
      <c r="CS102" s="24" t="str">
        <f>'Die Map'!CS102</f>
        <v/>
      </c>
      <c r="CT102" s="25" t="str">
        <f>'Die Map'!CT102</f>
        <v/>
      </c>
      <c r="CU102" s="25" t="str">
        <f>'Die Map'!CU102</f>
        <v/>
      </c>
      <c r="CV102" s="25" t="str">
        <f>'Die Map'!CV102</f>
        <v/>
      </c>
      <c r="CW102" s="26" t="str">
        <f>'Die Map'!CW102</f>
        <v/>
      </c>
      <c r="CX102" s="24" t="str">
        <f>'Die Map'!CX102</f>
        <v/>
      </c>
      <c r="CY102" s="25" t="str">
        <f>'Die Map'!CY102</f>
        <v/>
      </c>
      <c r="CZ102" s="25" t="str">
        <f>'Die Map'!CZ102</f>
        <v/>
      </c>
      <c r="DA102" s="25" t="str">
        <f>'Die Map'!DA102</f>
        <v/>
      </c>
      <c r="DB102" s="26" t="str">
        <f>'Die Map'!DB102</f>
        <v/>
      </c>
    </row>
    <row r="103" spans="1:106" ht="12.75" customHeight="1" x14ac:dyDescent="0.25">
      <c r="A103" s="17">
        <v>101</v>
      </c>
      <c r="B103" s="18" t="str">
        <f>'Die Map'!B103</f>
        <v/>
      </c>
      <c r="C103" s="19" t="str">
        <f>'Die Map'!C103</f>
        <v/>
      </c>
      <c r="D103" s="19" t="str">
        <f>'Die Map'!D103</f>
        <v/>
      </c>
      <c r="E103" s="19" t="str">
        <f>'Die Map'!E103</f>
        <v/>
      </c>
      <c r="F103" s="20" t="str">
        <f>'Die Map'!F103</f>
        <v/>
      </c>
      <c r="G103" s="18" t="str">
        <f>'Die Map'!G103</f>
        <v/>
      </c>
      <c r="H103" s="19" t="str">
        <f>'Die Map'!H103</f>
        <v/>
      </c>
      <c r="I103" s="19" t="str">
        <f>'Die Map'!I103</f>
        <v/>
      </c>
      <c r="J103" s="19" t="str">
        <f>'Die Map'!J103</f>
        <v/>
      </c>
      <c r="K103" s="20" t="str">
        <f>'Die Map'!K103</f>
        <v/>
      </c>
      <c r="L103" s="18" t="str">
        <f>'Die Map'!L103</f>
        <v/>
      </c>
      <c r="M103" s="19" t="str">
        <f>'Die Map'!M103</f>
        <v/>
      </c>
      <c r="N103" s="19" t="str">
        <f>'Die Map'!N103</f>
        <v/>
      </c>
      <c r="O103" s="19" t="str">
        <f>'Die Map'!O103</f>
        <v/>
      </c>
      <c r="P103" s="20" t="str">
        <f>'Die Map'!P103</f>
        <v/>
      </c>
      <c r="Q103" s="18" t="str">
        <f>'Die Map'!Q103</f>
        <v/>
      </c>
      <c r="R103" s="19" t="str">
        <f>'Die Map'!R103</f>
        <v/>
      </c>
      <c r="S103" s="19" t="str">
        <f>'Die Map'!S103</f>
        <v/>
      </c>
      <c r="T103" s="19" t="str">
        <f>'Die Map'!T103</f>
        <v/>
      </c>
      <c r="U103" s="20" t="str">
        <f>'Die Map'!U103</f>
        <v/>
      </c>
      <c r="V103" s="18" t="str">
        <f>'Die Map'!V103</f>
        <v/>
      </c>
      <c r="W103" s="19" t="str">
        <f>'Die Map'!W103</f>
        <v/>
      </c>
      <c r="X103" s="19" t="str">
        <f>'Die Map'!X103</f>
        <v/>
      </c>
      <c r="Y103" s="19" t="str">
        <f>'Die Map'!Y103</f>
        <v/>
      </c>
      <c r="Z103" s="20" t="str">
        <f>'Die Map'!Z103</f>
        <v/>
      </c>
      <c r="AA103" s="18" t="str">
        <f>'Die Map'!AA103</f>
        <v/>
      </c>
      <c r="AB103" s="19" t="str">
        <f>'Die Map'!AB103</f>
        <v/>
      </c>
      <c r="AC103" s="19" t="str">
        <f>'Die Map'!AC103</f>
        <v/>
      </c>
      <c r="AD103" s="19" t="str">
        <f>'Die Map'!AD103</f>
        <v/>
      </c>
      <c r="AE103" s="20" t="str">
        <f>'Die Map'!AE103</f>
        <v/>
      </c>
      <c r="AF103" s="18" t="str">
        <f>'Die Map'!AF103</f>
        <v/>
      </c>
      <c r="AG103" s="19" t="str">
        <f>'Die Map'!AG103</f>
        <v/>
      </c>
      <c r="AH103" s="19" t="str">
        <f>'Die Map'!AH103</f>
        <v/>
      </c>
      <c r="AI103" s="19" t="str">
        <f>'Die Map'!AI103</f>
        <v/>
      </c>
      <c r="AJ103" s="20" t="str">
        <f>'Die Map'!AJ103</f>
        <v/>
      </c>
      <c r="AK103" s="18" t="str">
        <f>'Die Map'!AK103</f>
        <v/>
      </c>
      <c r="AL103" s="19" t="str">
        <f>'Die Map'!AL103</f>
        <v/>
      </c>
      <c r="AM103" s="19" t="str">
        <f>'Die Map'!AM103</f>
        <v/>
      </c>
      <c r="AN103" s="19" t="str">
        <f>'Die Map'!AN103</f>
        <v/>
      </c>
      <c r="AO103" s="20" t="str">
        <f>'Die Map'!AO103</f>
        <v/>
      </c>
      <c r="AP103" s="18" t="str">
        <f>'Die Map'!AP103</f>
        <v/>
      </c>
      <c r="AQ103" s="19" t="str">
        <f>'Die Map'!AQ103</f>
        <v/>
      </c>
      <c r="AR103" s="19" t="str">
        <f>'Die Map'!AR103</f>
        <v/>
      </c>
      <c r="AS103" s="19" t="str">
        <f>'Die Map'!AS103</f>
        <v/>
      </c>
      <c r="AT103" s="20" t="str">
        <f>'Die Map'!AT103</f>
        <v/>
      </c>
      <c r="AU103" s="18" t="str">
        <f>'Die Map'!AU103</f>
        <v>EJ051</v>
      </c>
      <c r="AV103" s="19" t="str">
        <f>'Die Map'!AV103</f>
        <v>EJ052</v>
      </c>
      <c r="AW103" s="19" t="str">
        <f>'Die Map'!AW103</f>
        <v>EJ053</v>
      </c>
      <c r="AX103" s="19" t="str">
        <f>'Die Map'!AX103</f>
        <v>EJ054</v>
      </c>
      <c r="AY103" s="20" t="str">
        <f>'Die Map'!AY103</f>
        <v>EJ055</v>
      </c>
      <c r="AZ103" s="18" t="str">
        <f>'Die Map'!AZ103</f>
        <v>EJ056</v>
      </c>
      <c r="BA103" s="19" t="str">
        <f>'Die Map'!BA103</f>
        <v>EJ057</v>
      </c>
      <c r="BB103" s="19" t="str">
        <f>'Die Map'!BB103</f>
        <v>EJ058</v>
      </c>
      <c r="BC103" s="19" t="str">
        <f>'Die Map'!BC103</f>
        <v>EJ059</v>
      </c>
      <c r="BD103" s="20" t="str">
        <f>'Die Map'!BD103</f>
        <v>EJ061</v>
      </c>
      <c r="BE103" s="18" t="str">
        <f>'Die Map'!BE103</f>
        <v>EJ062</v>
      </c>
      <c r="BF103" s="19" t="str">
        <f>'Die Map'!BF103</f>
        <v>EJ063</v>
      </c>
      <c r="BG103" s="19" t="str">
        <f>'Die Map'!BG103</f>
        <v>EJ064</v>
      </c>
      <c r="BH103" s="19" t="str">
        <f>'Die Map'!BH103</f>
        <v>EJ065</v>
      </c>
      <c r="BI103" s="20" t="str">
        <f>'Die Map'!BI103</f>
        <v>EJ066</v>
      </c>
      <c r="BJ103" s="18" t="str">
        <f>'Die Map'!BJ103</f>
        <v/>
      </c>
      <c r="BK103" s="19" t="str">
        <f>'Die Map'!BK103</f>
        <v/>
      </c>
      <c r="BL103" s="19" t="str">
        <f>'Die Map'!BL103</f>
        <v/>
      </c>
      <c r="BM103" s="19" t="str">
        <f>'Die Map'!BM103</f>
        <v/>
      </c>
      <c r="BN103" s="20" t="str">
        <f>'Die Map'!BN103</f>
        <v/>
      </c>
      <c r="BO103" s="18" t="str">
        <f>'Die Map'!BO103</f>
        <v/>
      </c>
      <c r="BP103" s="19" t="str">
        <f>'Die Map'!BP103</f>
        <v/>
      </c>
      <c r="BQ103" s="19" t="str">
        <f>'Die Map'!BQ103</f>
        <v/>
      </c>
      <c r="BR103" s="19" t="str">
        <f>'Die Map'!BR103</f>
        <v/>
      </c>
      <c r="BS103" s="20" t="str">
        <f>'Die Map'!BS103</f>
        <v/>
      </c>
      <c r="BT103" s="18" t="str">
        <f>'Die Map'!BT103</f>
        <v/>
      </c>
      <c r="BU103" s="19" t="str">
        <f>'Die Map'!BU103</f>
        <v/>
      </c>
      <c r="BV103" s="19" t="str">
        <f>'Die Map'!BV103</f>
        <v/>
      </c>
      <c r="BW103" s="19" t="str">
        <f>'Die Map'!BW103</f>
        <v/>
      </c>
      <c r="BX103" s="20" t="str">
        <f>'Die Map'!BX103</f>
        <v/>
      </c>
      <c r="BY103" s="18" t="str">
        <f>'Die Map'!BY103</f>
        <v/>
      </c>
      <c r="BZ103" s="19" t="str">
        <f>'Die Map'!BZ103</f>
        <v/>
      </c>
      <c r="CA103" s="19" t="str">
        <f>'Die Map'!CA103</f>
        <v/>
      </c>
      <c r="CB103" s="19" t="str">
        <f>'Die Map'!CB103</f>
        <v/>
      </c>
      <c r="CC103" s="20" t="str">
        <f>'Die Map'!CC103</f>
        <v/>
      </c>
      <c r="CD103" s="18" t="str">
        <f>'Die Map'!CD103</f>
        <v/>
      </c>
      <c r="CE103" s="19" t="str">
        <f>'Die Map'!CE103</f>
        <v/>
      </c>
      <c r="CF103" s="19" t="str">
        <f>'Die Map'!CF103</f>
        <v/>
      </c>
      <c r="CG103" s="19" t="str">
        <f>'Die Map'!CG103</f>
        <v/>
      </c>
      <c r="CH103" s="20" t="str">
        <f>'Die Map'!CH103</f>
        <v/>
      </c>
      <c r="CI103" s="18" t="str">
        <f>'Die Map'!CI103</f>
        <v/>
      </c>
      <c r="CJ103" s="19" t="str">
        <f>'Die Map'!CJ103</f>
        <v/>
      </c>
      <c r="CK103" s="19" t="str">
        <f>'Die Map'!CK103</f>
        <v/>
      </c>
      <c r="CL103" s="19" t="str">
        <f>'Die Map'!CL103</f>
        <v/>
      </c>
      <c r="CM103" s="20" t="str">
        <f>'Die Map'!CM103</f>
        <v/>
      </c>
      <c r="CN103" s="18" t="str">
        <f>'Die Map'!CN103</f>
        <v/>
      </c>
      <c r="CO103" s="19" t="str">
        <f>'Die Map'!CO103</f>
        <v/>
      </c>
      <c r="CP103" s="19" t="str">
        <f>'Die Map'!CP103</f>
        <v/>
      </c>
      <c r="CQ103" s="19" t="str">
        <f>'Die Map'!CQ103</f>
        <v/>
      </c>
      <c r="CR103" s="20" t="str">
        <f>'Die Map'!CR103</f>
        <v/>
      </c>
      <c r="CS103" s="18" t="str">
        <f>'Die Map'!CS103</f>
        <v/>
      </c>
      <c r="CT103" s="19" t="str">
        <f>'Die Map'!CT103</f>
        <v/>
      </c>
      <c r="CU103" s="19" t="str">
        <f>'Die Map'!CU103</f>
        <v/>
      </c>
      <c r="CV103" s="19" t="str">
        <f>'Die Map'!CV103</f>
        <v/>
      </c>
      <c r="CW103" s="20" t="str">
        <f>'Die Map'!CW103</f>
        <v/>
      </c>
      <c r="CX103" s="18" t="str">
        <f>'Die Map'!CX103</f>
        <v/>
      </c>
      <c r="CY103" s="19" t="str">
        <f>'Die Map'!CY103</f>
        <v/>
      </c>
      <c r="CZ103" s="19" t="str">
        <f>'Die Map'!CZ103</f>
        <v/>
      </c>
      <c r="DA103" s="19" t="str">
        <f>'Die Map'!DA103</f>
        <v/>
      </c>
      <c r="DB103" s="20" t="str">
        <f>'Die Map'!DB103</f>
        <v/>
      </c>
    </row>
    <row r="104" spans="1:106" ht="12.75" customHeight="1" x14ac:dyDescent="0.25">
      <c r="A104" s="17">
        <v>102</v>
      </c>
      <c r="B104" s="21" t="str">
        <f>'Die Map'!B104</f>
        <v/>
      </c>
      <c r="C104" s="22" t="str">
        <f>'Die Map'!C104</f>
        <v/>
      </c>
      <c r="D104" s="22" t="str">
        <f>'Die Map'!D104</f>
        <v/>
      </c>
      <c r="E104" s="22" t="str">
        <f>'Die Map'!E104</f>
        <v/>
      </c>
      <c r="F104" s="23" t="str">
        <f>'Die Map'!F104</f>
        <v/>
      </c>
      <c r="G104" s="21" t="str">
        <f>'Die Map'!G104</f>
        <v/>
      </c>
      <c r="H104" s="22" t="str">
        <f>'Die Map'!H104</f>
        <v/>
      </c>
      <c r="I104" s="22" t="str">
        <f>'Die Map'!I104</f>
        <v/>
      </c>
      <c r="J104" s="22" t="str">
        <f>'Die Map'!J104</f>
        <v/>
      </c>
      <c r="K104" s="23" t="str">
        <f>'Die Map'!K104</f>
        <v/>
      </c>
      <c r="L104" s="21" t="str">
        <f>'Die Map'!L104</f>
        <v/>
      </c>
      <c r="M104" s="22" t="str">
        <f>'Die Map'!M104</f>
        <v/>
      </c>
      <c r="N104" s="22" t="str">
        <f>'Die Map'!N104</f>
        <v/>
      </c>
      <c r="O104" s="22" t="str">
        <f>'Die Map'!O104</f>
        <v/>
      </c>
      <c r="P104" s="23" t="str">
        <f>'Die Map'!P104</f>
        <v/>
      </c>
      <c r="Q104" s="21" t="str">
        <f>'Die Map'!Q104</f>
        <v/>
      </c>
      <c r="R104" s="22" t="str">
        <f>'Die Map'!R104</f>
        <v/>
      </c>
      <c r="S104" s="22" t="str">
        <f>'Die Map'!S104</f>
        <v/>
      </c>
      <c r="T104" s="22" t="str">
        <f>'Die Map'!T104</f>
        <v/>
      </c>
      <c r="U104" s="23" t="str">
        <f>'Die Map'!U104</f>
        <v/>
      </c>
      <c r="V104" s="21" t="str">
        <f>'Die Map'!V104</f>
        <v/>
      </c>
      <c r="W104" s="22" t="str">
        <f>'Die Map'!W104</f>
        <v/>
      </c>
      <c r="X104" s="22" t="str">
        <f>'Die Map'!X104</f>
        <v/>
      </c>
      <c r="Y104" s="22" t="str">
        <f>'Die Map'!Y104</f>
        <v/>
      </c>
      <c r="Z104" s="23" t="str">
        <f>'Die Map'!Z104</f>
        <v/>
      </c>
      <c r="AA104" s="21" t="str">
        <f>'Die Map'!AA104</f>
        <v/>
      </c>
      <c r="AB104" s="22" t="str">
        <f>'Die Map'!AB104</f>
        <v/>
      </c>
      <c r="AC104" s="22" t="str">
        <f>'Die Map'!AC104</f>
        <v/>
      </c>
      <c r="AD104" s="22" t="str">
        <f>'Die Map'!AD104</f>
        <v/>
      </c>
      <c r="AE104" s="23" t="str">
        <f>'Die Map'!AE104</f>
        <v/>
      </c>
      <c r="AF104" s="21" t="str">
        <f>'Die Map'!AF104</f>
        <v/>
      </c>
      <c r="AG104" s="22" t="str">
        <f>'Die Map'!AG104</f>
        <v/>
      </c>
      <c r="AH104" s="22" t="str">
        <f>'Die Map'!AH104</f>
        <v/>
      </c>
      <c r="AI104" s="22" t="str">
        <f>'Die Map'!AI104</f>
        <v/>
      </c>
      <c r="AJ104" s="23" t="str">
        <f>'Die Map'!AJ104</f>
        <v/>
      </c>
      <c r="AK104" s="21" t="str">
        <f>'Die Map'!AK104</f>
        <v/>
      </c>
      <c r="AL104" s="22" t="str">
        <f>'Die Map'!AL104</f>
        <v/>
      </c>
      <c r="AM104" s="22" t="str">
        <f>'Die Map'!AM104</f>
        <v/>
      </c>
      <c r="AN104" s="22" t="str">
        <f>'Die Map'!AN104</f>
        <v/>
      </c>
      <c r="AO104" s="23" t="str">
        <f>'Die Map'!AO104</f>
        <v/>
      </c>
      <c r="AP104" s="21" t="str">
        <f>'Die Map'!AP104</f>
        <v/>
      </c>
      <c r="AQ104" s="22" t="str">
        <f>'Die Map'!AQ104</f>
        <v/>
      </c>
      <c r="AR104" s="22" t="str">
        <f>'Die Map'!AR104</f>
        <v/>
      </c>
      <c r="AS104" s="22" t="str">
        <f>'Die Map'!AS104</f>
        <v/>
      </c>
      <c r="AT104" s="23" t="str">
        <f>'Die Map'!AT104</f>
        <v/>
      </c>
      <c r="AU104" s="21" t="str">
        <f>'Die Map'!AU104</f>
        <v>EK051</v>
      </c>
      <c r="AV104" s="22" t="str">
        <f>'Die Map'!AV104</f>
        <v>EK052</v>
      </c>
      <c r="AW104" s="22" t="str">
        <f>'Die Map'!AW104</f>
        <v>EK053</v>
      </c>
      <c r="AX104" s="22" t="str">
        <f>'Die Map'!AX104</f>
        <v>EK054</v>
      </c>
      <c r="AY104" s="23" t="str">
        <f>'Die Map'!AY104</f>
        <v>EK055</v>
      </c>
      <c r="AZ104" s="21" t="str">
        <f>'Die Map'!AZ104</f>
        <v>EK056</v>
      </c>
      <c r="BA104" s="22" t="str">
        <f>'Die Map'!BA104</f>
        <v>EK057</v>
      </c>
      <c r="BB104" s="22" t="str">
        <f>'Die Map'!BB104</f>
        <v>EK058</v>
      </c>
      <c r="BC104" s="22" t="str">
        <f>'Die Map'!BC104</f>
        <v>EK059</v>
      </c>
      <c r="BD104" s="23" t="str">
        <f>'Die Map'!BD104</f>
        <v>EK061</v>
      </c>
      <c r="BE104" s="21" t="str">
        <f>'Die Map'!BE104</f>
        <v>EK062</v>
      </c>
      <c r="BF104" s="22" t="str">
        <f>'Die Map'!BF104</f>
        <v>EK063</v>
      </c>
      <c r="BG104" s="22" t="str">
        <f>'Die Map'!BG104</f>
        <v>EK064</v>
      </c>
      <c r="BH104" s="22" t="str">
        <f>'Die Map'!BH104</f>
        <v>EK065</v>
      </c>
      <c r="BI104" s="23" t="str">
        <f>'Die Map'!BI104</f>
        <v>EK066</v>
      </c>
      <c r="BJ104" s="21" t="str">
        <f>'Die Map'!BJ104</f>
        <v/>
      </c>
      <c r="BK104" s="22" t="str">
        <f>'Die Map'!BK104</f>
        <v/>
      </c>
      <c r="BL104" s="22" t="str">
        <f>'Die Map'!BL104</f>
        <v/>
      </c>
      <c r="BM104" s="22" t="str">
        <f>'Die Map'!BM104</f>
        <v/>
      </c>
      <c r="BN104" s="23" t="str">
        <f>'Die Map'!BN104</f>
        <v/>
      </c>
      <c r="BO104" s="21" t="str">
        <f>'Die Map'!BO104</f>
        <v/>
      </c>
      <c r="BP104" s="22" t="str">
        <f>'Die Map'!BP104</f>
        <v/>
      </c>
      <c r="BQ104" s="22" t="str">
        <f>'Die Map'!BQ104</f>
        <v/>
      </c>
      <c r="BR104" s="22" t="str">
        <f>'Die Map'!BR104</f>
        <v/>
      </c>
      <c r="BS104" s="23" t="str">
        <f>'Die Map'!BS104</f>
        <v/>
      </c>
      <c r="BT104" s="21" t="str">
        <f>'Die Map'!BT104</f>
        <v/>
      </c>
      <c r="BU104" s="22" t="str">
        <f>'Die Map'!BU104</f>
        <v/>
      </c>
      <c r="BV104" s="22" t="str">
        <f>'Die Map'!BV104</f>
        <v/>
      </c>
      <c r="BW104" s="22" t="str">
        <f>'Die Map'!BW104</f>
        <v/>
      </c>
      <c r="BX104" s="23" t="str">
        <f>'Die Map'!BX104</f>
        <v/>
      </c>
      <c r="BY104" s="21" t="str">
        <f>'Die Map'!BY104</f>
        <v/>
      </c>
      <c r="BZ104" s="22" t="str">
        <f>'Die Map'!BZ104</f>
        <v/>
      </c>
      <c r="CA104" s="22" t="str">
        <f>'Die Map'!CA104</f>
        <v/>
      </c>
      <c r="CB104" s="22" t="str">
        <f>'Die Map'!CB104</f>
        <v/>
      </c>
      <c r="CC104" s="23" t="str">
        <f>'Die Map'!CC104</f>
        <v/>
      </c>
      <c r="CD104" s="21" t="str">
        <f>'Die Map'!CD104</f>
        <v/>
      </c>
      <c r="CE104" s="22" t="str">
        <f>'Die Map'!CE104</f>
        <v/>
      </c>
      <c r="CF104" s="22" t="str">
        <f>'Die Map'!CF104</f>
        <v/>
      </c>
      <c r="CG104" s="22" t="str">
        <f>'Die Map'!CG104</f>
        <v/>
      </c>
      <c r="CH104" s="23" t="str">
        <f>'Die Map'!CH104</f>
        <v/>
      </c>
      <c r="CI104" s="21" t="str">
        <f>'Die Map'!CI104</f>
        <v/>
      </c>
      <c r="CJ104" s="22" t="str">
        <f>'Die Map'!CJ104</f>
        <v/>
      </c>
      <c r="CK104" s="22" t="str">
        <f>'Die Map'!CK104</f>
        <v/>
      </c>
      <c r="CL104" s="22" t="str">
        <f>'Die Map'!CL104</f>
        <v/>
      </c>
      <c r="CM104" s="23" t="str">
        <f>'Die Map'!CM104</f>
        <v/>
      </c>
      <c r="CN104" s="21" t="str">
        <f>'Die Map'!CN104</f>
        <v/>
      </c>
      <c r="CO104" s="22" t="str">
        <f>'Die Map'!CO104</f>
        <v/>
      </c>
      <c r="CP104" s="22" t="str">
        <f>'Die Map'!CP104</f>
        <v/>
      </c>
      <c r="CQ104" s="22" t="str">
        <f>'Die Map'!CQ104</f>
        <v/>
      </c>
      <c r="CR104" s="23" t="str">
        <f>'Die Map'!CR104</f>
        <v/>
      </c>
      <c r="CS104" s="21" t="str">
        <f>'Die Map'!CS104</f>
        <v/>
      </c>
      <c r="CT104" s="22" t="str">
        <f>'Die Map'!CT104</f>
        <v/>
      </c>
      <c r="CU104" s="22" t="str">
        <f>'Die Map'!CU104</f>
        <v/>
      </c>
      <c r="CV104" s="22" t="str">
        <f>'Die Map'!CV104</f>
        <v/>
      </c>
      <c r="CW104" s="23" t="str">
        <f>'Die Map'!CW104</f>
        <v/>
      </c>
      <c r="CX104" s="21" t="str">
        <f>'Die Map'!CX104</f>
        <v/>
      </c>
      <c r="CY104" s="22" t="str">
        <f>'Die Map'!CY104</f>
        <v/>
      </c>
      <c r="CZ104" s="22" t="str">
        <f>'Die Map'!CZ104</f>
        <v/>
      </c>
      <c r="DA104" s="22" t="str">
        <f>'Die Map'!DA104</f>
        <v/>
      </c>
      <c r="DB104" s="23" t="str">
        <f>'Die Map'!DB104</f>
        <v/>
      </c>
    </row>
    <row r="105" spans="1:106" ht="12.75" customHeight="1" x14ac:dyDescent="0.25">
      <c r="A105" s="17">
        <v>103</v>
      </c>
      <c r="B105" s="21" t="str">
        <f>'Die Map'!B105</f>
        <v/>
      </c>
      <c r="C105" s="22" t="str">
        <f>'Die Map'!C105</f>
        <v/>
      </c>
      <c r="D105" s="22" t="str">
        <f>'Die Map'!D105</f>
        <v/>
      </c>
      <c r="E105" s="22" t="str">
        <f>'Die Map'!E105</f>
        <v/>
      </c>
      <c r="F105" s="23" t="str">
        <f>'Die Map'!F105</f>
        <v/>
      </c>
      <c r="G105" s="21" t="str">
        <f>'Die Map'!G105</f>
        <v/>
      </c>
      <c r="H105" s="22" t="str">
        <f>'Die Map'!H105</f>
        <v/>
      </c>
      <c r="I105" s="22" t="str">
        <f>'Die Map'!I105</f>
        <v/>
      </c>
      <c r="J105" s="22" t="str">
        <f>'Die Map'!J105</f>
        <v/>
      </c>
      <c r="K105" s="23" t="str">
        <f>'Die Map'!K105</f>
        <v/>
      </c>
      <c r="L105" s="21" t="str">
        <f>'Die Map'!L105</f>
        <v/>
      </c>
      <c r="M105" s="22" t="str">
        <f>'Die Map'!M105</f>
        <v/>
      </c>
      <c r="N105" s="22" t="str">
        <f>'Die Map'!N105</f>
        <v/>
      </c>
      <c r="O105" s="22" t="str">
        <f>'Die Map'!O105</f>
        <v/>
      </c>
      <c r="P105" s="23" t="str">
        <f>'Die Map'!P105</f>
        <v/>
      </c>
      <c r="Q105" s="21" t="str">
        <f>'Die Map'!Q105</f>
        <v/>
      </c>
      <c r="R105" s="22" t="str">
        <f>'Die Map'!R105</f>
        <v/>
      </c>
      <c r="S105" s="22" t="str">
        <f>'Die Map'!S105</f>
        <v/>
      </c>
      <c r="T105" s="22" t="str">
        <f>'Die Map'!T105</f>
        <v/>
      </c>
      <c r="U105" s="23" t="str">
        <f>'Die Map'!U105</f>
        <v/>
      </c>
      <c r="V105" s="21" t="str">
        <f>'Die Map'!V105</f>
        <v/>
      </c>
      <c r="W105" s="22" t="str">
        <f>'Die Map'!W105</f>
        <v/>
      </c>
      <c r="X105" s="22" t="str">
        <f>'Die Map'!X105</f>
        <v/>
      </c>
      <c r="Y105" s="22" t="str">
        <f>'Die Map'!Y105</f>
        <v/>
      </c>
      <c r="Z105" s="23" t="str">
        <f>'Die Map'!Z105</f>
        <v/>
      </c>
      <c r="AA105" s="21" t="str">
        <f>'Die Map'!AA105</f>
        <v/>
      </c>
      <c r="AB105" s="22" t="str">
        <f>'Die Map'!AB105</f>
        <v/>
      </c>
      <c r="AC105" s="22" t="str">
        <f>'Die Map'!AC105</f>
        <v/>
      </c>
      <c r="AD105" s="22" t="str">
        <f>'Die Map'!AD105</f>
        <v/>
      </c>
      <c r="AE105" s="23" t="str">
        <f>'Die Map'!AE105</f>
        <v/>
      </c>
      <c r="AF105" s="21" t="str">
        <f>'Die Map'!AF105</f>
        <v/>
      </c>
      <c r="AG105" s="22" t="str">
        <f>'Die Map'!AG105</f>
        <v/>
      </c>
      <c r="AH105" s="22" t="str">
        <f>'Die Map'!AH105</f>
        <v/>
      </c>
      <c r="AI105" s="22" t="str">
        <f>'Die Map'!AI105</f>
        <v/>
      </c>
      <c r="AJ105" s="23" t="str">
        <f>'Die Map'!AJ105</f>
        <v/>
      </c>
      <c r="AK105" s="21" t="str">
        <f>'Die Map'!AK105</f>
        <v/>
      </c>
      <c r="AL105" s="22" t="str">
        <f>'Die Map'!AL105</f>
        <v/>
      </c>
      <c r="AM105" s="22" t="str">
        <f>'Die Map'!AM105</f>
        <v/>
      </c>
      <c r="AN105" s="22" t="str">
        <f>'Die Map'!AN105</f>
        <v/>
      </c>
      <c r="AO105" s="23" t="str">
        <f>'Die Map'!AO105</f>
        <v/>
      </c>
      <c r="AP105" s="21" t="str">
        <f>'Die Map'!AP105</f>
        <v/>
      </c>
      <c r="AQ105" s="22" t="str">
        <f>'Die Map'!AQ105</f>
        <v/>
      </c>
      <c r="AR105" s="22" t="str">
        <f>'Die Map'!AR105</f>
        <v/>
      </c>
      <c r="AS105" s="22" t="str">
        <f>'Die Map'!AS105</f>
        <v/>
      </c>
      <c r="AT105" s="23" t="str">
        <f>'Die Map'!AT105</f>
        <v/>
      </c>
      <c r="AU105" s="21" t="str">
        <f>'Die Map'!AU105</f>
        <v>EL051</v>
      </c>
      <c r="AV105" s="22" t="str">
        <f>'Die Map'!AV105</f>
        <v>EL052</v>
      </c>
      <c r="AW105" s="22" t="str">
        <f>'Die Map'!AW105</f>
        <v>EL053</v>
      </c>
      <c r="AX105" s="22" t="str">
        <f>'Die Map'!AX105</f>
        <v>EL054</v>
      </c>
      <c r="AY105" s="23" t="str">
        <f>'Die Map'!AY105</f>
        <v>EL055</v>
      </c>
      <c r="AZ105" s="21" t="str">
        <f>'Die Map'!AZ105</f>
        <v>EL056</v>
      </c>
      <c r="BA105" s="22" t="str">
        <f>'Die Map'!BA105</f>
        <v>EL057</v>
      </c>
      <c r="BB105" s="22" t="str">
        <f>'Die Map'!BB105</f>
        <v>EL058</v>
      </c>
      <c r="BC105" s="22" t="str">
        <f>'Die Map'!BC105</f>
        <v>EL059</v>
      </c>
      <c r="BD105" s="23" t="str">
        <f>'Die Map'!BD105</f>
        <v>EL061</v>
      </c>
      <c r="BE105" s="21" t="str">
        <f>'Die Map'!BE105</f>
        <v>EL062</v>
      </c>
      <c r="BF105" s="22" t="str">
        <f>'Die Map'!BF105</f>
        <v>EL063</v>
      </c>
      <c r="BG105" s="22" t="str">
        <f>'Die Map'!BG105</f>
        <v>EL064</v>
      </c>
      <c r="BH105" s="22" t="str">
        <f>'Die Map'!BH105</f>
        <v>EL065</v>
      </c>
      <c r="BI105" s="23" t="str">
        <f>'Die Map'!BI105</f>
        <v>EL066</v>
      </c>
      <c r="BJ105" s="21" t="str">
        <f>'Die Map'!BJ105</f>
        <v/>
      </c>
      <c r="BK105" s="22" t="str">
        <f>'Die Map'!BK105</f>
        <v/>
      </c>
      <c r="BL105" s="22" t="str">
        <f>'Die Map'!BL105</f>
        <v/>
      </c>
      <c r="BM105" s="22" t="str">
        <f>'Die Map'!BM105</f>
        <v/>
      </c>
      <c r="BN105" s="23" t="str">
        <f>'Die Map'!BN105</f>
        <v/>
      </c>
      <c r="BO105" s="21" t="str">
        <f>'Die Map'!BO105</f>
        <v/>
      </c>
      <c r="BP105" s="22" t="str">
        <f>'Die Map'!BP105</f>
        <v/>
      </c>
      <c r="BQ105" s="22" t="str">
        <f>'Die Map'!BQ105</f>
        <v/>
      </c>
      <c r="BR105" s="22" t="str">
        <f>'Die Map'!BR105</f>
        <v/>
      </c>
      <c r="BS105" s="23" t="str">
        <f>'Die Map'!BS105</f>
        <v/>
      </c>
      <c r="BT105" s="21" t="str">
        <f>'Die Map'!BT105</f>
        <v/>
      </c>
      <c r="BU105" s="22" t="str">
        <f>'Die Map'!BU105</f>
        <v/>
      </c>
      <c r="BV105" s="22" t="str">
        <f>'Die Map'!BV105</f>
        <v/>
      </c>
      <c r="BW105" s="22" t="str">
        <f>'Die Map'!BW105</f>
        <v/>
      </c>
      <c r="BX105" s="23" t="str">
        <f>'Die Map'!BX105</f>
        <v/>
      </c>
      <c r="BY105" s="21" t="str">
        <f>'Die Map'!BY105</f>
        <v/>
      </c>
      <c r="BZ105" s="22" t="str">
        <f>'Die Map'!BZ105</f>
        <v/>
      </c>
      <c r="CA105" s="22" t="str">
        <f>'Die Map'!CA105</f>
        <v/>
      </c>
      <c r="CB105" s="22" t="str">
        <f>'Die Map'!CB105</f>
        <v/>
      </c>
      <c r="CC105" s="23" t="str">
        <f>'Die Map'!CC105</f>
        <v/>
      </c>
      <c r="CD105" s="21" t="str">
        <f>'Die Map'!CD105</f>
        <v/>
      </c>
      <c r="CE105" s="22" t="str">
        <f>'Die Map'!CE105</f>
        <v/>
      </c>
      <c r="CF105" s="22" t="str">
        <f>'Die Map'!CF105</f>
        <v/>
      </c>
      <c r="CG105" s="22" t="str">
        <f>'Die Map'!CG105</f>
        <v/>
      </c>
      <c r="CH105" s="23" t="str">
        <f>'Die Map'!CH105</f>
        <v/>
      </c>
      <c r="CI105" s="21" t="str">
        <f>'Die Map'!CI105</f>
        <v/>
      </c>
      <c r="CJ105" s="22" t="str">
        <f>'Die Map'!CJ105</f>
        <v/>
      </c>
      <c r="CK105" s="22" t="str">
        <f>'Die Map'!CK105</f>
        <v/>
      </c>
      <c r="CL105" s="22" t="str">
        <f>'Die Map'!CL105</f>
        <v/>
      </c>
      <c r="CM105" s="23" t="str">
        <f>'Die Map'!CM105</f>
        <v/>
      </c>
      <c r="CN105" s="21" t="str">
        <f>'Die Map'!CN105</f>
        <v/>
      </c>
      <c r="CO105" s="22" t="str">
        <f>'Die Map'!CO105</f>
        <v/>
      </c>
      <c r="CP105" s="22" t="str">
        <f>'Die Map'!CP105</f>
        <v/>
      </c>
      <c r="CQ105" s="22" t="str">
        <f>'Die Map'!CQ105</f>
        <v/>
      </c>
      <c r="CR105" s="23" t="str">
        <f>'Die Map'!CR105</f>
        <v/>
      </c>
      <c r="CS105" s="21" t="str">
        <f>'Die Map'!CS105</f>
        <v/>
      </c>
      <c r="CT105" s="22" t="str">
        <f>'Die Map'!CT105</f>
        <v/>
      </c>
      <c r="CU105" s="22" t="str">
        <f>'Die Map'!CU105</f>
        <v/>
      </c>
      <c r="CV105" s="22" t="str">
        <f>'Die Map'!CV105</f>
        <v/>
      </c>
      <c r="CW105" s="23" t="str">
        <f>'Die Map'!CW105</f>
        <v/>
      </c>
      <c r="CX105" s="21" t="str">
        <f>'Die Map'!CX105</f>
        <v/>
      </c>
      <c r="CY105" s="22" t="str">
        <f>'Die Map'!CY105</f>
        <v/>
      </c>
      <c r="CZ105" s="22" t="str">
        <f>'Die Map'!CZ105</f>
        <v/>
      </c>
      <c r="DA105" s="22" t="str">
        <f>'Die Map'!DA105</f>
        <v/>
      </c>
      <c r="DB105" s="23" t="str">
        <f>'Die Map'!DB105</f>
        <v/>
      </c>
    </row>
    <row r="106" spans="1:106" ht="12.75" customHeight="1" x14ac:dyDescent="0.25">
      <c r="A106" s="17">
        <v>104</v>
      </c>
      <c r="B106" s="21" t="str">
        <f>'Die Map'!B106</f>
        <v/>
      </c>
      <c r="C106" s="22" t="str">
        <f>'Die Map'!C106</f>
        <v/>
      </c>
      <c r="D106" s="22" t="str">
        <f>'Die Map'!D106</f>
        <v/>
      </c>
      <c r="E106" s="22" t="str">
        <f>'Die Map'!E106</f>
        <v/>
      </c>
      <c r="F106" s="23" t="str">
        <f>'Die Map'!F106</f>
        <v/>
      </c>
      <c r="G106" s="21" t="str">
        <f>'Die Map'!G106</f>
        <v/>
      </c>
      <c r="H106" s="22" t="str">
        <f>'Die Map'!H106</f>
        <v/>
      </c>
      <c r="I106" s="22" t="str">
        <f>'Die Map'!I106</f>
        <v/>
      </c>
      <c r="J106" s="22" t="str">
        <f>'Die Map'!J106</f>
        <v/>
      </c>
      <c r="K106" s="23" t="str">
        <f>'Die Map'!K106</f>
        <v/>
      </c>
      <c r="L106" s="21" t="str">
        <f>'Die Map'!L106</f>
        <v/>
      </c>
      <c r="M106" s="22" t="str">
        <f>'Die Map'!M106</f>
        <v/>
      </c>
      <c r="N106" s="22" t="str">
        <f>'Die Map'!N106</f>
        <v/>
      </c>
      <c r="O106" s="22" t="str">
        <f>'Die Map'!O106</f>
        <v/>
      </c>
      <c r="P106" s="23" t="str">
        <f>'Die Map'!P106</f>
        <v/>
      </c>
      <c r="Q106" s="21" t="str">
        <f>'Die Map'!Q106</f>
        <v/>
      </c>
      <c r="R106" s="22" t="str">
        <f>'Die Map'!R106</f>
        <v/>
      </c>
      <c r="S106" s="22" t="str">
        <f>'Die Map'!S106</f>
        <v/>
      </c>
      <c r="T106" s="22" t="str">
        <f>'Die Map'!T106</f>
        <v/>
      </c>
      <c r="U106" s="23" t="str">
        <f>'Die Map'!U106</f>
        <v/>
      </c>
      <c r="V106" s="21" t="str">
        <f>'Die Map'!V106</f>
        <v/>
      </c>
      <c r="W106" s="22" t="str">
        <f>'Die Map'!W106</f>
        <v/>
      </c>
      <c r="X106" s="22" t="str">
        <f>'Die Map'!X106</f>
        <v/>
      </c>
      <c r="Y106" s="22" t="str">
        <f>'Die Map'!Y106</f>
        <v/>
      </c>
      <c r="Z106" s="23" t="str">
        <f>'Die Map'!Z106</f>
        <v/>
      </c>
      <c r="AA106" s="21" t="str">
        <f>'Die Map'!AA106</f>
        <v/>
      </c>
      <c r="AB106" s="22" t="str">
        <f>'Die Map'!AB106</f>
        <v/>
      </c>
      <c r="AC106" s="22" t="str">
        <f>'Die Map'!AC106</f>
        <v/>
      </c>
      <c r="AD106" s="22" t="str">
        <f>'Die Map'!AD106</f>
        <v/>
      </c>
      <c r="AE106" s="23" t="str">
        <f>'Die Map'!AE106</f>
        <v/>
      </c>
      <c r="AF106" s="21" t="str">
        <f>'Die Map'!AF106</f>
        <v/>
      </c>
      <c r="AG106" s="22" t="str">
        <f>'Die Map'!AG106</f>
        <v/>
      </c>
      <c r="AH106" s="22" t="str">
        <f>'Die Map'!AH106</f>
        <v/>
      </c>
      <c r="AI106" s="22" t="str">
        <f>'Die Map'!AI106</f>
        <v/>
      </c>
      <c r="AJ106" s="23" t="str">
        <f>'Die Map'!AJ106</f>
        <v/>
      </c>
      <c r="AK106" s="21" t="str">
        <f>'Die Map'!AK106</f>
        <v/>
      </c>
      <c r="AL106" s="22" t="str">
        <f>'Die Map'!AL106</f>
        <v/>
      </c>
      <c r="AM106" s="22" t="str">
        <f>'Die Map'!AM106</f>
        <v/>
      </c>
      <c r="AN106" s="22" t="str">
        <f>'Die Map'!AN106</f>
        <v/>
      </c>
      <c r="AO106" s="23" t="str">
        <f>'Die Map'!AO106</f>
        <v/>
      </c>
      <c r="AP106" s="21" t="str">
        <f>'Die Map'!AP106</f>
        <v/>
      </c>
      <c r="AQ106" s="22" t="str">
        <f>'Die Map'!AQ106</f>
        <v/>
      </c>
      <c r="AR106" s="22" t="str">
        <f>'Die Map'!AR106</f>
        <v/>
      </c>
      <c r="AS106" s="22" t="str">
        <f>'Die Map'!AS106</f>
        <v/>
      </c>
      <c r="AT106" s="23" t="str">
        <f>'Die Map'!AT106</f>
        <v/>
      </c>
      <c r="AU106" s="21" t="str">
        <f>'Die Map'!AU106</f>
        <v>EM051</v>
      </c>
      <c r="AV106" s="22" t="str">
        <f>'Die Map'!AV106</f>
        <v>EM052</v>
      </c>
      <c r="AW106" s="22" t="str">
        <f>'Die Map'!AW106</f>
        <v>EM053</v>
      </c>
      <c r="AX106" s="22" t="str">
        <f>'Die Map'!AX106</f>
        <v>EM054</v>
      </c>
      <c r="AY106" s="23" t="str">
        <f>'Die Map'!AY106</f>
        <v>EM055</v>
      </c>
      <c r="AZ106" s="21" t="str">
        <f>'Die Map'!AZ106</f>
        <v>EM056</v>
      </c>
      <c r="BA106" s="22" t="str">
        <f>'Die Map'!BA106</f>
        <v>EM057</v>
      </c>
      <c r="BB106" s="22" t="str">
        <f>'Die Map'!BB106</f>
        <v>EM058</v>
      </c>
      <c r="BC106" s="22" t="str">
        <f>'Die Map'!BC106</f>
        <v>EM059</v>
      </c>
      <c r="BD106" s="23" t="str">
        <f>'Die Map'!BD106</f>
        <v>EM061</v>
      </c>
      <c r="BE106" s="21" t="str">
        <f>'Die Map'!BE106</f>
        <v>EM062</v>
      </c>
      <c r="BF106" s="22" t="str">
        <f>'Die Map'!BF106</f>
        <v>EM063</v>
      </c>
      <c r="BG106" s="22" t="str">
        <f>'Die Map'!BG106</f>
        <v>EM064</v>
      </c>
      <c r="BH106" s="22" t="str">
        <f>'Die Map'!BH106</f>
        <v>EM065</v>
      </c>
      <c r="BI106" s="23" t="str">
        <f>'Die Map'!BI106</f>
        <v>EM066</v>
      </c>
      <c r="BJ106" s="21" t="str">
        <f>'Die Map'!BJ106</f>
        <v/>
      </c>
      <c r="BK106" s="22" t="str">
        <f>'Die Map'!BK106</f>
        <v/>
      </c>
      <c r="BL106" s="22" t="str">
        <f>'Die Map'!BL106</f>
        <v/>
      </c>
      <c r="BM106" s="22" t="str">
        <f>'Die Map'!BM106</f>
        <v/>
      </c>
      <c r="BN106" s="23" t="str">
        <f>'Die Map'!BN106</f>
        <v/>
      </c>
      <c r="BO106" s="21" t="str">
        <f>'Die Map'!BO106</f>
        <v/>
      </c>
      <c r="BP106" s="22" t="str">
        <f>'Die Map'!BP106</f>
        <v/>
      </c>
      <c r="BQ106" s="22" t="str">
        <f>'Die Map'!BQ106</f>
        <v/>
      </c>
      <c r="BR106" s="22" t="str">
        <f>'Die Map'!BR106</f>
        <v/>
      </c>
      <c r="BS106" s="23" t="str">
        <f>'Die Map'!BS106</f>
        <v/>
      </c>
      <c r="BT106" s="21" t="str">
        <f>'Die Map'!BT106</f>
        <v/>
      </c>
      <c r="BU106" s="22" t="str">
        <f>'Die Map'!BU106</f>
        <v/>
      </c>
      <c r="BV106" s="22" t="str">
        <f>'Die Map'!BV106</f>
        <v/>
      </c>
      <c r="BW106" s="22" t="str">
        <f>'Die Map'!BW106</f>
        <v/>
      </c>
      <c r="BX106" s="23" t="str">
        <f>'Die Map'!BX106</f>
        <v/>
      </c>
      <c r="BY106" s="21" t="str">
        <f>'Die Map'!BY106</f>
        <v/>
      </c>
      <c r="BZ106" s="22" t="str">
        <f>'Die Map'!BZ106</f>
        <v/>
      </c>
      <c r="CA106" s="22" t="str">
        <f>'Die Map'!CA106</f>
        <v/>
      </c>
      <c r="CB106" s="22" t="str">
        <f>'Die Map'!CB106</f>
        <v/>
      </c>
      <c r="CC106" s="23" t="str">
        <f>'Die Map'!CC106</f>
        <v/>
      </c>
      <c r="CD106" s="21" t="str">
        <f>'Die Map'!CD106</f>
        <v/>
      </c>
      <c r="CE106" s="22" t="str">
        <f>'Die Map'!CE106</f>
        <v/>
      </c>
      <c r="CF106" s="22" t="str">
        <f>'Die Map'!CF106</f>
        <v/>
      </c>
      <c r="CG106" s="22" t="str">
        <f>'Die Map'!CG106</f>
        <v/>
      </c>
      <c r="CH106" s="23" t="str">
        <f>'Die Map'!CH106</f>
        <v/>
      </c>
      <c r="CI106" s="21" t="str">
        <f>'Die Map'!CI106</f>
        <v/>
      </c>
      <c r="CJ106" s="22" t="str">
        <f>'Die Map'!CJ106</f>
        <v/>
      </c>
      <c r="CK106" s="22" t="str">
        <f>'Die Map'!CK106</f>
        <v/>
      </c>
      <c r="CL106" s="22" t="str">
        <f>'Die Map'!CL106</f>
        <v/>
      </c>
      <c r="CM106" s="23" t="str">
        <f>'Die Map'!CM106</f>
        <v/>
      </c>
      <c r="CN106" s="21" t="str">
        <f>'Die Map'!CN106</f>
        <v/>
      </c>
      <c r="CO106" s="22" t="str">
        <f>'Die Map'!CO106</f>
        <v/>
      </c>
      <c r="CP106" s="22" t="str">
        <f>'Die Map'!CP106</f>
        <v/>
      </c>
      <c r="CQ106" s="22" t="str">
        <f>'Die Map'!CQ106</f>
        <v/>
      </c>
      <c r="CR106" s="23" t="str">
        <f>'Die Map'!CR106</f>
        <v/>
      </c>
      <c r="CS106" s="21" t="str">
        <f>'Die Map'!CS106</f>
        <v/>
      </c>
      <c r="CT106" s="22" t="str">
        <f>'Die Map'!CT106</f>
        <v/>
      </c>
      <c r="CU106" s="22" t="str">
        <f>'Die Map'!CU106</f>
        <v/>
      </c>
      <c r="CV106" s="22" t="str">
        <f>'Die Map'!CV106</f>
        <v/>
      </c>
      <c r="CW106" s="23" t="str">
        <f>'Die Map'!CW106</f>
        <v/>
      </c>
      <c r="CX106" s="21" t="str">
        <f>'Die Map'!CX106</f>
        <v/>
      </c>
      <c r="CY106" s="22" t="str">
        <f>'Die Map'!CY106</f>
        <v/>
      </c>
      <c r="CZ106" s="22" t="str">
        <f>'Die Map'!CZ106</f>
        <v/>
      </c>
      <c r="DA106" s="22" t="str">
        <f>'Die Map'!DA106</f>
        <v/>
      </c>
      <c r="DB106" s="23" t="str">
        <f>'Die Map'!DB106</f>
        <v/>
      </c>
    </row>
    <row r="107" spans="1:106" ht="12.75" customHeight="1" x14ac:dyDescent="0.25">
      <c r="A107" s="17">
        <v>105</v>
      </c>
      <c r="B107" s="24" t="str">
        <f>'Die Map'!B107</f>
        <v/>
      </c>
      <c r="C107" s="25" t="str">
        <f>'Die Map'!C107</f>
        <v/>
      </c>
      <c r="D107" s="25" t="str">
        <f>'Die Map'!D107</f>
        <v/>
      </c>
      <c r="E107" s="25" t="str">
        <f>'Die Map'!E107</f>
        <v/>
      </c>
      <c r="F107" s="26" t="str">
        <f>'Die Map'!F107</f>
        <v/>
      </c>
      <c r="G107" s="24" t="str">
        <f>'Die Map'!G107</f>
        <v/>
      </c>
      <c r="H107" s="25" t="str">
        <f>'Die Map'!H107</f>
        <v/>
      </c>
      <c r="I107" s="25" t="str">
        <f>'Die Map'!I107</f>
        <v/>
      </c>
      <c r="J107" s="25" t="str">
        <f>'Die Map'!J107</f>
        <v/>
      </c>
      <c r="K107" s="26" t="str">
        <f>'Die Map'!K107</f>
        <v/>
      </c>
      <c r="L107" s="24" t="str">
        <f>'Die Map'!L107</f>
        <v/>
      </c>
      <c r="M107" s="25" t="str">
        <f>'Die Map'!M107</f>
        <v/>
      </c>
      <c r="N107" s="25" t="str">
        <f>'Die Map'!N107</f>
        <v/>
      </c>
      <c r="O107" s="25" t="str">
        <f>'Die Map'!O107</f>
        <v/>
      </c>
      <c r="P107" s="26" t="str">
        <f>'Die Map'!P107</f>
        <v/>
      </c>
      <c r="Q107" s="24" t="str">
        <f>'Die Map'!Q107</f>
        <v/>
      </c>
      <c r="R107" s="25" t="str">
        <f>'Die Map'!R107</f>
        <v/>
      </c>
      <c r="S107" s="25" t="str">
        <f>'Die Map'!S107</f>
        <v/>
      </c>
      <c r="T107" s="25" t="str">
        <f>'Die Map'!T107</f>
        <v/>
      </c>
      <c r="U107" s="26" t="str">
        <f>'Die Map'!U107</f>
        <v/>
      </c>
      <c r="V107" s="24" t="str">
        <f>'Die Map'!V107</f>
        <v/>
      </c>
      <c r="W107" s="25" t="str">
        <f>'Die Map'!W107</f>
        <v/>
      </c>
      <c r="X107" s="25" t="str">
        <f>'Die Map'!X107</f>
        <v/>
      </c>
      <c r="Y107" s="25" t="str">
        <f>'Die Map'!Y107</f>
        <v/>
      </c>
      <c r="Z107" s="26" t="str">
        <f>'Die Map'!Z107</f>
        <v/>
      </c>
      <c r="AA107" s="24" t="str">
        <f>'Die Map'!AA107</f>
        <v/>
      </c>
      <c r="AB107" s="25" t="str">
        <f>'Die Map'!AB107</f>
        <v/>
      </c>
      <c r="AC107" s="25" t="str">
        <f>'Die Map'!AC107</f>
        <v/>
      </c>
      <c r="AD107" s="25" t="str">
        <f>'Die Map'!AD107</f>
        <v/>
      </c>
      <c r="AE107" s="26" t="str">
        <f>'Die Map'!AE107</f>
        <v/>
      </c>
      <c r="AF107" s="24" t="str">
        <f>'Die Map'!AF107</f>
        <v/>
      </c>
      <c r="AG107" s="25" t="str">
        <f>'Die Map'!AG107</f>
        <v/>
      </c>
      <c r="AH107" s="25" t="str">
        <f>'Die Map'!AH107</f>
        <v/>
      </c>
      <c r="AI107" s="25" t="str">
        <f>'Die Map'!AI107</f>
        <v/>
      </c>
      <c r="AJ107" s="26" t="str">
        <f>'Die Map'!AJ107</f>
        <v/>
      </c>
      <c r="AK107" s="24" t="str">
        <f>'Die Map'!AK107</f>
        <v/>
      </c>
      <c r="AL107" s="25" t="str">
        <f>'Die Map'!AL107</f>
        <v/>
      </c>
      <c r="AM107" s="25" t="str">
        <f>'Die Map'!AM107</f>
        <v/>
      </c>
      <c r="AN107" s="25" t="str">
        <f>'Die Map'!AN107</f>
        <v/>
      </c>
      <c r="AO107" s="26" t="str">
        <f>'Die Map'!AO107</f>
        <v/>
      </c>
      <c r="AP107" s="24" t="str">
        <f>'Die Map'!AP107</f>
        <v/>
      </c>
      <c r="AQ107" s="25" t="str">
        <f>'Die Map'!AQ107</f>
        <v/>
      </c>
      <c r="AR107" s="25" t="str">
        <f>'Die Map'!AR107</f>
        <v/>
      </c>
      <c r="AS107" s="25" t="str">
        <f>'Die Map'!AS107</f>
        <v/>
      </c>
      <c r="AT107" s="26" t="str">
        <f>'Die Map'!AT107</f>
        <v/>
      </c>
      <c r="AU107" s="24" t="str">
        <f>'Die Map'!AU107</f>
        <v>EN051</v>
      </c>
      <c r="AV107" s="25" t="str">
        <f>'Die Map'!AV107</f>
        <v>EN052</v>
      </c>
      <c r="AW107" s="25" t="str">
        <f>'Die Map'!AW107</f>
        <v>EN053</v>
      </c>
      <c r="AX107" s="25" t="str">
        <f>'Die Map'!AX107</f>
        <v>EN054</v>
      </c>
      <c r="AY107" s="26" t="str">
        <f>'Die Map'!AY107</f>
        <v>EN055</v>
      </c>
      <c r="AZ107" s="24" t="str">
        <f>'Die Map'!AZ107</f>
        <v>EN056</v>
      </c>
      <c r="BA107" s="25" t="str">
        <f>'Die Map'!BA107</f>
        <v>EN057</v>
      </c>
      <c r="BB107" s="25" t="str">
        <f>'Die Map'!BB107</f>
        <v>EN058</v>
      </c>
      <c r="BC107" s="25" t="str">
        <f>'Die Map'!BC107</f>
        <v>EN059</v>
      </c>
      <c r="BD107" s="26" t="str">
        <f>'Die Map'!BD107</f>
        <v>EN061</v>
      </c>
      <c r="BE107" s="24" t="str">
        <f>'Die Map'!BE107</f>
        <v>EN062</v>
      </c>
      <c r="BF107" s="25" t="str">
        <f>'Die Map'!BF107</f>
        <v>EN063</v>
      </c>
      <c r="BG107" s="25" t="str">
        <f>'Die Map'!BG107</f>
        <v>EN064</v>
      </c>
      <c r="BH107" s="25" t="str">
        <f>'Die Map'!BH107</f>
        <v>EN065</v>
      </c>
      <c r="BI107" s="26" t="str">
        <f>'Die Map'!BI107</f>
        <v>EN066</v>
      </c>
      <c r="BJ107" s="24" t="str">
        <f>'Die Map'!BJ107</f>
        <v/>
      </c>
      <c r="BK107" s="25" t="str">
        <f>'Die Map'!BK107</f>
        <v/>
      </c>
      <c r="BL107" s="25" t="str">
        <f>'Die Map'!BL107</f>
        <v/>
      </c>
      <c r="BM107" s="25" t="str">
        <f>'Die Map'!BM107</f>
        <v/>
      </c>
      <c r="BN107" s="26" t="str">
        <f>'Die Map'!BN107</f>
        <v/>
      </c>
      <c r="BO107" s="24" t="str">
        <f>'Die Map'!BO107</f>
        <v/>
      </c>
      <c r="BP107" s="25" t="str">
        <f>'Die Map'!BP107</f>
        <v/>
      </c>
      <c r="BQ107" s="25" t="str">
        <f>'Die Map'!BQ107</f>
        <v/>
      </c>
      <c r="BR107" s="25" t="str">
        <f>'Die Map'!BR107</f>
        <v/>
      </c>
      <c r="BS107" s="26" t="str">
        <f>'Die Map'!BS107</f>
        <v/>
      </c>
      <c r="BT107" s="24" t="str">
        <f>'Die Map'!BT107</f>
        <v/>
      </c>
      <c r="BU107" s="25" t="str">
        <f>'Die Map'!BU107</f>
        <v/>
      </c>
      <c r="BV107" s="25" t="str">
        <f>'Die Map'!BV107</f>
        <v/>
      </c>
      <c r="BW107" s="25" t="str">
        <f>'Die Map'!BW107</f>
        <v/>
      </c>
      <c r="BX107" s="26" t="str">
        <f>'Die Map'!BX107</f>
        <v/>
      </c>
      <c r="BY107" s="24" t="str">
        <f>'Die Map'!BY107</f>
        <v/>
      </c>
      <c r="BZ107" s="25" t="str">
        <f>'Die Map'!BZ107</f>
        <v/>
      </c>
      <c r="CA107" s="25" t="str">
        <f>'Die Map'!CA107</f>
        <v/>
      </c>
      <c r="CB107" s="25" t="str">
        <f>'Die Map'!CB107</f>
        <v/>
      </c>
      <c r="CC107" s="26" t="str">
        <f>'Die Map'!CC107</f>
        <v/>
      </c>
      <c r="CD107" s="24" t="str">
        <f>'Die Map'!CD107</f>
        <v/>
      </c>
      <c r="CE107" s="25" t="str">
        <f>'Die Map'!CE107</f>
        <v/>
      </c>
      <c r="CF107" s="25" t="str">
        <f>'Die Map'!CF107</f>
        <v/>
      </c>
      <c r="CG107" s="25" t="str">
        <f>'Die Map'!CG107</f>
        <v/>
      </c>
      <c r="CH107" s="26" t="str">
        <f>'Die Map'!CH107</f>
        <v/>
      </c>
      <c r="CI107" s="24" t="str">
        <f>'Die Map'!CI107</f>
        <v/>
      </c>
      <c r="CJ107" s="25" t="str">
        <f>'Die Map'!CJ107</f>
        <v/>
      </c>
      <c r="CK107" s="25" t="str">
        <f>'Die Map'!CK107</f>
        <v/>
      </c>
      <c r="CL107" s="25" t="str">
        <f>'Die Map'!CL107</f>
        <v/>
      </c>
      <c r="CM107" s="26" t="str">
        <f>'Die Map'!CM107</f>
        <v/>
      </c>
      <c r="CN107" s="24" t="str">
        <f>'Die Map'!CN107</f>
        <v/>
      </c>
      <c r="CO107" s="25" t="str">
        <f>'Die Map'!CO107</f>
        <v/>
      </c>
      <c r="CP107" s="25" t="str">
        <f>'Die Map'!CP107</f>
        <v/>
      </c>
      <c r="CQ107" s="25" t="str">
        <f>'Die Map'!CQ107</f>
        <v/>
      </c>
      <c r="CR107" s="26" t="str">
        <f>'Die Map'!CR107</f>
        <v/>
      </c>
      <c r="CS107" s="24" t="str">
        <f>'Die Map'!CS107</f>
        <v/>
      </c>
      <c r="CT107" s="25" t="str">
        <f>'Die Map'!CT107</f>
        <v/>
      </c>
      <c r="CU107" s="25" t="str">
        <f>'Die Map'!CU107</f>
        <v/>
      </c>
      <c r="CV107" s="25" t="str">
        <f>'Die Map'!CV107</f>
        <v/>
      </c>
      <c r="CW107" s="26" t="str">
        <f>'Die Map'!CW107</f>
        <v/>
      </c>
      <c r="CX107" s="24" t="str">
        <f>'Die Map'!CX107</f>
        <v/>
      </c>
      <c r="CY107" s="25" t="str">
        <f>'Die Map'!CY107</f>
        <v/>
      </c>
      <c r="CZ107" s="25" t="str">
        <f>'Die Map'!CZ107</f>
        <v/>
      </c>
      <c r="DA107" s="25" t="str">
        <f>'Die Map'!DA107</f>
        <v/>
      </c>
      <c r="DB107" s="26" t="str">
        <f>'Die Map'!DB107</f>
        <v/>
      </c>
    </row>
  </sheetData>
  <pageMargins left="0.75" right="0.75" top="1" bottom="1" header="0.511811023622047" footer="0.511811023622047"/>
  <pageSetup paperSize="9" orientation="portrait" horizontalDpi="300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000000-000E-0000-0600-000002000000}">
            <xm:f>AND(COUNTIFS('Reference Dies'!$D$12:$D$22,CEILING($A3/5,1),'Reference Dies'!$E$12:$E$22,CEILING(B$2/5,1))&gt;0,OR(($A3-(CEILING($A3/5,1)-1)*5)&lt;=2,AND(($A3-(CEILING($A3/5,1)-1)*5)=3,(B$2-(CEILING(B$2/5,1)-1)*5)=1),AND(($A3-(CEILING($A3/5,1)-1)*5)=4,(B$2-(CEILING(B$2/5,1)-1)*5)&lt;=2)))</xm:f>
            <x14:dxf>
              <font>
                <b/>
                <sz val="6"/>
                <color rgb="FFFFFFFF"/>
                <name val="Arial"/>
                <charset val="1"/>
              </font>
              <fill>
                <patternFill>
                  <bgColor rgb="FFC00000"/>
                </patternFill>
              </fill>
            </x14:dxf>
          </x14:cfRule>
          <x14:cfRule type="expression" priority="3" id="{00000000-000E-0000-0600-000003000000}">
            <xm:f>OR($A3=INDEX('Probe Plan'!$G:$G,(5-1+B$2)),$A3=INDEX('Probe Plan'!$I:$I,(5-1+B$2)),$A3=INDEX('Probe Plan'!$K:$K,(5-1+B$2)),$A3=INDEX('Probe Plan'!$M:$M,(5-1+B$2)),$A3=INDEX('Probe Plan'!$O:$O,(5-1+B$2)),$A3=INDEX('Probe Plan'!$Q:$Q,(5-1+B$2)))</xm:f>
            <x14:dxf>
              <font>
                <b/>
                <sz val="6"/>
                <color rgb="FFFFFFFF"/>
                <name val="Arial"/>
                <charset val="1"/>
              </font>
              <fill>
                <patternFill>
                  <bgColor rgb="FFFF7A00"/>
                </patternFill>
              </fill>
            </x14:dxf>
          </x14:cfRule>
          <x14:cfRule type="expression" priority="4" id="{00000000-000E-0000-0600-000004000000}">
            <xm:f>OR(AND($A3&gt;=INDEX('Probe Plan'!$G:$G,(5-1+B$2)),$A3&lt;=INDEX('Probe Plan'!$H:$H,(5-1+B$2))),AND($A3&gt;=INDEX('Probe Plan'!$K:$K,(5-1+B$2)),$A3&lt;=INDEX('Probe Plan'!$L:$L,(5-1+B$2))),AND($A3&gt;=INDEX('Probe Plan'!$O:$O,(5-1+B$2)),$A3&lt;=INDEX('Probe Plan'!$P:$P,(5-1+B$2))))</xm:f>
            <x14:dxf>
              <fill>
                <patternFill>
                  <bgColor rgb="FF9DC3E6"/>
                </patternFill>
              </fill>
            </x14:dxf>
          </x14:cfRule>
          <x14:cfRule type="expression" priority="5" id="{00000000-000E-0000-0600-000005000000}">
            <xm:f>OR(AND($A3&gt;=INDEX('Probe Plan'!$I:$I,(5-1+B$2)),$A3&lt;=INDEX('Probe Plan'!$J:$J,(5-1+B$2))),AND($A3&gt;=INDEX('Probe Plan'!$M:$M,(5-1+B$2)),$A3&lt;=INDEX('Probe Plan'!$N:$N,(5-1+B$2))),AND($A3&gt;=INDEX('Probe Plan'!$Q:$Q,(5-1+B$2)),$A3&lt;=INDEX('Probe Plan'!$R:$R,(5-1+B$2))))</xm:f>
            <x14:dxf>
              <fill>
                <patternFill>
                  <bgColor rgb="FFB4A7D6"/>
                </patternFill>
              </fill>
            </x14:dxf>
          </x14:cfRule>
          <x14:cfRule type="expression" priority="6" id="{00000000-000E-0000-0600-000006000000}">
            <xm:f>INDEX('Shot Map'!$B$6:$V$26,CEILING($A3/5,1),CEILING(B$2/5,1))=1</xm:f>
            <x14:dxf>
              <fill>
                <patternFill>
                  <bgColor rgb="FFA9D18E"/>
                </patternFill>
              </fill>
            </x14:dxf>
          </x14:cfRule>
          <x14:cfRule type="expression" priority="7" id="{00000000-000E-0000-0600-000007000000}">
            <xm:f>INDEX('Shot Map'!$B$6:$V$26,CEILING($A3/5,1),CEILING(B$2/5,1))=0</xm:f>
            <x14:dxf>
              <fill>
                <patternFill>
                  <bgColor rgb="FFD9D9D9"/>
                </patternFill>
              </fill>
            </x14:dxf>
          </x14:cfRule>
          <xm:sqref>B3:DB107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 Me</vt:lpstr>
      <vt:lpstr>Shot Map</vt:lpstr>
      <vt:lpstr>Serial Reference</vt:lpstr>
      <vt:lpstr>Reference Dies</vt:lpstr>
      <vt:lpstr>Probe Plan</vt:lpstr>
      <vt:lpstr>Die Map</vt:lpstr>
      <vt:lpstr>Probe Overlay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Abdullah Ahmed</cp:lastModifiedBy>
  <cp:revision>0</cp:revision>
  <cp:lastPrinted>2026-07-30T20:36:59Z</cp:lastPrinted>
  <dcterms:created xsi:type="dcterms:W3CDTF">2026-07-30T20:24:48Z</dcterms:created>
  <dcterms:modified xsi:type="dcterms:W3CDTF">2026-07-30T20:37:06Z</dcterms:modified>
  <dc:language>en-US</dc:language>
</cp:coreProperties>
</file>